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RUCHITA\Imarticus\Excel\excel project\IMBD\"/>
    </mc:Choice>
  </mc:AlternateContent>
  <xr:revisionPtr revIDLastSave="0" documentId="13_ncr:1_{5587D571-12B7-426E-A0BB-6F6B65776B8D}" xr6:coauthVersionLast="47" xr6:coauthVersionMax="47" xr10:uidLastSave="{00000000-0000-0000-0000-000000000000}"/>
  <bookViews>
    <workbookView xWindow="-108" yWindow="-108" windowWidth="23256" windowHeight="12456" firstSheet="5" activeTab="9" xr2:uid="{558AB7B3-9E53-41D9-AA9D-9A6EBD19C93E}"/>
  </bookViews>
  <sheets>
    <sheet name="Raw_Data" sheetId="2" r:id="rId1"/>
    <sheet name="Data_Cleaning" sheetId="1" r:id="rId2"/>
    <sheet name="Data_Cleaning2" sheetId="5" r:id="rId3"/>
    <sheet name="Avg_Rating&amp;Revenue" sheetId="3" r:id="rId4"/>
    <sheet name="Revenue_by_genre" sheetId="6" r:id="rId5"/>
    <sheet name="Director_performance" sheetId="7" r:id="rId6"/>
    <sheet name="Certificate vs Revenue" sheetId="9" r:id="rId7"/>
    <sheet name="Stat_Analysis" sheetId="12" r:id="rId8"/>
    <sheet name="Dashboard_Data" sheetId="14" r:id="rId9"/>
    <sheet name="Dashboard" sheetId="13" r:id="rId10"/>
  </sheets>
  <definedNames>
    <definedName name="ExternalData_1" localSheetId="2" hidden="1">Data_Cleaning2!$A$1:$O$1913</definedName>
    <definedName name="Slicer_Certificate">#N/A</definedName>
    <definedName name="Slicer_Decade">#N/A</definedName>
    <definedName name="Slicer_Genre_Clean">#N/A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12" l="1"/>
  <c r="D2" i="12"/>
  <c r="D1" i="12"/>
  <c r="C9" i="14"/>
  <c r="A9" i="14"/>
  <c r="B9" i="14"/>
  <c r="D9" i="14"/>
  <c r="P3" i="5"/>
  <c r="P2"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R1001" i="1"/>
  <c r="S1001" i="1" s="1"/>
  <c r="G1001" i="1"/>
  <c r="D1001" i="1"/>
  <c r="R1000" i="1"/>
  <c r="S1000" i="1" s="1"/>
  <c r="G1000" i="1"/>
  <c r="D1000" i="1"/>
  <c r="R999" i="1"/>
  <c r="S999" i="1" s="1"/>
  <c r="G999" i="1"/>
  <c r="D999" i="1"/>
  <c r="R998" i="1"/>
  <c r="S998" i="1" s="1"/>
  <c r="G998" i="1"/>
  <c r="D998" i="1"/>
  <c r="R997" i="1"/>
  <c r="S997" i="1" s="1"/>
  <c r="G997" i="1"/>
  <c r="D997" i="1"/>
  <c r="R996" i="1"/>
  <c r="S996" i="1" s="1"/>
  <c r="G996" i="1"/>
  <c r="D996" i="1"/>
  <c r="R995" i="1"/>
  <c r="S995" i="1" s="1"/>
  <c r="G995" i="1"/>
  <c r="D995" i="1"/>
  <c r="R994" i="1"/>
  <c r="S994" i="1" s="1"/>
  <c r="G994" i="1"/>
  <c r="D994" i="1"/>
  <c r="R993" i="1"/>
  <c r="S993" i="1" s="1"/>
  <c r="G993" i="1"/>
  <c r="D993" i="1"/>
  <c r="R992" i="1"/>
  <c r="S992" i="1" s="1"/>
  <c r="G992" i="1"/>
  <c r="D992" i="1"/>
  <c r="R991" i="1"/>
  <c r="S991" i="1" s="1"/>
  <c r="G991" i="1"/>
  <c r="D991" i="1"/>
  <c r="R990" i="1"/>
  <c r="S990" i="1" s="1"/>
  <c r="G990" i="1"/>
  <c r="D990" i="1"/>
  <c r="R989" i="1"/>
  <c r="S989" i="1" s="1"/>
  <c r="G989" i="1"/>
  <c r="D989" i="1"/>
  <c r="R988" i="1"/>
  <c r="S988" i="1" s="1"/>
  <c r="G988" i="1"/>
  <c r="D988" i="1"/>
  <c r="R987" i="1"/>
  <c r="S987" i="1" s="1"/>
  <c r="G987" i="1"/>
  <c r="D987" i="1"/>
  <c r="R986" i="1"/>
  <c r="S986" i="1" s="1"/>
  <c r="G986" i="1"/>
  <c r="D986" i="1"/>
  <c r="R985" i="1"/>
  <c r="S985" i="1" s="1"/>
  <c r="G985" i="1"/>
  <c r="D985" i="1"/>
  <c r="R984" i="1"/>
  <c r="S984" i="1" s="1"/>
  <c r="G984" i="1"/>
  <c r="D984" i="1"/>
  <c r="R983" i="1"/>
  <c r="S983" i="1" s="1"/>
  <c r="G983" i="1"/>
  <c r="D983" i="1"/>
  <c r="R982" i="1"/>
  <c r="S982" i="1" s="1"/>
  <c r="G982" i="1"/>
  <c r="D982" i="1"/>
  <c r="R981" i="1"/>
  <c r="S981" i="1" s="1"/>
  <c r="G981" i="1"/>
  <c r="D981" i="1"/>
  <c r="R980" i="1"/>
  <c r="S980" i="1" s="1"/>
  <c r="G980" i="1"/>
  <c r="D980" i="1"/>
  <c r="R979" i="1"/>
  <c r="S979" i="1" s="1"/>
  <c r="G979" i="1"/>
  <c r="D979" i="1"/>
  <c r="R978" i="1"/>
  <c r="S978" i="1" s="1"/>
  <c r="G978" i="1"/>
  <c r="D978" i="1"/>
  <c r="R977" i="1"/>
  <c r="S977" i="1" s="1"/>
  <c r="G977" i="1"/>
  <c r="D977" i="1"/>
  <c r="R976" i="1"/>
  <c r="S976" i="1" s="1"/>
  <c r="G976" i="1"/>
  <c r="D976" i="1"/>
  <c r="R975" i="1"/>
  <c r="S975" i="1" s="1"/>
  <c r="G975" i="1"/>
  <c r="D975" i="1"/>
  <c r="S974" i="1"/>
  <c r="R974" i="1"/>
  <c r="G974" i="1"/>
  <c r="D974" i="1"/>
  <c r="R973" i="1"/>
  <c r="S973" i="1" s="1"/>
  <c r="G973" i="1"/>
  <c r="D973" i="1"/>
  <c r="R972" i="1"/>
  <c r="S972" i="1" s="1"/>
  <c r="G972" i="1"/>
  <c r="D972" i="1"/>
  <c r="R971" i="1"/>
  <c r="S971" i="1" s="1"/>
  <c r="G971" i="1"/>
  <c r="D971" i="1"/>
  <c r="R970" i="1"/>
  <c r="S970" i="1" s="1"/>
  <c r="G970" i="1"/>
  <c r="D970" i="1"/>
  <c r="R969" i="1"/>
  <c r="S969" i="1" s="1"/>
  <c r="G969" i="1"/>
  <c r="D969" i="1"/>
  <c r="R968" i="1"/>
  <c r="S968" i="1" s="1"/>
  <c r="G968" i="1"/>
  <c r="D968" i="1"/>
  <c r="R967" i="1"/>
  <c r="S967" i="1" s="1"/>
  <c r="G967" i="1"/>
  <c r="D967" i="1"/>
  <c r="R966" i="1"/>
  <c r="S966" i="1" s="1"/>
  <c r="G966" i="1"/>
  <c r="D966" i="1"/>
  <c r="R965" i="1"/>
  <c r="S965" i="1" s="1"/>
  <c r="G965" i="1"/>
  <c r="D965" i="1"/>
  <c r="R964" i="1"/>
  <c r="S964" i="1" s="1"/>
  <c r="G964" i="1"/>
  <c r="D964" i="1"/>
  <c r="R963" i="1"/>
  <c r="S963" i="1" s="1"/>
  <c r="G963" i="1"/>
  <c r="D963" i="1"/>
  <c r="R962" i="1"/>
  <c r="S962" i="1" s="1"/>
  <c r="G962" i="1"/>
  <c r="D962" i="1"/>
  <c r="R961" i="1"/>
  <c r="S961" i="1" s="1"/>
  <c r="G961" i="1"/>
  <c r="D961" i="1"/>
  <c r="R960" i="1"/>
  <c r="S960" i="1" s="1"/>
  <c r="G960" i="1"/>
  <c r="D960" i="1"/>
  <c r="R959" i="1"/>
  <c r="S959" i="1" s="1"/>
  <c r="G959" i="1"/>
  <c r="D959" i="1"/>
  <c r="R958" i="1"/>
  <c r="S958" i="1" s="1"/>
  <c r="G958" i="1"/>
  <c r="D958" i="1"/>
  <c r="R957" i="1"/>
  <c r="S957" i="1" s="1"/>
  <c r="G957" i="1"/>
  <c r="D957" i="1"/>
  <c r="R956" i="1"/>
  <c r="S956" i="1" s="1"/>
  <c r="G956" i="1"/>
  <c r="D956" i="1"/>
  <c r="R955" i="1"/>
  <c r="S955" i="1" s="1"/>
  <c r="G955" i="1"/>
  <c r="D955" i="1"/>
  <c r="R954" i="1"/>
  <c r="S954" i="1" s="1"/>
  <c r="G954" i="1"/>
  <c r="D954" i="1"/>
  <c r="R953" i="1"/>
  <c r="S953" i="1" s="1"/>
  <c r="G953" i="1"/>
  <c r="D953" i="1"/>
  <c r="R952" i="1"/>
  <c r="S952" i="1" s="1"/>
  <c r="G952" i="1"/>
  <c r="D952" i="1"/>
  <c r="R951" i="1"/>
  <c r="S951" i="1" s="1"/>
  <c r="G951" i="1"/>
  <c r="D951" i="1"/>
  <c r="R950" i="1"/>
  <c r="S950" i="1" s="1"/>
  <c r="G950" i="1"/>
  <c r="D950" i="1"/>
  <c r="R949" i="1"/>
  <c r="S949" i="1" s="1"/>
  <c r="G949" i="1"/>
  <c r="D949" i="1"/>
  <c r="R948" i="1"/>
  <c r="S948" i="1" s="1"/>
  <c r="G948" i="1"/>
  <c r="D948" i="1"/>
  <c r="R947" i="1"/>
  <c r="S947" i="1" s="1"/>
  <c r="G947" i="1"/>
  <c r="D947" i="1"/>
  <c r="R946" i="1"/>
  <c r="S946" i="1" s="1"/>
  <c r="G946" i="1"/>
  <c r="D946" i="1"/>
  <c r="R945" i="1"/>
  <c r="S945" i="1" s="1"/>
  <c r="G945" i="1"/>
  <c r="D945" i="1"/>
  <c r="R944" i="1"/>
  <c r="S944" i="1" s="1"/>
  <c r="G944" i="1"/>
  <c r="D944" i="1"/>
  <c r="R943" i="1"/>
  <c r="S943" i="1" s="1"/>
  <c r="G943" i="1"/>
  <c r="D943" i="1"/>
  <c r="R942" i="1"/>
  <c r="S942" i="1" s="1"/>
  <c r="G942" i="1"/>
  <c r="D942" i="1"/>
  <c r="R941" i="1"/>
  <c r="S941" i="1" s="1"/>
  <c r="G941" i="1"/>
  <c r="D941" i="1"/>
  <c r="R940" i="1"/>
  <c r="S940" i="1" s="1"/>
  <c r="G940" i="1"/>
  <c r="D940" i="1"/>
  <c r="R939" i="1"/>
  <c r="S939" i="1" s="1"/>
  <c r="G939" i="1"/>
  <c r="D939" i="1"/>
  <c r="R938" i="1"/>
  <c r="S938" i="1" s="1"/>
  <c r="G938" i="1"/>
  <c r="D938" i="1"/>
  <c r="R937" i="1"/>
  <c r="S937" i="1" s="1"/>
  <c r="G937" i="1"/>
  <c r="D937" i="1"/>
  <c r="R936" i="1"/>
  <c r="S936" i="1" s="1"/>
  <c r="G936" i="1"/>
  <c r="D936" i="1"/>
  <c r="R935" i="1"/>
  <c r="S935" i="1" s="1"/>
  <c r="G935" i="1"/>
  <c r="D935" i="1"/>
  <c r="R934" i="1"/>
  <c r="S934" i="1" s="1"/>
  <c r="G934" i="1"/>
  <c r="D934" i="1"/>
  <c r="R933" i="1"/>
  <c r="S933" i="1" s="1"/>
  <c r="G933" i="1"/>
  <c r="D933" i="1"/>
  <c r="R932" i="1"/>
  <c r="S932" i="1" s="1"/>
  <c r="G932" i="1"/>
  <c r="D932" i="1"/>
  <c r="R931" i="1"/>
  <c r="S931" i="1" s="1"/>
  <c r="G931" i="1"/>
  <c r="D931" i="1"/>
  <c r="R930" i="1"/>
  <c r="S930" i="1" s="1"/>
  <c r="G930" i="1"/>
  <c r="D930" i="1"/>
  <c r="R929" i="1"/>
  <c r="S929" i="1" s="1"/>
  <c r="G929" i="1"/>
  <c r="D929" i="1"/>
  <c r="R928" i="1"/>
  <c r="S928" i="1" s="1"/>
  <c r="G928" i="1"/>
  <c r="D928" i="1"/>
  <c r="R927" i="1"/>
  <c r="S927" i="1" s="1"/>
  <c r="G927" i="1"/>
  <c r="D927" i="1"/>
  <c r="R926" i="1"/>
  <c r="S926" i="1" s="1"/>
  <c r="G926" i="1"/>
  <c r="D926" i="1"/>
  <c r="R925" i="1"/>
  <c r="S925" i="1" s="1"/>
  <c r="G925" i="1"/>
  <c r="D925" i="1"/>
  <c r="R924" i="1"/>
  <c r="S924" i="1" s="1"/>
  <c r="G924" i="1"/>
  <c r="D924" i="1"/>
  <c r="R923" i="1"/>
  <c r="S923" i="1" s="1"/>
  <c r="G923" i="1"/>
  <c r="D923" i="1"/>
  <c r="R922" i="1"/>
  <c r="S922" i="1" s="1"/>
  <c r="G922" i="1"/>
  <c r="D922" i="1"/>
  <c r="R921" i="1"/>
  <c r="S921" i="1" s="1"/>
  <c r="G921" i="1"/>
  <c r="D921" i="1"/>
  <c r="R920" i="1"/>
  <c r="S920" i="1" s="1"/>
  <c r="G920" i="1"/>
  <c r="D920" i="1"/>
  <c r="R919" i="1"/>
  <c r="S919" i="1" s="1"/>
  <c r="G919" i="1"/>
  <c r="D919" i="1"/>
  <c r="R918" i="1"/>
  <c r="S918" i="1" s="1"/>
  <c r="G918" i="1"/>
  <c r="D918" i="1"/>
  <c r="R917" i="1"/>
  <c r="S917" i="1" s="1"/>
  <c r="G917" i="1"/>
  <c r="D917" i="1"/>
  <c r="R916" i="1"/>
  <c r="S916" i="1" s="1"/>
  <c r="G916" i="1"/>
  <c r="D916" i="1"/>
  <c r="R915" i="1"/>
  <c r="S915" i="1" s="1"/>
  <c r="G915" i="1"/>
  <c r="D915" i="1"/>
  <c r="R914" i="1"/>
  <c r="S914" i="1" s="1"/>
  <c r="G914" i="1"/>
  <c r="D914" i="1"/>
  <c r="R913" i="1"/>
  <c r="S913" i="1" s="1"/>
  <c r="G913" i="1"/>
  <c r="D913" i="1"/>
  <c r="R912" i="1"/>
  <c r="S912" i="1" s="1"/>
  <c r="G912" i="1"/>
  <c r="D912" i="1"/>
  <c r="R911" i="1"/>
  <c r="S911" i="1" s="1"/>
  <c r="G911" i="1"/>
  <c r="D911" i="1"/>
  <c r="R910" i="1"/>
  <c r="S910" i="1" s="1"/>
  <c r="G910" i="1"/>
  <c r="D910" i="1"/>
  <c r="R909" i="1"/>
  <c r="S909" i="1" s="1"/>
  <c r="G909" i="1"/>
  <c r="D909" i="1"/>
  <c r="R908" i="1"/>
  <c r="S908" i="1" s="1"/>
  <c r="G908" i="1"/>
  <c r="D908" i="1"/>
  <c r="R907" i="1"/>
  <c r="S907" i="1" s="1"/>
  <c r="G907" i="1"/>
  <c r="D907" i="1"/>
  <c r="R906" i="1"/>
  <c r="S906" i="1" s="1"/>
  <c r="G906" i="1"/>
  <c r="D906" i="1"/>
  <c r="R905" i="1"/>
  <c r="S905" i="1" s="1"/>
  <c r="G905" i="1"/>
  <c r="D905" i="1"/>
  <c r="R904" i="1"/>
  <c r="S904" i="1" s="1"/>
  <c r="G904" i="1"/>
  <c r="D904" i="1"/>
  <c r="R903" i="1"/>
  <c r="S903" i="1" s="1"/>
  <c r="G903" i="1"/>
  <c r="D903" i="1"/>
  <c r="R902" i="1"/>
  <c r="S902" i="1" s="1"/>
  <c r="G902" i="1"/>
  <c r="D902" i="1"/>
  <c r="R901" i="1"/>
  <c r="S901" i="1" s="1"/>
  <c r="G901" i="1"/>
  <c r="D901" i="1"/>
  <c r="R900" i="1"/>
  <c r="S900" i="1" s="1"/>
  <c r="G900" i="1"/>
  <c r="D900" i="1"/>
  <c r="R899" i="1"/>
  <c r="S899" i="1" s="1"/>
  <c r="G899" i="1"/>
  <c r="D899" i="1"/>
  <c r="R898" i="1"/>
  <c r="S898" i="1" s="1"/>
  <c r="G898" i="1"/>
  <c r="D898" i="1"/>
  <c r="R897" i="1"/>
  <c r="S897" i="1" s="1"/>
  <c r="G897" i="1"/>
  <c r="D897" i="1"/>
  <c r="R896" i="1"/>
  <c r="S896" i="1" s="1"/>
  <c r="G896" i="1"/>
  <c r="D896" i="1"/>
  <c r="R895" i="1"/>
  <c r="S895" i="1" s="1"/>
  <c r="G895" i="1"/>
  <c r="D895" i="1"/>
  <c r="R894" i="1"/>
  <c r="S894" i="1" s="1"/>
  <c r="G894" i="1"/>
  <c r="D894" i="1"/>
  <c r="R893" i="1"/>
  <c r="S893" i="1" s="1"/>
  <c r="G893" i="1"/>
  <c r="D893" i="1"/>
  <c r="R892" i="1"/>
  <c r="S892" i="1" s="1"/>
  <c r="G892" i="1"/>
  <c r="D892" i="1"/>
  <c r="R891" i="1"/>
  <c r="S891" i="1" s="1"/>
  <c r="G891" i="1"/>
  <c r="D891" i="1"/>
  <c r="R890" i="1"/>
  <c r="S890" i="1" s="1"/>
  <c r="G890" i="1"/>
  <c r="D890" i="1"/>
  <c r="R889" i="1"/>
  <c r="S889" i="1" s="1"/>
  <c r="G889" i="1"/>
  <c r="D889" i="1"/>
  <c r="R888" i="1"/>
  <c r="S888" i="1" s="1"/>
  <c r="G888" i="1"/>
  <c r="D888" i="1"/>
  <c r="R887" i="1"/>
  <c r="S887" i="1" s="1"/>
  <c r="G887" i="1"/>
  <c r="D887" i="1"/>
  <c r="R886" i="1"/>
  <c r="S886" i="1" s="1"/>
  <c r="G886" i="1"/>
  <c r="D886" i="1"/>
  <c r="R885" i="1"/>
  <c r="S885" i="1" s="1"/>
  <c r="G885" i="1"/>
  <c r="D885" i="1"/>
  <c r="R884" i="1"/>
  <c r="S884" i="1" s="1"/>
  <c r="G884" i="1"/>
  <c r="D884" i="1"/>
  <c r="R883" i="1"/>
  <c r="S883" i="1" s="1"/>
  <c r="G883" i="1"/>
  <c r="D883" i="1"/>
  <c r="R882" i="1"/>
  <c r="S882" i="1" s="1"/>
  <c r="G882" i="1"/>
  <c r="D882" i="1"/>
  <c r="R881" i="1"/>
  <c r="S881" i="1" s="1"/>
  <c r="G881" i="1"/>
  <c r="D881" i="1"/>
  <c r="R880" i="1"/>
  <c r="S880" i="1" s="1"/>
  <c r="G880" i="1"/>
  <c r="D880" i="1"/>
  <c r="R879" i="1"/>
  <c r="S879" i="1" s="1"/>
  <c r="G879" i="1"/>
  <c r="D879" i="1"/>
  <c r="R878" i="1"/>
  <c r="S878" i="1" s="1"/>
  <c r="G878" i="1"/>
  <c r="D878" i="1"/>
  <c r="R877" i="1"/>
  <c r="S877" i="1" s="1"/>
  <c r="G877" i="1"/>
  <c r="D877" i="1"/>
  <c r="R876" i="1"/>
  <c r="S876" i="1" s="1"/>
  <c r="G876" i="1"/>
  <c r="D876" i="1"/>
  <c r="R875" i="1"/>
  <c r="S875" i="1" s="1"/>
  <c r="G875" i="1"/>
  <c r="D875" i="1"/>
  <c r="R874" i="1"/>
  <c r="S874" i="1" s="1"/>
  <c r="G874" i="1"/>
  <c r="D874" i="1"/>
  <c r="R873" i="1"/>
  <c r="S873" i="1" s="1"/>
  <c r="G873" i="1"/>
  <c r="D873" i="1"/>
  <c r="R872" i="1"/>
  <c r="S872" i="1" s="1"/>
  <c r="G872" i="1"/>
  <c r="D872" i="1"/>
  <c r="R871" i="1"/>
  <c r="S871" i="1" s="1"/>
  <c r="G871" i="1"/>
  <c r="D871" i="1"/>
  <c r="R870" i="1"/>
  <c r="S870" i="1" s="1"/>
  <c r="G870" i="1"/>
  <c r="D870" i="1"/>
  <c r="R869" i="1"/>
  <c r="S869" i="1" s="1"/>
  <c r="G869" i="1"/>
  <c r="D869" i="1"/>
  <c r="R868" i="1"/>
  <c r="S868" i="1" s="1"/>
  <c r="G868" i="1"/>
  <c r="D868" i="1"/>
  <c r="R867" i="1"/>
  <c r="S867" i="1" s="1"/>
  <c r="G867" i="1"/>
  <c r="D867" i="1"/>
  <c r="R866" i="1"/>
  <c r="S866" i="1" s="1"/>
  <c r="G866" i="1"/>
  <c r="D866" i="1"/>
  <c r="R865" i="1"/>
  <c r="S865" i="1" s="1"/>
  <c r="G865" i="1"/>
  <c r="D865" i="1"/>
  <c r="R864" i="1"/>
  <c r="S864" i="1" s="1"/>
  <c r="G864" i="1"/>
  <c r="D864" i="1"/>
  <c r="R863" i="1"/>
  <c r="S863" i="1" s="1"/>
  <c r="G863" i="1"/>
  <c r="D863" i="1"/>
  <c r="R862" i="1"/>
  <c r="S862" i="1" s="1"/>
  <c r="G862" i="1"/>
  <c r="D862" i="1"/>
  <c r="R861" i="1"/>
  <c r="S861" i="1" s="1"/>
  <c r="G861" i="1"/>
  <c r="D861" i="1"/>
  <c r="R860" i="1"/>
  <c r="S860" i="1" s="1"/>
  <c r="G860" i="1"/>
  <c r="D860" i="1"/>
  <c r="R859" i="1"/>
  <c r="S859" i="1" s="1"/>
  <c r="G859" i="1"/>
  <c r="D859" i="1"/>
  <c r="R858" i="1"/>
  <c r="S858" i="1" s="1"/>
  <c r="G858" i="1"/>
  <c r="D858" i="1"/>
  <c r="R857" i="1"/>
  <c r="S857" i="1" s="1"/>
  <c r="G857" i="1"/>
  <c r="D857" i="1"/>
  <c r="R856" i="1"/>
  <c r="S856" i="1" s="1"/>
  <c r="G856" i="1"/>
  <c r="D856" i="1"/>
  <c r="R855" i="1"/>
  <c r="S855" i="1" s="1"/>
  <c r="G855" i="1"/>
  <c r="D855" i="1"/>
  <c r="R854" i="1"/>
  <c r="S854" i="1" s="1"/>
  <c r="G854" i="1"/>
  <c r="D854" i="1"/>
  <c r="R853" i="1"/>
  <c r="S853" i="1" s="1"/>
  <c r="G853" i="1"/>
  <c r="D853" i="1"/>
  <c r="R852" i="1"/>
  <c r="S852" i="1" s="1"/>
  <c r="G852" i="1"/>
  <c r="D852" i="1"/>
  <c r="R851" i="1"/>
  <c r="S851" i="1" s="1"/>
  <c r="G851" i="1"/>
  <c r="D851" i="1"/>
  <c r="R850" i="1"/>
  <c r="S850" i="1" s="1"/>
  <c r="G850" i="1"/>
  <c r="D850" i="1"/>
  <c r="R849" i="1"/>
  <c r="S849" i="1" s="1"/>
  <c r="G849" i="1"/>
  <c r="D849" i="1"/>
  <c r="R848" i="1"/>
  <c r="S848" i="1" s="1"/>
  <c r="G848" i="1"/>
  <c r="D848" i="1"/>
  <c r="R847" i="1"/>
  <c r="S847" i="1" s="1"/>
  <c r="G847" i="1"/>
  <c r="D847" i="1"/>
  <c r="R846" i="1"/>
  <c r="S846" i="1" s="1"/>
  <c r="G846" i="1"/>
  <c r="D846" i="1"/>
  <c r="R845" i="1"/>
  <c r="S845" i="1" s="1"/>
  <c r="G845" i="1"/>
  <c r="D845" i="1"/>
  <c r="R844" i="1"/>
  <c r="S844" i="1" s="1"/>
  <c r="G844" i="1"/>
  <c r="D844" i="1"/>
  <c r="R843" i="1"/>
  <c r="S843" i="1" s="1"/>
  <c r="G843" i="1"/>
  <c r="D843" i="1"/>
  <c r="R842" i="1"/>
  <c r="S842" i="1" s="1"/>
  <c r="G842" i="1"/>
  <c r="D842" i="1"/>
  <c r="R841" i="1"/>
  <c r="S841" i="1" s="1"/>
  <c r="G841" i="1"/>
  <c r="D841" i="1"/>
  <c r="R840" i="1"/>
  <c r="S840" i="1" s="1"/>
  <c r="G840" i="1"/>
  <c r="D840" i="1"/>
  <c r="R839" i="1"/>
  <c r="S839" i="1" s="1"/>
  <c r="G839" i="1"/>
  <c r="D839" i="1"/>
  <c r="R838" i="1"/>
  <c r="S838" i="1" s="1"/>
  <c r="G838" i="1"/>
  <c r="D838" i="1"/>
  <c r="R837" i="1"/>
  <c r="S837" i="1" s="1"/>
  <c r="G837" i="1"/>
  <c r="D837" i="1"/>
  <c r="R836" i="1"/>
  <c r="S836" i="1" s="1"/>
  <c r="G836" i="1"/>
  <c r="D836" i="1"/>
  <c r="R835" i="1"/>
  <c r="S835" i="1" s="1"/>
  <c r="G835" i="1"/>
  <c r="D835" i="1"/>
  <c r="R834" i="1"/>
  <c r="S834" i="1" s="1"/>
  <c r="G834" i="1"/>
  <c r="D834" i="1"/>
  <c r="R833" i="1"/>
  <c r="S833" i="1" s="1"/>
  <c r="G833" i="1"/>
  <c r="D833" i="1"/>
  <c r="R832" i="1"/>
  <c r="S832" i="1" s="1"/>
  <c r="G832" i="1"/>
  <c r="D832" i="1"/>
  <c r="R831" i="1"/>
  <c r="S831" i="1" s="1"/>
  <c r="G831" i="1"/>
  <c r="D831" i="1"/>
  <c r="R830" i="1"/>
  <c r="S830" i="1" s="1"/>
  <c r="G830" i="1"/>
  <c r="D830" i="1"/>
  <c r="R829" i="1"/>
  <c r="S829" i="1" s="1"/>
  <c r="G829" i="1"/>
  <c r="D829" i="1"/>
  <c r="R828" i="1"/>
  <c r="S828" i="1" s="1"/>
  <c r="G828" i="1"/>
  <c r="D828" i="1"/>
  <c r="R827" i="1"/>
  <c r="S827" i="1" s="1"/>
  <c r="G827" i="1"/>
  <c r="D827" i="1"/>
  <c r="R826" i="1"/>
  <c r="S826" i="1" s="1"/>
  <c r="G826" i="1"/>
  <c r="D826" i="1"/>
  <c r="R825" i="1"/>
  <c r="S825" i="1" s="1"/>
  <c r="G825" i="1"/>
  <c r="D825" i="1"/>
  <c r="R824" i="1"/>
  <c r="S824" i="1" s="1"/>
  <c r="G824" i="1"/>
  <c r="D824" i="1"/>
  <c r="R823" i="1"/>
  <c r="S823" i="1" s="1"/>
  <c r="G823" i="1"/>
  <c r="D823" i="1"/>
  <c r="R822" i="1"/>
  <c r="S822" i="1" s="1"/>
  <c r="G822" i="1"/>
  <c r="D822" i="1"/>
  <c r="R821" i="1"/>
  <c r="S821" i="1" s="1"/>
  <c r="G821" i="1"/>
  <c r="D821" i="1"/>
  <c r="R820" i="1"/>
  <c r="S820" i="1" s="1"/>
  <c r="G820" i="1"/>
  <c r="D820" i="1"/>
  <c r="R819" i="1"/>
  <c r="S819" i="1" s="1"/>
  <c r="G819" i="1"/>
  <c r="D819" i="1"/>
  <c r="R818" i="1"/>
  <c r="S818" i="1" s="1"/>
  <c r="G818" i="1"/>
  <c r="D818" i="1"/>
  <c r="R817" i="1"/>
  <c r="S817" i="1" s="1"/>
  <c r="G817" i="1"/>
  <c r="D817" i="1"/>
  <c r="R816" i="1"/>
  <c r="S816" i="1" s="1"/>
  <c r="G816" i="1"/>
  <c r="D816" i="1"/>
  <c r="R815" i="1"/>
  <c r="S815" i="1" s="1"/>
  <c r="G815" i="1"/>
  <c r="D815" i="1"/>
  <c r="R814" i="1"/>
  <c r="S814" i="1" s="1"/>
  <c r="G814" i="1"/>
  <c r="D814" i="1"/>
  <c r="R813" i="1"/>
  <c r="S813" i="1" s="1"/>
  <c r="G813" i="1"/>
  <c r="D813" i="1"/>
  <c r="S812" i="1"/>
  <c r="R812" i="1"/>
  <c r="G812" i="1"/>
  <c r="D812" i="1"/>
  <c r="R811" i="1"/>
  <c r="S811" i="1" s="1"/>
  <c r="G811" i="1"/>
  <c r="D811" i="1"/>
  <c r="R810" i="1"/>
  <c r="S810" i="1" s="1"/>
  <c r="G810" i="1"/>
  <c r="D810" i="1"/>
  <c r="R809" i="1"/>
  <c r="S809" i="1" s="1"/>
  <c r="G809" i="1"/>
  <c r="D809" i="1"/>
  <c r="R808" i="1"/>
  <c r="S808" i="1" s="1"/>
  <c r="G808" i="1"/>
  <c r="D808" i="1"/>
  <c r="R807" i="1"/>
  <c r="S807" i="1" s="1"/>
  <c r="G807" i="1"/>
  <c r="D807" i="1"/>
  <c r="R806" i="1"/>
  <c r="S806" i="1" s="1"/>
  <c r="G806" i="1"/>
  <c r="D806" i="1"/>
  <c r="R805" i="1"/>
  <c r="S805" i="1" s="1"/>
  <c r="G805" i="1"/>
  <c r="D805" i="1"/>
  <c r="R804" i="1"/>
  <c r="S804" i="1" s="1"/>
  <c r="G804" i="1"/>
  <c r="D804" i="1"/>
  <c r="S803" i="1"/>
  <c r="R803" i="1"/>
  <c r="G803" i="1"/>
  <c r="D803" i="1"/>
  <c r="R802" i="1"/>
  <c r="S802" i="1" s="1"/>
  <c r="G802" i="1"/>
  <c r="D802" i="1"/>
  <c r="R801" i="1"/>
  <c r="S801" i="1" s="1"/>
  <c r="G801" i="1"/>
  <c r="D801" i="1"/>
  <c r="R800" i="1"/>
  <c r="S800" i="1" s="1"/>
  <c r="G800" i="1"/>
  <c r="D800" i="1"/>
  <c r="R799" i="1"/>
  <c r="S799" i="1" s="1"/>
  <c r="G799" i="1"/>
  <c r="D799" i="1"/>
  <c r="R798" i="1"/>
  <c r="S798" i="1" s="1"/>
  <c r="G798" i="1"/>
  <c r="D798" i="1"/>
  <c r="R797" i="1"/>
  <c r="S797" i="1" s="1"/>
  <c r="G797" i="1"/>
  <c r="D797" i="1"/>
  <c r="R796" i="1"/>
  <c r="S796" i="1" s="1"/>
  <c r="G796" i="1"/>
  <c r="D796" i="1"/>
  <c r="R795" i="1"/>
  <c r="S795" i="1" s="1"/>
  <c r="G795" i="1"/>
  <c r="D795" i="1"/>
  <c r="R794" i="1"/>
  <c r="S794" i="1" s="1"/>
  <c r="G794" i="1"/>
  <c r="D794" i="1"/>
  <c r="R793" i="1"/>
  <c r="S793" i="1" s="1"/>
  <c r="G793" i="1"/>
  <c r="D793" i="1"/>
  <c r="R792" i="1"/>
  <c r="S792" i="1" s="1"/>
  <c r="G792" i="1"/>
  <c r="D792" i="1"/>
  <c r="R791" i="1"/>
  <c r="S791" i="1" s="1"/>
  <c r="G791" i="1"/>
  <c r="D791" i="1"/>
  <c r="R790" i="1"/>
  <c r="S790" i="1" s="1"/>
  <c r="G790" i="1"/>
  <c r="D790" i="1"/>
  <c r="R789" i="1"/>
  <c r="S789" i="1" s="1"/>
  <c r="G789" i="1"/>
  <c r="D789" i="1"/>
  <c r="R788" i="1"/>
  <c r="S788" i="1" s="1"/>
  <c r="G788" i="1"/>
  <c r="D788" i="1"/>
  <c r="R787" i="1"/>
  <c r="S787" i="1" s="1"/>
  <c r="G787" i="1"/>
  <c r="D787" i="1"/>
  <c r="R786" i="1"/>
  <c r="S786" i="1" s="1"/>
  <c r="G786" i="1"/>
  <c r="D786" i="1"/>
  <c r="R785" i="1"/>
  <c r="S785" i="1" s="1"/>
  <c r="G785" i="1"/>
  <c r="D785" i="1"/>
  <c r="R784" i="1"/>
  <c r="S784" i="1" s="1"/>
  <c r="G784" i="1"/>
  <c r="D784" i="1"/>
  <c r="R783" i="1"/>
  <c r="S783" i="1" s="1"/>
  <c r="G783" i="1"/>
  <c r="D783" i="1"/>
  <c r="R782" i="1"/>
  <c r="S782" i="1" s="1"/>
  <c r="G782" i="1"/>
  <c r="D782" i="1"/>
  <c r="R781" i="1"/>
  <c r="S781" i="1" s="1"/>
  <c r="G781" i="1"/>
  <c r="D781" i="1"/>
  <c r="R780" i="1"/>
  <c r="S780" i="1" s="1"/>
  <c r="G780" i="1"/>
  <c r="D780" i="1"/>
  <c r="R779" i="1"/>
  <c r="S779" i="1" s="1"/>
  <c r="G779" i="1"/>
  <c r="D779" i="1"/>
  <c r="R778" i="1"/>
  <c r="S778" i="1" s="1"/>
  <c r="G778" i="1"/>
  <c r="D778" i="1"/>
  <c r="R777" i="1"/>
  <c r="S777" i="1" s="1"/>
  <c r="G777" i="1"/>
  <c r="D777" i="1"/>
  <c r="R776" i="1"/>
  <c r="S776" i="1" s="1"/>
  <c r="G776" i="1"/>
  <c r="D776" i="1"/>
  <c r="R775" i="1"/>
  <c r="S775" i="1" s="1"/>
  <c r="G775" i="1"/>
  <c r="D775" i="1"/>
  <c r="R774" i="1"/>
  <c r="S774" i="1" s="1"/>
  <c r="G774" i="1"/>
  <c r="D774" i="1"/>
  <c r="R773" i="1"/>
  <c r="S773" i="1" s="1"/>
  <c r="G773" i="1"/>
  <c r="D773" i="1"/>
  <c r="R772" i="1"/>
  <c r="S772" i="1" s="1"/>
  <c r="G772" i="1"/>
  <c r="D772" i="1"/>
  <c r="R771" i="1"/>
  <c r="S771" i="1" s="1"/>
  <c r="G771" i="1"/>
  <c r="D771" i="1"/>
  <c r="R770" i="1"/>
  <c r="S770" i="1" s="1"/>
  <c r="G770" i="1"/>
  <c r="D770" i="1"/>
  <c r="R769" i="1"/>
  <c r="S769" i="1" s="1"/>
  <c r="G769" i="1"/>
  <c r="D769" i="1"/>
  <c r="R768" i="1"/>
  <c r="S768" i="1" s="1"/>
  <c r="G768" i="1"/>
  <c r="D768" i="1"/>
  <c r="R767" i="1"/>
  <c r="S767" i="1" s="1"/>
  <c r="G767" i="1"/>
  <c r="D767" i="1"/>
  <c r="R766" i="1"/>
  <c r="S766" i="1" s="1"/>
  <c r="G766" i="1"/>
  <c r="D766" i="1"/>
  <c r="R765" i="1"/>
  <c r="S765" i="1" s="1"/>
  <c r="G765" i="1"/>
  <c r="D765" i="1"/>
  <c r="R764" i="1"/>
  <c r="S764" i="1" s="1"/>
  <c r="G764" i="1"/>
  <c r="D764" i="1"/>
  <c r="R763" i="1"/>
  <c r="S763" i="1" s="1"/>
  <c r="G763" i="1"/>
  <c r="D763" i="1"/>
  <c r="R762" i="1"/>
  <c r="S762" i="1" s="1"/>
  <c r="G762" i="1"/>
  <c r="D762" i="1"/>
  <c r="R761" i="1"/>
  <c r="S761" i="1" s="1"/>
  <c r="G761" i="1"/>
  <c r="D761" i="1"/>
  <c r="R760" i="1"/>
  <c r="S760" i="1" s="1"/>
  <c r="G760" i="1"/>
  <c r="D760" i="1"/>
  <c r="R759" i="1"/>
  <c r="S759" i="1" s="1"/>
  <c r="G759" i="1"/>
  <c r="D759" i="1"/>
  <c r="R758" i="1"/>
  <c r="S758" i="1" s="1"/>
  <c r="G758" i="1"/>
  <c r="D758" i="1"/>
  <c r="R757" i="1"/>
  <c r="S757" i="1" s="1"/>
  <c r="G757" i="1"/>
  <c r="D757" i="1"/>
  <c r="R756" i="1"/>
  <c r="S756" i="1" s="1"/>
  <c r="G756" i="1"/>
  <c r="D756" i="1"/>
  <c r="R755" i="1"/>
  <c r="S755" i="1" s="1"/>
  <c r="G755" i="1"/>
  <c r="D755" i="1"/>
  <c r="R754" i="1"/>
  <c r="S754" i="1" s="1"/>
  <c r="G754" i="1"/>
  <c r="D754" i="1"/>
  <c r="R753" i="1"/>
  <c r="S753" i="1" s="1"/>
  <c r="G753" i="1"/>
  <c r="D753" i="1"/>
  <c r="R752" i="1"/>
  <c r="S752" i="1" s="1"/>
  <c r="G752" i="1"/>
  <c r="D752" i="1"/>
  <c r="R751" i="1"/>
  <c r="S751" i="1" s="1"/>
  <c r="G751" i="1"/>
  <c r="D751" i="1"/>
  <c r="R750" i="1"/>
  <c r="S750" i="1" s="1"/>
  <c r="G750" i="1"/>
  <c r="D750" i="1"/>
  <c r="R749" i="1"/>
  <c r="S749" i="1" s="1"/>
  <c r="G749" i="1"/>
  <c r="D749" i="1"/>
  <c r="R748" i="1"/>
  <c r="S748" i="1" s="1"/>
  <c r="G748" i="1"/>
  <c r="D748" i="1"/>
  <c r="R747" i="1"/>
  <c r="S747" i="1" s="1"/>
  <c r="G747" i="1"/>
  <c r="D747" i="1"/>
  <c r="R746" i="1"/>
  <c r="S746" i="1" s="1"/>
  <c r="G746" i="1"/>
  <c r="D746" i="1"/>
  <c r="R745" i="1"/>
  <c r="S745" i="1" s="1"/>
  <c r="G745" i="1"/>
  <c r="D745" i="1"/>
  <c r="R744" i="1"/>
  <c r="S744" i="1" s="1"/>
  <c r="G744" i="1"/>
  <c r="D744" i="1"/>
  <c r="R743" i="1"/>
  <c r="S743" i="1" s="1"/>
  <c r="G743" i="1"/>
  <c r="D743" i="1"/>
  <c r="R742" i="1"/>
  <c r="S742" i="1" s="1"/>
  <c r="G742" i="1"/>
  <c r="D742" i="1"/>
  <c r="R741" i="1"/>
  <c r="S741" i="1" s="1"/>
  <c r="G741" i="1"/>
  <c r="D741" i="1"/>
  <c r="R740" i="1"/>
  <c r="S740" i="1" s="1"/>
  <c r="G740" i="1"/>
  <c r="D740" i="1"/>
  <c r="R739" i="1"/>
  <c r="S739" i="1" s="1"/>
  <c r="G739" i="1"/>
  <c r="D739" i="1"/>
  <c r="R738" i="1"/>
  <c r="S738" i="1" s="1"/>
  <c r="G738" i="1"/>
  <c r="D738" i="1"/>
  <c r="R737" i="1"/>
  <c r="S737" i="1" s="1"/>
  <c r="G737" i="1"/>
  <c r="D737" i="1"/>
  <c r="R736" i="1"/>
  <c r="S736" i="1" s="1"/>
  <c r="G736" i="1"/>
  <c r="D736" i="1"/>
  <c r="R735" i="1"/>
  <c r="S735" i="1" s="1"/>
  <c r="G735" i="1"/>
  <c r="D735" i="1"/>
  <c r="R734" i="1"/>
  <c r="S734" i="1" s="1"/>
  <c r="G734" i="1"/>
  <c r="D734" i="1"/>
  <c r="R733" i="1"/>
  <c r="S733" i="1" s="1"/>
  <c r="G733" i="1"/>
  <c r="D733" i="1"/>
  <c r="R732" i="1"/>
  <c r="S732" i="1" s="1"/>
  <c r="G732" i="1"/>
  <c r="D732" i="1"/>
  <c r="R731" i="1"/>
  <c r="S731" i="1" s="1"/>
  <c r="G731" i="1"/>
  <c r="D731" i="1"/>
  <c r="R730" i="1"/>
  <c r="S730" i="1" s="1"/>
  <c r="G730" i="1"/>
  <c r="D730" i="1"/>
  <c r="R729" i="1"/>
  <c r="S729" i="1" s="1"/>
  <c r="G729" i="1"/>
  <c r="D729" i="1"/>
  <c r="R728" i="1"/>
  <c r="S728" i="1" s="1"/>
  <c r="G728" i="1"/>
  <c r="D728" i="1"/>
  <c r="R727" i="1"/>
  <c r="S727" i="1" s="1"/>
  <c r="G727" i="1"/>
  <c r="D727" i="1"/>
  <c r="R726" i="1"/>
  <c r="S726" i="1" s="1"/>
  <c r="G726" i="1"/>
  <c r="D726" i="1"/>
  <c r="R725" i="1"/>
  <c r="S725" i="1" s="1"/>
  <c r="G725" i="1"/>
  <c r="D725" i="1"/>
  <c r="R724" i="1"/>
  <c r="S724" i="1" s="1"/>
  <c r="G724" i="1"/>
  <c r="D724" i="1"/>
  <c r="R723" i="1"/>
  <c r="S723" i="1" s="1"/>
  <c r="G723" i="1"/>
  <c r="D723" i="1"/>
  <c r="R722" i="1"/>
  <c r="S722" i="1" s="1"/>
  <c r="G722" i="1"/>
  <c r="D722" i="1"/>
  <c r="R721" i="1"/>
  <c r="S721" i="1" s="1"/>
  <c r="G721" i="1"/>
  <c r="D721" i="1"/>
  <c r="R720" i="1"/>
  <c r="S720" i="1" s="1"/>
  <c r="G720" i="1"/>
  <c r="D720" i="1"/>
  <c r="R719" i="1"/>
  <c r="S719" i="1" s="1"/>
  <c r="G719" i="1"/>
  <c r="D719" i="1"/>
  <c r="R718" i="1"/>
  <c r="S718" i="1" s="1"/>
  <c r="G718" i="1"/>
  <c r="D718" i="1"/>
  <c r="R717" i="1"/>
  <c r="S717" i="1" s="1"/>
  <c r="G717" i="1"/>
  <c r="D717" i="1"/>
  <c r="R716" i="1"/>
  <c r="S716" i="1" s="1"/>
  <c r="G716" i="1"/>
  <c r="D716" i="1"/>
  <c r="R715" i="1"/>
  <c r="S715" i="1" s="1"/>
  <c r="G715" i="1"/>
  <c r="D715" i="1"/>
  <c r="R714" i="1"/>
  <c r="S714" i="1" s="1"/>
  <c r="G714" i="1"/>
  <c r="D714" i="1"/>
  <c r="R713" i="1"/>
  <c r="S713" i="1" s="1"/>
  <c r="G713" i="1"/>
  <c r="D713" i="1"/>
  <c r="R712" i="1"/>
  <c r="S712" i="1" s="1"/>
  <c r="G712" i="1"/>
  <c r="D712" i="1"/>
  <c r="R711" i="1"/>
  <c r="S711" i="1" s="1"/>
  <c r="G711" i="1"/>
  <c r="D711" i="1"/>
  <c r="R710" i="1"/>
  <c r="S710" i="1" s="1"/>
  <c r="G710" i="1"/>
  <c r="D710" i="1"/>
  <c r="R709" i="1"/>
  <c r="S709" i="1" s="1"/>
  <c r="G709" i="1"/>
  <c r="D709" i="1"/>
  <c r="R708" i="1"/>
  <c r="S708" i="1" s="1"/>
  <c r="G708" i="1"/>
  <c r="D708" i="1"/>
  <c r="R707" i="1"/>
  <c r="S707" i="1" s="1"/>
  <c r="G707" i="1"/>
  <c r="D707" i="1"/>
  <c r="R706" i="1"/>
  <c r="S706" i="1" s="1"/>
  <c r="G706" i="1"/>
  <c r="D706" i="1"/>
  <c r="R705" i="1"/>
  <c r="S705" i="1" s="1"/>
  <c r="G705" i="1"/>
  <c r="D705" i="1"/>
  <c r="R704" i="1"/>
  <c r="S704" i="1" s="1"/>
  <c r="G704" i="1"/>
  <c r="D704" i="1"/>
  <c r="R703" i="1"/>
  <c r="S703" i="1" s="1"/>
  <c r="G703" i="1"/>
  <c r="D703" i="1"/>
  <c r="R702" i="1"/>
  <c r="S702" i="1" s="1"/>
  <c r="G702" i="1"/>
  <c r="D702" i="1"/>
  <c r="R701" i="1"/>
  <c r="S701" i="1" s="1"/>
  <c r="G701" i="1"/>
  <c r="D701" i="1"/>
  <c r="R700" i="1"/>
  <c r="S700" i="1" s="1"/>
  <c r="G700" i="1"/>
  <c r="D700" i="1"/>
  <c r="R699" i="1"/>
  <c r="S699" i="1" s="1"/>
  <c r="G699" i="1"/>
  <c r="D699" i="1"/>
  <c r="R698" i="1"/>
  <c r="S698" i="1" s="1"/>
  <c r="G698" i="1"/>
  <c r="D698" i="1"/>
  <c r="R697" i="1"/>
  <c r="S697" i="1" s="1"/>
  <c r="G697" i="1"/>
  <c r="D697" i="1"/>
  <c r="R696" i="1"/>
  <c r="S696" i="1" s="1"/>
  <c r="G696" i="1"/>
  <c r="D696" i="1"/>
  <c r="R695" i="1"/>
  <c r="S695" i="1" s="1"/>
  <c r="G695" i="1"/>
  <c r="D695" i="1"/>
  <c r="R694" i="1"/>
  <c r="S694" i="1" s="1"/>
  <c r="G694" i="1"/>
  <c r="D694" i="1"/>
  <c r="R693" i="1"/>
  <c r="S693" i="1" s="1"/>
  <c r="G693" i="1"/>
  <c r="D693" i="1"/>
  <c r="R692" i="1"/>
  <c r="S692" i="1" s="1"/>
  <c r="G692" i="1"/>
  <c r="D692" i="1"/>
  <c r="R691" i="1"/>
  <c r="S691" i="1" s="1"/>
  <c r="G691" i="1"/>
  <c r="D691" i="1"/>
  <c r="R690" i="1"/>
  <c r="S690" i="1" s="1"/>
  <c r="G690" i="1"/>
  <c r="D690" i="1"/>
  <c r="R689" i="1"/>
  <c r="S689" i="1" s="1"/>
  <c r="G689" i="1"/>
  <c r="D689" i="1"/>
  <c r="R688" i="1"/>
  <c r="S688" i="1" s="1"/>
  <c r="G688" i="1"/>
  <c r="D688" i="1"/>
  <c r="R687" i="1"/>
  <c r="S687" i="1" s="1"/>
  <c r="G687" i="1"/>
  <c r="D687" i="1"/>
  <c r="R686" i="1"/>
  <c r="S686" i="1" s="1"/>
  <c r="G686" i="1"/>
  <c r="D686" i="1"/>
  <c r="R685" i="1"/>
  <c r="S685" i="1" s="1"/>
  <c r="G685" i="1"/>
  <c r="D685" i="1"/>
  <c r="R684" i="1"/>
  <c r="S684" i="1" s="1"/>
  <c r="G684" i="1"/>
  <c r="D684" i="1"/>
  <c r="R683" i="1"/>
  <c r="S683" i="1" s="1"/>
  <c r="G683" i="1"/>
  <c r="D683" i="1"/>
  <c r="R682" i="1"/>
  <c r="S682" i="1" s="1"/>
  <c r="G682" i="1"/>
  <c r="D682" i="1"/>
  <c r="R681" i="1"/>
  <c r="S681" i="1" s="1"/>
  <c r="G681" i="1"/>
  <c r="D681" i="1"/>
  <c r="R680" i="1"/>
  <c r="S680" i="1" s="1"/>
  <c r="G680" i="1"/>
  <c r="D680" i="1"/>
  <c r="R679" i="1"/>
  <c r="S679" i="1" s="1"/>
  <c r="G679" i="1"/>
  <c r="D679" i="1"/>
  <c r="R678" i="1"/>
  <c r="S678" i="1" s="1"/>
  <c r="G678" i="1"/>
  <c r="D678" i="1"/>
  <c r="R677" i="1"/>
  <c r="S677" i="1" s="1"/>
  <c r="G677" i="1"/>
  <c r="D677" i="1"/>
  <c r="R676" i="1"/>
  <c r="S676" i="1" s="1"/>
  <c r="G676" i="1"/>
  <c r="D676" i="1"/>
  <c r="R675" i="1"/>
  <c r="S675" i="1" s="1"/>
  <c r="G675" i="1"/>
  <c r="D675" i="1"/>
  <c r="R674" i="1"/>
  <c r="S674" i="1" s="1"/>
  <c r="G674" i="1"/>
  <c r="D674" i="1"/>
  <c r="R673" i="1"/>
  <c r="S673" i="1" s="1"/>
  <c r="G673" i="1"/>
  <c r="D673" i="1"/>
  <c r="R672" i="1"/>
  <c r="S672" i="1" s="1"/>
  <c r="G672" i="1"/>
  <c r="D672" i="1"/>
  <c r="R671" i="1"/>
  <c r="S671" i="1" s="1"/>
  <c r="G671" i="1"/>
  <c r="D671" i="1"/>
  <c r="R670" i="1"/>
  <c r="S670" i="1" s="1"/>
  <c r="G670" i="1"/>
  <c r="D670" i="1"/>
  <c r="R669" i="1"/>
  <c r="S669" i="1" s="1"/>
  <c r="G669" i="1"/>
  <c r="D669" i="1"/>
  <c r="R668" i="1"/>
  <c r="S668" i="1" s="1"/>
  <c r="G668" i="1"/>
  <c r="D668" i="1"/>
  <c r="R667" i="1"/>
  <c r="S667" i="1" s="1"/>
  <c r="G667" i="1"/>
  <c r="D667" i="1"/>
  <c r="R666" i="1"/>
  <c r="S666" i="1" s="1"/>
  <c r="G666" i="1"/>
  <c r="D666" i="1"/>
  <c r="R665" i="1"/>
  <c r="S665" i="1" s="1"/>
  <c r="G665" i="1"/>
  <c r="D665" i="1"/>
  <c r="R664" i="1"/>
  <c r="S664" i="1" s="1"/>
  <c r="G664" i="1"/>
  <c r="D664" i="1"/>
  <c r="R663" i="1"/>
  <c r="S663" i="1" s="1"/>
  <c r="G663" i="1"/>
  <c r="D663" i="1"/>
  <c r="R662" i="1"/>
  <c r="S662" i="1" s="1"/>
  <c r="G662" i="1"/>
  <c r="D662" i="1"/>
  <c r="R661" i="1"/>
  <c r="S661" i="1" s="1"/>
  <c r="G661" i="1"/>
  <c r="D661" i="1"/>
  <c r="R660" i="1"/>
  <c r="S660" i="1" s="1"/>
  <c r="G660" i="1"/>
  <c r="D660" i="1"/>
  <c r="R659" i="1"/>
  <c r="S659" i="1" s="1"/>
  <c r="G659" i="1"/>
  <c r="D659" i="1"/>
  <c r="R658" i="1"/>
  <c r="S658" i="1" s="1"/>
  <c r="G658" i="1"/>
  <c r="D658" i="1"/>
  <c r="R657" i="1"/>
  <c r="S657" i="1" s="1"/>
  <c r="G657" i="1"/>
  <c r="D657" i="1"/>
  <c r="R656" i="1"/>
  <c r="S656" i="1" s="1"/>
  <c r="G656" i="1"/>
  <c r="D656" i="1"/>
  <c r="R655" i="1"/>
  <c r="S655" i="1" s="1"/>
  <c r="G655" i="1"/>
  <c r="D655" i="1"/>
  <c r="R654" i="1"/>
  <c r="S654" i="1" s="1"/>
  <c r="G654" i="1"/>
  <c r="D654" i="1"/>
  <c r="R653" i="1"/>
  <c r="S653" i="1" s="1"/>
  <c r="G653" i="1"/>
  <c r="D653" i="1"/>
  <c r="R652" i="1"/>
  <c r="S652" i="1" s="1"/>
  <c r="G652" i="1"/>
  <c r="D652" i="1"/>
  <c r="R651" i="1"/>
  <c r="S651" i="1" s="1"/>
  <c r="G651" i="1"/>
  <c r="D651" i="1"/>
  <c r="R650" i="1"/>
  <c r="S650" i="1" s="1"/>
  <c r="G650" i="1"/>
  <c r="D650" i="1"/>
  <c r="R649" i="1"/>
  <c r="S649" i="1" s="1"/>
  <c r="G649" i="1"/>
  <c r="D649" i="1"/>
  <c r="R648" i="1"/>
  <c r="S648" i="1" s="1"/>
  <c r="G648" i="1"/>
  <c r="D648" i="1"/>
  <c r="R647" i="1"/>
  <c r="S647" i="1" s="1"/>
  <c r="G647" i="1"/>
  <c r="D647" i="1"/>
  <c r="R646" i="1"/>
  <c r="S646" i="1" s="1"/>
  <c r="G646" i="1"/>
  <c r="D646" i="1"/>
  <c r="R645" i="1"/>
  <c r="S645" i="1" s="1"/>
  <c r="G645" i="1"/>
  <c r="D645" i="1"/>
  <c r="R644" i="1"/>
  <c r="S644" i="1" s="1"/>
  <c r="G644" i="1"/>
  <c r="D644" i="1"/>
  <c r="R643" i="1"/>
  <c r="S643" i="1" s="1"/>
  <c r="G643" i="1"/>
  <c r="D643" i="1"/>
  <c r="R642" i="1"/>
  <c r="S642" i="1" s="1"/>
  <c r="G642" i="1"/>
  <c r="D642" i="1"/>
  <c r="R641" i="1"/>
  <c r="S641" i="1" s="1"/>
  <c r="G641" i="1"/>
  <c r="D641" i="1"/>
  <c r="R640" i="1"/>
  <c r="S640" i="1" s="1"/>
  <c r="G640" i="1"/>
  <c r="D640" i="1"/>
  <c r="R639" i="1"/>
  <c r="S639" i="1" s="1"/>
  <c r="G639" i="1"/>
  <c r="D639" i="1"/>
  <c r="S638" i="1"/>
  <c r="R638" i="1"/>
  <c r="G638" i="1"/>
  <c r="D638" i="1"/>
  <c r="R637" i="1"/>
  <c r="S637" i="1" s="1"/>
  <c r="G637" i="1"/>
  <c r="D637" i="1"/>
  <c r="R636" i="1"/>
  <c r="S636" i="1" s="1"/>
  <c r="G636" i="1"/>
  <c r="D636" i="1"/>
  <c r="R635" i="1"/>
  <c r="S635" i="1" s="1"/>
  <c r="G635" i="1"/>
  <c r="D635" i="1"/>
  <c r="R634" i="1"/>
  <c r="S634" i="1" s="1"/>
  <c r="G634" i="1"/>
  <c r="D634" i="1"/>
  <c r="R633" i="1"/>
  <c r="S633" i="1" s="1"/>
  <c r="G633" i="1"/>
  <c r="D633" i="1"/>
  <c r="R632" i="1"/>
  <c r="S632" i="1" s="1"/>
  <c r="G632" i="1"/>
  <c r="D632" i="1"/>
  <c r="R631" i="1"/>
  <c r="S631" i="1" s="1"/>
  <c r="G631" i="1"/>
  <c r="D631" i="1"/>
  <c r="R630" i="1"/>
  <c r="S630" i="1" s="1"/>
  <c r="G630" i="1"/>
  <c r="D630" i="1"/>
  <c r="R629" i="1"/>
  <c r="S629" i="1" s="1"/>
  <c r="G629" i="1"/>
  <c r="D629" i="1"/>
  <c r="R628" i="1"/>
  <c r="S628" i="1" s="1"/>
  <c r="G628" i="1"/>
  <c r="D628" i="1"/>
  <c r="R627" i="1"/>
  <c r="S627" i="1" s="1"/>
  <c r="G627" i="1"/>
  <c r="D627" i="1"/>
  <c r="R626" i="1"/>
  <c r="S626" i="1" s="1"/>
  <c r="G626" i="1"/>
  <c r="D626" i="1"/>
  <c r="R625" i="1"/>
  <c r="S625" i="1" s="1"/>
  <c r="G625" i="1"/>
  <c r="D625" i="1"/>
  <c r="R624" i="1"/>
  <c r="S624" i="1" s="1"/>
  <c r="G624" i="1"/>
  <c r="D624" i="1"/>
  <c r="R623" i="1"/>
  <c r="S623" i="1" s="1"/>
  <c r="G623" i="1"/>
  <c r="D623" i="1"/>
  <c r="R622" i="1"/>
  <c r="S622" i="1" s="1"/>
  <c r="G622" i="1"/>
  <c r="D622" i="1"/>
  <c r="R621" i="1"/>
  <c r="S621" i="1" s="1"/>
  <c r="G621" i="1"/>
  <c r="D621" i="1"/>
  <c r="R620" i="1"/>
  <c r="S620" i="1" s="1"/>
  <c r="G620" i="1"/>
  <c r="D620" i="1"/>
  <c r="R619" i="1"/>
  <c r="S619" i="1" s="1"/>
  <c r="G619" i="1"/>
  <c r="D619" i="1"/>
  <c r="R618" i="1"/>
  <c r="S618" i="1" s="1"/>
  <c r="G618" i="1"/>
  <c r="D618" i="1"/>
  <c r="R617" i="1"/>
  <c r="S617" i="1" s="1"/>
  <c r="G617" i="1"/>
  <c r="D617" i="1"/>
  <c r="R616" i="1"/>
  <c r="S616" i="1" s="1"/>
  <c r="G616" i="1"/>
  <c r="D616" i="1"/>
  <c r="R615" i="1"/>
  <c r="S615" i="1" s="1"/>
  <c r="G615" i="1"/>
  <c r="D615" i="1"/>
  <c r="R614" i="1"/>
  <c r="S614" i="1" s="1"/>
  <c r="G614" i="1"/>
  <c r="D614" i="1"/>
  <c r="R613" i="1"/>
  <c r="S613" i="1" s="1"/>
  <c r="G613" i="1"/>
  <c r="D613" i="1"/>
  <c r="R612" i="1"/>
  <c r="S612" i="1" s="1"/>
  <c r="G612" i="1"/>
  <c r="D612" i="1"/>
  <c r="R611" i="1"/>
  <c r="S611" i="1" s="1"/>
  <c r="G611" i="1"/>
  <c r="D611" i="1"/>
  <c r="R610" i="1"/>
  <c r="S610" i="1" s="1"/>
  <c r="G610" i="1"/>
  <c r="D610" i="1"/>
  <c r="R609" i="1"/>
  <c r="S609" i="1" s="1"/>
  <c r="G609" i="1"/>
  <c r="D609" i="1"/>
  <c r="R608" i="1"/>
  <c r="S608" i="1" s="1"/>
  <c r="G608" i="1"/>
  <c r="D608" i="1"/>
  <c r="R607" i="1"/>
  <c r="S607" i="1" s="1"/>
  <c r="G607" i="1"/>
  <c r="D607" i="1"/>
  <c r="R606" i="1"/>
  <c r="S606" i="1" s="1"/>
  <c r="G606" i="1"/>
  <c r="D606" i="1"/>
  <c r="R605" i="1"/>
  <c r="S605" i="1" s="1"/>
  <c r="G605" i="1"/>
  <c r="D605" i="1"/>
  <c r="R604" i="1"/>
  <c r="S604" i="1" s="1"/>
  <c r="G604" i="1"/>
  <c r="D604" i="1"/>
  <c r="R603" i="1"/>
  <c r="S603" i="1" s="1"/>
  <c r="G603" i="1"/>
  <c r="D603" i="1"/>
  <c r="R602" i="1"/>
  <c r="S602" i="1" s="1"/>
  <c r="G602" i="1"/>
  <c r="D602" i="1"/>
  <c r="R601" i="1"/>
  <c r="S601" i="1" s="1"/>
  <c r="G601" i="1"/>
  <c r="D601" i="1"/>
  <c r="R600" i="1"/>
  <c r="S600" i="1" s="1"/>
  <c r="G600" i="1"/>
  <c r="D600" i="1"/>
  <c r="R599" i="1"/>
  <c r="S599" i="1" s="1"/>
  <c r="G599" i="1"/>
  <c r="D599" i="1"/>
  <c r="R598" i="1"/>
  <c r="S598" i="1" s="1"/>
  <c r="G598" i="1"/>
  <c r="D598" i="1"/>
  <c r="R597" i="1"/>
  <c r="S597" i="1" s="1"/>
  <c r="G597" i="1"/>
  <c r="D597" i="1"/>
  <c r="R596" i="1"/>
  <c r="S596" i="1" s="1"/>
  <c r="G596" i="1"/>
  <c r="D596" i="1"/>
  <c r="R595" i="1"/>
  <c r="S595" i="1" s="1"/>
  <c r="G595" i="1"/>
  <c r="D595" i="1"/>
  <c r="R594" i="1"/>
  <c r="S594" i="1" s="1"/>
  <c r="G594" i="1"/>
  <c r="D594" i="1"/>
  <c r="R593" i="1"/>
  <c r="S593" i="1" s="1"/>
  <c r="G593" i="1"/>
  <c r="D593" i="1"/>
  <c r="R592" i="1"/>
  <c r="S592" i="1" s="1"/>
  <c r="G592" i="1"/>
  <c r="D592" i="1"/>
  <c r="R591" i="1"/>
  <c r="S591" i="1" s="1"/>
  <c r="G591" i="1"/>
  <c r="D591" i="1"/>
  <c r="R590" i="1"/>
  <c r="S590" i="1" s="1"/>
  <c r="G590" i="1"/>
  <c r="D590" i="1"/>
  <c r="R589" i="1"/>
  <c r="S589" i="1" s="1"/>
  <c r="G589" i="1"/>
  <c r="D589" i="1"/>
  <c r="R588" i="1"/>
  <c r="S588" i="1" s="1"/>
  <c r="G588" i="1"/>
  <c r="D588" i="1"/>
  <c r="R587" i="1"/>
  <c r="S587" i="1" s="1"/>
  <c r="G587" i="1"/>
  <c r="D587" i="1"/>
  <c r="R586" i="1"/>
  <c r="S586" i="1" s="1"/>
  <c r="G586" i="1"/>
  <c r="D586" i="1"/>
  <c r="R585" i="1"/>
  <c r="S585" i="1" s="1"/>
  <c r="G585" i="1"/>
  <c r="D585" i="1"/>
  <c r="R584" i="1"/>
  <c r="S584" i="1" s="1"/>
  <c r="G584" i="1"/>
  <c r="D584" i="1"/>
  <c r="R583" i="1"/>
  <c r="S583" i="1" s="1"/>
  <c r="G583" i="1"/>
  <c r="D583" i="1"/>
  <c r="R582" i="1"/>
  <c r="S582" i="1" s="1"/>
  <c r="G582" i="1"/>
  <c r="D582" i="1"/>
  <c r="S581" i="1"/>
  <c r="R581" i="1"/>
  <c r="G581" i="1"/>
  <c r="D581" i="1"/>
  <c r="R580" i="1"/>
  <c r="S580" i="1" s="1"/>
  <c r="G580" i="1"/>
  <c r="D580" i="1"/>
  <c r="R579" i="1"/>
  <c r="S579" i="1" s="1"/>
  <c r="G579" i="1"/>
  <c r="D579" i="1"/>
  <c r="R578" i="1"/>
  <c r="S578" i="1" s="1"/>
  <c r="G578" i="1"/>
  <c r="D578" i="1"/>
  <c r="R577" i="1"/>
  <c r="S577" i="1" s="1"/>
  <c r="G577" i="1"/>
  <c r="D577" i="1"/>
  <c r="R576" i="1"/>
  <c r="S576" i="1" s="1"/>
  <c r="G576" i="1"/>
  <c r="D576" i="1"/>
  <c r="R575" i="1"/>
  <c r="S575" i="1" s="1"/>
  <c r="G575" i="1"/>
  <c r="D575" i="1"/>
  <c r="R574" i="1"/>
  <c r="S574" i="1" s="1"/>
  <c r="G574" i="1"/>
  <c r="D574" i="1"/>
  <c r="R573" i="1"/>
  <c r="S573" i="1" s="1"/>
  <c r="G573" i="1"/>
  <c r="D573" i="1"/>
  <c r="R572" i="1"/>
  <c r="S572" i="1" s="1"/>
  <c r="G572" i="1"/>
  <c r="D572" i="1"/>
  <c r="R571" i="1"/>
  <c r="S571" i="1" s="1"/>
  <c r="G571" i="1"/>
  <c r="D571" i="1"/>
  <c r="R570" i="1"/>
  <c r="S570" i="1" s="1"/>
  <c r="G570" i="1"/>
  <c r="D570" i="1"/>
  <c r="R569" i="1"/>
  <c r="S569" i="1" s="1"/>
  <c r="G569" i="1"/>
  <c r="D569" i="1"/>
  <c r="R568" i="1"/>
  <c r="S568" i="1" s="1"/>
  <c r="G568" i="1"/>
  <c r="D568" i="1"/>
  <c r="R567" i="1"/>
  <c r="S567" i="1" s="1"/>
  <c r="G567" i="1"/>
  <c r="D567" i="1"/>
  <c r="R566" i="1"/>
  <c r="S566" i="1" s="1"/>
  <c r="G566" i="1"/>
  <c r="D566" i="1"/>
  <c r="R565" i="1"/>
  <c r="S565" i="1" s="1"/>
  <c r="G565" i="1"/>
  <c r="D565" i="1"/>
  <c r="R564" i="1"/>
  <c r="S564" i="1" s="1"/>
  <c r="G564" i="1"/>
  <c r="D564" i="1"/>
  <c r="S563" i="1"/>
  <c r="R563" i="1"/>
  <c r="G563" i="1"/>
  <c r="D563" i="1"/>
  <c r="R562" i="1"/>
  <c r="S562" i="1" s="1"/>
  <c r="G562" i="1"/>
  <c r="D562" i="1"/>
  <c r="R561" i="1"/>
  <c r="S561" i="1" s="1"/>
  <c r="G561" i="1"/>
  <c r="D561" i="1"/>
  <c r="R560" i="1"/>
  <c r="S560" i="1" s="1"/>
  <c r="G560" i="1"/>
  <c r="D560" i="1"/>
  <c r="R559" i="1"/>
  <c r="S559" i="1" s="1"/>
  <c r="G559" i="1"/>
  <c r="D559" i="1"/>
  <c r="R558" i="1"/>
  <c r="S558" i="1" s="1"/>
  <c r="G558" i="1"/>
  <c r="D558" i="1"/>
  <c r="R557" i="1"/>
  <c r="S557" i="1" s="1"/>
  <c r="G557" i="1"/>
  <c r="D557" i="1"/>
  <c r="R556" i="1"/>
  <c r="S556" i="1" s="1"/>
  <c r="G556" i="1"/>
  <c r="D556" i="1"/>
  <c r="R555" i="1"/>
  <c r="S555" i="1" s="1"/>
  <c r="G555" i="1"/>
  <c r="D555" i="1"/>
  <c r="R554" i="1"/>
  <c r="S554" i="1" s="1"/>
  <c r="G554" i="1"/>
  <c r="D554" i="1"/>
  <c r="R553" i="1"/>
  <c r="S553" i="1" s="1"/>
  <c r="G553" i="1"/>
  <c r="D553" i="1"/>
  <c r="R552" i="1"/>
  <c r="S552" i="1" s="1"/>
  <c r="G552" i="1"/>
  <c r="D552" i="1"/>
  <c r="R551" i="1"/>
  <c r="S551" i="1" s="1"/>
  <c r="G551" i="1"/>
  <c r="D551" i="1"/>
  <c r="R550" i="1"/>
  <c r="S550" i="1" s="1"/>
  <c r="G550" i="1"/>
  <c r="D550" i="1"/>
  <c r="R549" i="1"/>
  <c r="S549" i="1" s="1"/>
  <c r="G549" i="1"/>
  <c r="D549" i="1"/>
  <c r="R548" i="1"/>
  <c r="S548" i="1" s="1"/>
  <c r="G548" i="1"/>
  <c r="D548" i="1"/>
  <c r="R547" i="1"/>
  <c r="S547" i="1" s="1"/>
  <c r="G547" i="1"/>
  <c r="D547" i="1"/>
  <c r="R546" i="1"/>
  <c r="S546" i="1" s="1"/>
  <c r="G546" i="1"/>
  <c r="D546" i="1"/>
  <c r="R545" i="1"/>
  <c r="S545" i="1" s="1"/>
  <c r="G545" i="1"/>
  <c r="D545" i="1"/>
  <c r="R544" i="1"/>
  <c r="S544" i="1" s="1"/>
  <c r="G544" i="1"/>
  <c r="D544" i="1"/>
  <c r="R543" i="1"/>
  <c r="S543" i="1" s="1"/>
  <c r="G543" i="1"/>
  <c r="D543" i="1"/>
  <c r="R542" i="1"/>
  <c r="S542" i="1" s="1"/>
  <c r="G542" i="1"/>
  <c r="D542" i="1"/>
  <c r="R541" i="1"/>
  <c r="S541" i="1" s="1"/>
  <c r="G541" i="1"/>
  <c r="D541" i="1"/>
  <c r="R540" i="1"/>
  <c r="S540" i="1" s="1"/>
  <c r="G540" i="1"/>
  <c r="D540" i="1"/>
  <c r="R539" i="1"/>
  <c r="S539" i="1" s="1"/>
  <c r="G539" i="1"/>
  <c r="D539" i="1"/>
  <c r="R538" i="1"/>
  <c r="S538" i="1" s="1"/>
  <c r="G538" i="1"/>
  <c r="D538" i="1"/>
  <c r="R537" i="1"/>
  <c r="S537" i="1" s="1"/>
  <c r="G537" i="1"/>
  <c r="D537" i="1"/>
  <c r="R536" i="1"/>
  <c r="S536" i="1" s="1"/>
  <c r="G536" i="1"/>
  <c r="D536" i="1"/>
  <c r="R535" i="1"/>
  <c r="S535" i="1" s="1"/>
  <c r="G535" i="1"/>
  <c r="D535" i="1"/>
  <c r="R534" i="1"/>
  <c r="S534" i="1" s="1"/>
  <c r="G534" i="1"/>
  <c r="D534" i="1"/>
  <c r="R533" i="1"/>
  <c r="S533" i="1" s="1"/>
  <c r="G533" i="1"/>
  <c r="D533" i="1"/>
  <c r="R532" i="1"/>
  <c r="S532" i="1" s="1"/>
  <c r="G532" i="1"/>
  <c r="D532" i="1"/>
  <c r="R531" i="1"/>
  <c r="S531" i="1" s="1"/>
  <c r="G531" i="1"/>
  <c r="D531" i="1"/>
  <c r="R530" i="1"/>
  <c r="S530" i="1" s="1"/>
  <c r="G530" i="1"/>
  <c r="D530" i="1"/>
  <c r="R529" i="1"/>
  <c r="S529" i="1" s="1"/>
  <c r="G529" i="1"/>
  <c r="D529" i="1"/>
  <c r="R528" i="1"/>
  <c r="S528" i="1" s="1"/>
  <c r="G528" i="1"/>
  <c r="D528" i="1"/>
  <c r="R527" i="1"/>
  <c r="S527" i="1" s="1"/>
  <c r="G527" i="1"/>
  <c r="D527" i="1"/>
  <c r="R526" i="1"/>
  <c r="S526" i="1" s="1"/>
  <c r="G526" i="1"/>
  <c r="D526" i="1"/>
  <c r="R525" i="1"/>
  <c r="S525" i="1" s="1"/>
  <c r="G525" i="1"/>
  <c r="D525" i="1"/>
  <c r="R524" i="1"/>
  <c r="S524" i="1" s="1"/>
  <c r="G524" i="1"/>
  <c r="D524" i="1"/>
  <c r="R523" i="1"/>
  <c r="S523" i="1" s="1"/>
  <c r="G523" i="1"/>
  <c r="D523" i="1"/>
  <c r="R522" i="1"/>
  <c r="S522" i="1" s="1"/>
  <c r="G522" i="1"/>
  <c r="D522" i="1"/>
  <c r="R521" i="1"/>
  <c r="S521" i="1" s="1"/>
  <c r="G521" i="1"/>
  <c r="D521" i="1"/>
  <c r="R520" i="1"/>
  <c r="S520" i="1" s="1"/>
  <c r="G520" i="1"/>
  <c r="D520" i="1"/>
  <c r="R519" i="1"/>
  <c r="S519" i="1" s="1"/>
  <c r="G519" i="1"/>
  <c r="D519" i="1"/>
  <c r="R518" i="1"/>
  <c r="S518" i="1" s="1"/>
  <c r="G518" i="1"/>
  <c r="D518" i="1"/>
  <c r="R517" i="1"/>
  <c r="S517" i="1" s="1"/>
  <c r="G517" i="1"/>
  <c r="D517" i="1"/>
  <c r="R516" i="1"/>
  <c r="S516" i="1" s="1"/>
  <c r="G516" i="1"/>
  <c r="D516" i="1"/>
  <c r="R515" i="1"/>
  <c r="S515" i="1" s="1"/>
  <c r="G515" i="1"/>
  <c r="D515" i="1"/>
  <c r="R514" i="1"/>
  <c r="S514" i="1" s="1"/>
  <c r="G514" i="1"/>
  <c r="D514" i="1"/>
  <c r="R513" i="1"/>
  <c r="S513" i="1" s="1"/>
  <c r="G513" i="1"/>
  <c r="D513" i="1"/>
  <c r="R512" i="1"/>
  <c r="S512" i="1" s="1"/>
  <c r="G512" i="1"/>
  <c r="D512" i="1"/>
  <c r="R511" i="1"/>
  <c r="S511" i="1" s="1"/>
  <c r="G511" i="1"/>
  <c r="D511" i="1"/>
  <c r="R510" i="1"/>
  <c r="S510" i="1" s="1"/>
  <c r="G510" i="1"/>
  <c r="D510" i="1"/>
  <c r="R509" i="1"/>
  <c r="S509" i="1" s="1"/>
  <c r="G509" i="1"/>
  <c r="D509" i="1"/>
  <c r="R508" i="1"/>
  <c r="S508" i="1" s="1"/>
  <c r="G508" i="1"/>
  <c r="D508" i="1"/>
  <c r="R507" i="1"/>
  <c r="S507" i="1" s="1"/>
  <c r="G507" i="1"/>
  <c r="D507" i="1"/>
  <c r="R506" i="1"/>
  <c r="S506" i="1" s="1"/>
  <c r="G506" i="1"/>
  <c r="D506" i="1"/>
  <c r="R505" i="1"/>
  <c r="S505" i="1" s="1"/>
  <c r="G505" i="1"/>
  <c r="D505" i="1"/>
  <c r="R504" i="1"/>
  <c r="S504" i="1" s="1"/>
  <c r="G504" i="1"/>
  <c r="D504" i="1"/>
  <c r="R503" i="1"/>
  <c r="S503" i="1" s="1"/>
  <c r="G503" i="1"/>
  <c r="D503" i="1"/>
  <c r="R502" i="1"/>
  <c r="S502" i="1" s="1"/>
  <c r="G502" i="1"/>
  <c r="D502" i="1"/>
  <c r="R501" i="1"/>
  <c r="S501" i="1" s="1"/>
  <c r="G501" i="1"/>
  <c r="D501" i="1"/>
  <c r="R500" i="1"/>
  <c r="S500" i="1" s="1"/>
  <c r="G500" i="1"/>
  <c r="D500" i="1"/>
  <c r="R499" i="1"/>
  <c r="S499" i="1" s="1"/>
  <c r="G499" i="1"/>
  <c r="D499" i="1"/>
  <c r="R498" i="1"/>
  <c r="S498" i="1" s="1"/>
  <c r="G498" i="1"/>
  <c r="D498" i="1"/>
  <c r="R497" i="1"/>
  <c r="S497" i="1" s="1"/>
  <c r="G497" i="1"/>
  <c r="D497" i="1"/>
  <c r="R496" i="1"/>
  <c r="S496" i="1" s="1"/>
  <c r="G496" i="1"/>
  <c r="D496" i="1"/>
  <c r="R495" i="1"/>
  <c r="S495" i="1" s="1"/>
  <c r="G495" i="1"/>
  <c r="D495" i="1"/>
  <c r="R494" i="1"/>
  <c r="S494" i="1" s="1"/>
  <c r="G494" i="1"/>
  <c r="D494" i="1"/>
  <c r="R493" i="1"/>
  <c r="S493" i="1" s="1"/>
  <c r="G493" i="1"/>
  <c r="D493" i="1"/>
  <c r="R492" i="1"/>
  <c r="S492" i="1" s="1"/>
  <c r="G492" i="1"/>
  <c r="D492" i="1"/>
  <c r="R491" i="1"/>
  <c r="S491" i="1" s="1"/>
  <c r="G491" i="1"/>
  <c r="D491" i="1"/>
  <c r="R490" i="1"/>
  <c r="S490" i="1" s="1"/>
  <c r="G490" i="1"/>
  <c r="D490" i="1"/>
  <c r="R489" i="1"/>
  <c r="S489" i="1" s="1"/>
  <c r="G489" i="1"/>
  <c r="D489" i="1"/>
  <c r="R488" i="1"/>
  <c r="S488" i="1" s="1"/>
  <c r="G488" i="1"/>
  <c r="D488" i="1"/>
  <c r="R487" i="1"/>
  <c r="S487" i="1" s="1"/>
  <c r="G487" i="1"/>
  <c r="D487" i="1"/>
  <c r="R486" i="1"/>
  <c r="S486" i="1" s="1"/>
  <c r="G486" i="1"/>
  <c r="D486" i="1"/>
  <c r="R485" i="1"/>
  <c r="S485" i="1" s="1"/>
  <c r="G485" i="1"/>
  <c r="D485" i="1"/>
  <c r="R484" i="1"/>
  <c r="S484" i="1" s="1"/>
  <c r="G484" i="1"/>
  <c r="D484" i="1"/>
  <c r="R483" i="1"/>
  <c r="S483" i="1" s="1"/>
  <c r="G483" i="1"/>
  <c r="D483" i="1"/>
  <c r="R482" i="1"/>
  <c r="S482" i="1" s="1"/>
  <c r="G482" i="1"/>
  <c r="D482" i="1"/>
  <c r="R481" i="1"/>
  <c r="S481" i="1" s="1"/>
  <c r="G481" i="1"/>
  <c r="D481" i="1"/>
  <c r="R480" i="1"/>
  <c r="S480" i="1" s="1"/>
  <c r="G480" i="1"/>
  <c r="D480" i="1"/>
  <c r="R479" i="1"/>
  <c r="S479" i="1" s="1"/>
  <c r="G479" i="1"/>
  <c r="D479" i="1"/>
  <c r="R478" i="1"/>
  <c r="S478" i="1" s="1"/>
  <c r="G478" i="1"/>
  <c r="D478" i="1"/>
  <c r="R477" i="1"/>
  <c r="S477" i="1" s="1"/>
  <c r="G477" i="1"/>
  <c r="D477" i="1"/>
  <c r="R476" i="1"/>
  <c r="S476" i="1" s="1"/>
  <c r="G476" i="1"/>
  <c r="D476" i="1"/>
  <c r="R475" i="1"/>
  <c r="S475" i="1" s="1"/>
  <c r="G475" i="1"/>
  <c r="D475" i="1"/>
  <c r="R474" i="1"/>
  <c r="S474" i="1" s="1"/>
  <c r="G474" i="1"/>
  <c r="D474" i="1"/>
  <c r="R473" i="1"/>
  <c r="S473" i="1" s="1"/>
  <c r="G473" i="1"/>
  <c r="D473" i="1"/>
  <c r="R472" i="1"/>
  <c r="S472" i="1" s="1"/>
  <c r="G472" i="1"/>
  <c r="D472" i="1"/>
  <c r="R471" i="1"/>
  <c r="S471" i="1" s="1"/>
  <c r="G471" i="1"/>
  <c r="D471" i="1"/>
  <c r="R470" i="1"/>
  <c r="S470" i="1" s="1"/>
  <c r="G470" i="1"/>
  <c r="D470" i="1"/>
  <c r="R469" i="1"/>
  <c r="S469" i="1" s="1"/>
  <c r="G469" i="1"/>
  <c r="D469" i="1"/>
  <c r="R468" i="1"/>
  <c r="S468" i="1" s="1"/>
  <c r="G468" i="1"/>
  <c r="D468" i="1"/>
  <c r="R467" i="1"/>
  <c r="S467" i="1" s="1"/>
  <c r="G467" i="1"/>
  <c r="D467" i="1"/>
  <c r="R466" i="1"/>
  <c r="S466" i="1" s="1"/>
  <c r="G466" i="1"/>
  <c r="D466" i="1"/>
  <c r="R465" i="1"/>
  <c r="S465" i="1" s="1"/>
  <c r="G465" i="1"/>
  <c r="D465" i="1"/>
  <c r="R464" i="1"/>
  <c r="S464" i="1" s="1"/>
  <c r="G464" i="1"/>
  <c r="D464" i="1"/>
  <c r="R463" i="1"/>
  <c r="S463" i="1" s="1"/>
  <c r="G463" i="1"/>
  <c r="D463" i="1"/>
  <c r="R462" i="1"/>
  <c r="S462" i="1" s="1"/>
  <c r="G462" i="1"/>
  <c r="D462" i="1"/>
  <c r="R461" i="1"/>
  <c r="S461" i="1" s="1"/>
  <c r="G461" i="1"/>
  <c r="D461" i="1"/>
  <c r="R460" i="1"/>
  <c r="S460" i="1" s="1"/>
  <c r="G460" i="1"/>
  <c r="D460" i="1"/>
  <c r="R459" i="1"/>
  <c r="S459" i="1" s="1"/>
  <c r="G459" i="1"/>
  <c r="D459" i="1"/>
  <c r="R458" i="1"/>
  <c r="S458" i="1" s="1"/>
  <c r="G458" i="1"/>
  <c r="D458" i="1"/>
  <c r="R457" i="1"/>
  <c r="S457" i="1" s="1"/>
  <c r="G457" i="1"/>
  <c r="D457" i="1"/>
  <c r="R456" i="1"/>
  <c r="S456" i="1" s="1"/>
  <c r="G456" i="1"/>
  <c r="D456" i="1"/>
  <c r="R455" i="1"/>
  <c r="S455" i="1" s="1"/>
  <c r="G455" i="1"/>
  <c r="D455" i="1"/>
  <c r="R454" i="1"/>
  <c r="S454" i="1" s="1"/>
  <c r="G454" i="1"/>
  <c r="D454" i="1"/>
  <c r="R453" i="1"/>
  <c r="S453" i="1" s="1"/>
  <c r="G453" i="1"/>
  <c r="D453" i="1"/>
  <c r="R452" i="1"/>
  <c r="S452" i="1" s="1"/>
  <c r="G452" i="1"/>
  <c r="D452" i="1"/>
  <c r="R451" i="1"/>
  <c r="S451" i="1" s="1"/>
  <c r="G451" i="1"/>
  <c r="D451" i="1"/>
  <c r="R450" i="1"/>
  <c r="S450" i="1" s="1"/>
  <c r="G450" i="1"/>
  <c r="D450" i="1"/>
  <c r="R449" i="1"/>
  <c r="S449" i="1" s="1"/>
  <c r="G449" i="1"/>
  <c r="D449" i="1"/>
  <c r="R448" i="1"/>
  <c r="S448" i="1" s="1"/>
  <c r="G448" i="1"/>
  <c r="D448" i="1"/>
  <c r="R447" i="1"/>
  <c r="S447" i="1" s="1"/>
  <c r="G447" i="1"/>
  <c r="D447" i="1"/>
  <c r="R446" i="1"/>
  <c r="S446" i="1" s="1"/>
  <c r="G446" i="1"/>
  <c r="D446" i="1"/>
  <c r="R445" i="1"/>
  <c r="S445" i="1" s="1"/>
  <c r="G445" i="1"/>
  <c r="D445" i="1"/>
  <c r="R444" i="1"/>
  <c r="S444" i="1" s="1"/>
  <c r="G444" i="1"/>
  <c r="D444" i="1"/>
  <c r="R443" i="1"/>
  <c r="S443" i="1" s="1"/>
  <c r="G443" i="1"/>
  <c r="D443" i="1"/>
  <c r="R442" i="1"/>
  <c r="S442" i="1" s="1"/>
  <c r="G442" i="1"/>
  <c r="D442" i="1"/>
  <c r="R441" i="1"/>
  <c r="S441" i="1" s="1"/>
  <c r="G441" i="1"/>
  <c r="D441" i="1"/>
  <c r="R440" i="1"/>
  <c r="S440" i="1" s="1"/>
  <c r="G440" i="1"/>
  <c r="D440" i="1"/>
  <c r="R439" i="1"/>
  <c r="S439" i="1" s="1"/>
  <c r="G439" i="1"/>
  <c r="D439" i="1"/>
  <c r="R438" i="1"/>
  <c r="S438" i="1" s="1"/>
  <c r="G438" i="1"/>
  <c r="D438" i="1"/>
  <c r="R437" i="1"/>
  <c r="S437" i="1" s="1"/>
  <c r="G437" i="1"/>
  <c r="D437" i="1"/>
  <c r="R436" i="1"/>
  <c r="S436" i="1" s="1"/>
  <c r="G436" i="1"/>
  <c r="D436" i="1"/>
  <c r="R435" i="1"/>
  <c r="S435" i="1" s="1"/>
  <c r="G435" i="1"/>
  <c r="D435" i="1"/>
  <c r="R434" i="1"/>
  <c r="S434" i="1" s="1"/>
  <c r="G434" i="1"/>
  <c r="D434" i="1"/>
  <c r="R433" i="1"/>
  <c r="S433" i="1" s="1"/>
  <c r="G433" i="1"/>
  <c r="D433" i="1"/>
  <c r="R432" i="1"/>
  <c r="S432" i="1" s="1"/>
  <c r="G432" i="1"/>
  <c r="D432" i="1"/>
  <c r="R431" i="1"/>
  <c r="S431" i="1" s="1"/>
  <c r="G431" i="1"/>
  <c r="D431" i="1"/>
  <c r="R430" i="1"/>
  <c r="S430" i="1" s="1"/>
  <c r="G430" i="1"/>
  <c r="D430" i="1"/>
  <c r="R429" i="1"/>
  <c r="S429" i="1" s="1"/>
  <c r="G429" i="1"/>
  <c r="D429" i="1"/>
  <c r="R428" i="1"/>
  <c r="S428" i="1" s="1"/>
  <c r="G428" i="1"/>
  <c r="D428" i="1"/>
  <c r="R427" i="1"/>
  <c r="S427" i="1" s="1"/>
  <c r="G427" i="1"/>
  <c r="D427" i="1"/>
  <c r="R426" i="1"/>
  <c r="S426" i="1" s="1"/>
  <c r="G426" i="1"/>
  <c r="D426" i="1"/>
  <c r="R425" i="1"/>
  <c r="S425" i="1" s="1"/>
  <c r="G425" i="1"/>
  <c r="D425" i="1"/>
  <c r="R424" i="1"/>
  <c r="S424" i="1" s="1"/>
  <c r="G424" i="1"/>
  <c r="D424" i="1"/>
  <c r="R423" i="1"/>
  <c r="S423" i="1" s="1"/>
  <c r="G423" i="1"/>
  <c r="D423" i="1"/>
  <c r="R422" i="1"/>
  <c r="S422" i="1" s="1"/>
  <c r="G422" i="1"/>
  <c r="D422" i="1"/>
  <c r="R421" i="1"/>
  <c r="S421" i="1" s="1"/>
  <c r="G421" i="1"/>
  <c r="D421" i="1"/>
  <c r="R420" i="1"/>
  <c r="S420" i="1" s="1"/>
  <c r="G420" i="1"/>
  <c r="D420" i="1"/>
  <c r="R419" i="1"/>
  <c r="S419" i="1" s="1"/>
  <c r="G419" i="1"/>
  <c r="D419" i="1"/>
  <c r="R418" i="1"/>
  <c r="S418" i="1" s="1"/>
  <c r="G418" i="1"/>
  <c r="D418" i="1"/>
  <c r="R417" i="1"/>
  <c r="S417" i="1" s="1"/>
  <c r="G417" i="1"/>
  <c r="D417" i="1"/>
  <c r="R416" i="1"/>
  <c r="S416" i="1" s="1"/>
  <c r="G416" i="1"/>
  <c r="D416" i="1"/>
  <c r="R415" i="1"/>
  <c r="S415" i="1" s="1"/>
  <c r="G415" i="1"/>
  <c r="D415" i="1"/>
  <c r="R414" i="1"/>
  <c r="S414" i="1" s="1"/>
  <c r="G414" i="1"/>
  <c r="D414" i="1"/>
  <c r="S413" i="1"/>
  <c r="R413" i="1"/>
  <c r="G413" i="1"/>
  <c r="D413" i="1"/>
  <c r="R412" i="1"/>
  <c r="S412" i="1" s="1"/>
  <c r="G412" i="1"/>
  <c r="D412" i="1"/>
  <c r="R411" i="1"/>
  <c r="S411" i="1" s="1"/>
  <c r="G411" i="1"/>
  <c r="D411" i="1"/>
  <c r="R410" i="1"/>
  <c r="S410" i="1" s="1"/>
  <c r="G410" i="1"/>
  <c r="D410" i="1"/>
  <c r="R409" i="1"/>
  <c r="S409" i="1" s="1"/>
  <c r="G409" i="1"/>
  <c r="D409" i="1"/>
  <c r="R408" i="1"/>
  <c r="S408" i="1" s="1"/>
  <c r="G408" i="1"/>
  <c r="D408" i="1"/>
  <c r="R407" i="1"/>
  <c r="S407" i="1" s="1"/>
  <c r="G407" i="1"/>
  <c r="D407" i="1"/>
  <c r="R406" i="1"/>
  <c r="S406" i="1" s="1"/>
  <c r="G406" i="1"/>
  <c r="D406" i="1"/>
  <c r="R405" i="1"/>
  <c r="S405" i="1" s="1"/>
  <c r="G405" i="1"/>
  <c r="D405" i="1"/>
  <c r="R404" i="1"/>
  <c r="S404" i="1" s="1"/>
  <c r="G404" i="1"/>
  <c r="D404" i="1"/>
  <c r="R403" i="1"/>
  <c r="S403" i="1" s="1"/>
  <c r="G403" i="1"/>
  <c r="D403" i="1"/>
  <c r="R402" i="1"/>
  <c r="S402" i="1" s="1"/>
  <c r="G402" i="1"/>
  <c r="D402" i="1"/>
  <c r="R401" i="1"/>
  <c r="S401" i="1" s="1"/>
  <c r="G401" i="1"/>
  <c r="D401" i="1"/>
  <c r="R400" i="1"/>
  <c r="S400" i="1" s="1"/>
  <c r="G400" i="1"/>
  <c r="D400" i="1"/>
  <c r="R399" i="1"/>
  <c r="S399" i="1" s="1"/>
  <c r="G399" i="1"/>
  <c r="D399" i="1"/>
  <c r="R398" i="1"/>
  <c r="S398" i="1" s="1"/>
  <c r="G398" i="1"/>
  <c r="D398" i="1"/>
  <c r="R397" i="1"/>
  <c r="S397" i="1" s="1"/>
  <c r="G397" i="1"/>
  <c r="D397" i="1"/>
  <c r="R396" i="1"/>
  <c r="S396" i="1" s="1"/>
  <c r="G396" i="1"/>
  <c r="D396" i="1"/>
  <c r="R395" i="1"/>
  <c r="S395" i="1" s="1"/>
  <c r="G395" i="1"/>
  <c r="D395" i="1"/>
  <c r="R394" i="1"/>
  <c r="S394" i="1" s="1"/>
  <c r="G394" i="1"/>
  <c r="D394" i="1"/>
  <c r="R393" i="1"/>
  <c r="S393" i="1" s="1"/>
  <c r="G393" i="1"/>
  <c r="D393" i="1"/>
  <c r="R392" i="1"/>
  <c r="S392" i="1" s="1"/>
  <c r="G392" i="1"/>
  <c r="D392" i="1"/>
  <c r="R391" i="1"/>
  <c r="S391" i="1" s="1"/>
  <c r="G391" i="1"/>
  <c r="D391" i="1"/>
  <c r="R390" i="1"/>
  <c r="S390" i="1" s="1"/>
  <c r="G390" i="1"/>
  <c r="D390" i="1"/>
  <c r="R389" i="1"/>
  <c r="S389" i="1" s="1"/>
  <c r="G389" i="1"/>
  <c r="D389" i="1"/>
  <c r="R388" i="1"/>
  <c r="S388" i="1" s="1"/>
  <c r="G388" i="1"/>
  <c r="D388" i="1"/>
  <c r="R387" i="1"/>
  <c r="S387" i="1" s="1"/>
  <c r="G387" i="1"/>
  <c r="D387" i="1"/>
  <c r="R386" i="1"/>
  <c r="S386" i="1" s="1"/>
  <c r="G386" i="1"/>
  <c r="D386" i="1"/>
  <c r="R385" i="1"/>
  <c r="S385" i="1" s="1"/>
  <c r="G385" i="1"/>
  <c r="D385" i="1"/>
  <c r="R384" i="1"/>
  <c r="S384" i="1" s="1"/>
  <c r="G384" i="1"/>
  <c r="D384" i="1"/>
  <c r="R383" i="1"/>
  <c r="S383" i="1" s="1"/>
  <c r="G383" i="1"/>
  <c r="D383" i="1"/>
  <c r="R382" i="1"/>
  <c r="S382" i="1" s="1"/>
  <c r="G382" i="1"/>
  <c r="D382" i="1"/>
  <c r="R381" i="1"/>
  <c r="S381" i="1" s="1"/>
  <c r="G381" i="1"/>
  <c r="D381" i="1"/>
  <c r="R380" i="1"/>
  <c r="S380" i="1" s="1"/>
  <c r="G380" i="1"/>
  <c r="D380" i="1"/>
  <c r="R379" i="1"/>
  <c r="S379" i="1" s="1"/>
  <c r="G379" i="1"/>
  <c r="D379" i="1"/>
  <c r="R378" i="1"/>
  <c r="S378" i="1" s="1"/>
  <c r="G378" i="1"/>
  <c r="D378" i="1"/>
  <c r="R377" i="1"/>
  <c r="S377" i="1" s="1"/>
  <c r="G377" i="1"/>
  <c r="D377" i="1"/>
  <c r="R376" i="1"/>
  <c r="S376" i="1" s="1"/>
  <c r="G376" i="1"/>
  <c r="D376" i="1"/>
  <c r="R375" i="1"/>
  <c r="S375" i="1" s="1"/>
  <c r="G375" i="1"/>
  <c r="D375" i="1"/>
  <c r="R374" i="1"/>
  <c r="S374" i="1" s="1"/>
  <c r="G374" i="1"/>
  <c r="D374" i="1"/>
  <c r="R373" i="1"/>
  <c r="S373" i="1" s="1"/>
  <c r="G373" i="1"/>
  <c r="D373" i="1"/>
  <c r="R372" i="1"/>
  <c r="S372" i="1" s="1"/>
  <c r="G372" i="1"/>
  <c r="D372" i="1"/>
  <c r="R371" i="1"/>
  <c r="S371" i="1" s="1"/>
  <c r="G371" i="1"/>
  <c r="D371" i="1"/>
  <c r="R370" i="1"/>
  <c r="S370" i="1" s="1"/>
  <c r="G370" i="1"/>
  <c r="D370" i="1"/>
  <c r="R369" i="1"/>
  <c r="S369" i="1" s="1"/>
  <c r="G369" i="1"/>
  <c r="D369" i="1"/>
  <c r="R368" i="1"/>
  <c r="S368" i="1" s="1"/>
  <c r="G368" i="1"/>
  <c r="D368" i="1"/>
  <c r="R367" i="1"/>
  <c r="S367" i="1" s="1"/>
  <c r="G367" i="1"/>
  <c r="D367" i="1"/>
  <c r="R366" i="1"/>
  <c r="S366" i="1" s="1"/>
  <c r="G366" i="1"/>
  <c r="D366" i="1"/>
  <c r="R365" i="1"/>
  <c r="S365" i="1" s="1"/>
  <c r="G365" i="1"/>
  <c r="D365" i="1"/>
  <c r="R364" i="1"/>
  <c r="S364" i="1" s="1"/>
  <c r="G364" i="1"/>
  <c r="D364" i="1"/>
  <c r="R363" i="1"/>
  <c r="S363" i="1" s="1"/>
  <c r="G363" i="1"/>
  <c r="D363" i="1"/>
  <c r="R362" i="1"/>
  <c r="S362" i="1" s="1"/>
  <c r="G362" i="1"/>
  <c r="D362" i="1"/>
  <c r="R361" i="1"/>
  <c r="S361" i="1" s="1"/>
  <c r="G361" i="1"/>
  <c r="D361" i="1"/>
  <c r="R360" i="1"/>
  <c r="S360" i="1" s="1"/>
  <c r="G360" i="1"/>
  <c r="D360" i="1"/>
  <c r="R359" i="1"/>
  <c r="S359" i="1" s="1"/>
  <c r="G359" i="1"/>
  <c r="D359" i="1"/>
  <c r="R358" i="1"/>
  <c r="S358" i="1" s="1"/>
  <c r="G358" i="1"/>
  <c r="D358" i="1"/>
  <c r="R357" i="1"/>
  <c r="S357" i="1" s="1"/>
  <c r="G357" i="1"/>
  <c r="D357" i="1"/>
  <c r="R356" i="1"/>
  <c r="S356" i="1" s="1"/>
  <c r="G356" i="1"/>
  <c r="D356" i="1"/>
  <c r="R355" i="1"/>
  <c r="S355" i="1" s="1"/>
  <c r="G355" i="1"/>
  <c r="D355" i="1"/>
  <c r="R354" i="1"/>
  <c r="S354" i="1" s="1"/>
  <c r="G354" i="1"/>
  <c r="D354" i="1"/>
  <c r="R353" i="1"/>
  <c r="S353" i="1" s="1"/>
  <c r="G353" i="1"/>
  <c r="D353" i="1"/>
  <c r="R352" i="1"/>
  <c r="S352" i="1" s="1"/>
  <c r="G352" i="1"/>
  <c r="D352" i="1"/>
  <c r="R351" i="1"/>
  <c r="S351" i="1" s="1"/>
  <c r="G351" i="1"/>
  <c r="D351" i="1"/>
  <c r="R350" i="1"/>
  <c r="S350" i="1" s="1"/>
  <c r="G350" i="1"/>
  <c r="D350" i="1"/>
  <c r="R349" i="1"/>
  <c r="S349" i="1" s="1"/>
  <c r="G349" i="1"/>
  <c r="D349" i="1"/>
  <c r="R348" i="1"/>
  <c r="S348" i="1" s="1"/>
  <c r="G348" i="1"/>
  <c r="D348" i="1"/>
  <c r="R347" i="1"/>
  <c r="S347" i="1" s="1"/>
  <c r="G347" i="1"/>
  <c r="D347" i="1"/>
  <c r="R346" i="1"/>
  <c r="S346" i="1" s="1"/>
  <c r="G346" i="1"/>
  <c r="D346" i="1"/>
  <c r="R345" i="1"/>
  <c r="S345" i="1" s="1"/>
  <c r="G345" i="1"/>
  <c r="D345" i="1"/>
  <c r="R344" i="1"/>
  <c r="S344" i="1" s="1"/>
  <c r="G344" i="1"/>
  <c r="D344" i="1"/>
  <c r="R343" i="1"/>
  <c r="S343" i="1" s="1"/>
  <c r="G343" i="1"/>
  <c r="D343" i="1"/>
  <c r="R342" i="1"/>
  <c r="S342" i="1" s="1"/>
  <c r="G342" i="1"/>
  <c r="D342" i="1"/>
  <c r="R341" i="1"/>
  <c r="S341" i="1" s="1"/>
  <c r="G341" i="1"/>
  <c r="D341" i="1"/>
  <c r="R340" i="1"/>
  <c r="S340" i="1" s="1"/>
  <c r="G340" i="1"/>
  <c r="D340" i="1"/>
  <c r="R339" i="1"/>
  <c r="S339" i="1" s="1"/>
  <c r="G339" i="1"/>
  <c r="D339" i="1"/>
  <c r="R338" i="1"/>
  <c r="S338" i="1" s="1"/>
  <c r="G338" i="1"/>
  <c r="D338" i="1"/>
  <c r="R337" i="1"/>
  <c r="S337" i="1" s="1"/>
  <c r="G337" i="1"/>
  <c r="D337" i="1"/>
  <c r="R336" i="1"/>
  <c r="S336" i="1" s="1"/>
  <c r="G336" i="1"/>
  <c r="D336" i="1"/>
  <c r="R335" i="1"/>
  <c r="S335" i="1" s="1"/>
  <c r="G335" i="1"/>
  <c r="D335" i="1"/>
  <c r="R334" i="1"/>
  <c r="S334" i="1" s="1"/>
  <c r="G334" i="1"/>
  <c r="D334" i="1"/>
  <c r="R333" i="1"/>
  <c r="S333" i="1" s="1"/>
  <c r="G333" i="1"/>
  <c r="D333" i="1"/>
  <c r="R332" i="1"/>
  <c r="S332" i="1" s="1"/>
  <c r="G332" i="1"/>
  <c r="D332" i="1"/>
  <c r="R331" i="1"/>
  <c r="S331" i="1" s="1"/>
  <c r="G331" i="1"/>
  <c r="D331" i="1"/>
  <c r="R330" i="1"/>
  <c r="S330" i="1" s="1"/>
  <c r="G330" i="1"/>
  <c r="D330" i="1"/>
  <c r="R329" i="1"/>
  <c r="S329" i="1" s="1"/>
  <c r="G329" i="1"/>
  <c r="D329" i="1"/>
  <c r="R328" i="1"/>
  <c r="S328" i="1" s="1"/>
  <c r="G328" i="1"/>
  <c r="D328" i="1"/>
  <c r="R327" i="1"/>
  <c r="S327" i="1" s="1"/>
  <c r="G327" i="1"/>
  <c r="D327" i="1"/>
  <c r="R326" i="1"/>
  <c r="S326" i="1" s="1"/>
  <c r="G326" i="1"/>
  <c r="D326" i="1"/>
  <c r="R325" i="1"/>
  <c r="S325" i="1" s="1"/>
  <c r="G325" i="1"/>
  <c r="D325" i="1"/>
  <c r="R324" i="1"/>
  <c r="S324" i="1" s="1"/>
  <c r="G324" i="1"/>
  <c r="D324" i="1"/>
  <c r="R323" i="1"/>
  <c r="S323" i="1" s="1"/>
  <c r="G323" i="1"/>
  <c r="D323" i="1"/>
  <c r="R322" i="1"/>
  <c r="S322" i="1" s="1"/>
  <c r="G322" i="1"/>
  <c r="D322" i="1"/>
  <c r="R321" i="1"/>
  <c r="S321" i="1" s="1"/>
  <c r="G321" i="1"/>
  <c r="D321" i="1"/>
  <c r="R320" i="1"/>
  <c r="S320" i="1" s="1"/>
  <c r="G320" i="1"/>
  <c r="D320" i="1"/>
  <c r="R319" i="1"/>
  <c r="S319" i="1" s="1"/>
  <c r="G319" i="1"/>
  <c r="D319" i="1"/>
  <c r="R318" i="1"/>
  <c r="S318" i="1" s="1"/>
  <c r="G318" i="1"/>
  <c r="D318" i="1"/>
  <c r="R317" i="1"/>
  <c r="S317" i="1" s="1"/>
  <c r="G317" i="1"/>
  <c r="D317" i="1"/>
  <c r="R316" i="1"/>
  <c r="S316" i="1" s="1"/>
  <c r="G316" i="1"/>
  <c r="D316" i="1"/>
  <c r="R315" i="1"/>
  <c r="S315" i="1" s="1"/>
  <c r="G315" i="1"/>
  <c r="D315" i="1"/>
  <c r="R314" i="1"/>
  <c r="S314" i="1" s="1"/>
  <c r="G314" i="1"/>
  <c r="D314" i="1"/>
  <c r="R313" i="1"/>
  <c r="S313" i="1" s="1"/>
  <c r="G313" i="1"/>
  <c r="D313" i="1"/>
  <c r="R312" i="1"/>
  <c r="S312" i="1" s="1"/>
  <c r="G312" i="1"/>
  <c r="D312" i="1"/>
  <c r="R311" i="1"/>
  <c r="S311" i="1" s="1"/>
  <c r="G311" i="1"/>
  <c r="D311" i="1"/>
  <c r="R310" i="1"/>
  <c r="S310" i="1" s="1"/>
  <c r="G310" i="1"/>
  <c r="D310" i="1"/>
  <c r="R309" i="1"/>
  <c r="S309" i="1" s="1"/>
  <c r="G309" i="1"/>
  <c r="D309" i="1"/>
  <c r="R308" i="1"/>
  <c r="S308" i="1" s="1"/>
  <c r="G308" i="1"/>
  <c r="D308" i="1"/>
  <c r="R307" i="1"/>
  <c r="S307" i="1" s="1"/>
  <c r="G307" i="1"/>
  <c r="D307" i="1"/>
  <c r="R306" i="1"/>
  <c r="S306" i="1" s="1"/>
  <c r="G306" i="1"/>
  <c r="D306" i="1"/>
  <c r="R305" i="1"/>
  <c r="S305" i="1" s="1"/>
  <c r="G305" i="1"/>
  <c r="D305" i="1"/>
  <c r="R304" i="1"/>
  <c r="S304" i="1" s="1"/>
  <c r="G304" i="1"/>
  <c r="D304" i="1"/>
  <c r="R303" i="1"/>
  <c r="S303" i="1" s="1"/>
  <c r="G303" i="1"/>
  <c r="D303" i="1"/>
  <c r="R302" i="1"/>
  <c r="S302" i="1" s="1"/>
  <c r="G302" i="1"/>
  <c r="D302" i="1"/>
  <c r="R301" i="1"/>
  <c r="S301" i="1" s="1"/>
  <c r="G301" i="1"/>
  <c r="D301" i="1"/>
  <c r="R300" i="1"/>
  <c r="S300" i="1" s="1"/>
  <c r="G300" i="1"/>
  <c r="D300" i="1"/>
  <c r="R299" i="1"/>
  <c r="S299" i="1" s="1"/>
  <c r="G299" i="1"/>
  <c r="D299" i="1"/>
  <c r="R298" i="1"/>
  <c r="S298" i="1" s="1"/>
  <c r="G298" i="1"/>
  <c r="D298" i="1"/>
  <c r="R297" i="1"/>
  <c r="S297" i="1" s="1"/>
  <c r="G297" i="1"/>
  <c r="D297" i="1"/>
  <c r="R296" i="1"/>
  <c r="S296" i="1" s="1"/>
  <c r="G296" i="1"/>
  <c r="D296" i="1"/>
  <c r="R295" i="1"/>
  <c r="S295" i="1" s="1"/>
  <c r="G295" i="1"/>
  <c r="D295" i="1"/>
  <c r="R294" i="1"/>
  <c r="S294" i="1" s="1"/>
  <c r="G294" i="1"/>
  <c r="D294" i="1"/>
  <c r="R293" i="1"/>
  <c r="S293" i="1" s="1"/>
  <c r="G293" i="1"/>
  <c r="D293" i="1"/>
  <c r="R292" i="1"/>
  <c r="S292" i="1" s="1"/>
  <c r="G292" i="1"/>
  <c r="D292" i="1"/>
  <c r="R291" i="1"/>
  <c r="S291" i="1" s="1"/>
  <c r="G291" i="1"/>
  <c r="D291" i="1"/>
  <c r="R290" i="1"/>
  <c r="S290" i="1" s="1"/>
  <c r="G290" i="1"/>
  <c r="D290" i="1"/>
  <c r="R289" i="1"/>
  <c r="S289" i="1" s="1"/>
  <c r="G289" i="1"/>
  <c r="D289" i="1"/>
  <c r="R288" i="1"/>
  <c r="S288" i="1" s="1"/>
  <c r="G288" i="1"/>
  <c r="D288" i="1"/>
  <c r="R287" i="1"/>
  <c r="S287" i="1" s="1"/>
  <c r="G287" i="1"/>
  <c r="D287" i="1"/>
  <c r="R286" i="1"/>
  <c r="S286" i="1" s="1"/>
  <c r="G286" i="1"/>
  <c r="D286" i="1"/>
  <c r="R285" i="1"/>
  <c r="S285" i="1" s="1"/>
  <c r="G285" i="1"/>
  <c r="D285" i="1"/>
  <c r="R284" i="1"/>
  <c r="S284" i="1" s="1"/>
  <c r="G284" i="1"/>
  <c r="D284" i="1"/>
  <c r="R283" i="1"/>
  <c r="S283" i="1" s="1"/>
  <c r="G283" i="1"/>
  <c r="D283" i="1"/>
  <c r="R282" i="1"/>
  <c r="S282" i="1" s="1"/>
  <c r="G282" i="1"/>
  <c r="D282" i="1"/>
  <c r="R281" i="1"/>
  <c r="S281" i="1" s="1"/>
  <c r="G281" i="1"/>
  <c r="D281" i="1"/>
  <c r="R280" i="1"/>
  <c r="S280" i="1" s="1"/>
  <c r="G280" i="1"/>
  <c r="D280" i="1"/>
  <c r="R279" i="1"/>
  <c r="S279" i="1" s="1"/>
  <c r="G279" i="1"/>
  <c r="D279" i="1"/>
  <c r="R278" i="1"/>
  <c r="S278" i="1" s="1"/>
  <c r="G278" i="1"/>
  <c r="D278" i="1"/>
  <c r="R277" i="1"/>
  <c r="S277" i="1" s="1"/>
  <c r="G277" i="1"/>
  <c r="D277" i="1"/>
  <c r="R276" i="1"/>
  <c r="S276" i="1" s="1"/>
  <c r="G276" i="1"/>
  <c r="D276" i="1"/>
  <c r="R275" i="1"/>
  <c r="S275" i="1" s="1"/>
  <c r="G275" i="1"/>
  <c r="D275" i="1"/>
  <c r="R274" i="1"/>
  <c r="S274" i="1" s="1"/>
  <c r="G274" i="1"/>
  <c r="D274" i="1"/>
  <c r="R273" i="1"/>
  <c r="S273" i="1" s="1"/>
  <c r="G273" i="1"/>
  <c r="D273" i="1"/>
  <c r="R272" i="1"/>
  <c r="S272" i="1" s="1"/>
  <c r="G272" i="1"/>
  <c r="D272" i="1"/>
  <c r="R271" i="1"/>
  <c r="S271" i="1" s="1"/>
  <c r="G271" i="1"/>
  <c r="D271" i="1"/>
  <c r="R270" i="1"/>
  <c r="S270" i="1" s="1"/>
  <c r="G270" i="1"/>
  <c r="D270" i="1"/>
  <c r="R269" i="1"/>
  <c r="S269" i="1" s="1"/>
  <c r="G269" i="1"/>
  <c r="D269" i="1"/>
  <c r="R268" i="1"/>
  <c r="S268" i="1" s="1"/>
  <c r="G268" i="1"/>
  <c r="D268" i="1"/>
  <c r="R267" i="1"/>
  <c r="S267" i="1" s="1"/>
  <c r="G267" i="1"/>
  <c r="D267" i="1"/>
  <c r="R266" i="1"/>
  <c r="S266" i="1" s="1"/>
  <c r="G266" i="1"/>
  <c r="D266" i="1"/>
  <c r="R265" i="1"/>
  <c r="S265" i="1" s="1"/>
  <c r="G265" i="1"/>
  <c r="D265" i="1"/>
  <c r="R264" i="1"/>
  <c r="S264" i="1" s="1"/>
  <c r="G264" i="1"/>
  <c r="D264" i="1"/>
  <c r="R263" i="1"/>
  <c r="S263" i="1" s="1"/>
  <c r="G263" i="1"/>
  <c r="D263" i="1"/>
  <c r="R262" i="1"/>
  <c r="S262" i="1" s="1"/>
  <c r="G262" i="1"/>
  <c r="D262" i="1"/>
  <c r="R261" i="1"/>
  <c r="S261" i="1" s="1"/>
  <c r="G261" i="1"/>
  <c r="D261" i="1"/>
  <c r="R260" i="1"/>
  <c r="S260" i="1" s="1"/>
  <c r="G260" i="1"/>
  <c r="D260" i="1"/>
  <c r="R259" i="1"/>
  <c r="S259" i="1" s="1"/>
  <c r="G259" i="1"/>
  <c r="D259" i="1"/>
  <c r="R258" i="1"/>
  <c r="S258" i="1" s="1"/>
  <c r="G258" i="1"/>
  <c r="D258" i="1"/>
  <c r="R257" i="1"/>
  <c r="S257" i="1" s="1"/>
  <c r="G257" i="1"/>
  <c r="D257" i="1"/>
  <c r="R256" i="1"/>
  <c r="S256" i="1" s="1"/>
  <c r="G256" i="1"/>
  <c r="D256" i="1"/>
  <c r="R255" i="1"/>
  <c r="S255" i="1" s="1"/>
  <c r="G255" i="1"/>
  <c r="D255" i="1"/>
  <c r="R254" i="1"/>
  <c r="S254" i="1" s="1"/>
  <c r="G254" i="1"/>
  <c r="D254" i="1"/>
  <c r="R253" i="1"/>
  <c r="S253" i="1" s="1"/>
  <c r="G253" i="1"/>
  <c r="D253" i="1"/>
  <c r="R252" i="1"/>
  <c r="S252" i="1" s="1"/>
  <c r="G252" i="1"/>
  <c r="D252" i="1"/>
  <c r="R251" i="1"/>
  <c r="S251" i="1" s="1"/>
  <c r="G251" i="1"/>
  <c r="D251" i="1"/>
  <c r="R250" i="1"/>
  <c r="S250" i="1" s="1"/>
  <c r="G250" i="1"/>
  <c r="D250" i="1"/>
  <c r="R249" i="1"/>
  <c r="S249" i="1" s="1"/>
  <c r="G249" i="1"/>
  <c r="D249" i="1"/>
  <c r="R248" i="1"/>
  <c r="S248" i="1" s="1"/>
  <c r="G248" i="1"/>
  <c r="D248" i="1"/>
  <c r="R247" i="1"/>
  <c r="S247" i="1" s="1"/>
  <c r="G247" i="1"/>
  <c r="D247" i="1"/>
  <c r="R246" i="1"/>
  <c r="S246" i="1" s="1"/>
  <c r="G246" i="1"/>
  <c r="D246" i="1"/>
  <c r="R245" i="1"/>
  <c r="S245" i="1" s="1"/>
  <c r="G245" i="1"/>
  <c r="D245" i="1"/>
  <c r="R244" i="1"/>
  <c r="S244" i="1" s="1"/>
  <c r="G244" i="1"/>
  <c r="D244" i="1"/>
  <c r="R243" i="1"/>
  <c r="S243" i="1" s="1"/>
  <c r="G243" i="1"/>
  <c r="D243" i="1"/>
  <c r="R242" i="1"/>
  <c r="S242" i="1" s="1"/>
  <c r="G242" i="1"/>
  <c r="D242" i="1"/>
  <c r="R241" i="1"/>
  <c r="S241" i="1" s="1"/>
  <c r="G241" i="1"/>
  <c r="D241" i="1"/>
  <c r="R240" i="1"/>
  <c r="S240" i="1" s="1"/>
  <c r="G240" i="1"/>
  <c r="D240" i="1"/>
  <c r="R239" i="1"/>
  <c r="S239" i="1" s="1"/>
  <c r="G239" i="1"/>
  <c r="D239" i="1"/>
  <c r="R238" i="1"/>
  <c r="S238" i="1" s="1"/>
  <c r="G238" i="1"/>
  <c r="D238" i="1"/>
  <c r="R237" i="1"/>
  <c r="S237" i="1" s="1"/>
  <c r="G237" i="1"/>
  <c r="D237" i="1"/>
  <c r="R236" i="1"/>
  <c r="S236" i="1" s="1"/>
  <c r="G236" i="1"/>
  <c r="D236" i="1"/>
  <c r="R235" i="1"/>
  <c r="S235" i="1" s="1"/>
  <c r="G235" i="1"/>
  <c r="D235" i="1"/>
  <c r="R234" i="1"/>
  <c r="S234" i="1" s="1"/>
  <c r="G234" i="1"/>
  <c r="D234" i="1"/>
  <c r="R233" i="1"/>
  <c r="S233" i="1" s="1"/>
  <c r="G233" i="1"/>
  <c r="D233" i="1"/>
  <c r="R232" i="1"/>
  <c r="S232" i="1" s="1"/>
  <c r="G232" i="1"/>
  <c r="D232" i="1"/>
  <c r="R231" i="1"/>
  <c r="S231" i="1" s="1"/>
  <c r="G231" i="1"/>
  <c r="D231" i="1"/>
  <c r="R230" i="1"/>
  <c r="S230" i="1" s="1"/>
  <c r="G230" i="1"/>
  <c r="D230" i="1"/>
  <c r="R229" i="1"/>
  <c r="S229" i="1" s="1"/>
  <c r="G229" i="1"/>
  <c r="D229" i="1"/>
  <c r="R228" i="1"/>
  <c r="S228" i="1" s="1"/>
  <c r="G228" i="1"/>
  <c r="D228" i="1"/>
  <c r="R227" i="1"/>
  <c r="S227" i="1" s="1"/>
  <c r="G227" i="1"/>
  <c r="D227" i="1"/>
  <c r="R226" i="1"/>
  <c r="S226" i="1" s="1"/>
  <c r="G226" i="1"/>
  <c r="D226" i="1"/>
  <c r="R225" i="1"/>
  <c r="S225" i="1" s="1"/>
  <c r="G225" i="1"/>
  <c r="D225" i="1"/>
  <c r="R224" i="1"/>
  <c r="S224" i="1" s="1"/>
  <c r="G224" i="1"/>
  <c r="D224" i="1"/>
  <c r="R223" i="1"/>
  <c r="S223" i="1" s="1"/>
  <c r="G223" i="1"/>
  <c r="D223" i="1"/>
  <c r="R222" i="1"/>
  <c r="S222" i="1" s="1"/>
  <c r="G222" i="1"/>
  <c r="D222" i="1"/>
  <c r="R221" i="1"/>
  <c r="S221" i="1" s="1"/>
  <c r="G221" i="1"/>
  <c r="D221" i="1"/>
  <c r="R220" i="1"/>
  <c r="S220" i="1" s="1"/>
  <c r="G220" i="1"/>
  <c r="D220" i="1"/>
  <c r="R219" i="1"/>
  <c r="S219" i="1" s="1"/>
  <c r="G219" i="1"/>
  <c r="D219" i="1"/>
  <c r="R218" i="1"/>
  <c r="S218" i="1" s="1"/>
  <c r="G218" i="1"/>
  <c r="D218" i="1"/>
  <c r="R217" i="1"/>
  <c r="S217" i="1" s="1"/>
  <c r="G217" i="1"/>
  <c r="D217" i="1"/>
  <c r="R216" i="1"/>
  <c r="S216" i="1" s="1"/>
  <c r="G216" i="1"/>
  <c r="D216" i="1"/>
  <c r="R215" i="1"/>
  <c r="S215" i="1" s="1"/>
  <c r="G215" i="1"/>
  <c r="D215" i="1"/>
  <c r="R214" i="1"/>
  <c r="S214" i="1" s="1"/>
  <c r="G214" i="1"/>
  <c r="D214" i="1"/>
  <c r="R213" i="1"/>
  <c r="S213" i="1" s="1"/>
  <c r="G213" i="1"/>
  <c r="D213" i="1"/>
  <c r="R212" i="1"/>
  <c r="S212" i="1" s="1"/>
  <c r="G212" i="1"/>
  <c r="D212" i="1"/>
  <c r="R211" i="1"/>
  <c r="S211" i="1" s="1"/>
  <c r="G211" i="1"/>
  <c r="D211" i="1"/>
  <c r="R210" i="1"/>
  <c r="S210" i="1" s="1"/>
  <c r="G210" i="1"/>
  <c r="D210" i="1"/>
  <c r="R209" i="1"/>
  <c r="S209" i="1" s="1"/>
  <c r="G209" i="1"/>
  <c r="D209" i="1"/>
  <c r="R208" i="1"/>
  <c r="S208" i="1" s="1"/>
  <c r="G208" i="1"/>
  <c r="D208" i="1"/>
  <c r="R207" i="1"/>
  <c r="S207" i="1" s="1"/>
  <c r="G207" i="1"/>
  <c r="D207" i="1"/>
  <c r="R206" i="1"/>
  <c r="S206" i="1" s="1"/>
  <c r="G206" i="1"/>
  <c r="D206" i="1"/>
  <c r="R205" i="1"/>
  <c r="S205" i="1" s="1"/>
  <c r="G205" i="1"/>
  <c r="D205" i="1"/>
  <c r="R204" i="1"/>
  <c r="S204" i="1" s="1"/>
  <c r="G204" i="1"/>
  <c r="D204" i="1"/>
  <c r="R203" i="1"/>
  <c r="S203" i="1" s="1"/>
  <c r="G203" i="1"/>
  <c r="D203" i="1"/>
  <c r="R202" i="1"/>
  <c r="S202" i="1" s="1"/>
  <c r="G202" i="1"/>
  <c r="D202" i="1"/>
  <c r="R201" i="1"/>
  <c r="S201" i="1" s="1"/>
  <c r="G201" i="1"/>
  <c r="D201" i="1"/>
  <c r="R200" i="1"/>
  <c r="S200" i="1" s="1"/>
  <c r="G200" i="1"/>
  <c r="D200" i="1"/>
  <c r="R199" i="1"/>
  <c r="S199" i="1" s="1"/>
  <c r="G199" i="1"/>
  <c r="D199" i="1"/>
  <c r="R198" i="1"/>
  <c r="S198" i="1" s="1"/>
  <c r="G198" i="1"/>
  <c r="D198" i="1"/>
  <c r="R197" i="1"/>
  <c r="S197" i="1" s="1"/>
  <c r="G197" i="1"/>
  <c r="D197" i="1"/>
  <c r="R196" i="1"/>
  <c r="S196" i="1" s="1"/>
  <c r="G196" i="1"/>
  <c r="D196" i="1"/>
  <c r="R195" i="1"/>
  <c r="S195" i="1" s="1"/>
  <c r="G195" i="1"/>
  <c r="D195" i="1"/>
  <c r="R194" i="1"/>
  <c r="S194" i="1" s="1"/>
  <c r="G194" i="1"/>
  <c r="D194" i="1"/>
  <c r="R193" i="1"/>
  <c r="S193" i="1" s="1"/>
  <c r="G193" i="1"/>
  <c r="D193" i="1"/>
  <c r="R192" i="1"/>
  <c r="S192" i="1" s="1"/>
  <c r="G192" i="1"/>
  <c r="D192" i="1"/>
  <c r="R191" i="1"/>
  <c r="S191" i="1" s="1"/>
  <c r="G191" i="1"/>
  <c r="D191" i="1"/>
  <c r="R190" i="1"/>
  <c r="S190" i="1" s="1"/>
  <c r="G190" i="1"/>
  <c r="D190" i="1"/>
  <c r="R189" i="1"/>
  <c r="S189" i="1" s="1"/>
  <c r="G189" i="1"/>
  <c r="D189" i="1"/>
  <c r="S188" i="1"/>
  <c r="R188" i="1"/>
  <c r="G188" i="1"/>
  <c r="D188" i="1"/>
  <c r="R187" i="1"/>
  <c r="S187" i="1" s="1"/>
  <c r="G187" i="1"/>
  <c r="D187" i="1"/>
  <c r="S186" i="1"/>
  <c r="R186" i="1"/>
  <c r="G186" i="1"/>
  <c r="D186" i="1"/>
  <c r="R185" i="1"/>
  <c r="S185" i="1" s="1"/>
  <c r="G185" i="1"/>
  <c r="D185" i="1"/>
  <c r="R184" i="1"/>
  <c r="S184" i="1" s="1"/>
  <c r="G184" i="1"/>
  <c r="D184" i="1"/>
  <c r="R183" i="1"/>
  <c r="S183" i="1" s="1"/>
  <c r="G183" i="1"/>
  <c r="D183" i="1"/>
  <c r="R182" i="1"/>
  <c r="S182" i="1" s="1"/>
  <c r="G182" i="1"/>
  <c r="D182" i="1"/>
  <c r="R181" i="1"/>
  <c r="S181" i="1" s="1"/>
  <c r="G181" i="1"/>
  <c r="D181" i="1"/>
  <c r="R180" i="1"/>
  <c r="S180" i="1" s="1"/>
  <c r="G180" i="1"/>
  <c r="D180" i="1"/>
  <c r="R179" i="1"/>
  <c r="S179" i="1" s="1"/>
  <c r="G179" i="1"/>
  <c r="D179" i="1"/>
  <c r="R178" i="1"/>
  <c r="S178" i="1" s="1"/>
  <c r="G178" i="1"/>
  <c r="D178" i="1"/>
  <c r="R177" i="1"/>
  <c r="S177" i="1" s="1"/>
  <c r="G177" i="1"/>
  <c r="D177" i="1"/>
  <c r="R176" i="1"/>
  <c r="S176" i="1" s="1"/>
  <c r="G176" i="1"/>
  <c r="D176" i="1"/>
  <c r="R175" i="1"/>
  <c r="S175" i="1" s="1"/>
  <c r="G175" i="1"/>
  <c r="D175" i="1"/>
  <c r="R174" i="1"/>
  <c r="S174" i="1" s="1"/>
  <c r="G174" i="1"/>
  <c r="D174" i="1"/>
  <c r="R173" i="1"/>
  <c r="S173" i="1" s="1"/>
  <c r="G173" i="1"/>
  <c r="D173" i="1"/>
  <c r="R172" i="1"/>
  <c r="S172" i="1" s="1"/>
  <c r="G172" i="1"/>
  <c r="D172" i="1"/>
  <c r="R171" i="1"/>
  <c r="S171" i="1" s="1"/>
  <c r="G171" i="1"/>
  <c r="D171" i="1"/>
  <c r="R170" i="1"/>
  <c r="S170" i="1" s="1"/>
  <c r="G170" i="1"/>
  <c r="D170" i="1"/>
  <c r="R169" i="1"/>
  <c r="S169" i="1" s="1"/>
  <c r="G169" i="1"/>
  <c r="D169" i="1"/>
  <c r="R168" i="1"/>
  <c r="S168" i="1" s="1"/>
  <c r="G168" i="1"/>
  <c r="D168" i="1"/>
  <c r="R167" i="1"/>
  <c r="S167" i="1" s="1"/>
  <c r="G167" i="1"/>
  <c r="D167" i="1"/>
  <c r="R166" i="1"/>
  <c r="S166" i="1" s="1"/>
  <c r="G166" i="1"/>
  <c r="D166" i="1"/>
  <c r="R165" i="1"/>
  <c r="S165" i="1" s="1"/>
  <c r="G165" i="1"/>
  <c r="D165" i="1"/>
  <c r="R164" i="1"/>
  <c r="S164" i="1" s="1"/>
  <c r="G164" i="1"/>
  <c r="D164" i="1"/>
  <c r="R163" i="1"/>
  <c r="S163" i="1" s="1"/>
  <c r="G163" i="1"/>
  <c r="D163" i="1"/>
  <c r="R162" i="1"/>
  <c r="S162" i="1" s="1"/>
  <c r="G162" i="1"/>
  <c r="D162" i="1"/>
  <c r="R161" i="1"/>
  <c r="S161" i="1" s="1"/>
  <c r="G161" i="1"/>
  <c r="D161" i="1"/>
  <c r="R160" i="1"/>
  <c r="S160" i="1" s="1"/>
  <c r="G160" i="1"/>
  <c r="D160" i="1"/>
  <c r="R159" i="1"/>
  <c r="S159" i="1" s="1"/>
  <c r="G159" i="1"/>
  <c r="D159" i="1"/>
  <c r="R158" i="1"/>
  <c r="S158" i="1" s="1"/>
  <c r="G158" i="1"/>
  <c r="D158" i="1"/>
  <c r="R157" i="1"/>
  <c r="S157" i="1" s="1"/>
  <c r="G157" i="1"/>
  <c r="D157" i="1"/>
  <c r="R156" i="1"/>
  <c r="S156" i="1" s="1"/>
  <c r="G156" i="1"/>
  <c r="D156" i="1"/>
  <c r="R155" i="1"/>
  <c r="S155" i="1" s="1"/>
  <c r="G155" i="1"/>
  <c r="D155" i="1"/>
  <c r="R154" i="1"/>
  <c r="S154" i="1" s="1"/>
  <c r="G154" i="1"/>
  <c r="D154" i="1"/>
  <c r="R153" i="1"/>
  <c r="S153" i="1" s="1"/>
  <c r="G153" i="1"/>
  <c r="D153" i="1"/>
  <c r="R152" i="1"/>
  <c r="S152" i="1" s="1"/>
  <c r="G152" i="1"/>
  <c r="D152" i="1"/>
  <c r="R151" i="1"/>
  <c r="S151" i="1" s="1"/>
  <c r="G151" i="1"/>
  <c r="D151" i="1"/>
  <c r="R150" i="1"/>
  <c r="S150" i="1" s="1"/>
  <c r="G150" i="1"/>
  <c r="D150" i="1"/>
  <c r="R149" i="1"/>
  <c r="S149" i="1" s="1"/>
  <c r="G149" i="1"/>
  <c r="D149" i="1"/>
  <c r="R148" i="1"/>
  <c r="S148" i="1" s="1"/>
  <c r="G148" i="1"/>
  <c r="D148" i="1"/>
  <c r="R147" i="1"/>
  <c r="S147" i="1" s="1"/>
  <c r="G147" i="1"/>
  <c r="D147" i="1"/>
  <c r="R146" i="1"/>
  <c r="S146" i="1" s="1"/>
  <c r="G146" i="1"/>
  <c r="D146" i="1"/>
  <c r="R145" i="1"/>
  <c r="S145" i="1" s="1"/>
  <c r="G145" i="1"/>
  <c r="D145" i="1"/>
  <c r="R144" i="1"/>
  <c r="S144" i="1" s="1"/>
  <c r="G144" i="1"/>
  <c r="D144" i="1"/>
  <c r="R143" i="1"/>
  <c r="S143" i="1" s="1"/>
  <c r="G143" i="1"/>
  <c r="D143" i="1"/>
  <c r="R142" i="1"/>
  <c r="S142" i="1" s="1"/>
  <c r="G142" i="1"/>
  <c r="D142" i="1"/>
  <c r="R141" i="1"/>
  <c r="S141" i="1" s="1"/>
  <c r="G141" i="1"/>
  <c r="D141" i="1"/>
  <c r="R140" i="1"/>
  <c r="S140" i="1" s="1"/>
  <c r="G140" i="1"/>
  <c r="D140" i="1"/>
  <c r="R139" i="1"/>
  <c r="S139" i="1" s="1"/>
  <c r="G139" i="1"/>
  <c r="D139" i="1"/>
  <c r="R138" i="1"/>
  <c r="S138" i="1" s="1"/>
  <c r="G138" i="1"/>
  <c r="D138" i="1"/>
  <c r="R137" i="1"/>
  <c r="S137" i="1" s="1"/>
  <c r="G137" i="1"/>
  <c r="D137" i="1"/>
  <c r="R136" i="1"/>
  <c r="S136" i="1" s="1"/>
  <c r="G136" i="1"/>
  <c r="D136" i="1"/>
  <c r="R135" i="1"/>
  <c r="S135" i="1" s="1"/>
  <c r="G135" i="1"/>
  <c r="D135" i="1"/>
  <c r="R134" i="1"/>
  <c r="S134" i="1" s="1"/>
  <c r="G134" i="1"/>
  <c r="D134" i="1"/>
  <c r="R133" i="1"/>
  <c r="S133" i="1" s="1"/>
  <c r="G133" i="1"/>
  <c r="D133" i="1"/>
  <c r="R132" i="1"/>
  <c r="S132" i="1" s="1"/>
  <c r="G132" i="1"/>
  <c r="D132" i="1"/>
  <c r="R131" i="1"/>
  <c r="S131" i="1" s="1"/>
  <c r="G131" i="1"/>
  <c r="D131" i="1"/>
  <c r="R130" i="1"/>
  <c r="S130" i="1" s="1"/>
  <c r="G130" i="1"/>
  <c r="D130" i="1"/>
  <c r="R129" i="1"/>
  <c r="S129" i="1" s="1"/>
  <c r="G129" i="1"/>
  <c r="D129" i="1"/>
  <c r="R128" i="1"/>
  <c r="S128" i="1" s="1"/>
  <c r="G128" i="1"/>
  <c r="D128" i="1"/>
  <c r="R127" i="1"/>
  <c r="S127" i="1" s="1"/>
  <c r="G127" i="1"/>
  <c r="D127" i="1"/>
  <c r="R126" i="1"/>
  <c r="S126" i="1" s="1"/>
  <c r="G126" i="1"/>
  <c r="D126" i="1"/>
  <c r="R125" i="1"/>
  <c r="S125" i="1" s="1"/>
  <c r="G125" i="1"/>
  <c r="D125" i="1"/>
  <c r="R124" i="1"/>
  <c r="S124" i="1" s="1"/>
  <c r="G124" i="1"/>
  <c r="D124" i="1"/>
  <c r="R123" i="1"/>
  <c r="S123" i="1" s="1"/>
  <c r="G123" i="1"/>
  <c r="D123" i="1"/>
  <c r="R122" i="1"/>
  <c r="S122" i="1" s="1"/>
  <c r="G122" i="1"/>
  <c r="D122" i="1"/>
  <c r="R121" i="1"/>
  <c r="S121" i="1" s="1"/>
  <c r="G121" i="1"/>
  <c r="D121" i="1"/>
  <c r="R120" i="1"/>
  <c r="S120" i="1" s="1"/>
  <c r="G120" i="1"/>
  <c r="D120" i="1"/>
  <c r="R119" i="1"/>
  <c r="S119" i="1" s="1"/>
  <c r="G119" i="1"/>
  <c r="D119" i="1"/>
  <c r="R118" i="1"/>
  <c r="S118" i="1" s="1"/>
  <c r="G118" i="1"/>
  <c r="D118" i="1"/>
  <c r="R117" i="1"/>
  <c r="S117" i="1" s="1"/>
  <c r="G117" i="1"/>
  <c r="D117" i="1"/>
  <c r="R116" i="1"/>
  <c r="S116" i="1" s="1"/>
  <c r="G116" i="1"/>
  <c r="D116" i="1"/>
  <c r="R115" i="1"/>
  <c r="S115" i="1" s="1"/>
  <c r="G115" i="1"/>
  <c r="D115" i="1"/>
  <c r="R114" i="1"/>
  <c r="S114" i="1" s="1"/>
  <c r="G114" i="1"/>
  <c r="D114" i="1"/>
  <c r="R113" i="1"/>
  <c r="S113" i="1" s="1"/>
  <c r="G113" i="1"/>
  <c r="D113" i="1"/>
  <c r="R112" i="1"/>
  <c r="S112" i="1" s="1"/>
  <c r="G112" i="1"/>
  <c r="D112" i="1"/>
  <c r="R111" i="1"/>
  <c r="S111" i="1" s="1"/>
  <c r="G111" i="1"/>
  <c r="D111" i="1"/>
  <c r="R110" i="1"/>
  <c r="S110" i="1" s="1"/>
  <c r="G110" i="1"/>
  <c r="D110" i="1"/>
  <c r="R109" i="1"/>
  <c r="S109" i="1" s="1"/>
  <c r="G109" i="1"/>
  <c r="D109" i="1"/>
  <c r="R108" i="1"/>
  <c r="S108" i="1" s="1"/>
  <c r="G108" i="1"/>
  <c r="D108" i="1"/>
  <c r="R107" i="1"/>
  <c r="S107" i="1" s="1"/>
  <c r="G107" i="1"/>
  <c r="D107" i="1"/>
  <c r="R106" i="1"/>
  <c r="S106" i="1" s="1"/>
  <c r="G106" i="1"/>
  <c r="D106" i="1"/>
  <c r="R105" i="1"/>
  <c r="S105" i="1" s="1"/>
  <c r="G105" i="1"/>
  <c r="D105" i="1"/>
  <c r="R104" i="1"/>
  <c r="S104" i="1" s="1"/>
  <c r="G104" i="1"/>
  <c r="D104" i="1"/>
  <c r="R103" i="1"/>
  <c r="S103" i="1" s="1"/>
  <c r="G103" i="1"/>
  <c r="D103" i="1"/>
  <c r="R102" i="1"/>
  <c r="S102" i="1" s="1"/>
  <c r="G102" i="1"/>
  <c r="D102" i="1"/>
  <c r="S101" i="1"/>
  <c r="R101" i="1"/>
  <c r="G101" i="1"/>
  <c r="D101" i="1"/>
  <c r="R100" i="1"/>
  <c r="S100" i="1" s="1"/>
  <c r="G100" i="1"/>
  <c r="D100" i="1"/>
  <c r="R99" i="1"/>
  <c r="S99" i="1" s="1"/>
  <c r="G99" i="1"/>
  <c r="D99" i="1"/>
  <c r="R98" i="1"/>
  <c r="S98" i="1" s="1"/>
  <c r="G98" i="1"/>
  <c r="D98" i="1"/>
  <c r="R97" i="1"/>
  <c r="S97" i="1" s="1"/>
  <c r="G97" i="1"/>
  <c r="D97" i="1"/>
  <c r="R96" i="1"/>
  <c r="S96" i="1" s="1"/>
  <c r="G96" i="1"/>
  <c r="D96" i="1"/>
  <c r="R95" i="1"/>
  <c r="S95" i="1" s="1"/>
  <c r="G95" i="1"/>
  <c r="D95" i="1"/>
  <c r="R94" i="1"/>
  <c r="S94" i="1" s="1"/>
  <c r="G94" i="1"/>
  <c r="D94" i="1"/>
  <c r="R93" i="1"/>
  <c r="S93" i="1" s="1"/>
  <c r="G93" i="1"/>
  <c r="D93" i="1"/>
  <c r="R92" i="1"/>
  <c r="S92" i="1" s="1"/>
  <c r="G92" i="1"/>
  <c r="D92" i="1"/>
  <c r="R91" i="1"/>
  <c r="S91" i="1" s="1"/>
  <c r="G91" i="1"/>
  <c r="D91" i="1"/>
  <c r="R90" i="1"/>
  <c r="S90" i="1" s="1"/>
  <c r="G90" i="1"/>
  <c r="D90" i="1"/>
  <c r="R89" i="1"/>
  <c r="S89" i="1" s="1"/>
  <c r="G89" i="1"/>
  <c r="D89" i="1"/>
  <c r="R88" i="1"/>
  <c r="S88" i="1" s="1"/>
  <c r="G88" i="1"/>
  <c r="D88" i="1"/>
  <c r="R87" i="1"/>
  <c r="S87" i="1" s="1"/>
  <c r="G87" i="1"/>
  <c r="D87" i="1"/>
  <c r="R86" i="1"/>
  <c r="S86" i="1" s="1"/>
  <c r="G86" i="1"/>
  <c r="D86" i="1"/>
  <c r="R85" i="1"/>
  <c r="S85" i="1" s="1"/>
  <c r="G85" i="1"/>
  <c r="D85" i="1"/>
  <c r="R84" i="1"/>
  <c r="S84" i="1" s="1"/>
  <c r="G84" i="1"/>
  <c r="D84" i="1"/>
  <c r="R83" i="1"/>
  <c r="S83" i="1" s="1"/>
  <c r="G83" i="1"/>
  <c r="D83" i="1"/>
  <c r="R82" i="1"/>
  <c r="S82" i="1" s="1"/>
  <c r="G82" i="1"/>
  <c r="D82" i="1"/>
  <c r="R81" i="1"/>
  <c r="S81" i="1" s="1"/>
  <c r="G81" i="1"/>
  <c r="D81" i="1"/>
  <c r="R80" i="1"/>
  <c r="S80" i="1" s="1"/>
  <c r="G80" i="1"/>
  <c r="D80" i="1"/>
  <c r="R79" i="1"/>
  <c r="S79" i="1" s="1"/>
  <c r="G79" i="1"/>
  <c r="D79" i="1"/>
  <c r="S78" i="1"/>
  <c r="R78" i="1"/>
  <c r="G78" i="1"/>
  <c r="D78" i="1"/>
  <c r="R77" i="1"/>
  <c r="S77" i="1" s="1"/>
  <c r="G77" i="1"/>
  <c r="D77" i="1"/>
  <c r="R76" i="1"/>
  <c r="S76" i="1" s="1"/>
  <c r="G76" i="1"/>
  <c r="D76" i="1"/>
  <c r="R75" i="1"/>
  <c r="S75" i="1" s="1"/>
  <c r="G75" i="1"/>
  <c r="D75" i="1"/>
  <c r="R74" i="1"/>
  <c r="S74" i="1" s="1"/>
  <c r="G74" i="1"/>
  <c r="D74" i="1"/>
  <c r="R73" i="1"/>
  <c r="S73" i="1" s="1"/>
  <c r="G73" i="1"/>
  <c r="D73" i="1"/>
  <c r="R72" i="1"/>
  <c r="S72" i="1" s="1"/>
  <c r="G72" i="1"/>
  <c r="D72" i="1"/>
  <c r="R71" i="1"/>
  <c r="S71" i="1" s="1"/>
  <c r="G71" i="1"/>
  <c r="D71" i="1"/>
  <c r="R70" i="1"/>
  <c r="S70" i="1" s="1"/>
  <c r="G70" i="1"/>
  <c r="D70" i="1"/>
  <c r="R69" i="1"/>
  <c r="S69" i="1" s="1"/>
  <c r="G69" i="1"/>
  <c r="D69" i="1"/>
  <c r="R68" i="1"/>
  <c r="S68" i="1" s="1"/>
  <c r="G68" i="1"/>
  <c r="D68" i="1"/>
  <c r="R67" i="1"/>
  <c r="S67" i="1" s="1"/>
  <c r="G67" i="1"/>
  <c r="D67" i="1"/>
  <c r="R66" i="1"/>
  <c r="S66" i="1" s="1"/>
  <c r="G66" i="1"/>
  <c r="D66" i="1"/>
  <c r="R65" i="1"/>
  <c r="S65" i="1" s="1"/>
  <c r="G65" i="1"/>
  <c r="D65" i="1"/>
  <c r="R64" i="1"/>
  <c r="S64" i="1" s="1"/>
  <c r="G64" i="1"/>
  <c r="D64" i="1"/>
  <c r="R63" i="1"/>
  <c r="S63" i="1" s="1"/>
  <c r="G63" i="1"/>
  <c r="D63" i="1"/>
  <c r="R62" i="1"/>
  <c r="S62" i="1" s="1"/>
  <c r="G62" i="1"/>
  <c r="D62" i="1"/>
  <c r="R61" i="1"/>
  <c r="S61" i="1" s="1"/>
  <c r="G61" i="1"/>
  <c r="D61" i="1"/>
  <c r="R60" i="1"/>
  <c r="S60" i="1" s="1"/>
  <c r="G60" i="1"/>
  <c r="D60" i="1"/>
  <c r="R59" i="1"/>
  <c r="S59" i="1" s="1"/>
  <c r="G59" i="1"/>
  <c r="D59" i="1"/>
  <c r="R58" i="1"/>
  <c r="S58" i="1" s="1"/>
  <c r="G58" i="1"/>
  <c r="D58" i="1"/>
  <c r="R57" i="1"/>
  <c r="S57" i="1" s="1"/>
  <c r="G57" i="1"/>
  <c r="D57" i="1"/>
  <c r="R56" i="1"/>
  <c r="S56" i="1" s="1"/>
  <c r="G56" i="1"/>
  <c r="D56" i="1"/>
  <c r="R55" i="1"/>
  <c r="S55" i="1" s="1"/>
  <c r="G55" i="1"/>
  <c r="D55" i="1"/>
  <c r="R54" i="1"/>
  <c r="S54" i="1" s="1"/>
  <c r="G54" i="1"/>
  <c r="D54" i="1"/>
  <c r="R53" i="1"/>
  <c r="S53" i="1" s="1"/>
  <c r="G53" i="1"/>
  <c r="D53" i="1"/>
  <c r="R52" i="1"/>
  <c r="S52" i="1" s="1"/>
  <c r="G52" i="1"/>
  <c r="D52" i="1"/>
  <c r="R51" i="1"/>
  <c r="S51" i="1" s="1"/>
  <c r="G51" i="1"/>
  <c r="D51" i="1"/>
  <c r="R50" i="1"/>
  <c r="S50" i="1" s="1"/>
  <c r="G50" i="1"/>
  <c r="D50" i="1"/>
  <c r="R49" i="1"/>
  <c r="S49" i="1" s="1"/>
  <c r="G49" i="1"/>
  <c r="D49" i="1"/>
  <c r="R48" i="1"/>
  <c r="S48" i="1" s="1"/>
  <c r="G48" i="1"/>
  <c r="D48" i="1"/>
  <c r="R47" i="1"/>
  <c r="S47" i="1" s="1"/>
  <c r="G47" i="1"/>
  <c r="D47" i="1"/>
  <c r="R46" i="1"/>
  <c r="S46" i="1" s="1"/>
  <c r="G46" i="1"/>
  <c r="D46" i="1"/>
  <c r="R45" i="1"/>
  <c r="S45" i="1" s="1"/>
  <c r="G45" i="1"/>
  <c r="D45" i="1"/>
  <c r="R44" i="1"/>
  <c r="S44" i="1" s="1"/>
  <c r="G44" i="1"/>
  <c r="D44" i="1"/>
  <c r="R43" i="1"/>
  <c r="S43" i="1" s="1"/>
  <c r="G43" i="1"/>
  <c r="D43" i="1"/>
  <c r="R42" i="1"/>
  <c r="S42" i="1" s="1"/>
  <c r="G42" i="1"/>
  <c r="D42" i="1"/>
  <c r="R41" i="1"/>
  <c r="S41" i="1" s="1"/>
  <c r="G41" i="1"/>
  <c r="D41" i="1"/>
  <c r="R40" i="1"/>
  <c r="S40" i="1" s="1"/>
  <c r="G40" i="1"/>
  <c r="D40" i="1"/>
  <c r="R39" i="1"/>
  <c r="S39" i="1" s="1"/>
  <c r="G39" i="1"/>
  <c r="D39" i="1"/>
  <c r="R38" i="1"/>
  <c r="S38" i="1" s="1"/>
  <c r="G38" i="1"/>
  <c r="D38" i="1"/>
  <c r="R37" i="1"/>
  <c r="S37" i="1" s="1"/>
  <c r="G37" i="1"/>
  <c r="D37" i="1"/>
  <c r="R36" i="1"/>
  <c r="S36" i="1" s="1"/>
  <c r="G36" i="1"/>
  <c r="D36" i="1"/>
  <c r="R35" i="1"/>
  <c r="S35" i="1" s="1"/>
  <c r="G35" i="1"/>
  <c r="D35" i="1"/>
  <c r="R34" i="1"/>
  <c r="S34" i="1" s="1"/>
  <c r="G34" i="1"/>
  <c r="D34" i="1"/>
  <c r="R33" i="1"/>
  <c r="S33" i="1" s="1"/>
  <c r="G33" i="1"/>
  <c r="D33" i="1"/>
  <c r="R32" i="1"/>
  <c r="S32" i="1" s="1"/>
  <c r="G32" i="1"/>
  <c r="D32" i="1"/>
  <c r="R31" i="1"/>
  <c r="S31" i="1" s="1"/>
  <c r="G31" i="1"/>
  <c r="D31" i="1"/>
  <c r="R30" i="1"/>
  <c r="S30" i="1" s="1"/>
  <c r="G30" i="1"/>
  <c r="D30" i="1"/>
  <c r="R29" i="1"/>
  <c r="S29" i="1" s="1"/>
  <c r="G29" i="1"/>
  <c r="D29" i="1"/>
  <c r="R28" i="1"/>
  <c r="S28" i="1" s="1"/>
  <c r="G28" i="1"/>
  <c r="D28" i="1"/>
  <c r="R27" i="1"/>
  <c r="S27" i="1" s="1"/>
  <c r="G27" i="1"/>
  <c r="D27" i="1"/>
  <c r="R26" i="1"/>
  <c r="S26" i="1" s="1"/>
  <c r="G26" i="1"/>
  <c r="D26" i="1"/>
  <c r="R25" i="1"/>
  <c r="S25" i="1" s="1"/>
  <c r="G25" i="1"/>
  <c r="D25" i="1"/>
  <c r="R24" i="1"/>
  <c r="S24" i="1" s="1"/>
  <c r="G24" i="1"/>
  <c r="D24" i="1"/>
  <c r="R23" i="1"/>
  <c r="S23" i="1" s="1"/>
  <c r="G23" i="1"/>
  <c r="D23" i="1"/>
  <c r="R22" i="1"/>
  <c r="S22" i="1" s="1"/>
  <c r="G22" i="1"/>
  <c r="D22" i="1"/>
  <c r="R21" i="1"/>
  <c r="S21" i="1" s="1"/>
  <c r="G21" i="1"/>
  <c r="D21" i="1"/>
  <c r="R20" i="1"/>
  <c r="S20" i="1" s="1"/>
  <c r="G20" i="1"/>
  <c r="D20" i="1"/>
  <c r="R19" i="1"/>
  <c r="S19" i="1" s="1"/>
  <c r="G19" i="1"/>
  <c r="D19" i="1"/>
  <c r="R18" i="1"/>
  <c r="S18" i="1" s="1"/>
  <c r="G18" i="1"/>
  <c r="D18" i="1"/>
  <c r="R17" i="1"/>
  <c r="S17" i="1" s="1"/>
  <c r="G17" i="1"/>
  <c r="D17" i="1"/>
  <c r="R16" i="1"/>
  <c r="S16" i="1" s="1"/>
  <c r="G16" i="1"/>
  <c r="D16" i="1"/>
  <c r="R15" i="1"/>
  <c r="S15" i="1" s="1"/>
  <c r="G15" i="1"/>
  <c r="D15" i="1"/>
  <c r="R14" i="1"/>
  <c r="S14" i="1" s="1"/>
  <c r="G14" i="1"/>
  <c r="D14" i="1"/>
  <c r="R13" i="1"/>
  <c r="S13" i="1" s="1"/>
  <c r="G13" i="1"/>
  <c r="D13" i="1"/>
  <c r="R12" i="1"/>
  <c r="S12" i="1" s="1"/>
  <c r="G12" i="1"/>
  <c r="D12" i="1"/>
  <c r="R11" i="1"/>
  <c r="S11" i="1" s="1"/>
  <c r="G11" i="1"/>
  <c r="D11" i="1"/>
  <c r="R10" i="1"/>
  <c r="S10" i="1" s="1"/>
  <c r="G10" i="1"/>
  <c r="D10" i="1"/>
  <c r="R9" i="1"/>
  <c r="S9" i="1" s="1"/>
  <c r="G9" i="1"/>
  <c r="D9" i="1"/>
  <c r="R8" i="1"/>
  <c r="S8" i="1" s="1"/>
  <c r="G8" i="1"/>
  <c r="D8" i="1"/>
  <c r="R7" i="1"/>
  <c r="S7" i="1" s="1"/>
  <c r="G7" i="1"/>
  <c r="D7" i="1"/>
  <c r="R6" i="1"/>
  <c r="S6" i="1" s="1"/>
  <c r="G6" i="1"/>
  <c r="D6" i="1"/>
  <c r="R5" i="1"/>
  <c r="S5" i="1" s="1"/>
  <c r="G5" i="1"/>
  <c r="D5" i="1"/>
  <c r="R4" i="1"/>
  <c r="S4" i="1" s="1"/>
  <c r="G4" i="1"/>
  <c r="D4" i="1"/>
  <c r="R3" i="1"/>
  <c r="S3" i="1" s="1"/>
  <c r="G3" i="1"/>
  <c r="D3" i="1"/>
  <c r="R2" i="1"/>
  <c r="S2" i="1" s="1"/>
  <c r="G2" i="1"/>
  <c r="D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512D34-81E9-436E-B059-BA6BF4F835CC}" keepAlive="1" name="Query - Table13" description="Connection to the 'Table13' query in the workbook." type="5" refreshedVersion="8" background="1" saveData="1">
    <dbPr connection="Provider=Microsoft.Mashup.OleDb.1;Data Source=$Workbook$;Location=Table13;Extended Properties=&quot;&quot;" command="SELECT * FROM [Table13]"/>
  </connection>
</connections>
</file>

<file path=xl/sharedStrings.xml><?xml version="1.0" encoding="utf-8"?>
<sst xmlns="http://schemas.openxmlformats.org/spreadsheetml/2006/main" count="32273" uniqueCount="4017">
  <si>
    <t>Movie_Id</t>
  </si>
  <si>
    <t>Title</t>
  </si>
  <si>
    <t>Year</t>
  </si>
  <si>
    <t>Decade</t>
  </si>
  <si>
    <t>Certificate</t>
  </si>
  <si>
    <t>Runtime_minutes</t>
  </si>
  <si>
    <t>Runtime_Category</t>
  </si>
  <si>
    <t>Genre</t>
  </si>
  <si>
    <t>Description</t>
  </si>
  <si>
    <t>Director</t>
  </si>
  <si>
    <t>Stars</t>
  </si>
  <si>
    <t>Votes</t>
  </si>
  <si>
    <t>Gross_millions</t>
  </si>
  <si>
    <t>Gross_millions_Clean</t>
  </si>
  <si>
    <t>Profitablity Indicator</t>
  </si>
  <si>
    <t>tt1000835</t>
  </si>
  <si>
    <t>Dark Love 728</t>
  </si>
  <si>
    <t>PG-13</t>
  </si>
  <si>
    <t>Action, Musical</t>
  </si>
  <si>
    <t>A critically acclaimed action masterpiece.</t>
  </si>
  <si>
    <t>Park Chan-wook</t>
  </si>
  <si>
    <t>Matt Damon, Leonardo DiCaprio, Meryl Streep, Robert De Niro</t>
  </si>
  <si>
    <t>tt1000768</t>
  </si>
  <si>
    <t>First Awakening 661</t>
  </si>
  <si>
    <t>R</t>
  </si>
  <si>
    <t>War, Animation</t>
  </si>
  <si>
    <t>An epic war tale directed by Ridley Scott.</t>
  </si>
  <si>
    <t>Ridley Scott</t>
  </si>
  <si>
    <t>Matt Damon, Jack Nicholson, Chris Hemsworth, Zendaya</t>
  </si>
  <si>
    <t>tt1000652</t>
  </si>
  <si>
    <t>The Dreams 545</t>
  </si>
  <si>
    <t>Action, Mystery, War</t>
  </si>
  <si>
    <t>An epic action tale directed by Spike Lee.</t>
  </si>
  <si>
    <t>Spike Lee</t>
  </si>
  <si>
    <t>Natalie Portman, Mark Ruffalo, Viola Davis, Harrison Ford, Margot Robbie</t>
  </si>
  <si>
    <t>tt1000538</t>
  </si>
  <si>
    <t>Last Mission 431</t>
  </si>
  <si>
    <t>Biography</t>
  </si>
  <si>
    <t>A critically acclaimed biography masterpiece.</t>
  </si>
  <si>
    <t>Jordan Peele</t>
  </si>
  <si>
    <t>Al Pacino, Gary Oldman, Keanu Reeves, Kate Winslet</t>
  </si>
  <si>
    <t>tt1000159</t>
  </si>
  <si>
    <t>The Story 52</t>
  </si>
  <si>
    <t>Mystery</t>
  </si>
  <si>
    <t>A mystery film set in 2000.</t>
  </si>
  <si>
    <t>Zendaya, Chris Hemsworth, Viola Davis, Mark Ruffalo</t>
  </si>
  <si>
    <t>tt1000840</t>
  </si>
  <si>
    <t>Dark Legend 733</t>
  </si>
  <si>
    <t>Crime</t>
  </si>
  <si>
    <t>A crime film set in 2023.</t>
  </si>
  <si>
    <t>Sam Mendes</t>
  </si>
  <si>
    <t>Gary Oldman, Morgan Freeman, Keanu Reeves</t>
  </si>
  <si>
    <t>tt1000678</t>
  </si>
  <si>
    <t>A Revolution 571</t>
  </si>
  <si>
    <t>PG</t>
  </si>
  <si>
    <t>Romance</t>
  </si>
  <si>
    <t>An epic romance tale directed by Coen Brothers.</t>
  </si>
  <si>
    <t>Coen Brothers</t>
  </si>
  <si>
    <t>Edward Norton, Al Pacino, Jennifer Lawrence</t>
  </si>
  <si>
    <t>tt1000073</t>
  </si>
  <si>
    <t>The Lord of the Rings: The Fellowship of the Ring</t>
  </si>
  <si>
    <t>Fantasy, Action</t>
  </si>
  <si>
    <t>An epic fantasy tale directed by Ang Lee.</t>
  </si>
  <si>
    <t>Ang Lee</t>
  </si>
  <si>
    <t>Emma Stone, Denzel Washington, Chris Hemsworth</t>
  </si>
  <si>
    <t>tt1000484</t>
  </si>
  <si>
    <t>The Mission 377</t>
  </si>
  <si>
    <t>A critically acclaimed crime masterpiece.</t>
  </si>
  <si>
    <t>Guillermo del Toro</t>
  </si>
  <si>
    <t>Mark Ruffalo, Natalie Portman, Zendaya</t>
  </si>
  <si>
    <t>tt1000293</t>
  </si>
  <si>
    <t>Last Love 186</t>
  </si>
  <si>
    <t>War</t>
  </si>
  <si>
    <t>A war film set in 2023.</t>
  </si>
  <si>
    <t>Peter Jackson</t>
  </si>
  <si>
    <t>Leonardo DiCaprio, Gary Oldman, Meryl Streep, Amy Adams, Keanu Reeves</t>
  </si>
  <si>
    <t>tt1000282</t>
  </si>
  <si>
    <t>Dark Story 175</t>
  </si>
  <si>
    <t>Adventure</t>
  </si>
  <si>
    <t>A adventure film set in 2009.</t>
  </si>
  <si>
    <t>Francis Ford Coppola</t>
  </si>
  <si>
    <t>Morgan Freeman, Viola Davis, Scarlett Johansson</t>
  </si>
  <si>
    <t>tt1000035</t>
  </si>
  <si>
    <t>Star Wars</t>
  </si>
  <si>
    <t>Fantasy, Romance</t>
  </si>
  <si>
    <t>A thrilling fantasy adventure.</t>
  </si>
  <si>
    <t>Stanley Kubrick</t>
  </si>
  <si>
    <t>Meryl Streep, Al Pacino, Daniel Day-Lewis, Anthony Hopkins, Mark Ruffalo</t>
  </si>
  <si>
    <t>tt1000430</t>
  </si>
  <si>
    <t>First Adventures 323</t>
  </si>
  <si>
    <t>War, Family, Crime</t>
  </si>
  <si>
    <t>A war film set in 2014.</t>
  </si>
  <si>
    <t>Robert Zemeckis</t>
  </si>
  <si>
    <t>Florence Pugh, Brad Pitt, Chris Hemsworth</t>
  </si>
  <si>
    <t>tt1000388</t>
  </si>
  <si>
    <t>Lost Mystery 281</t>
  </si>
  <si>
    <t>War, Adventure</t>
  </si>
  <si>
    <t>A war film set in 2022.</t>
  </si>
  <si>
    <t>Emma Stone, Brad Pitt, Keanu Reeves, Tom Cruise</t>
  </si>
  <si>
    <t>tt1000996</t>
  </si>
  <si>
    <t>Secret Destiny 889</t>
  </si>
  <si>
    <t>Western, Musical</t>
  </si>
  <si>
    <t>A thrilling western adventure.</t>
  </si>
  <si>
    <t>Akira Kurosawa</t>
  </si>
  <si>
    <t>Harrison Ford, Johnny Depp, Edward Norton, Keanu Reeves</t>
  </si>
  <si>
    <t>tt1000425</t>
  </si>
  <si>
    <t>Secret Chronicles 318</t>
  </si>
  <si>
    <t>Biography, Horror</t>
  </si>
  <si>
    <t>Robert Downey Jr., Kate Winslet, Tom Cruise</t>
  </si>
  <si>
    <t>tt1000010</t>
  </si>
  <si>
    <t>Goodfellas</t>
  </si>
  <si>
    <t>Fantasy, Family, Action</t>
  </si>
  <si>
    <t>An epic fantasy tale directed by Ava DuVernay.</t>
  </si>
  <si>
    <t>Ava DuVernay</t>
  </si>
  <si>
    <t>Amy Adams, Jack Nicholson, Brad Pitt, Leonardo DiCaprio, Mark Ruffalo</t>
  </si>
  <si>
    <t>tt1000194</t>
  </si>
  <si>
    <t>Secret Journey 87</t>
  </si>
  <si>
    <t>War, Documentary</t>
  </si>
  <si>
    <t>A war film set in 1997.</t>
  </si>
  <si>
    <t>Frank Darabont</t>
  </si>
  <si>
    <t>Zendaya, Amy Adams, Harrison Ford, Scarlett Johansson</t>
  </si>
  <si>
    <t>tt1000024</t>
  </si>
  <si>
    <t>Life is Beautiful</t>
  </si>
  <si>
    <t>Documentary, Fantasy, War</t>
  </si>
  <si>
    <t>A critically acclaimed documentary masterpiece.</t>
  </si>
  <si>
    <t>Quentin Tarantino</t>
  </si>
  <si>
    <t>Matt Damon, Edward Norton, Mark Ruffalo, Viola Davis, Denzel Washington</t>
  </si>
  <si>
    <t>tt1000027</t>
  </si>
  <si>
    <t>Terminator 2</t>
  </si>
  <si>
    <t>Horror</t>
  </si>
  <si>
    <t>A thrilling horror adventure.</t>
  </si>
  <si>
    <t>Martin Scorsese</t>
  </si>
  <si>
    <t>Cate Blanchett, Mark Ruffalo, Natalie Portman</t>
  </si>
  <si>
    <t>tt1000039</t>
  </si>
  <si>
    <t>Psycho</t>
  </si>
  <si>
    <t>Mystery, Drama</t>
  </si>
  <si>
    <t>A thrilling mystery adventure.</t>
  </si>
  <si>
    <t>Wong Kar-wai</t>
  </si>
  <si>
    <t>Scarlett Johansson, Zendaya, Mark Ruffalo, Anthony Hopkins</t>
  </si>
  <si>
    <t>tt1000367</t>
  </si>
  <si>
    <t>Final Journey 260</t>
  </si>
  <si>
    <t>A adventure film set in 2024.</t>
  </si>
  <si>
    <t>Samuel L. Jackson, Jack Nicholson, Edward Norton, Harrison Ford, Tom Hanks</t>
  </si>
  <si>
    <t>tt1000475</t>
  </si>
  <si>
    <t>Final Secrets 368</t>
  </si>
  <si>
    <t>Documentary, Romance</t>
  </si>
  <si>
    <t>A documentary film set in 2011.</t>
  </si>
  <si>
    <t>Bong Joon-ho</t>
  </si>
  <si>
    <t>Mark Ruffalo, Daniel Day-Lewis, Jack Nicholson, Brad Pitt, Margot Robbie</t>
  </si>
  <si>
    <t>tt1000532</t>
  </si>
  <si>
    <t>A Mission 425</t>
  </si>
  <si>
    <t>Action, Mystery</t>
  </si>
  <si>
    <t>An epic action tale directed by Greta Gerwig.</t>
  </si>
  <si>
    <t>Greta Gerwig</t>
  </si>
  <si>
    <t>Zendaya, Robert Downey Jr., Daniel Day-Lewis</t>
  </si>
  <si>
    <t>tt1000739</t>
  </si>
  <si>
    <t>The Mission 632</t>
  </si>
  <si>
    <t>Animation</t>
  </si>
  <si>
    <t>A critically acclaimed animation masterpiece.</t>
  </si>
  <si>
    <t>Alfred Hitchcock</t>
  </si>
  <si>
    <t>Scarlett Johansson, Samuel L. Jackson, Matt Damon</t>
  </si>
  <si>
    <t>tt1000070</t>
  </si>
  <si>
    <t>The Departed</t>
  </si>
  <si>
    <t>Comedy, Documentary</t>
  </si>
  <si>
    <t>A critically acclaimed comedy masterpiece.</t>
  </si>
  <si>
    <t>Christopher Nolan</t>
  </si>
  <si>
    <t>Margot Robbie, Brad Pitt, Anthony Hopkins, Gary Oldman</t>
  </si>
  <si>
    <t>tt1000085</t>
  </si>
  <si>
    <t>Dances with Wolves</t>
  </si>
  <si>
    <t>G</t>
  </si>
  <si>
    <t>A adventure film set in 1992.</t>
  </si>
  <si>
    <t>Mark Ruffalo, Jennifer Lawrence, Jack Nicholson, Emma Stone</t>
  </si>
  <si>
    <t>tt1000337</t>
  </si>
  <si>
    <t>Final Adventures 230</t>
  </si>
  <si>
    <t>Adventure, Musical</t>
  </si>
  <si>
    <t>An epic adventure tale directed by Park Chan-wook.</t>
  </si>
  <si>
    <t>Harrison Ford, Edward Norton, Denzel Washington, Tom Cruise</t>
  </si>
  <si>
    <t>tt1000406</t>
  </si>
  <si>
    <t>Lost Story 299</t>
  </si>
  <si>
    <t>Comedy, Sci-Fi</t>
  </si>
  <si>
    <t>A comedy film set in 2023.</t>
  </si>
  <si>
    <t>Scarlett Johansson, Tom Cruise, Will Smith, Cate Blanchett</t>
  </si>
  <si>
    <t>tt1000641</t>
  </si>
  <si>
    <t>A Revolution 534</t>
  </si>
  <si>
    <t>Romance, War, Western</t>
  </si>
  <si>
    <t>A romance film set in 2003.</t>
  </si>
  <si>
    <t>Matt Damon, Emma Stone, Margot Robbie</t>
  </si>
  <si>
    <t>tt1000022</t>
  </si>
  <si>
    <t>Casablanca</t>
  </si>
  <si>
    <t>Thriller, Action</t>
  </si>
  <si>
    <t>A thriller film set in 1949.</t>
  </si>
  <si>
    <t>Danny Boyle</t>
  </si>
  <si>
    <t>Tom Hanks, Jennifer Lawrence, Natalie Portman, Robert De Niro, Jack Nicholson</t>
  </si>
  <si>
    <t>tt1000498</t>
  </si>
  <si>
    <t>Last Mystery 391</t>
  </si>
  <si>
    <t>Biography, Crime</t>
  </si>
  <si>
    <t>Kathryn Bigelow</t>
  </si>
  <si>
    <t>Brad Pitt, Daniel Day-Lewis, Gary Oldman</t>
  </si>
  <si>
    <t>tt1000030</t>
  </si>
  <si>
    <t>The Avengers</t>
  </si>
  <si>
    <t>Drama, Horror</t>
  </si>
  <si>
    <t>A thrilling drama adventure.</t>
  </si>
  <si>
    <t>Johnny Depp, Cate Blanchett, TimothÃ©e Chalamet, Scarlett Johansson</t>
  </si>
  <si>
    <t>tt1000153</t>
  </si>
  <si>
    <t>An Mission 46</t>
  </si>
  <si>
    <t>Comedy, Action</t>
  </si>
  <si>
    <t>A comedy film set in 1990.</t>
  </si>
  <si>
    <t>Keanu Reeves, Jack Nicholson, Robert Downey Jr., Chris Hemsworth</t>
  </si>
  <si>
    <t>tt1000827</t>
  </si>
  <si>
    <t>An Chronicles 720</t>
  </si>
  <si>
    <t>Action</t>
  </si>
  <si>
    <t>An epic action tale directed by Akira Kurosawa.</t>
  </si>
  <si>
    <t>Zendaya, Al Pacino, Florence Pugh</t>
  </si>
  <si>
    <t>tt1000084</t>
  </si>
  <si>
    <t>The Silence of the Lambs</t>
  </si>
  <si>
    <t>An epic romance tale directed by Martin Scorsese.</t>
  </si>
  <si>
    <t>Margot Robbie, Johnny Depp, Al Pacino</t>
  </si>
  <si>
    <t>tt1000747</t>
  </si>
  <si>
    <t>An Legend 640</t>
  </si>
  <si>
    <t>Sci-Fi, Romance</t>
  </si>
  <si>
    <t>A thrilling sci-fi adventure.</t>
  </si>
  <si>
    <t>Clint Eastwood</t>
  </si>
  <si>
    <t>Mark Ruffalo, Chris Hemsworth, Natalie Portman, Robert De Niro, Denzel Washington</t>
  </si>
  <si>
    <t>tt1000911</t>
  </si>
  <si>
    <t>Final Mystery 804</t>
  </si>
  <si>
    <t>Comedy, Family</t>
  </si>
  <si>
    <t>A thrilling comedy adventure.</t>
  </si>
  <si>
    <t>Tom Cruise, Harrison Ford, Cate Blanchett</t>
  </si>
  <si>
    <t>tt1000018</t>
  </si>
  <si>
    <t>Whiplash</t>
  </si>
  <si>
    <t>Documentary</t>
  </si>
  <si>
    <t>A thrilling documentary adventure.</t>
  </si>
  <si>
    <t>Viola Davis, Al Pacino, Keanu Reeves, Kate Winslet, Denzel Washington</t>
  </si>
  <si>
    <t>tt1000067</t>
  </si>
  <si>
    <t>The Kings Speech</t>
  </si>
  <si>
    <t>Drama</t>
  </si>
  <si>
    <t>David Fincher</t>
  </si>
  <si>
    <t>Zendaya, Natalie Portman, Johnny Depp, Gary Oldman</t>
  </si>
  <si>
    <t>tt1000058</t>
  </si>
  <si>
    <t>Guardians of the Galaxy</t>
  </si>
  <si>
    <t>A fantasy film set in 1983.</t>
  </si>
  <si>
    <t>Samuel L. Jackson, Zendaya, Al Pacino, Kate Winslet</t>
  </si>
  <si>
    <t>tt1000207</t>
  </si>
  <si>
    <t>A Empire 100</t>
  </si>
  <si>
    <t>Mystery, Thriller</t>
  </si>
  <si>
    <t>An epic mystery tale directed by Francis Ford Coppola.</t>
  </si>
  <si>
    <t>Brad Pitt, Matt Damon, Meryl Streep</t>
  </si>
  <si>
    <t>tt1000310</t>
  </si>
  <si>
    <t>The Awakening 203</t>
  </si>
  <si>
    <t>Sci-Fi, Crime</t>
  </si>
  <si>
    <t>A critically acclaimed sci-fi masterpiece.</t>
  </si>
  <si>
    <t>Edgar Wright</t>
  </si>
  <si>
    <t>Mark Ruffalo, Viola Davis, Meryl Streep, Chris Hemsworth</t>
  </si>
  <si>
    <t>tt1000099</t>
  </si>
  <si>
    <t>Rocky</t>
  </si>
  <si>
    <t>A adventure film set in 1988.</t>
  </si>
  <si>
    <t>Robert De Niro, Mark Ruffalo, Al Pacino, TimothÃ©e Chalamet, Amy Adams</t>
  </si>
  <si>
    <t>tt1000076</t>
  </si>
  <si>
    <t>American Beauty</t>
  </si>
  <si>
    <t>Drama, Action</t>
  </si>
  <si>
    <t>Meryl Streep, Amy Adams, Florence Pugh</t>
  </si>
  <si>
    <t>tt1000086</t>
  </si>
  <si>
    <t>Driving Miss Daisy</t>
  </si>
  <si>
    <t>Fantasy, Sci-Fi</t>
  </si>
  <si>
    <t>A fantasy film set in 1984.</t>
  </si>
  <si>
    <t>Al Pacino, Samuel L. Jackson, Robert De Niro, Tom Hanks</t>
  </si>
  <si>
    <t>tt1000541</t>
  </si>
  <si>
    <t>First Legend 434</t>
  </si>
  <si>
    <t>Musical, Thriller</t>
  </si>
  <si>
    <t>A thrilling musical adventure.</t>
  </si>
  <si>
    <t>Johnny Depp, Amy Adams, Natalie Portman, Margot Robbie, Meryl Streep</t>
  </si>
  <si>
    <t>tt1000078</t>
  </si>
  <si>
    <t>Titanic</t>
  </si>
  <si>
    <t>Comedy, Western, Romance</t>
  </si>
  <si>
    <t>Al Pacino, Mark Ruffalo, Emma Stone, Leonardo DiCaprio</t>
  </si>
  <si>
    <t>tt1000506</t>
  </si>
  <si>
    <t>Lost Chronicles 399</t>
  </si>
  <si>
    <t>Thriller</t>
  </si>
  <si>
    <t>A critically acclaimed thriller masterpiece.</t>
  </si>
  <si>
    <t>Kate Winslet, Jack Nicholson, Robert De Niro</t>
  </si>
  <si>
    <t>tt1000945</t>
  </si>
  <si>
    <t>An Mystery 838</t>
  </si>
  <si>
    <t>Florence Pugh, Denzel Washington, Tom Hanks, Johnny Depp, Zendaya</t>
  </si>
  <si>
    <t>tt1000002</t>
  </si>
  <si>
    <t>The Dark Knight</t>
  </si>
  <si>
    <t>Not Rated</t>
  </si>
  <si>
    <t>Thriller, Sci-Fi</t>
  </si>
  <si>
    <t>An epic thriller tale directed by Sam Mendes.</t>
  </si>
  <si>
    <t>TimothÃ©e Chalamet, Mark Ruffalo, Florence Pugh, Johnny Depp</t>
  </si>
  <si>
    <t>tt1000013</t>
  </si>
  <si>
    <t>Interstellar</t>
  </si>
  <si>
    <t>TimothÃ©e Chalamet, Christian Bale, Emma Stone</t>
  </si>
  <si>
    <t>tt1000011</t>
  </si>
  <si>
    <t>NC-17</t>
  </si>
  <si>
    <t>Mystery, Romance, Action</t>
  </si>
  <si>
    <t>An epic mystery tale directed by Stanley Kubrick.</t>
  </si>
  <si>
    <t>Scarlett Johansson, Harrison Ford, Meryl Streep, Matt Damon, Gary Oldman</t>
  </si>
  <si>
    <t>tt1000576</t>
  </si>
  <si>
    <t>Lost Journey 469</t>
  </si>
  <si>
    <t>Fantasy, Thriller</t>
  </si>
  <si>
    <t>A fantasy film set in 2019.</t>
  </si>
  <si>
    <t>Will Smith, Jennifer Lawrence, Robert De Niro</t>
  </si>
  <si>
    <t>tt1000055</t>
  </si>
  <si>
    <t>Top Gun: Maverick</t>
  </si>
  <si>
    <t>Adventure, Family</t>
  </si>
  <si>
    <t>A critically acclaimed adventure masterpiece.</t>
  </si>
  <si>
    <t>Margot Robbie, Kate Winslet, Denzel Washington</t>
  </si>
  <si>
    <t>tt1000048</t>
  </si>
  <si>
    <t>Animation, Mystery</t>
  </si>
  <si>
    <t>An epic animation tale directed by Ang Lee.</t>
  </si>
  <si>
    <t>Leonardo DiCaprio, Jack Nicholson, Samuel L. Jackson</t>
  </si>
  <si>
    <t>tt1000021</t>
  </si>
  <si>
    <t>The Usual Suspects</t>
  </si>
  <si>
    <t>Sci-Fi, Fantasy</t>
  </si>
  <si>
    <t>An epic sci-fi tale directed by Steven Spielberg.</t>
  </si>
  <si>
    <t>Steven Spielberg</t>
  </si>
  <si>
    <t>Emma Stone, Harrison Ford, Edward Norton, Anthony Hopkins</t>
  </si>
  <si>
    <t>tt1000813</t>
  </si>
  <si>
    <t>Secret Legend 706</t>
  </si>
  <si>
    <t>Fantasy, Crime</t>
  </si>
  <si>
    <t>A critically acclaimed fantasy masterpiece.</t>
  </si>
  <si>
    <t>Edward Norton, Christian Bale, Viola Davis, Denzel Washington</t>
  </si>
  <si>
    <t>tt1000049</t>
  </si>
  <si>
    <t>Everything Everywhere All at Once</t>
  </si>
  <si>
    <t>Animation, Western</t>
  </si>
  <si>
    <t>A animation film set in 1975.</t>
  </si>
  <si>
    <t>Hayao Miyazaki</t>
  </si>
  <si>
    <t>Zendaya, Tom Hanks, Amy Adams</t>
  </si>
  <si>
    <t>tt1000041</t>
  </si>
  <si>
    <t>Blade Runner</t>
  </si>
  <si>
    <t>Keanu Reeves, Gary Oldman, Jack Nicholson, Tom Hanks, Al Pacino</t>
  </si>
  <si>
    <t>tt1000937</t>
  </si>
  <si>
    <t>A Journey 830</t>
  </si>
  <si>
    <t>An epic romance tale directed by Wong Kar-wai.</t>
  </si>
  <si>
    <t>Brad Pitt, Meryl Streep, Morgan Freeman</t>
  </si>
  <si>
    <t>tt1000052</t>
  </si>
  <si>
    <t>Dune</t>
  </si>
  <si>
    <t>Drama, Crime</t>
  </si>
  <si>
    <t>A drama film set in 2000.</t>
  </si>
  <si>
    <t>Leonardo DiCaprio, Natalie Portman, Will Smith, Robert De Niro</t>
  </si>
  <si>
    <t>tt1000044</t>
  </si>
  <si>
    <t>La La Land</t>
  </si>
  <si>
    <t>Brad Pitt, Chris Hemsworth, Margot Robbie, Cate Blanchett, Amy Adams</t>
  </si>
  <si>
    <t>tt1000341</t>
  </si>
  <si>
    <t>A Empire 234</t>
  </si>
  <si>
    <t>Comedy, Animation</t>
  </si>
  <si>
    <t>Morgan Freeman, Keanu Reeves, Tom Cruise</t>
  </si>
  <si>
    <t>tt1000256</t>
  </si>
  <si>
    <t>An Kingdom 149</t>
  </si>
  <si>
    <t>Western, Mystery</t>
  </si>
  <si>
    <t>A western film set in 2022.</t>
  </si>
  <si>
    <t>Chris Hemsworth, Daniel Day-Lewis, Robert De Niro</t>
  </si>
  <si>
    <t>tt1000322</t>
  </si>
  <si>
    <t>First Journey 215</t>
  </si>
  <si>
    <t>Western, Thriller</t>
  </si>
  <si>
    <t>A critically acclaimed western masterpiece.</t>
  </si>
  <si>
    <t>Robert Downey Jr., Mark Ruffalo, Meryl Streep, Al Pacino</t>
  </si>
  <si>
    <t>tt1000733</t>
  </si>
  <si>
    <t>Final Quest 626</t>
  </si>
  <si>
    <t>War, Romance, Fantasy</t>
  </si>
  <si>
    <t>A war film set in 2003.</t>
  </si>
  <si>
    <t>Anthony Hopkins, Amy Adams, Tom Hanks, Will Smith, Margot Robbie</t>
  </si>
  <si>
    <t>tt1000069</t>
  </si>
  <si>
    <t>No Country for Old Men</t>
  </si>
  <si>
    <t>Tom Cruise, Keanu Reeves, Cate Blanchett</t>
  </si>
  <si>
    <t>tt1000140</t>
  </si>
  <si>
    <t>A Chronicles 33</t>
  </si>
  <si>
    <t>Musical, Documentary, Adventure</t>
  </si>
  <si>
    <t>Denis Villeneuve</t>
  </si>
  <si>
    <t>Brad Pitt, Jack Nicholson, Anthony Hopkins, Margot Robbie, Keanu Reeves</t>
  </si>
  <si>
    <t>tt1000770</t>
  </si>
  <si>
    <t>Secret Legend 663</t>
  </si>
  <si>
    <t>Leonardo DiCaprio, Margot Robbie, Anthony Hopkins, Chris Hemsworth, Tom Hanks</t>
  </si>
  <si>
    <t>tt1000675</t>
  </si>
  <si>
    <t>Last Journey 568</t>
  </si>
  <si>
    <t>Family</t>
  </si>
  <si>
    <t>An epic family tale directed by Steven Spielberg.</t>
  </si>
  <si>
    <t>Emma Stone, Edward Norton, Daniel Day-Lewis, Amy Adams</t>
  </si>
  <si>
    <t>tt1000763</t>
  </si>
  <si>
    <t>A Destiny 656</t>
  </si>
  <si>
    <t>Family, Sci-Fi</t>
  </si>
  <si>
    <t>A critically acclaimed family masterpiece.</t>
  </si>
  <si>
    <t>Amy Adams, Harrison Ford, Margot Robbie, Jack Nicholson, Scarlett Johansson</t>
  </si>
  <si>
    <t>tt1000019</t>
  </si>
  <si>
    <t>The Prestige</t>
  </si>
  <si>
    <t>Romance, Drama</t>
  </si>
  <si>
    <t>A romance film set in 1969.</t>
  </si>
  <si>
    <t>Natalie Portman, Robert De Niro, Meryl Streep, Edward Norton, Zendaya</t>
  </si>
  <si>
    <t>tt1000145</t>
  </si>
  <si>
    <t>Secret Dreams 38</t>
  </si>
  <si>
    <t>Mystery, Action</t>
  </si>
  <si>
    <t>An epic mystery tale directed by Clint Eastwood.</t>
  </si>
  <si>
    <t>Kate Winslet, Scarlett Johansson, Florence Pugh</t>
  </si>
  <si>
    <t>tt1000377</t>
  </si>
  <si>
    <t>Last Legend 270</t>
  </si>
  <si>
    <t>A thrilling thriller adventure.</t>
  </si>
  <si>
    <t>Morgan Freeman, Natalie Portman, Florence Pugh, Christian Bale, Robert Downey Jr.</t>
  </si>
  <si>
    <t>tt1000236</t>
  </si>
  <si>
    <t>An Dreams 129</t>
  </si>
  <si>
    <t>Sci-Fi, Adventure, Family</t>
  </si>
  <si>
    <t>A sci-fi film set in 2001.</t>
  </si>
  <si>
    <t>Chris Hemsworth, Kate Winslet, Robert Downey Jr., Matt Damon</t>
  </si>
  <si>
    <t>tt1000590</t>
  </si>
  <si>
    <t>Lost Chronicles 483</t>
  </si>
  <si>
    <t>Documentary, Biography</t>
  </si>
  <si>
    <t>Robert Downey Jr., Denzel Washington, Daniel Day-Lewis, Brad Pitt, Leonardo DiCaprio</t>
  </si>
  <si>
    <t>tt1000050</t>
  </si>
  <si>
    <t>Oppenheimer</t>
  </si>
  <si>
    <t>A romance film set in 1982.</t>
  </si>
  <si>
    <t>Amy Adams, Zendaya, Jack Nicholson, Kate Winslet, Margot Robbie</t>
  </si>
  <si>
    <t>tt1000051</t>
  </si>
  <si>
    <t>Barbie</t>
  </si>
  <si>
    <t>A thrilling adventure adventure.</t>
  </si>
  <si>
    <t>Matt Damon, Mark Ruffalo, Christian Bale, TimothÃ©e Chalamet, Edward Norton</t>
  </si>
  <si>
    <t>tt1000032</t>
  </si>
  <si>
    <t>Avatar</t>
  </si>
  <si>
    <t>Documentary, Action, Comedy</t>
  </si>
  <si>
    <t>A documentary film set in 1974.</t>
  </si>
  <si>
    <t>Gary Oldman, Brad Pitt, Scarlett Johansson</t>
  </si>
  <si>
    <t>tt1000038</t>
  </si>
  <si>
    <t>Vertigo</t>
  </si>
  <si>
    <t>Family, Mystery</t>
  </si>
  <si>
    <t>A thrilling family adventure.</t>
  </si>
  <si>
    <t>Al Pacino, Keanu Reeves, Zendaya, Denzel Washington, Jack Nicholson</t>
  </si>
  <si>
    <t>tt1000023</t>
  </si>
  <si>
    <t>City of Lights</t>
  </si>
  <si>
    <t>Family, Crime</t>
  </si>
  <si>
    <t>Keanu Reeves, Robert Downey Jr., Scarlett Johansson</t>
  </si>
  <si>
    <t>tt1000801</t>
  </si>
  <si>
    <t>Lost Destiny 694</t>
  </si>
  <si>
    <t>Action, Sci-Fi</t>
  </si>
  <si>
    <t>A thrilling action adventure.</t>
  </si>
  <si>
    <t>Tom Hanks, Chris Hemsworth, Anthony Hopkins, Cate Blanchett, Amy Adams</t>
  </si>
  <si>
    <t>tt1000774</t>
  </si>
  <si>
    <t>An Mystery 667</t>
  </si>
  <si>
    <t>A critically acclaimed musical masterpiece.</t>
  </si>
  <si>
    <t>Margot Robbie, Tom Cruise, Harrison Ford, Daniel Day-Lewis, Cate Blanchett</t>
  </si>
  <si>
    <t>tt1000190</t>
  </si>
  <si>
    <t>Secret Kingdom 83</t>
  </si>
  <si>
    <t>Romance, Horror</t>
  </si>
  <si>
    <t>An epic romance tale directed by Sam Mendes.</t>
  </si>
  <si>
    <t>Kate Winslet, Florence Pugh, Tom Cruise, Gary Oldman</t>
  </si>
  <si>
    <t>tt1000910</t>
  </si>
  <si>
    <t>Lost Mystery 803</t>
  </si>
  <si>
    <t>Western, Documentary</t>
  </si>
  <si>
    <t>Zendaya, Al Pacino, Matt Damon</t>
  </si>
  <si>
    <t>tt1000037</t>
  </si>
  <si>
    <t>Citizen Kane</t>
  </si>
  <si>
    <t>Action, Adventure</t>
  </si>
  <si>
    <t>A action film set in 1957.</t>
  </si>
  <si>
    <t>Natalie Portman, Johnny Depp, Daniel Day-Lewis</t>
  </si>
  <si>
    <t>tt1000222</t>
  </si>
  <si>
    <t>An Empire 115</t>
  </si>
  <si>
    <t>Musical</t>
  </si>
  <si>
    <t>An epic musical tale directed by Peter Jackson.</t>
  </si>
  <si>
    <t>Tom Hanks, Anthony Hopkins, Tom Cruise, Meryl Streep, Samuel L. Jackson</t>
  </si>
  <si>
    <t>tt1000007</t>
  </si>
  <si>
    <t>Forrest Gump</t>
  </si>
  <si>
    <t>An epic biography tale directed by Bong Joon-ho.</t>
  </si>
  <si>
    <t>Will Smith, Mark Ruffalo, Chris Hemsworth</t>
  </si>
  <si>
    <t>tt1000210</t>
  </si>
  <si>
    <t>The Story 103</t>
  </si>
  <si>
    <t>Thriller, Family, Fantasy</t>
  </si>
  <si>
    <t>Tom Cruise, Jennifer Lawrence, Matt Damon</t>
  </si>
  <si>
    <t>tt1000008</t>
  </si>
  <si>
    <t>Inception</t>
  </si>
  <si>
    <t>Musical, Mystery</t>
  </si>
  <si>
    <t>Will Smith, Robert Downey Jr., Morgan Freeman, Harrison Ford, Anthony Hopkins</t>
  </si>
  <si>
    <t>tt1000025</t>
  </si>
  <si>
    <t>Spirited Away</t>
  </si>
  <si>
    <t>War, Family</t>
  </si>
  <si>
    <t>An epic war tale directed by Edgar Wright.</t>
  </si>
  <si>
    <t>Harrison Ford, Amy Adams, Jennifer Lawrence</t>
  </si>
  <si>
    <t>tt1000036</t>
  </si>
  <si>
    <t>The Shining</t>
  </si>
  <si>
    <t>A mystery film set in 1950.</t>
  </si>
  <si>
    <t>Natalie Portman, Amy Adams, Will Smith</t>
  </si>
  <si>
    <t>tt1000304</t>
  </si>
  <si>
    <t>A Empire 197</t>
  </si>
  <si>
    <t>Mystery, Biography</t>
  </si>
  <si>
    <t>Christian Bale, Harrison Ford, Chris Hemsworth, Morgan Freeman, Tom Hanks</t>
  </si>
  <si>
    <t>tt1000309</t>
  </si>
  <si>
    <t>The Empire 202</t>
  </si>
  <si>
    <t>Pedro AlmodÃ³var</t>
  </si>
  <si>
    <t>TimothÃ©e Chalamet, Robert De Niro, Anthony Hopkins, Al Pacino, Leonardo DiCaprio</t>
  </si>
  <si>
    <t>tt1000287</t>
  </si>
  <si>
    <t>An War 180</t>
  </si>
  <si>
    <t>Documentary, Fantasy, Western</t>
  </si>
  <si>
    <t>Denzel Washington, Cate Blanchett, Morgan Freeman, Johnny Depp</t>
  </si>
  <si>
    <t>tt1000984</t>
  </si>
  <si>
    <t>Dark Empire 877</t>
  </si>
  <si>
    <t>A critically acclaimed war masterpiece.</t>
  </si>
  <si>
    <t>Margot Robbie, Brad Pitt, Emma Stone, Viola Davis, Harrison Ford</t>
  </si>
  <si>
    <t>tt1000750</t>
  </si>
  <si>
    <t>A Destiny 643</t>
  </si>
  <si>
    <t>A thriller film set in 2019.</t>
  </si>
  <si>
    <t>Robert De Niro, TimothÃ©e Chalamet, Will Smith</t>
  </si>
  <si>
    <t>tt1000075</t>
  </si>
  <si>
    <t>Gladiator</t>
  </si>
  <si>
    <t>Horror, Comedy</t>
  </si>
  <si>
    <t>An epic horror tale directed by Hayao Miyazaki.</t>
  </si>
  <si>
    <t>Denzel Washington, Viola Davis, Christian Bale, Florence Pugh</t>
  </si>
  <si>
    <t>tt1000788</t>
  </si>
  <si>
    <t>First Destiny 681</t>
  </si>
  <si>
    <t>Musical, Animation</t>
  </si>
  <si>
    <t>Jennifer Lawrence, Viola Davis, Samuel L. Jackson, Zendaya</t>
  </si>
  <si>
    <t>tt1000093</t>
  </si>
  <si>
    <t>Gandhi</t>
  </si>
  <si>
    <t>A musical film set in 1982.</t>
  </si>
  <si>
    <t>TimothÃ©e Chalamet, Matt Damon, Margot Robbie</t>
  </si>
  <si>
    <t>tt1000077</t>
  </si>
  <si>
    <t>Shakespeare in Love</t>
  </si>
  <si>
    <t>Family, War, Fantasy</t>
  </si>
  <si>
    <t>A family film set in 1985.</t>
  </si>
  <si>
    <t>Margot Robbie, Will Smith, Robert De Niro, Florence Pugh, Morgan Freeman</t>
  </si>
  <si>
    <t>tt1000062</t>
  </si>
  <si>
    <t>The Revenant</t>
  </si>
  <si>
    <t>Comedy, Western</t>
  </si>
  <si>
    <t>Ryan Coogler</t>
  </si>
  <si>
    <t>Harrison Ford, Daniel Day-Lewis, Natalie Portman</t>
  </si>
  <si>
    <t>tt1000057</t>
  </si>
  <si>
    <t>Avatar: The Way of Water</t>
  </si>
  <si>
    <t>Musical, Documentary</t>
  </si>
  <si>
    <t>An epic musical tale directed by James Cameron.</t>
  </si>
  <si>
    <t>James Cameron</t>
  </si>
  <si>
    <t>Harrison Ford, Florence Pugh, Meryl Streep, Kate Winslet</t>
  </si>
  <si>
    <t>tt1000080</t>
  </si>
  <si>
    <t>Braveheart</t>
  </si>
  <si>
    <t>Drama, Mystery, Family</t>
  </si>
  <si>
    <t>Chris Hemsworth, Jack Nicholson, Natalie Portman, Tom Cruise, Jennifer Lawrence</t>
  </si>
  <si>
    <t>tt1000728</t>
  </si>
  <si>
    <t>The Legend 621</t>
  </si>
  <si>
    <t>Mystery, Western</t>
  </si>
  <si>
    <t>An epic mystery tale directed by Bong Joon-ho.</t>
  </si>
  <si>
    <t>Zendaya, Johnny Depp, Cate Blanchett, Natalie Portman, Chris Hemsworth</t>
  </si>
  <si>
    <t>tt1000721</t>
  </si>
  <si>
    <t>An Journey 614</t>
  </si>
  <si>
    <t>Animation, Action</t>
  </si>
  <si>
    <t>A animation film set in 2022.</t>
  </si>
  <si>
    <t>Harrison Ford, Florence Pugh, Kate Winslet, Robert Downey Jr.</t>
  </si>
  <si>
    <t>tt1000505</t>
  </si>
  <si>
    <t>First Kingdom 398</t>
  </si>
  <si>
    <t>Biography, Mystery, Romance</t>
  </si>
  <si>
    <t>Mark Ruffalo, Brad Pitt, TimothÃ©e Chalamet, Florence Pugh, Tom Cruise</t>
  </si>
  <si>
    <t>tt1000120</t>
  </si>
  <si>
    <t>An Empire 13</t>
  </si>
  <si>
    <t>Sci-Fi, Family, Crime</t>
  </si>
  <si>
    <t>Ron Howard</t>
  </si>
  <si>
    <t>Johnny Depp, Margot Robbie, Matt Damon, Al Pacino</t>
  </si>
  <si>
    <t>tt1000443</t>
  </si>
  <si>
    <t>Secret Kingdom 336</t>
  </si>
  <si>
    <t>Crime, Comedy, Drama</t>
  </si>
  <si>
    <t>An epic crime tale directed by Christopher Nolan.</t>
  </si>
  <si>
    <t>Cate Blanchett, Robert De Niro, Scarlett Johansson, Jack Nicholson</t>
  </si>
  <si>
    <t>tt1000462</t>
  </si>
  <si>
    <t>Last Kingdom 355</t>
  </si>
  <si>
    <t>Musical, Family</t>
  </si>
  <si>
    <t>A musical film set in 2003.</t>
  </si>
  <si>
    <t>Denzel Washington, Will Smith, Leonardo DiCaprio</t>
  </si>
  <si>
    <t>tt1000359</t>
  </si>
  <si>
    <t>An Legend 252</t>
  </si>
  <si>
    <t>A thrilling biography adventure.</t>
  </si>
  <si>
    <t>Johnny Depp, Tom Hanks, Al Pacino, Emma Stone</t>
  </si>
  <si>
    <t>tt1000275</t>
  </si>
  <si>
    <t>A Mystery 168</t>
  </si>
  <si>
    <t>Crime, Thriller</t>
  </si>
  <si>
    <t>A thrilling crime adventure.</t>
  </si>
  <si>
    <t>Meryl Streep, Robert De Niro, Samuel L. Jackson</t>
  </si>
  <si>
    <t>tt1000632</t>
  </si>
  <si>
    <t>Final Story 525</t>
  </si>
  <si>
    <t>An epic documentary tale directed by Hayao Miyazaki.</t>
  </si>
  <si>
    <t>Robert Downey Jr., Margot Robbie, Anthony Hopkins, Matt Damon</t>
  </si>
  <si>
    <t>tt1000712</t>
  </si>
  <si>
    <t>A Quest 605</t>
  </si>
  <si>
    <t>A action film set in 2024.</t>
  </si>
  <si>
    <t>Amy Adams, Morgan Freeman, Kate Winslet</t>
  </si>
  <si>
    <t>tt1000519</t>
  </si>
  <si>
    <t>The Kingdom 412</t>
  </si>
  <si>
    <t>An epic war tale directed by Ryan Coogler.</t>
  </si>
  <si>
    <t>Robert Downey Jr., Scarlett Johansson, Anthony Hopkins, Morgan Freeman, Viola Davis</t>
  </si>
  <si>
    <t>tt1000444</t>
  </si>
  <si>
    <t>Lost Secrets 337</t>
  </si>
  <si>
    <t>A family film set in 2001.</t>
  </si>
  <si>
    <t>Edward Norton, Morgan Freeman, Scarlett Johansson, Natalie Portman</t>
  </si>
  <si>
    <t>tt1000014</t>
  </si>
  <si>
    <t>The Green Mile</t>
  </si>
  <si>
    <t>Crime, Adventure</t>
  </si>
  <si>
    <t>A crime film set in 1940.</t>
  </si>
  <si>
    <t>Keanu Reeves, Margot Robbie, Al Pacino, Daniel Day-Lewis</t>
  </si>
  <si>
    <t>tt1000349</t>
  </si>
  <si>
    <t>Final Kingdom 242</t>
  </si>
  <si>
    <t>Fantasy, Drama, Documentary</t>
  </si>
  <si>
    <t>An epic fantasy tale directed by Wes Anderson.</t>
  </si>
  <si>
    <t>Wes Anderson</t>
  </si>
  <si>
    <t>Emma Stone, Cate Blanchett, Samuel L. Jackson</t>
  </si>
  <si>
    <t>tt1000947</t>
  </si>
  <si>
    <t>Last Mystery 840</t>
  </si>
  <si>
    <t>A animation film set in 2024.</t>
  </si>
  <si>
    <t>Emma Stone, Tom Hanks, Meryl Streep, Denzel Washington</t>
  </si>
  <si>
    <t>tt1000000</t>
  </si>
  <si>
    <t>The Shawshank Redemption</t>
  </si>
  <si>
    <t>Romance, Musical</t>
  </si>
  <si>
    <t>A romance film set in 1950.</t>
  </si>
  <si>
    <t>Emma Stone, Jennifer Lawrence, Natalie Portman, Zendaya, Denzel Washington</t>
  </si>
  <si>
    <t>tt1000001</t>
  </si>
  <si>
    <t>The Godfather</t>
  </si>
  <si>
    <t>Sci-Fi</t>
  </si>
  <si>
    <t>An epic sci-fi tale directed by Taika Waititi.</t>
  </si>
  <si>
    <t>Taika Waititi</t>
  </si>
  <si>
    <t>Florence Pugh, Meryl Streep, Daniel Day-Lewis, Denzel Washington</t>
  </si>
  <si>
    <t>tt1000978</t>
  </si>
  <si>
    <t>First Mystery 871</t>
  </si>
  <si>
    <t>Comedy, Action, Thriller</t>
  </si>
  <si>
    <t>A comedy film set in 2016.</t>
  </si>
  <si>
    <t>Cate Blanchett, Robert De Niro, Al Pacino, TimothÃ©e Chalamet, Tom Hanks</t>
  </si>
  <si>
    <t>tt1000020</t>
  </si>
  <si>
    <t>The Lion King</t>
  </si>
  <si>
    <t>Romance, War</t>
  </si>
  <si>
    <t>An epic romance tale directed by Ridley Scott.</t>
  </si>
  <si>
    <t>Gary Oldman, Florence Pugh, Anthony Hopkins, Kate Winslet, Al Pacino</t>
  </si>
  <si>
    <t>tt1000333</t>
  </si>
  <si>
    <t>Dark Legend 226</t>
  </si>
  <si>
    <t>Natalie Portman, TimothÃ©e Chalamet, Viola Davis</t>
  </si>
  <si>
    <t>tt1000898</t>
  </si>
  <si>
    <t>Lost Awakening 791</t>
  </si>
  <si>
    <t>Robert De Niro, Robert Downey Jr., TimothÃ©e Chalamet</t>
  </si>
  <si>
    <t>tt1000061</t>
  </si>
  <si>
    <t>Mad Max: Fury Road</t>
  </si>
  <si>
    <t>Animation, Musical, Sci-Fi</t>
  </si>
  <si>
    <t>A thrilling animation adventure.</t>
  </si>
  <si>
    <t>Gary Oldman, Anthony Hopkins, Kate Winslet, Robert De Niro, Al Pacino</t>
  </si>
  <si>
    <t>tt1000874</t>
  </si>
  <si>
    <t>An Secrets 767</t>
  </si>
  <si>
    <t>Horror, Adventure, Fantasy</t>
  </si>
  <si>
    <t>A critically acclaimed horror masterpiece.</t>
  </si>
  <si>
    <t>Robert De Niro, Scarlett Johansson, Al Pacino, Denzel Washington, Matt Damon</t>
  </si>
  <si>
    <t>tt1000875</t>
  </si>
  <si>
    <t>Final Journey 768</t>
  </si>
  <si>
    <t>A crime film set in 2013.</t>
  </si>
  <si>
    <t>Jack Nicholson, Will Smith, Matt Damon</t>
  </si>
  <si>
    <t>tt1000735</t>
  </si>
  <si>
    <t>A Love 628</t>
  </si>
  <si>
    <t>Adventure, Biography</t>
  </si>
  <si>
    <t>Tom Hanks, Viola Davis, Natalie Portman</t>
  </si>
  <si>
    <t>tt1000696</t>
  </si>
  <si>
    <t>An Revolution 589</t>
  </si>
  <si>
    <t>Robert Downey Jr., Matt Damon, Christian Bale, Daniel Day-Lewis, Mark Ruffalo</t>
  </si>
  <si>
    <t>tt1000095</t>
  </si>
  <si>
    <t>Ordinary People</t>
  </si>
  <si>
    <t>Mystery, Adventure, Biography</t>
  </si>
  <si>
    <t>A mystery film set in 1993.</t>
  </si>
  <si>
    <t>Chris Hemsworth, Robert Downey Jr., Brad Pitt, Matt Damon</t>
  </si>
  <si>
    <t>tt1000059</t>
  </si>
  <si>
    <t>Thor: Ragnarok</t>
  </si>
  <si>
    <t>Denzel Washington, Zendaya, Harrison Ford</t>
  </si>
  <si>
    <t>tt1000072</t>
  </si>
  <si>
    <t>Million Dollar Baby</t>
  </si>
  <si>
    <t>Keanu Reeves, Natalie Portman, Johnny Depp</t>
  </si>
  <si>
    <t>tt1000818</t>
  </si>
  <si>
    <t>An Adventures 711</t>
  </si>
  <si>
    <t>Horror, Sci-Fi</t>
  </si>
  <si>
    <t>Jennifer Lawrence, Scarlett Johansson, Leonardo DiCaprio, Margot Robbie</t>
  </si>
  <si>
    <t>tt1000437</t>
  </si>
  <si>
    <t>Dark Destiny 330</t>
  </si>
  <si>
    <t>War, Western</t>
  </si>
  <si>
    <t>Jack Nicholson, Daniel Day-Lewis, Meryl Streep, Jennifer Lawrence, Christian Bale</t>
  </si>
  <si>
    <t>tt1000689</t>
  </si>
  <si>
    <t>Final Kingdom 582</t>
  </si>
  <si>
    <t>An epic documentary tale directed by Stanley Kubrick.</t>
  </si>
  <si>
    <t>Chris Hemsworth, Edward Norton, Daniel Day-Lewis, Tom Hanks</t>
  </si>
  <si>
    <t>tt1000071</t>
  </si>
  <si>
    <t>Crash</t>
  </si>
  <si>
    <t>Drama, Comedy</t>
  </si>
  <si>
    <t>A critically acclaimed drama masterpiece.</t>
  </si>
  <si>
    <t>Denzel Washington, Daniel Day-Lewis, Keanu Reeves</t>
  </si>
  <si>
    <t>tt1000962</t>
  </si>
  <si>
    <t>A Legend 855</t>
  </si>
  <si>
    <t>Biography, Sci-Fi</t>
  </si>
  <si>
    <t>A biography film set in 2019.</t>
  </si>
  <si>
    <t>Robert De Niro, Morgan Freeman, Tom Cruise, Robert Downey Jr.</t>
  </si>
  <si>
    <t>tt1000042</t>
  </si>
  <si>
    <t>The Grand Budapest Hotel</t>
  </si>
  <si>
    <t>Drama, Romance, War</t>
  </si>
  <si>
    <t>An epic drama tale directed by Stanley Kubrick.</t>
  </si>
  <si>
    <t>Mark Ruffalo, Jennifer Lawrence, Tom Cruise, Christian Bale, Anthony Hopkins</t>
  </si>
  <si>
    <t>tt1000029</t>
  </si>
  <si>
    <t>Django Unchained</t>
  </si>
  <si>
    <t>Biography, Documentary</t>
  </si>
  <si>
    <t>Amy Adams, Margot Robbie, Natalie Portman</t>
  </si>
  <si>
    <t>tt1000003</t>
  </si>
  <si>
    <t>Pulp Fiction</t>
  </si>
  <si>
    <t>Margot Robbie, Christian Bale, Daniel Day-Lewis</t>
  </si>
  <si>
    <t>tt1000028</t>
  </si>
  <si>
    <t>Back to the Future</t>
  </si>
  <si>
    <t>Amy Adams, Jennifer Lawrence, Natalie Portman, Daniel Day-Lewis, Mark Ruffalo</t>
  </si>
  <si>
    <t>tt1000031</t>
  </si>
  <si>
    <t>Toy Story</t>
  </si>
  <si>
    <t>An epic musical tale directed by Ryan Coogler.</t>
  </si>
  <si>
    <t>Brad Pitt, Harrison Ford, Viola Davis</t>
  </si>
  <si>
    <t>tt1000063</t>
  </si>
  <si>
    <t>Birdman</t>
  </si>
  <si>
    <t>Sci-Fi, Musical</t>
  </si>
  <si>
    <t>A sci-fi film set in 1995.</t>
  </si>
  <si>
    <t>Jack Nicholson, Emma Stone, Tom Hanks</t>
  </si>
  <si>
    <t>tt1000596</t>
  </si>
  <si>
    <t>Last Story 489</t>
  </si>
  <si>
    <t>Western, Action</t>
  </si>
  <si>
    <t>An epic western tale directed by Ryan Coogler.</t>
  </si>
  <si>
    <t>Emma Stone, Will Smith, Leonardo DiCaprio</t>
  </si>
  <si>
    <t>tt1000621</t>
  </si>
  <si>
    <t>First Love 514</t>
  </si>
  <si>
    <t>A horror film set in 2017.</t>
  </si>
  <si>
    <t>Zendaya, Harrison Ford, Meryl Streep, Jennifer Lawrence, Jack Nicholson</t>
  </si>
  <si>
    <t>tt1000719</t>
  </si>
  <si>
    <t>An Legend 612</t>
  </si>
  <si>
    <t>Margot Robbie, Edward Norton, Anthony Hopkins</t>
  </si>
  <si>
    <t>tt1000089</t>
  </si>
  <si>
    <t>Platoon</t>
  </si>
  <si>
    <t>George Lucas</t>
  </si>
  <si>
    <t>Harrison Ford, Tom Hanks, Anthony Hopkins</t>
  </si>
  <si>
    <t>tt1000097</t>
  </si>
  <si>
    <t>The Deer Hunter</t>
  </si>
  <si>
    <t>Mystery, Western, Drama</t>
  </si>
  <si>
    <t>A mystery film set in 1985.</t>
  </si>
  <si>
    <t>Robert De Niro, Zendaya, Samuel L. Jackson, Jack Nicholson, Leonardo DiCaprio</t>
  </si>
  <si>
    <t>tt1000096</t>
  </si>
  <si>
    <t>Kramer vs. Kramer</t>
  </si>
  <si>
    <t>Action, Adventure, Mystery</t>
  </si>
  <si>
    <t>An epic action tale directed by Wes Anderson.</t>
  </si>
  <si>
    <t>Jack Nicholson, Viola Davis, Johnny Depp, TimothÃ©e Chalamet, Robert De Niro</t>
  </si>
  <si>
    <t>tt1000092</t>
  </si>
  <si>
    <t>Terms of Endearment</t>
  </si>
  <si>
    <t>Cate Blanchett, Viola Davis, Harrison Ford</t>
  </si>
  <si>
    <t>tt1000552</t>
  </si>
  <si>
    <t>Dark Mission 445</t>
  </si>
  <si>
    <t>Brad Pitt, Anthony Hopkins, Matt Damon, Daniel Day-Lewis</t>
  </si>
  <si>
    <t>tt1000380</t>
  </si>
  <si>
    <t>A Empire 273</t>
  </si>
  <si>
    <t>Documentary, Biography, Drama</t>
  </si>
  <si>
    <t>Tom Cruise, Robert De Niro, Al Pacino, TimothÃ©e Chalamet, Margot Robbie</t>
  </si>
  <si>
    <t>tt1000542</t>
  </si>
  <si>
    <t>A Quest 435</t>
  </si>
  <si>
    <t>Crime, Action, Family</t>
  </si>
  <si>
    <t>A crime film set in 2011.</t>
  </si>
  <si>
    <t>Samuel L. Jackson, Matt Damon, Al Pacino, Johnny Depp</t>
  </si>
  <si>
    <t>tt1000553</t>
  </si>
  <si>
    <t>Final Mission 446</t>
  </si>
  <si>
    <t>Animation, Horror</t>
  </si>
  <si>
    <t>A animation film set in 2007.</t>
  </si>
  <si>
    <t>Natalie Portman, Al Pacino, Tom Hanks, Edward Norton</t>
  </si>
  <si>
    <t>tt1000132</t>
  </si>
  <si>
    <t>A Dreams 25</t>
  </si>
  <si>
    <t>Sci-Fi, Musical, Documentary</t>
  </si>
  <si>
    <t>A sci-fi film set in 1991.</t>
  </si>
  <si>
    <t>Meryl Streep, Robert De Niro, Samuel L. Jackson, Margot Robbie</t>
  </si>
  <si>
    <t>tt1000586</t>
  </si>
  <si>
    <t>An Mission 479</t>
  </si>
  <si>
    <t>Documentary, Sci-Fi, Comedy</t>
  </si>
  <si>
    <t>A documentary film set in 2000.</t>
  </si>
  <si>
    <t>Cate Blanchett, Edward Norton, Al Pacino, Robert Downey Jr., Scarlett Johansson</t>
  </si>
  <si>
    <t>tt1000320</t>
  </si>
  <si>
    <t>Final Chronicles 213</t>
  </si>
  <si>
    <t>Adventure, Documentary</t>
  </si>
  <si>
    <t>An epic adventure tale directed by Coen Brothers.</t>
  </si>
  <si>
    <t>Robert De Niro, Jack Nicholson, Leonardo DiCaprio, Tom Cruise, Natalie Portman</t>
  </si>
  <si>
    <t>tt1000015</t>
  </si>
  <si>
    <t>Parasite</t>
  </si>
  <si>
    <t>Fantasy</t>
  </si>
  <si>
    <t>An epic fantasy tale directed by Spike Lee.</t>
  </si>
  <si>
    <t>Chris Hemsworth, Leonardo DiCaprio, Samuel L. Jackson, Florence Pugh</t>
  </si>
  <si>
    <t>tt1000009</t>
  </si>
  <si>
    <t>The Matrix</t>
  </si>
  <si>
    <t>Biography, Western</t>
  </si>
  <si>
    <t>Cate Blanchett, Harrison Ford, Will Smith</t>
  </si>
  <si>
    <t>tt1000956</t>
  </si>
  <si>
    <t>Secret Love 849</t>
  </si>
  <si>
    <t>Drama, Fantasy</t>
  </si>
  <si>
    <t>An epic drama tale directed by Taika Waititi.</t>
  </si>
  <si>
    <t>Mark Ruffalo, Keanu Reeves, Tom Cruise</t>
  </si>
  <si>
    <t>tt1000951</t>
  </si>
  <si>
    <t>An Love 844</t>
  </si>
  <si>
    <t>Leonardo DiCaprio, Samuel L. Jackson, Matt Damon, Mark Ruffalo, Amy Adams</t>
  </si>
  <si>
    <t>tt1000045</t>
  </si>
  <si>
    <t>Get Out</t>
  </si>
  <si>
    <t>Fantasy, Mystery</t>
  </si>
  <si>
    <t>A fantasy film set in 1960.</t>
  </si>
  <si>
    <t>Morgan Freeman, Cate Blanchett, Harrison Ford, Matt Damon</t>
  </si>
  <si>
    <t>tt1000863</t>
  </si>
  <si>
    <t>A Journey 756</t>
  </si>
  <si>
    <t>Family, Animation, Drama</t>
  </si>
  <si>
    <t>Emma Stone, Mark Ruffalo, Will Smith, Keanu Reeves</t>
  </si>
  <si>
    <t>tt1000054</t>
  </si>
  <si>
    <t>Spider-Man: No Way Home</t>
  </si>
  <si>
    <t>Sci-Fi, Mystery</t>
  </si>
  <si>
    <t>Matt Damon, Florence Pugh, Johnny Depp</t>
  </si>
  <si>
    <t>tt1000056</t>
  </si>
  <si>
    <t>The Batman</t>
  </si>
  <si>
    <t>Documentary, Musical, War</t>
  </si>
  <si>
    <t>An epic documentary tale directed by Danny Boyle.</t>
  </si>
  <si>
    <t>Kate Winslet, Viola Davis, Christian Bale, Al Pacino, Tom Hanks</t>
  </si>
  <si>
    <t>tt1000060</t>
  </si>
  <si>
    <t>Wonder Woman</t>
  </si>
  <si>
    <t>Jack Nicholson, Brad Pitt, Gary Oldman, Denzel Washington, Will Smith</t>
  </si>
  <si>
    <t>tt1000082</t>
  </si>
  <si>
    <t>Schindler's List</t>
  </si>
  <si>
    <t>A sci-fi film set in 1982.</t>
  </si>
  <si>
    <t>Margot Robbie, Kate Winslet, Will Smith, Scarlett Johansson</t>
  </si>
  <si>
    <t>tt1000226</t>
  </si>
  <si>
    <t>Final Journey 119</t>
  </si>
  <si>
    <t>Drama, Horror, Fantasy</t>
  </si>
  <si>
    <t>Brad Pitt, Al Pacino, Anthony Hopkins, Tom Cruise, Scarlett Johansson</t>
  </si>
  <si>
    <t>tt1000223</t>
  </si>
  <si>
    <t>Last Revolution 116</t>
  </si>
  <si>
    <t>An epic drama tale directed by Spike Lee.</t>
  </si>
  <si>
    <t>Florence Pugh, Jack Nicholson, Tom Hanks, Robert Downey Jr., Anthony Hopkins</t>
  </si>
  <si>
    <t>tt1000615</t>
  </si>
  <si>
    <t>Lost Chronicles 508</t>
  </si>
  <si>
    <t>Action, Fantasy</t>
  </si>
  <si>
    <t>Edward Norton, Harrison Ford, Denzel Washington, Chris Hemsworth, Meryl Streep</t>
  </si>
  <si>
    <t>tt1000034</t>
  </si>
  <si>
    <t>Jurassic Park</t>
  </si>
  <si>
    <t>Johnny Depp, Jennifer Lawrence, Cate Blanchett, Tom Cruise, Samuel L. Jackson</t>
  </si>
  <si>
    <t>tt1000983</t>
  </si>
  <si>
    <t>The Quest 876</t>
  </si>
  <si>
    <t>An epic animation tale directed by Frank Darabont.</t>
  </si>
  <si>
    <t>Emma Stone, Leonardo DiCaprio, Natalie Portman</t>
  </si>
  <si>
    <t>tt1000017</t>
  </si>
  <si>
    <t>Family, Crime, Fantasy</t>
  </si>
  <si>
    <t>A family film set in 1978.</t>
  </si>
  <si>
    <t>Kate Winslet, Tom Cruise, Florence Pugh, Robert De Niro, Morgan Freeman</t>
  </si>
  <si>
    <t>tt1000139</t>
  </si>
  <si>
    <t>Dark Quest 32</t>
  </si>
  <si>
    <t>A war film set in 1986.</t>
  </si>
  <si>
    <t>Emma Stone, Keanu Reeves, Brad Pitt, Viola Davis</t>
  </si>
  <si>
    <t>tt1000549</t>
  </si>
  <si>
    <t>Secret War 442</t>
  </si>
  <si>
    <t>Meryl Streep, Robert Downey Jr., Gary Oldman, Natalie Portman, Scarlett Johansson</t>
  </si>
  <si>
    <t>tt1000131</t>
  </si>
  <si>
    <t>Secret Adventures 24</t>
  </si>
  <si>
    <t>Adventure, Thriller</t>
  </si>
  <si>
    <t>Jack Nicholson, Gary Oldman, Amy Adams</t>
  </si>
  <si>
    <t>tt1000516</t>
  </si>
  <si>
    <t>Secret Quest 409</t>
  </si>
  <si>
    <t>Drama, Thriller</t>
  </si>
  <si>
    <t>An epic drama tale directed by Steven Spielberg.</t>
  </si>
  <si>
    <t>Leonardo DiCaprio, Meryl Streep, Brad Pitt</t>
  </si>
  <si>
    <t>tt1000496</t>
  </si>
  <si>
    <t>Final Quest 389</t>
  </si>
  <si>
    <t>Tom Cruise, Keanu Reeves, Johnny Depp</t>
  </si>
  <si>
    <t>tt1000480</t>
  </si>
  <si>
    <t>An Mystery 373</t>
  </si>
  <si>
    <t>Romance, Sci-Fi</t>
  </si>
  <si>
    <t>A thrilling romance adventure.</t>
  </si>
  <si>
    <t>Harrison Ford, Matt Damon, Daniel Day-Lewis, Tom Hanks, Mark Ruffalo</t>
  </si>
  <si>
    <t>tt1000467</t>
  </si>
  <si>
    <t>Last Mystery 360</t>
  </si>
  <si>
    <t>Western, Adventure</t>
  </si>
  <si>
    <t>A western film set in 2002.</t>
  </si>
  <si>
    <t>Harrison Ford, Jennifer Lawrence, Natalie Portman, Christian Bale</t>
  </si>
  <si>
    <t>tt1000352</t>
  </si>
  <si>
    <t>Dark Quest 245</t>
  </si>
  <si>
    <t>Western, Comedy</t>
  </si>
  <si>
    <t>Daniel Day-Lewis, Natalie Portman, Anthony Hopkins, Edward Norton</t>
  </si>
  <si>
    <t>tt1000284</t>
  </si>
  <si>
    <t>An Mission 177</t>
  </si>
  <si>
    <t>Meryl Streep, Brad Pitt, Jack Nicholson</t>
  </si>
  <si>
    <t>tt1000269</t>
  </si>
  <si>
    <t>Lost Dreams 162</t>
  </si>
  <si>
    <t>Western</t>
  </si>
  <si>
    <t>Harrison Ford, Scarlett Johansson, Anthony Hopkins, Amy Adams</t>
  </si>
  <si>
    <t>tt1000650</t>
  </si>
  <si>
    <t>A Kingdom 543</t>
  </si>
  <si>
    <t>Thriller, Western</t>
  </si>
  <si>
    <t>A thriller film set in 2023.</t>
  </si>
  <si>
    <t>Scarlett Johansson, Kate Winslet, Florence Pugh, Amy Adams</t>
  </si>
  <si>
    <t>tt1000299</t>
  </si>
  <si>
    <t>Secret Awakening 192</t>
  </si>
  <si>
    <t>Western, Biography, Comedy</t>
  </si>
  <si>
    <t>Al Pacino, Daniel Day-Lewis, Matt Damon</t>
  </si>
  <si>
    <t>tt1000079</t>
  </si>
  <si>
    <t>The English Patient</t>
  </si>
  <si>
    <t>A biography film set in 1989.</t>
  </si>
  <si>
    <t>Harrison Ford, Jennifer Lawrence, Johnny Depp</t>
  </si>
  <si>
    <t>tt1000690</t>
  </si>
  <si>
    <t>Dark Empire 583</t>
  </si>
  <si>
    <t>Comedy, War</t>
  </si>
  <si>
    <t>A comedy film set in 2008.</t>
  </si>
  <si>
    <t>Samuel L. Jackson, Chris Hemsworth, Keanu Reeves, Harrison Ford, Jennifer Lawrence</t>
  </si>
  <si>
    <t>tt1000692</t>
  </si>
  <si>
    <t>Final Empire 585</t>
  </si>
  <si>
    <t>Margot Robbie, Scarlett Johansson, Robert De Niro, Robert Downey Jr., Emma Stone</t>
  </si>
  <si>
    <t>tt1000098</t>
  </si>
  <si>
    <t>Annie Hall</t>
  </si>
  <si>
    <t>Musical, Animation, Biography</t>
  </si>
  <si>
    <t>A musical film set in 1993.</t>
  </si>
  <si>
    <t>Scarlett Johansson, Christian Bale, Kate Winslet, Robert De Niro</t>
  </si>
  <si>
    <t>tt1000878</t>
  </si>
  <si>
    <t>A Awakening 771</t>
  </si>
  <si>
    <t>A critically acclaimed romance masterpiece.</t>
  </si>
  <si>
    <t>Daniel Day-Lewis, Mark Ruffalo, Harrison Ford, Tom Cruise, Emma Stone</t>
  </si>
  <si>
    <t>tt1000297</t>
  </si>
  <si>
    <t>Secret Quest 190</t>
  </si>
  <si>
    <t>Comedy, Crime</t>
  </si>
  <si>
    <t>An epic comedy tale directed by Ava DuVernay.</t>
  </si>
  <si>
    <t>Harrison Ford, Morgan Freeman, Amy Adams</t>
  </si>
  <si>
    <t>tt1000296</t>
  </si>
  <si>
    <t>Dark Destiny 189</t>
  </si>
  <si>
    <t>TimothÃ©e Chalamet, Denzel Washington, Keanu Reeves, Florence Pugh, Morgan Freeman</t>
  </si>
  <si>
    <t>tt1000238</t>
  </si>
  <si>
    <t>An Mystery 131</t>
  </si>
  <si>
    <t>Horror, Crime, Action</t>
  </si>
  <si>
    <t>A horror film set in 2002.</t>
  </si>
  <si>
    <t>Zendaya, Meryl Streep, Johnny Depp, Chris Hemsworth, TimothÃ©e Chalamet</t>
  </si>
  <si>
    <t>tt1000091</t>
  </si>
  <si>
    <t>Amadeus</t>
  </si>
  <si>
    <t>An epic fantasy tale directed by Quentin Tarantino.</t>
  </si>
  <si>
    <t>Anthony Hopkins, Zendaya, Matt Damon</t>
  </si>
  <si>
    <t>tt1000649</t>
  </si>
  <si>
    <t>Lost Adventures 542</t>
  </si>
  <si>
    <t>Animation, Romance</t>
  </si>
  <si>
    <t>An epic animation tale directed by Wes Anderson.</t>
  </si>
  <si>
    <t>Mark Ruffalo, Will Smith, Amy Adams, Robert Downey Jr.</t>
  </si>
  <si>
    <t>tt1000622</t>
  </si>
  <si>
    <t>A Destiny 515</t>
  </si>
  <si>
    <t>War, Comedy</t>
  </si>
  <si>
    <t>Tom Hanks, Margot Robbie, Florence Pugh</t>
  </si>
  <si>
    <t>tt1000656</t>
  </si>
  <si>
    <t>Dark Mission 549</t>
  </si>
  <si>
    <t>Sci-Fi, Adventure, Musical</t>
  </si>
  <si>
    <t>A sci-fi film set in 2015.</t>
  </si>
  <si>
    <t>Johnny Depp, Amy Adams, Robert De Niro</t>
  </si>
  <si>
    <t>tt1000599</t>
  </si>
  <si>
    <t>Lost Journey 492</t>
  </si>
  <si>
    <t>An epic fantasy tale directed by Akira Kurosawa.</t>
  </si>
  <si>
    <t>Amy Adams, Margot Robbie, Scarlett Johansson, Jennifer Lawrence, Jack Nicholson</t>
  </si>
  <si>
    <t>tt1000423</t>
  </si>
  <si>
    <t>Final War 316</t>
  </si>
  <si>
    <t>Crime, Comedy, Musical</t>
  </si>
  <si>
    <t>Keanu Reeves, Anthony Hopkins, Florence Pugh</t>
  </si>
  <si>
    <t>tt1000373</t>
  </si>
  <si>
    <t>Lost Empire 266</t>
  </si>
  <si>
    <t>Western, Sci-Fi</t>
  </si>
  <si>
    <t>Florence Pugh, Amy Adams, Christian Bale, Natalie Portman</t>
  </si>
  <si>
    <t>tt1000508</t>
  </si>
  <si>
    <t>A Revolution 401</t>
  </si>
  <si>
    <t>Meryl Streep, Denzel Washington, Cate Blanchett, Daniel Day-Lewis</t>
  </si>
  <si>
    <t>tt1000005</t>
  </si>
  <si>
    <t>The Lord of the Rings: The Return of the King</t>
  </si>
  <si>
    <t>Animation, Sci-Fi</t>
  </si>
  <si>
    <t>Morgan Freeman, Cate Blanchett, Tom Hanks</t>
  </si>
  <si>
    <t>tt1000040</t>
  </si>
  <si>
    <t>Alien</t>
  </si>
  <si>
    <t>A comedy film set in 1964.</t>
  </si>
  <si>
    <t>Johnny Depp, Anthony Hopkins, Margot Robbie, Florence Pugh, Jack Nicholson</t>
  </si>
  <si>
    <t>tt1000900</t>
  </si>
  <si>
    <t>Lost Dreams 793</t>
  </si>
  <si>
    <t>Animation, Adventure, Musical</t>
  </si>
  <si>
    <t>A animation film set in 2001.</t>
  </si>
  <si>
    <t>Margot Robbie, Kate Winslet, Brad Pitt, Edward Norton, Matt Damon</t>
  </si>
  <si>
    <t>tt1000065</t>
  </si>
  <si>
    <t>Argo</t>
  </si>
  <si>
    <t>Fantasy, War</t>
  </si>
  <si>
    <t>An epic fantasy tale directed by Alfred Hitchcock.</t>
  </si>
  <si>
    <t>Natalie Portman, Amy Adams, Robert De Niro</t>
  </si>
  <si>
    <t>tt1000068</t>
  </si>
  <si>
    <t>Slumdog Millionaire</t>
  </si>
  <si>
    <t>Edward Norton, Margot Robbie, Brad Pitt, Jennifer Lawrence</t>
  </si>
  <si>
    <t>tt1000053</t>
  </si>
  <si>
    <t>No Time to Die</t>
  </si>
  <si>
    <t>Horror, Musical</t>
  </si>
  <si>
    <t>An epic horror tale directed by Jordan Peele.</t>
  </si>
  <si>
    <t>Anthony Hopkins, Daniel Day-Lewis, Morgan Freeman, Zendaya, Emma Stone</t>
  </si>
  <si>
    <t>tt1000783</t>
  </si>
  <si>
    <t>A Secrets 676</t>
  </si>
  <si>
    <t>Thriller, Family</t>
  </si>
  <si>
    <t>Al Pacino, Robert De Niro, Jennifer Lawrence</t>
  </si>
  <si>
    <t>tt1000861</t>
  </si>
  <si>
    <t>An Revolution 754</t>
  </si>
  <si>
    <t>Sci-Fi, Romance, Crime</t>
  </si>
  <si>
    <t>Harrison Ford, Mark Ruffalo, Margot Robbie, Natalie Portman, Emma Stone</t>
  </si>
  <si>
    <t>tt1000823</t>
  </si>
  <si>
    <t>A Awakening 716</t>
  </si>
  <si>
    <t>Action, Documentary</t>
  </si>
  <si>
    <t>An epic action tale directed by Ridley Scott.</t>
  </si>
  <si>
    <t>Robert De Niro, Brad Pitt, Johnny Depp, Jack Nicholson</t>
  </si>
  <si>
    <t>tt1000791</t>
  </si>
  <si>
    <t>Secret Revolution 684</t>
  </si>
  <si>
    <t>Documentary, Crime</t>
  </si>
  <si>
    <t>Cate Blanchett, Florence Pugh, Emma Stone, Mark Ruffalo, Gary Oldman</t>
  </si>
  <si>
    <t>tt1000809</t>
  </si>
  <si>
    <t>Secret Secrets 702</t>
  </si>
  <si>
    <t>Florence Pugh, Robert De Niro, Samuel L. Jackson, Margot Robbie</t>
  </si>
  <si>
    <t>tt1000230</t>
  </si>
  <si>
    <t>An Adventures 123</t>
  </si>
  <si>
    <t>Adventure, Crime</t>
  </si>
  <si>
    <t>An epic adventure tale directed by Danny Boyle.</t>
  </si>
  <si>
    <t>Will Smith, Gary Oldman, Scarlett Johansson</t>
  </si>
  <si>
    <t>tt1000318</t>
  </si>
  <si>
    <t>Lost Legend 211</t>
  </si>
  <si>
    <t>A musical film set in 2013.</t>
  </si>
  <si>
    <t>Jack Nicholson, Meryl Streep, Keanu Reeves</t>
  </si>
  <si>
    <t>tt1000347</t>
  </si>
  <si>
    <t>First War 240</t>
  </si>
  <si>
    <t>Western, Drama</t>
  </si>
  <si>
    <t>Kate Winslet, Brad Pitt, Leonardo DiCaprio, Daniel Day-Lewis, Cate Blanchett</t>
  </si>
  <si>
    <t>tt1000884</t>
  </si>
  <si>
    <t>Secret Quest 777</t>
  </si>
  <si>
    <t>Family, Horror</t>
  </si>
  <si>
    <t>Tom Cruise, Florence Pugh, Tom Hanks</t>
  </si>
  <si>
    <t>tt1000849</t>
  </si>
  <si>
    <t>A Mission 742</t>
  </si>
  <si>
    <t>Crime, Musical, Documentary</t>
  </si>
  <si>
    <t>Matt Damon, Anthony Hopkins, Meryl Streep, Chris Hemsworth, Scarlett Johansson</t>
  </si>
  <si>
    <t>tt1000179</t>
  </si>
  <si>
    <t>Lost Mission 72</t>
  </si>
  <si>
    <t>Horror, Western, Animation</t>
  </si>
  <si>
    <t>Emma Stone, Tom Hanks, Amy Adams, Morgan Freeman</t>
  </si>
  <si>
    <t>tt1000046</t>
  </si>
  <si>
    <t>Black Panther</t>
  </si>
  <si>
    <t>Viola Davis, Brad Pitt, Chris Hemsworth, Jennifer Lawrence</t>
  </si>
  <si>
    <t>tt1000064</t>
  </si>
  <si>
    <t>12 Years a Slave</t>
  </si>
  <si>
    <t>Crime, Sci-Fi, Romance</t>
  </si>
  <si>
    <t>Florence Pugh, Samuel L. Jackson, Al Pacino</t>
  </si>
  <si>
    <t>tt1000066</t>
  </si>
  <si>
    <t>The Artist</t>
  </si>
  <si>
    <t>War, Sci-Fi, Musical</t>
  </si>
  <si>
    <t>Jack Nicholson, Margot Robbie, Florence Pugh</t>
  </si>
  <si>
    <t>tt1000845</t>
  </si>
  <si>
    <t>Lost Mystery 738</t>
  </si>
  <si>
    <t>Jack Nicholson, Edward Norton, Zendaya, Viola Davis, Tom Hanks</t>
  </si>
  <si>
    <t>tt1000083</t>
  </si>
  <si>
    <t>Unforgiven</t>
  </si>
  <si>
    <t>Sci-Fi, Thriller</t>
  </si>
  <si>
    <t>An epic sci-fi tale directed by Park Chan-wook.</t>
  </si>
  <si>
    <t>Gary Oldman, Morgan Freeman, Harrison Ford, Zendaya</t>
  </si>
  <si>
    <t>tt1000976</t>
  </si>
  <si>
    <t>First Quest 869</t>
  </si>
  <si>
    <t>TimothÃ©e Chalamet, Morgan Freeman, Samuel L. Jackson, Cate Blanchett, Will Smith</t>
  </si>
  <si>
    <t>tt1000279</t>
  </si>
  <si>
    <t>The Secrets 172</t>
  </si>
  <si>
    <t>Anthony Hopkins, Robert De Niro, Harrison Ford, Chris Hemsworth</t>
  </si>
  <si>
    <t>tt1000579</t>
  </si>
  <si>
    <t>Secret Love 472</t>
  </si>
  <si>
    <t>Comedy</t>
  </si>
  <si>
    <t>Zendaya, Amy Adams, Leonardo DiCaprio, Viola Davis, Jennifer Lawrence</t>
  </si>
  <si>
    <t>tt1000294</t>
  </si>
  <si>
    <t>Lost Mission 187</t>
  </si>
  <si>
    <t>Leonardo DiCaprio, Gary Oldman, Natalie Portman, Brad Pitt, Zendaya</t>
  </si>
  <si>
    <t>tt1000271</t>
  </si>
  <si>
    <t>An Quest 164</t>
  </si>
  <si>
    <t>A fantasy film set in 2003.</t>
  </si>
  <si>
    <t>Mark Ruffalo, Leonardo DiCaprio, Robert De Niro, Gary Oldman</t>
  </si>
  <si>
    <t>tt1000129</t>
  </si>
  <si>
    <t>Final Mystery 22</t>
  </si>
  <si>
    <t>Romance, Biography, Mystery</t>
  </si>
  <si>
    <t>An epic romance tale directed by James Cameron.</t>
  </si>
  <si>
    <t>Meryl Streep, Leonardo DiCaprio, Brad Pitt</t>
  </si>
  <si>
    <t>tt1000559</t>
  </si>
  <si>
    <t>First War 452</t>
  </si>
  <si>
    <t>Mark Ruffalo, Robert Downey Jr., Emma Stone, Viola Davis, Edward Norton</t>
  </si>
  <si>
    <t>tt1000378</t>
  </si>
  <si>
    <t>First Journey 271</t>
  </si>
  <si>
    <t>A biography film set in 2015.</t>
  </si>
  <si>
    <t>Cate Blanchett, Kate Winslet, Gary Oldman</t>
  </si>
  <si>
    <t>tt1000409</t>
  </si>
  <si>
    <t>Secret Mystery 302</t>
  </si>
  <si>
    <t>A war film set in 2000.</t>
  </si>
  <si>
    <t>Christian Bale, TimothÃ©e Chalamet, Chris Hemsworth</t>
  </si>
  <si>
    <t>tt1000346</t>
  </si>
  <si>
    <t>An Kingdom 239</t>
  </si>
  <si>
    <t>Musical, Family, War</t>
  </si>
  <si>
    <t>A musical film set in 2008.</t>
  </si>
  <si>
    <t>Edward Norton, Jack Nicholson, Christian Bale, Samuel L. Jackson, Keanu Reeves</t>
  </si>
  <si>
    <t>tt1000150</t>
  </si>
  <si>
    <t>Dark Revolution 43</t>
  </si>
  <si>
    <t>Documentary, Family</t>
  </si>
  <si>
    <t>A documentary film set in 1989.</t>
  </si>
  <si>
    <t>Cate Blanchett, Margot Robbie, Keanu Reeves, Al Pacino</t>
  </si>
  <si>
    <t>tt1000544</t>
  </si>
  <si>
    <t>First Quest 437</t>
  </si>
  <si>
    <t>Musical, Adventure</t>
  </si>
  <si>
    <t>A musical film set in 2009.</t>
  </si>
  <si>
    <t>Anthony Hopkins, Leonardo DiCaprio, Mark Ruffalo, Cate Blanchett</t>
  </si>
  <si>
    <t>tt1000502</t>
  </si>
  <si>
    <t>Dark Journey 395</t>
  </si>
  <si>
    <t>A animation film set in 2018.</t>
  </si>
  <si>
    <t>Edward Norton, Tom Hanks, Cate Blanchett</t>
  </si>
  <si>
    <t>tt1000499</t>
  </si>
  <si>
    <t>The Empire 392</t>
  </si>
  <si>
    <t>Horror, Thriller, War</t>
  </si>
  <si>
    <t>An epic horror tale directed by Akira Kurosawa.</t>
  </si>
  <si>
    <t>Brad Pitt, Margot Robbie, Daniel Day-Lewis, Keanu Reeves, Anthony Hopkins</t>
  </si>
  <si>
    <t>tt1000124</t>
  </si>
  <si>
    <t>A Destiny 17</t>
  </si>
  <si>
    <t>A crime film set in 1984.</t>
  </si>
  <si>
    <t>Scarlett Johansson, Brad Pitt, Natalie Portman</t>
  </si>
  <si>
    <t>tt1000723</t>
  </si>
  <si>
    <t>Dark Destiny 616</t>
  </si>
  <si>
    <t>Drama, Sci-Fi, Comedy</t>
  </si>
  <si>
    <t>Kate Winslet, Natalie Portman, Matt Damon, Margot Robbie</t>
  </si>
  <si>
    <t>tt1000111</t>
  </si>
  <si>
    <t>A Mystery 4</t>
  </si>
  <si>
    <t>Drama, Adventure, Crime</t>
  </si>
  <si>
    <t>A drama film set in 1992.</t>
  </si>
  <si>
    <t>Jennifer Lawrence, Meryl Streep, Emma Stone</t>
  </si>
  <si>
    <t>tt1000246</t>
  </si>
  <si>
    <t>Lost Destiny 139</t>
  </si>
  <si>
    <t>Jennifer Lawrence, Florence Pugh, Kate Winslet, Chris Hemsworth</t>
  </si>
  <si>
    <t>tt1000081</t>
  </si>
  <si>
    <t>An epic fantasy tale directed by George Lucas.</t>
  </si>
  <si>
    <t>Florence Pugh, Emma Stone, Al Pacino, Jack Nicholson</t>
  </si>
  <si>
    <t>tt1000661</t>
  </si>
  <si>
    <t>An Story 554</t>
  </si>
  <si>
    <t>Biography, Romance</t>
  </si>
  <si>
    <t>Al Pacino, Natalie Portman, Christian Bale, Will Smith, Johnny Depp</t>
  </si>
  <si>
    <t>tt1000094</t>
  </si>
  <si>
    <t>Chariots of Fire</t>
  </si>
  <si>
    <t>Biography, Comedy, Family</t>
  </si>
  <si>
    <t>An epic biography tale directed by Sam Mendes.</t>
  </si>
  <si>
    <t>Jack Nicholson, TimothÃ©e Chalamet, Chris Hemsworth, Margot Robbie, Brad Pitt</t>
  </si>
  <si>
    <t>tt1000088</t>
  </si>
  <si>
    <t>The Last Emperor</t>
  </si>
  <si>
    <t>Jennifer Lawrence, Robert Downey Jr., Viola Davis</t>
  </si>
  <si>
    <t>tt1000796</t>
  </si>
  <si>
    <t>An Dreams 689</t>
  </si>
  <si>
    <t>An epic thriller tale directed by Danny Boyle.</t>
  </si>
  <si>
    <t>Mark Ruffalo, Amy Adams, Will Smith</t>
  </si>
  <si>
    <t>tt1000869</t>
  </si>
  <si>
    <t>The Mission 762</t>
  </si>
  <si>
    <t>Animation, Family</t>
  </si>
  <si>
    <t>Viola Davis, Edward Norton, Tom Cruise</t>
  </si>
  <si>
    <t>tt1000950</t>
  </si>
  <si>
    <t>Lost Chronicles 843</t>
  </si>
  <si>
    <t>Biography, Drama</t>
  </si>
  <si>
    <t>Brad Pitt, Robert De Niro, Denzel Washington</t>
  </si>
  <si>
    <t>tt1000828</t>
  </si>
  <si>
    <t>An Chronicles 721</t>
  </si>
  <si>
    <t>Horror, Biography</t>
  </si>
  <si>
    <t>Samuel L. Jackson, TimothÃ©e Chalamet, Cate Blanchett</t>
  </si>
  <si>
    <t>tt1000841</t>
  </si>
  <si>
    <t>Lost Dreams 734</t>
  </si>
  <si>
    <t>Fantasy, Mystery, Musical</t>
  </si>
  <si>
    <t>A fantasy film set in 2000.</t>
  </si>
  <si>
    <t>Daniel Day-Lewis, Tom Cruise, Scarlett Johansson, Zendaya, Gary Oldman</t>
  </si>
  <si>
    <t>tt1000776</t>
  </si>
  <si>
    <t>Last Kingdom 669</t>
  </si>
  <si>
    <t>Harrison Ford, Matt Damon, Margot Robbie, Denzel Washington</t>
  </si>
  <si>
    <t>tt1000821</t>
  </si>
  <si>
    <t>An Legend 714</t>
  </si>
  <si>
    <t>An epic western tale directed by Alfred Hitchcock.</t>
  </si>
  <si>
    <t>Emma Stone, Will Smith, Cate Blanchett, Robert Downey Jr.</t>
  </si>
  <si>
    <t>tt1000043</t>
  </si>
  <si>
    <t>Moonlight</t>
  </si>
  <si>
    <t>War, Romance</t>
  </si>
  <si>
    <t>A thrilling war adventure.</t>
  </si>
  <si>
    <t>Samuel L. Jackson, Jennifer Lawrence, Viola Davis, Cate Blanchett</t>
  </si>
  <si>
    <t>tt1000187</t>
  </si>
  <si>
    <t>Final Adventures 80</t>
  </si>
  <si>
    <t>Documentary, Mystery, Musical</t>
  </si>
  <si>
    <t>Denzel Washington, Daniel Day-Lewis, Jack Nicholson, Christian Bale, Natalie Portman</t>
  </si>
  <si>
    <t>tt1000006</t>
  </si>
  <si>
    <t>Fight Club</t>
  </si>
  <si>
    <t>Musical, Action</t>
  </si>
  <si>
    <t>Mark Ruffalo, Margot Robbie, Amy Adams</t>
  </si>
  <si>
    <t>tt1000033</t>
  </si>
  <si>
    <t>A musical film set in 1940.</t>
  </si>
  <si>
    <t>Harrison Ford, Mark Ruffalo, Gary Oldman</t>
  </si>
  <si>
    <t>tt1000335</t>
  </si>
  <si>
    <t>Dark Revolution 228</t>
  </si>
  <si>
    <t>Comedy, Thriller</t>
  </si>
  <si>
    <t>An epic comedy tale directed by Spike Lee.</t>
  </si>
  <si>
    <t>Tom Cruise, Amy Adams, Edward Norton</t>
  </si>
  <si>
    <t>tt1000348</t>
  </si>
  <si>
    <t>Last Awakening 241</t>
  </si>
  <si>
    <t>Sci-Fi, War, Mystery</t>
  </si>
  <si>
    <t>A sci-fi film set in 2003.</t>
  </si>
  <si>
    <t>Matt Damon, Margot Robbie, Robert Downey Jr., Cate Blanchett</t>
  </si>
  <si>
    <t>tt1000991</t>
  </si>
  <si>
    <t>An Kingdom 884</t>
  </si>
  <si>
    <t>Adventure, Comedy</t>
  </si>
  <si>
    <t>A adventure film set in 2005.</t>
  </si>
  <si>
    <t>TimothÃ©e Chalamet, Harrison Ford, Kate Winslet</t>
  </si>
  <si>
    <t>tt1000117</t>
  </si>
  <si>
    <t>First Empire 10</t>
  </si>
  <si>
    <t>Action, Crime</t>
  </si>
  <si>
    <t>Harrison Ford, Amy Adams, Zendaya, Keanu Reeves, Chris Hemsworth</t>
  </si>
  <si>
    <t>tt1000125</t>
  </si>
  <si>
    <t>A Love 18</t>
  </si>
  <si>
    <t>Denzel Washington, Jack Nicholson, Tom Hanks, Morgan Freeman, Gary Oldman</t>
  </si>
  <si>
    <t>tt1000537</t>
  </si>
  <si>
    <t>Final Revolution 430</t>
  </si>
  <si>
    <t>Musical, Horror</t>
  </si>
  <si>
    <t>Brad Pitt, Morgan Freeman, Viola Davis, Meryl Streep, Florence Pugh</t>
  </si>
  <si>
    <t>tt1000272</t>
  </si>
  <si>
    <t>An Kingdom 165</t>
  </si>
  <si>
    <t>An epic action tale directed by Stanley Kubrick.</t>
  </si>
  <si>
    <t>Natalie Portman, Morgan Freeman, Al Pacino</t>
  </si>
  <si>
    <t>tt1000604</t>
  </si>
  <si>
    <t>Dark Adventures 497</t>
  </si>
  <si>
    <t>Harrison Ford, TimothÃ©e Chalamet, Tom Hanks, Scarlett Johansson, Robert Downey Jr.</t>
  </si>
  <si>
    <t>tt1000737</t>
  </si>
  <si>
    <t>Lost Revolution 630</t>
  </si>
  <si>
    <t>A comedy film set in 2011.</t>
  </si>
  <si>
    <t>Gary Oldman, Harrison Ford, Kate Winslet, Brad Pitt</t>
  </si>
  <si>
    <t>tt1000985</t>
  </si>
  <si>
    <t>The Revolution 878</t>
  </si>
  <si>
    <t>A romance film set in 2006.</t>
  </si>
  <si>
    <t>Margot Robbie, Denzel Washington, Johnny Depp, Daniel Day-Lewis, Robert Downey Jr.</t>
  </si>
  <si>
    <t>tt1000404</t>
  </si>
  <si>
    <t>Dark Mystery 297</t>
  </si>
  <si>
    <t>An epic horror tale directed by Ryan Coogler.</t>
  </si>
  <si>
    <t>Al Pacino, Chris Hemsworth, Scarlett Johansson</t>
  </si>
  <si>
    <t>tt1000744</t>
  </si>
  <si>
    <t>Lost War 637</t>
  </si>
  <si>
    <t>Johnny Depp, Scarlett Johansson, Tom Hanks</t>
  </si>
  <si>
    <t>tt1000090</t>
  </si>
  <si>
    <t>Out of Africa</t>
  </si>
  <si>
    <t>Horror, Adventure</t>
  </si>
  <si>
    <t>Will Smith, Denzel Washington, Amy Adams</t>
  </si>
  <si>
    <t>tt1000074</t>
  </si>
  <si>
    <t>A Beautiful Mind</t>
  </si>
  <si>
    <t>A biography film set in 1984.</t>
  </si>
  <si>
    <t>Florence Pugh, Brad Pitt, Will Smith</t>
  </si>
  <si>
    <t>tt1000047</t>
  </si>
  <si>
    <t>Joker</t>
  </si>
  <si>
    <t>A musical film set in 1967.</t>
  </si>
  <si>
    <t>Gary Oldman, Harrison Ford, Meryl Streep, Florence Pugh, Al Pacino</t>
  </si>
  <si>
    <t>tt1000940</t>
  </si>
  <si>
    <t>First Story 833</t>
  </si>
  <si>
    <t>Crime, Western</t>
  </si>
  <si>
    <t>An epic crime tale directed by Wong Kar-wai.</t>
  </si>
  <si>
    <t>Margot Robbie, Samuel L. Jackson, Natalie Portman, Tom Hanks</t>
  </si>
  <si>
    <t>tt1000477</t>
  </si>
  <si>
    <t>Dark Adventures 370</t>
  </si>
  <si>
    <t>Animation, War, Adventure</t>
  </si>
  <si>
    <t>Amy Adams, Matt Damon, Denzel Washington, Morgan Freeman</t>
  </si>
  <si>
    <t>tt1000191</t>
  </si>
  <si>
    <t>First Kingdom 84</t>
  </si>
  <si>
    <t>A comedy film set in 1984.</t>
  </si>
  <si>
    <t>Robert De Niro, Amy Adams, Mark Ruffalo</t>
  </si>
  <si>
    <t>tt1000894</t>
  </si>
  <si>
    <t>Last Dreams 787</t>
  </si>
  <si>
    <t>Zendaya, Al Pacino, Meryl Streep, Christian Bale</t>
  </si>
  <si>
    <t>tt1000812</t>
  </si>
  <si>
    <t>First Destiny 705</t>
  </si>
  <si>
    <t>An epic adventure tale directed by Steven Spielberg.</t>
  </si>
  <si>
    <t>Amy Adams, Johnny Depp, Will Smith, TimothÃ©e Chalamet</t>
  </si>
  <si>
    <t>tt1000192</t>
  </si>
  <si>
    <t>A Mission 85</t>
  </si>
  <si>
    <t>Anthony Hopkins, Chris Hemsworth, Scarlett Johansson, Jennifer Lawrence, Robert Downey Jr.</t>
  </si>
  <si>
    <t>tt1000938</t>
  </si>
  <si>
    <t>An Revolution 831</t>
  </si>
  <si>
    <t>A comedy film set in 2024.</t>
  </si>
  <si>
    <t>Anthony Hopkins, Leonardo DiCaprio, Christian Bale, Florence Pugh</t>
  </si>
  <si>
    <t>tt1000523</t>
  </si>
  <si>
    <t>Last Dreams 416</t>
  </si>
  <si>
    <t>War, Mystery</t>
  </si>
  <si>
    <t>Gary Oldman, Mark Ruffalo, Viola Davis, Harrison Ford</t>
  </si>
  <si>
    <t>tt1000493</t>
  </si>
  <si>
    <t>Lost Secrets 386</t>
  </si>
  <si>
    <t>Documentary, Action, Western</t>
  </si>
  <si>
    <t>An epic documentary tale directed by George Lucas.</t>
  </si>
  <si>
    <t>Matt Damon, Robert De Niro, Florence Pugh</t>
  </si>
  <si>
    <t>tt1000521</t>
  </si>
  <si>
    <t>Dark Awakening 414</t>
  </si>
  <si>
    <t>Romance, Biography</t>
  </si>
  <si>
    <t>An epic romance tale directed by Spike Lee.</t>
  </si>
  <si>
    <t>Florence Pugh, Samuel L. Jackson, Robert De Niro, Leonardo DiCaprio</t>
  </si>
  <si>
    <t>tt1000302</t>
  </si>
  <si>
    <t>Lost Chronicles 195</t>
  </si>
  <si>
    <t>Horror, Fantasy</t>
  </si>
  <si>
    <t>Johnny Depp, Zendaya, Robert Downey Jr.</t>
  </si>
  <si>
    <t>tt1000485</t>
  </si>
  <si>
    <t>Lost Secrets 378</t>
  </si>
  <si>
    <t>Adventure, Animation</t>
  </si>
  <si>
    <t>Edward Norton, Johnny Depp, Harrison Ford, Natalie Portman, Robert De Niro</t>
  </si>
  <si>
    <t>tt1000820</t>
  </si>
  <si>
    <t>Dark Mission 713</t>
  </si>
  <si>
    <t>Romance, Horror, Crime</t>
  </si>
  <si>
    <t>Gary Oldman, Al Pacino, Florence Pugh</t>
  </si>
  <si>
    <t>tt1000803</t>
  </si>
  <si>
    <t>The War 696</t>
  </si>
  <si>
    <t>Comedy, Mystery, Thriller</t>
  </si>
  <si>
    <t>Jennifer Lawrence, Robert De Niro, Matt Damon</t>
  </si>
  <si>
    <t>tt1000802</t>
  </si>
  <si>
    <t>Final War 695</t>
  </si>
  <si>
    <t>Documentary, War</t>
  </si>
  <si>
    <t>An epic documentary tale directed by Ava DuVernay.</t>
  </si>
  <si>
    <t>Zendaya, Samuel L. Jackson, Mark Ruffalo</t>
  </si>
  <si>
    <t>tt1000620</t>
  </si>
  <si>
    <t>Dark Destiny 513</t>
  </si>
  <si>
    <t>Morgan Freeman, Meryl Streep, Matt Damon</t>
  </si>
  <si>
    <t>tt1000683</t>
  </si>
  <si>
    <t>First War 576</t>
  </si>
  <si>
    <t>Thriller, Animation</t>
  </si>
  <si>
    <t>Margot Robbie, Brad Pitt, Keanu Reeves</t>
  </si>
  <si>
    <t>tt1000640</t>
  </si>
  <si>
    <t>An Empire 533</t>
  </si>
  <si>
    <t>Fantasy, Biography</t>
  </si>
  <si>
    <t>Scarlett Johansson, Robert Downey Jr., Viola Davis, Daniel Day-Lewis</t>
  </si>
  <si>
    <t>tt1000624</t>
  </si>
  <si>
    <t>First Story 517</t>
  </si>
  <si>
    <t>Crime, Animation</t>
  </si>
  <si>
    <t>Johnny Depp, Anthony Hopkins, Al Pacino, Robert De Niro, Scarlett Johansson</t>
  </si>
  <si>
    <t>tt1000594</t>
  </si>
  <si>
    <t>Last Secrets 487</t>
  </si>
  <si>
    <t>An epic western tale directed by Steven Spielberg.</t>
  </si>
  <si>
    <t>Johnny Depp, Jennifer Lawrence, Christian Bale</t>
  </si>
  <si>
    <t>tt1000671</t>
  </si>
  <si>
    <t>First Story 564</t>
  </si>
  <si>
    <t>Kate Winslet, Samuel L. Jackson, Al Pacino, Viola Davis</t>
  </si>
  <si>
    <t>tt1000663</t>
  </si>
  <si>
    <t>The Love 556</t>
  </si>
  <si>
    <t>A drama film set in 2006.</t>
  </si>
  <si>
    <t>Leonardo DiCaprio, Chris Hemsworth, TimothÃ©e Chalamet</t>
  </si>
  <si>
    <t>tt1000104</t>
  </si>
  <si>
    <t>Patton</t>
  </si>
  <si>
    <t>Family, Action</t>
  </si>
  <si>
    <t>A family film set in 1993.</t>
  </si>
  <si>
    <t>Harrison Ford, Amy Adams, Jennifer Lawrence, Chris Hemsworth</t>
  </si>
  <si>
    <t>tt1000461</t>
  </si>
  <si>
    <t>Lost Revolution 354</t>
  </si>
  <si>
    <t>A action film set in 2003.</t>
  </si>
  <si>
    <t>Gary Oldman, Kate Winslet, Jack Nicholson, Christian Bale</t>
  </si>
  <si>
    <t>tt1000353</t>
  </si>
  <si>
    <t>First Revolution 246</t>
  </si>
  <si>
    <t>Biography, Action</t>
  </si>
  <si>
    <t>A biography film set in 2001.</t>
  </si>
  <si>
    <t>Anthony Hopkins, Chris Hemsworth, Daniel Day-Lewis, Florence Pugh, Brad Pitt</t>
  </si>
  <si>
    <t>tt1000968</t>
  </si>
  <si>
    <t>First Dreams 861</t>
  </si>
  <si>
    <t>Crime, Mystery</t>
  </si>
  <si>
    <t>An epic crime tale directed by Pedro AlmodÃ³var.</t>
  </si>
  <si>
    <t>Mark Ruffalo, Tom Cruise, Brad Pitt, Gary Oldman, Meryl Streep</t>
  </si>
  <si>
    <t>tt1000016</t>
  </si>
  <si>
    <t>Romance, Thriller</t>
  </si>
  <si>
    <t>Scarlett Johansson, Brad Pitt, Amy Adams, Johnny Depp</t>
  </si>
  <si>
    <t>tt1000326</t>
  </si>
  <si>
    <t>Last Kingdom 219</t>
  </si>
  <si>
    <t>Viola Davis, Tom Hanks, Matt Damon</t>
  </si>
  <si>
    <t>tt1000899</t>
  </si>
  <si>
    <t>Final Revolution 792</t>
  </si>
  <si>
    <t>Family, Romance</t>
  </si>
  <si>
    <t>An epic family tale directed by Guillermo del Toro.</t>
  </si>
  <si>
    <t>Meryl Streep, Florence Pugh, Christian Bale, Daniel Day-Lewis</t>
  </si>
  <si>
    <t>tt1000954</t>
  </si>
  <si>
    <t>An Mission 847</t>
  </si>
  <si>
    <t>Zendaya, Florence Pugh, Robert Downey Jr.</t>
  </si>
  <si>
    <t>tt1000004</t>
  </si>
  <si>
    <t>An epic drama tale directed by James Cameron.</t>
  </si>
  <si>
    <t>Chris Hemsworth, Tom Hanks, Amy Adams, Samuel L. Jackson</t>
  </si>
  <si>
    <t>tt1000216</t>
  </si>
  <si>
    <t>An Quest 109</t>
  </si>
  <si>
    <t>Thriller, Fantasy</t>
  </si>
  <si>
    <t>Anthony Hopkins, Denzel Washington, Chris Hemsworth, Tom Cruise, Meryl Streep</t>
  </si>
  <si>
    <t>tt1000229</t>
  </si>
  <si>
    <t>Final Revolution 122</t>
  </si>
  <si>
    <t>Horror, Fantasy, Documentary</t>
  </si>
  <si>
    <t>Al Pacino, Amy Adams, Brad Pitt, Keanu Reeves</t>
  </si>
  <si>
    <t>tt1000228</t>
  </si>
  <si>
    <t>Last Secrets 121</t>
  </si>
  <si>
    <t>Mystery, Comedy, Thriller</t>
  </si>
  <si>
    <t>A critically acclaimed mystery masterpiece.</t>
  </si>
  <si>
    <t>Tom Hanks, Margot Robbie, Gary Oldman, Chris Hemsworth, Kate Winslet</t>
  </si>
  <si>
    <t>tt1000814</t>
  </si>
  <si>
    <t>First Mystery 707</t>
  </si>
  <si>
    <t>Gary Oldman, Viola Davis, Leonardo DiCaprio</t>
  </si>
  <si>
    <t>tt1000826</t>
  </si>
  <si>
    <t>An Destiny 719</t>
  </si>
  <si>
    <t>Margot Robbie, Anthony Hopkins, Daniel Day-Lewis, Tom Hanks, Keanu Reeves</t>
  </si>
  <si>
    <t>tt1000203</t>
  </si>
  <si>
    <t>First Legend 96</t>
  </si>
  <si>
    <t>Action, Family</t>
  </si>
  <si>
    <t>Harrison Ford, Jack Nicholson, Brad Pitt, Viola Davis, Scarlett Johansson</t>
  </si>
  <si>
    <t>tt1000893</t>
  </si>
  <si>
    <t>An Mystery 786</t>
  </si>
  <si>
    <t>A comedy film set in 2005.</t>
  </si>
  <si>
    <t>Harrison Ford, Edward Norton, Viola Davis</t>
  </si>
  <si>
    <t>tt1000873</t>
  </si>
  <si>
    <t>First Mission 766</t>
  </si>
  <si>
    <t>Action, Animation, Biography</t>
  </si>
  <si>
    <t>A action film set in 2018.</t>
  </si>
  <si>
    <t>Christian Bale, Al Pacino, Mark Ruffalo</t>
  </si>
  <si>
    <t>tt1000896</t>
  </si>
  <si>
    <t>The Adventures 789</t>
  </si>
  <si>
    <t>Adventure, Documentary, Thriller</t>
  </si>
  <si>
    <t>Robert Downey Jr., Meryl Streep, Daniel Day-Lewis, TimothÃ©e Chalamet, Christian Bale</t>
  </si>
  <si>
    <t>tt1000905</t>
  </si>
  <si>
    <t>Final Destiny 798</t>
  </si>
  <si>
    <t>Horror, Animation</t>
  </si>
  <si>
    <t>An epic horror tale directed by George Lucas.</t>
  </si>
  <si>
    <t>Meryl Streep, Scarlett Johansson, Kate Winslet</t>
  </si>
  <si>
    <t>tt1000697</t>
  </si>
  <si>
    <t>A Mystery 590</t>
  </si>
  <si>
    <t>Harrison Ford, Daniel Day-Lewis, Scarlett Johansson, Viola Davis, Emma Stone</t>
  </si>
  <si>
    <t>tt1000771</t>
  </si>
  <si>
    <t>Dark Story 664</t>
  </si>
  <si>
    <t>An epic crime tale directed by Alfred Hitchcock.</t>
  </si>
  <si>
    <t>Johnny Depp, Florence Pugh, Matt Damon, Kate Winslet, Keanu Reeves</t>
  </si>
  <si>
    <t>tt1000759</t>
  </si>
  <si>
    <t>Secret Mystery 652</t>
  </si>
  <si>
    <t>Daniel Day-Lewis, Brad Pitt, Anthony Hopkins, Jack Nicholson</t>
  </si>
  <si>
    <t>tt1000702</t>
  </si>
  <si>
    <t>First War 595</t>
  </si>
  <si>
    <t>Documentary, Musical</t>
  </si>
  <si>
    <t>Samuel L. Jackson, Harrison Ford, Morgan Freeman, Tom Hanks</t>
  </si>
  <si>
    <t>tt1000746</t>
  </si>
  <si>
    <t>Last Empire 639</t>
  </si>
  <si>
    <t>Will Smith, Denzel Washington, Daniel Day-Lewis</t>
  </si>
  <si>
    <t>tt1000669</t>
  </si>
  <si>
    <t>A Revolution 562</t>
  </si>
  <si>
    <t>A western film set in 2000.</t>
  </si>
  <si>
    <t>Emma Stone, Al Pacino, Morgan Freeman, Matt Damon, Margot Robbie</t>
  </si>
  <si>
    <t>tt1000567</t>
  </si>
  <si>
    <t>A War 460</t>
  </si>
  <si>
    <t>A western film set in 2010.</t>
  </si>
  <si>
    <t>Jack Nicholson, Tom Hanks, Scarlett Johansson, Denzel Washington</t>
  </si>
  <si>
    <t>tt1000574</t>
  </si>
  <si>
    <t>A Story 467</t>
  </si>
  <si>
    <t>An epic biography tale directed by Robert Zemeckis.</t>
  </si>
  <si>
    <t>Zendaya, Edward Norton, Natalie Portman</t>
  </si>
  <si>
    <t>tt1000289</t>
  </si>
  <si>
    <t>Lost Chronicles 182</t>
  </si>
  <si>
    <t>Comedy, Fantasy</t>
  </si>
  <si>
    <t>Cate Blanchett, Margot Robbie, Scarlett Johansson, Morgan Freeman</t>
  </si>
  <si>
    <t>tt1000286</t>
  </si>
  <si>
    <t>Final Journey 179</t>
  </si>
  <si>
    <t>Chris Hemsworth, Zendaya, Gary Oldman, Leonardo DiCaprio, Mark Ruffalo</t>
  </si>
  <si>
    <t>tt1000298</t>
  </si>
  <si>
    <t>A Quest 191</t>
  </si>
  <si>
    <t>A war film set in 2024.</t>
  </si>
  <si>
    <t>Zendaya, Kate Winslet, Viola Davis, Keanu Reeves</t>
  </si>
  <si>
    <t>tt1000657</t>
  </si>
  <si>
    <t>Secret Legend 550</t>
  </si>
  <si>
    <t>Action, Western</t>
  </si>
  <si>
    <t>An epic action tale directed by Francis Ford Coppola.</t>
  </si>
  <si>
    <t>Mark Ruffalo, Scarlett Johansson, Zendaya, Leonardo DiCaprio</t>
  </si>
  <si>
    <t>tt1000637</t>
  </si>
  <si>
    <t>First Legend 530</t>
  </si>
  <si>
    <t>Mystery, Adventure</t>
  </si>
  <si>
    <t>Keanu Reeves, Robert De Niro, Margot Robbie, Meryl Streep</t>
  </si>
  <si>
    <t>tt1000633</t>
  </si>
  <si>
    <t>An Dreams 526</t>
  </si>
  <si>
    <t>Zendaya, Robert Downey Jr., Christian Bale</t>
  </si>
  <si>
    <t>tt1000654</t>
  </si>
  <si>
    <t>An Adventures 547</t>
  </si>
  <si>
    <t>Daniel Day-Lewis, Leonardo DiCaprio, Robert Downey Jr., Morgan Freeman</t>
  </si>
  <si>
    <t>tt1000280</t>
  </si>
  <si>
    <t>Secret Dreams 173</t>
  </si>
  <si>
    <t>An epic mystery tale directed by Martin Scorsese.</t>
  </si>
  <si>
    <t>Morgan Freeman, Natalie Portman, Tom Cruise, Emma Stone</t>
  </si>
  <si>
    <t>tt1000257</t>
  </si>
  <si>
    <t>First Secrets 150</t>
  </si>
  <si>
    <t>Leonardo DiCaprio, Johnny Depp, Kate Winslet, Harrison Ford, Robert Downey Jr.</t>
  </si>
  <si>
    <t>tt1000105</t>
  </si>
  <si>
    <t>Midnight Cowboy</t>
  </si>
  <si>
    <t>Sci-Fi, Thriller, Western</t>
  </si>
  <si>
    <t>Cate Blanchett, Brad Pitt, Meryl Streep</t>
  </si>
  <si>
    <t>tt1000709</t>
  </si>
  <si>
    <t>Last Mission 602</t>
  </si>
  <si>
    <t>A crime film set in 2008.</t>
  </si>
  <si>
    <t>Leonardo DiCaprio, Tom Cruise, Scarlett Johansson, Cate Blanchett, Florence Pugh</t>
  </si>
  <si>
    <t>tt1000109</t>
  </si>
  <si>
    <t>Lost Mission 2</t>
  </si>
  <si>
    <t>Brad Pitt, Chris Hemsworth, Kate Winslet</t>
  </si>
  <si>
    <t>tt1000664</t>
  </si>
  <si>
    <t>Dark War 557</t>
  </si>
  <si>
    <t>A horror film set in 2008.</t>
  </si>
  <si>
    <t>Samuel L. Jackson, Will Smith, Denzel Washington</t>
  </si>
  <si>
    <t>tt1000528</t>
  </si>
  <si>
    <t>The Mission 421</t>
  </si>
  <si>
    <t>Edward Norton, Emma Stone, Mark Ruffalo, Samuel L. Jackson</t>
  </si>
  <si>
    <t>tt1000148</t>
  </si>
  <si>
    <t>Lost Mystery 41</t>
  </si>
  <si>
    <t>Family, Animation</t>
  </si>
  <si>
    <t>An epic family tale directed by Wes Anderson.</t>
  </si>
  <si>
    <t>TimothÃ©e Chalamet, Florence Pugh, Robert Downey Jr.</t>
  </si>
  <si>
    <t>tt1000427</t>
  </si>
  <si>
    <t>Secret Quest 320</t>
  </si>
  <si>
    <t>Documentary, Comedy, Horror</t>
  </si>
  <si>
    <t>An epic documentary tale directed by Alfred Hitchcock.</t>
  </si>
  <si>
    <t>Robert De Niro, Florence Pugh, Meryl Streep</t>
  </si>
  <si>
    <t>tt1000312</t>
  </si>
  <si>
    <t>Secret Empire 205</t>
  </si>
  <si>
    <t>A comedy film set in 2020.</t>
  </si>
  <si>
    <t>Amy Adams, Edward Norton, Samuel L. Jackson, Morgan Freeman, Florence Pugh</t>
  </si>
  <si>
    <t>tt1000486</t>
  </si>
  <si>
    <t>Last Mystery 379</t>
  </si>
  <si>
    <t>Documentary, Adventure</t>
  </si>
  <si>
    <t>A documentary film set in 2022.</t>
  </si>
  <si>
    <t>Edward Norton, Anthony Hopkins, Tom Hanks, Jennifer Lawrence</t>
  </si>
  <si>
    <t>tt1000121</t>
  </si>
  <si>
    <t>Secret Quest 14</t>
  </si>
  <si>
    <t>Al Pacino, Brad Pitt, Edward Norton, Daniel Day-Lewis</t>
  </si>
  <si>
    <t>tt1000155</t>
  </si>
  <si>
    <t>Final Destiny 48</t>
  </si>
  <si>
    <t>An epic drama tale directed by Sam Mendes.</t>
  </si>
  <si>
    <t>Mark Ruffalo, Al Pacino, Chris Hemsworth, Natalie Portman, Zendaya</t>
  </si>
  <si>
    <t>tt1000141</t>
  </si>
  <si>
    <t>First Mission 34</t>
  </si>
  <si>
    <t>Western, Sci-Fi, Documentary</t>
  </si>
  <si>
    <t>An epic western tale directed by Hayao Miyazaki.</t>
  </si>
  <si>
    <t>Mark Ruffalo, Margot Robbie, Natalie Portman, Cate Blanchett</t>
  </si>
  <si>
    <t>tt1000332</t>
  </si>
  <si>
    <t>Lost Mission 225</t>
  </si>
  <si>
    <t>Emma Stone, Edward Norton, Keanu Reeves</t>
  </si>
  <si>
    <t>tt1000407</t>
  </si>
  <si>
    <t>The Love 300</t>
  </si>
  <si>
    <t>Edward Norton, Gary Oldman, Will Smith, Morgan Freeman</t>
  </si>
  <si>
    <t>tt1000142</t>
  </si>
  <si>
    <t>An Kingdom 35</t>
  </si>
  <si>
    <t>Morgan Freeman, Zendaya, Mark Ruffalo, Amy Adams, Gary Oldman</t>
  </si>
  <si>
    <t>tt1000144</t>
  </si>
  <si>
    <t>First Mission 37</t>
  </si>
  <si>
    <t>Mark Ruffalo, Anthony Hopkins, Jennifer Lawrence</t>
  </si>
  <si>
    <t>tt1000344</t>
  </si>
  <si>
    <t>The Mission 237</t>
  </si>
  <si>
    <t>A action film set in 2000.</t>
  </si>
  <si>
    <t>Mark Ruffalo, Anthony Hopkins, Chris Hemsworth, Florence Pugh</t>
  </si>
  <si>
    <t>tt1000971</t>
  </si>
  <si>
    <t>An Chronicles 864</t>
  </si>
  <si>
    <t>Tom Hanks, Keanu Reeves, Chris Hemsworth, Cate Blanchett</t>
  </si>
  <si>
    <t>tt1000972</t>
  </si>
  <si>
    <t>Secret Mission 865</t>
  </si>
  <si>
    <t>Romance, Sci-Fi, War</t>
  </si>
  <si>
    <t>Gary Oldman, Tom Hanks, Mark Ruffalo</t>
  </si>
  <si>
    <t>tt1000026</t>
  </si>
  <si>
    <t>The Pianist</t>
  </si>
  <si>
    <t>Family, War, Documentary</t>
  </si>
  <si>
    <t>A family film set in 1949.</t>
  </si>
  <si>
    <t>Jennifer Lawrence, Samuel L. Jackson, Natalie Portman, TimothÃ©e Chalamet</t>
  </si>
  <si>
    <t>tt1000012</t>
  </si>
  <si>
    <t>Saving Private Ryan</t>
  </si>
  <si>
    <t>Leonardo DiCaprio, Chris Hemsworth, Jack Nicholson</t>
  </si>
  <si>
    <t>tt1000582</t>
  </si>
  <si>
    <t>Final Chronicles 475</t>
  </si>
  <si>
    <t>Anthony Hopkins, Jack Nicholson, Will Smith</t>
  </si>
  <si>
    <t>tt1000379</t>
  </si>
  <si>
    <t>Final Journey 272</t>
  </si>
  <si>
    <t>An epic biography tale directed by Danny Boyle.</t>
  </si>
  <si>
    <t>Jennifer Lawrence, Johnny Depp, Tom Cruise, Gary Oldman</t>
  </si>
  <si>
    <t>tt1000389</t>
  </si>
  <si>
    <t>Last Journey 282</t>
  </si>
  <si>
    <t>Biography, Thriller, War</t>
  </si>
  <si>
    <t>Robert Downey Jr., Meryl Streep, Tom Cruise, Johnny Depp, Morgan Freeman</t>
  </si>
  <si>
    <t>tt1000295</t>
  </si>
  <si>
    <t>Dark Journey 188</t>
  </si>
  <si>
    <t>Drama, Western</t>
  </si>
  <si>
    <t>Daniel Day-Lewis, Matt Damon, Florence Pugh, Emma Stone, Leonardo DiCaprio</t>
  </si>
  <si>
    <t>tt1000261</t>
  </si>
  <si>
    <t>Lost Story 154</t>
  </si>
  <si>
    <t>A drama film set in 2004.</t>
  </si>
  <si>
    <t>Viola Davis, Edward Norton, Brad Pitt</t>
  </si>
  <si>
    <t>tt1000573</t>
  </si>
  <si>
    <t>A Empire 466</t>
  </si>
  <si>
    <t>A war film set in 2016.</t>
  </si>
  <si>
    <t>Jack Nicholson, Johnny Depp, Emma Stone, Morgan Freeman, Jennifer Lawrence</t>
  </si>
  <si>
    <t>tt1000662</t>
  </si>
  <si>
    <t>The Legend 555</t>
  </si>
  <si>
    <t>Family, War</t>
  </si>
  <si>
    <t>Florence Pugh, Emma Stone, Zendaya</t>
  </si>
  <si>
    <t>tt1000136</t>
  </si>
  <si>
    <t>Lost Kingdom 29</t>
  </si>
  <si>
    <t>Chris Hemsworth, Keanu Reeves, Mark Ruffalo, Natalie Portman, Emma Stone</t>
  </si>
  <si>
    <t>tt1000833</t>
  </si>
  <si>
    <t>Dark Mission 726</t>
  </si>
  <si>
    <t>War, Biography</t>
  </si>
  <si>
    <t>Tom Hanks, Chris Hemsworth, Meryl Streep, Morgan Freeman, Johnny Depp</t>
  </si>
  <si>
    <t>tt1000842</t>
  </si>
  <si>
    <t>Last Love 735</t>
  </si>
  <si>
    <t>Drama, Documentary</t>
  </si>
  <si>
    <t>Robert De Niro, Chris Hemsworth, Jennifer Lawrence</t>
  </si>
  <si>
    <t>tt1000837</t>
  </si>
  <si>
    <t>Lost Destiny 730</t>
  </si>
  <si>
    <t>Action, Romance</t>
  </si>
  <si>
    <t>Amy Adams, Harrison Ford, Christian Bale, Florence Pugh</t>
  </si>
  <si>
    <t>tt1000914</t>
  </si>
  <si>
    <t>Secret Story 807</t>
  </si>
  <si>
    <t>TimothÃ©e Chalamet, Morgan Freeman, Meryl Streep, Margot Robbie, Jennifer Lawrence</t>
  </si>
  <si>
    <t>tt1000708</t>
  </si>
  <si>
    <t>Dark Legend 601</t>
  </si>
  <si>
    <t>Adventure, Documentary, Musical</t>
  </si>
  <si>
    <t>Robert De Niro, TimothÃ©e Chalamet, Scarlett Johansson</t>
  </si>
  <si>
    <t>tt1000563</t>
  </si>
  <si>
    <t>An Empire 456</t>
  </si>
  <si>
    <t>Drama, Mystery</t>
  </si>
  <si>
    <t>A drama film set in 2021.</t>
  </si>
  <si>
    <t>Emma Stone, Margot Robbie, Scarlett Johansson</t>
  </si>
  <si>
    <t>tt1000556</t>
  </si>
  <si>
    <t>Final Destiny 449</t>
  </si>
  <si>
    <t>Crime, Animation, Thriller</t>
  </si>
  <si>
    <t>Robert De Niro, Viola Davis, Natalie Portman, Gary Oldman</t>
  </si>
  <si>
    <t>tt1000488</t>
  </si>
  <si>
    <t>Dark Empire 381</t>
  </si>
  <si>
    <t>Thriller, Adventure</t>
  </si>
  <si>
    <t>Viola Davis, Jack Nicholson, Tom Cruise, Zendaya, Robert Downey Jr.</t>
  </si>
  <si>
    <t>tt1000778</t>
  </si>
  <si>
    <t>An Kingdom 671</t>
  </si>
  <si>
    <t>Leonardo DiCaprio, Meryl Streep, Anthony Hopkins, Natalie Portman, Morgan Freeman</t>
  </si>
  <si>
    <t>tt1000482</t>
  </si>
  <si>
    <t>Final Kingdom 375</t>
  </si>
  <si>
    <t>A action film set in 2006.</t>
  </si>
  <si>
    <t>Chris Hemsworth, Florence Pugh, Harrison Ford, Christian Bale, Edward Norton</t>
  </si>
  <si>
    <t>tt1000886</t>
  </si>
  <si>
    <t>A Love 779</t>
  </si>
  <si>
    <t>Western, Horror</t>
  </si>
  <si>
    <t>An epic western tale directed by Bong Joon-ho.</t>
  </si>
  <si>
    <t>Anthony Hopkins, Will Smith, Daniel Day-Lewis</t>
  </si>
  <si>
    <t>tt1000231</t>
  </si>
  <si>
    <t>Lost Adventures 124</t>
  </si>
  <si>
    <t>Daniel Day-Lewis, Meryl Streep, Anthony Hopkins, Margot Robbie</t>
  </si>
  <si>
    <t>tt1000769</t>
  </si>
  <si>
    <t>Dark Love 662</t>
  </si>
  <si>
    <t>A fantasy film set in 2008.</t>
  </si>
  <si>
    <t>Kate Winslet, Jack Nicholson, Tom Cruise, Samuel L. Jackson</t>
  </si>
  <si>
    <t>tt1000522</t>
  </si>
  <si>
    <t>Secret Revolution 415</t>
  </si>
  <si>
    <t>Musical, Comedy</t>
  </si>
  <si>
    <t>An epic musical tale directed by Ang Lee.</t>
  </si>
  <si>
    <t>Will Smith, Johnny Depp, Al Pacino, Margot Robbie, Brad Pitt</t>
  </si>
  <si>
    <t>tt1000305</t>
  </si>
  <si>
    <t>Secret War 198</t>
  </si>
  <si>
    <t>A drama film set in 2024.</t>
  </si>
  <si>
    <t>Robert Downey Jr., Johnny Depp, Kate Winslet, TimothÃ©e Chalamet</t>
  </si>
  <si>
    <t>tt1000470</t>
  </si>
  <si>
    <t>A Mission 363</t>
  </si>
  <si>
    <t>Thriller, Biography, Sci-Fi</t>
  </si>
  <si>
    <t>Leonardo DiCaprio, Chris Hemsworth, Denzel Washington, Harrison Ford, Cate Blanchett</t>
  </si>
  <si>
    <t>tt1000473</t>
  </si>
  <si>
    <t>Final Kingdom 366</t>
  </si>
  <si>
    <t>An epic romance tale directed by Edgar Wright.</t>
  </si>
  <si>
    <t>TimothÃ©e Chalamet, Johnny Depp, Natalie Portman</t>
  </si>
  <si>
    <t>tt1000808</t>
  </si>
  <si>
    <t>A Legend 701</t>
  </si>
  <si>
    <t>Documentary, Drama</t>
  </si>
  <si>
    <t>Christian Bale, Robert De Niro, Denzel Washington, Viola Davis</t>
  </si>
  <si>
    <t>tt1000805</t>
  </si>
  <si>
    <t>A Destiny 698</t>
  </si>
  <si>
    <t>Adventure, Comedy, Documentary</t>
  </si>
  <si>
    <t>Denzel Washington, Al Pacino, Anthony Hopkins</t>
  </si>
  <si>
    <t>tt1000602</t>
  </si>
  <si>
    <t>Last Secrets 495</t>
  </si>
  <si>
    <t>Thriller, Crime, Action</t>
  </si>
  <si>
    <t>An epic thriller tale directed by Christopher Nolan.</t>
  </si>
  <si>
    <t>Gary Oldman, Harrison Ford, Robert De Niro, TimothÃ©e Chalamet</t>
  </si>
  <si>
    <t>tt1000174</t>
  </si>
  <si>
    <t>Secret Chronicles 67</t>
  </si>
  <si>
    <t>A animation film set in 1997.</t>
  </si>
  <si>
    <t>Johnny Depp, Amy Adams, Edward Norton</t>
  </si>
  <si>
    <t>tt1000440</t>
  </si>
  <si>
    <t>First Awakening 333</t>
  </si>
  <si>
    <t>An epic comedy tale directed by Coen Brothers.</t>
  </si>
  <si>
    <t>Kate Winslet, Brad Pitt, Amy Adams, Will Smith, Christian Bale</t>
  </si>
  <si>
    <t>tt1000871</t>
  </si>
  <si>
    <t>A Story 764</t>
  </si>
  <si>
    <t>Musical, Drama</t>
  </si>
  <si>
    <t>Robert De Niro, Kate Winslet, Tom Hanks</t>
  </si>
  <si>
    <t>tt1000319</t>
  </si>
  <si>
    <t>Dark Empire 212</t>
  </si>
  <si>
    <t>An epic thriller tale directed by Guillermo del Toro.</t>
  </si>
  <si>
    <t>Cate Blanchett, Matt Damon, Zendaya, Tom Hanks, Al Pacino</t>
  </si>
  <si>
    <t>tt1000890</t>
  </si>
  <si>
    <t>First War 783</t>
  </si>
  <si>
    <t>Action, Romance, Horror</t>
  </si>
  <si>
    <t>Scarlett Johansson, Jennifer Lawrence, Emma Stone, Johnny Depp, Jack Nicholson</t>
  </si>
  <si>
    <t>tt1000889</t>
  </si>
  <si>
    <t>The Love 782</t>
  </si>
  <si>
    <t>Mystery, Family, Sci-Fi</t>
  </si>
  <si>
    <t>Will Smith, Jennifer Lawrence, Scarlett Johansson, Tom Hanks, Edward Norton</t>
  </si>
  <si>
    <t>tt1000887</t>
  </si>
  <si>
    <t>Dark Story 780</t>
  </si>
  <si>
    <t>A crime film set in 2000.</t>
  </si>
  <si>
    <t>Mark Ruffalo, Samuel L. Jackson, Natalie Portman, Leonardo DiCaprio</t>
  </si>
  <si>
    <t>tt1000350</t>
  </si>
  <si>
    <t>An Revolution 243</t>
  </si>
  <si>
    <t>Adventure, Thriller, Drama</t>
  </si>
  <si>
    <t>An epic adventure tale directed by Ang Lee.</t>
  </si>
  <si>
    <t>Viola Davis, Morgan Freeman, Scarlett Johansson, Natalie Portman</t>
  </si>
  <si>
    <t>tt1000939</t>
  </si>
  <si>
    <t>First Destiny 832</t>
  </si>
  <si>
    <t>Christian Bale, Will Smith, Tom Cruise</t>
  </si>
  <si>
    <t>tt1000926</t>
  </si>
  <si>
    <t>Last Dreams 819</t>
  </si>
  <si>
    <t>Christian Bale, Denzel Washington, Emma Stone, Tom Cruise</t>
  </si>
  <si>
    <t>tt1000616</t>
  </si>
  <si>
    <t>Lost Revolution 509</t>
  </si>
  <si>
    <t>Horror, Crime</t>
  </si>
  <si>
    <t>Edward Norton, Denzel Washington, Jack Nicholson, Mark Ruffalo, Anthony Hopkins</t>
  </si>
  <si>
    <t>tt1000780</t>
  </si>
  <si>
    <t>Last Secrets 673</t>
  </si>
  <si>
    <t>Crime, Horror</t>
  </si>
  <si>
    <t>Gary Oldman, Anthony Hopkins, Will Smith, Cate Blanchett</t>
  </si>
  <si>
    <t>tt1000786</t>
  </si>
  <si>
    <t>Secret Secrets 679</t>
  </si>
  <si>
    <t>Documentary, Romance, Adventure</t>
  </si>
  <si>
    <t>A documentary film set in 2014.</t>
  </si>
  <si>
    <t>Morgan Freeman, Robert De Niro, Gary Oldman</t>
  </si>
  <si>
    <t>tt1000773</t>
  </si>
  <si>
    <t>Dark Chronicles 666</t>
  </si>
  <si>
    <t>Family, Animation, Western</t>
  </si>
  <si>
    <t>An epic family tale directed by Robert Zemeckis.</t>
  </si>
  <si>
    <t>TimothÃ©e Chalamet, Jennifer Lawrence, Florence Pugh</t>
  </si>
  <si>
    <t>tt1000492</t>
  </si>
  <si>
    <t>The Chronicles 385</t>
  </si>
  <si>
    <t>Documentary, Sci-Fi</t>
  </si>
  <si>
    <t>Harrison Ford, Morgan Freeman, Daniel Day-Lewis, Leonardo DiCaprio, Cate Blanchett</t>
  </si>
  <si>
    <t>tt1000730</t>
  </si>
  <si>
    <t>A Quest 623</t>
  </si>
  <si>
    <t>An epic biography tale directed by Wong Kar-wai.</t>
  </si>
  <si>
    <t>Anthony Hopkins, Tom Hanks, Kate Winslet</t>
  </si>
  <si>
    <t>tt1000548</t>
  </si>
  <si>
    <t>First Revolution 441</t>
  </si>
  <si>
    <t>A adventure film set in 2010.</t>
  </si>
  <si>
    <t>Edward Norton, Robert Downey Jr., Jack Nicholson, Al Pacino</t>
  </si>
  <si>
    <t>tt1000765</t>
  </si>
  <si>
    <t>Dark War 658</t>
  </si>
  <si>
    <t>Sci-Fi, Comedy</t>
  </si>
  <si>
    <t>An epic sci-fi tale directed by Francis Ford Coppola.</t>
  </si>
  <si>
    <t>Will Smith, Samuel L. Jackson, Tom Hanks, Viola Davis, Edward Norton</t>
  </si>
  <si>
    <t>tt1000753</t>
  </si>
  <si>
    <t>A War 646</t>
  </si>
  <si>
    <t>Horror, Thriller</t>
  </si>
  <si>
    <t>Anthony Hopkins, Tom Cruise, Meryl Streep, Jack Nicholson, Morgan Freeman</t>
  </si>
  <si>
    <t>tt1000263</t>
  </si>
  <si>
    <t>Lost Secrets 156</t>
  </si>
  <si>
    <t>An epic documentary tale directed by Frank Darabont.</t>
  </si>
  <si>
    <t>Florence Pugh, Meryl Streep, Amy Adams, Morgan Freeman, Al Pacino</t>
  </si>
  <si>
    <t>tt1000262</t>
  </si>
  <si>
    <t>A Legend 155</t>
  </si>
  <si>
    <t>War, Adventure, Western</t>
  </si>
  <si>
    <t>Anthony Hopkins, Zendaya, Scarlett Johansson, Matt Damon</t>
  </si>
  <si>
    <t>tt1000677</t>
  </si>
  <si>
    <t>Final Empire 570</t>
  </si>
  <si>
    <t>Crime, Sci-Fi, Documentary</t>
  </si>
  <si>
    <t>Chris Hemsworth, Johnny Depp, Zendaya</t>
  </si>
  <si>
    <t>tt1000687</t>
  </si>
  <si>
    <t>A Story 580</t>
  </si>
  <si>
    <t>A biography film set in 2014.</t>
  </si>
  <si>
    <t>Matt Damon, Al Pacino, Harrison Ford</t>
  </si>
  <si>
    <t>tt1000922</t>
  </si>
  <si>
    <t>The Mystery 815</t>
  </si>
  <si>
    <t>Gary Oldman, Samuel L. Jackson, Viola Davis, Leonardo DiCaprio, Morgan Freeman</t>
  </si>
  <si>
    <t>tt1000398</t>
  </si>
  <si>
    <t>Last Quest 291</t>
  </si>
  <si>
    <t>Drama, Horror, Thriller</t>
  </si>
  <si>
    <t>An epic drama tale directed by Robert Zemeckis.</t>
  </si>
  <si>
    <t>Brad Pitt, Chris Hemsworth, Gary Oldman, Kate Winslet, Al Pacino</t>
  </si>
  <si>
    <t>tt1000130</t>
  </si>
  <si>
    <t>First Secrets 23</t>
  </si>
  <si>
    <t>Morgan Freeman, Daniel Day-Lewis, Emma Stone</t>
  </si>
  <si>
    <t>tt1000543</t>
  </si>
  <si>
    <t>Final War 436</t>
  </si>
  <si>
    <t>Denzel Washington, Al Pacino, Edward Norton</t>
  </si>
  <si>
    <t>tt1000819</t>
  </si>
  <si>
    <t>Secret Revolution 712</t>
  </si>
  <si>
    <t>Musical, Mystery, Crime</t>
  </si>
  <si>
    <t>Morgan Freeman, Robert Downey Jr., Denzel Washington, Cate Blanchett, Tom Cruise</t>
  </si>
  <si>
    <t>tt1000481</t>
  </si>
  <si>
    <t>An Journey 374</t>
  </si>
  <si>
    <t>A crime film set in 2018.</t>
  </si>
  <si>
    <t>Mark Ruffalo, Kate Winslet, Margot Robbie</t>
  </si>
  <si>
    <t>tt1000479</t>
  </si>
  <si>
    <t>An Mission 372</t>
  </si>
  <si>
    <t>A musical film set in 2014.</t>
  </si>
  <si>
    <t>Tom Hanks, Amy Adams, Will Smith</t>
  </si>
  <si>
    <t>tt1000463</t>
  </si>
  <si>
    <t>Secret Chronicles 356</t>
  </si>
  <si>
    <t>Horror, Musical, Documentary</t>
  </si>
  <si>
    <t>Florence Pugh, TimothÃ©e Chalamet, Margot Robbie, Jennifer Lawrence</t>
  </si>
  <si>
    <t>tt1000895</t>
  </si>
  <si>
    <t>Lost Adventures 788</t>
  </si>
  <si>
    <t>Jack Nicholson, Will Smith, Robert Downey Jr., Tom Cruise</t>
  </si>
  <si>
    <t>tt1000913</t>
  </si>
  <si>
    <t>First Secrets 806</t>
  </si>
  <si>
    <t>Drama, Biography</t>
  </si>
  <si>
    <t>A drama film set in 2011.</t>
  </si>
  <si>
    <t>TimothÃ©e Chalamet, Gary Oldman, Leonardo DiCaprio, Margot Robbie, Emma Stone</t>
  </si>
  <si>
    <t>tt1000311</t>
  </si>
  <si>
    <t>First Adventures 204</t>
  </si>
  <si>
    <t>Robert Downey Jr., Gary Oldman, Matt Damon</t>
  </si>
  <si>
    <t>tt1000452</t>
  </si>
  <si>
    <t>A Adventures 345</t>
  </si>
  <si>
    <t>Cate Blanchett, Will Smith, Amy Adams, Al Pacino, Florence Pugh</t>
  </si>
  <si>
    <t>tt1000848</t>
  </si>
  <si>
    <t>An Empire 741</t>
  </si>
  <si>
    <t>Action, Horror</t>
  </si>
  <si>
    <t>A action film set in 2012.</t>
  </si>
  <si>
    <t>Matt Damon, Kate Winslet, Robert Downey Jr., Christian Bale</t>
  </si>
  <si>
    <t>tt1000843</t>
  </si>
  <si>
    <t>First Story 736</t>
  </si>
  <si>
    <t>Matt Damon, Robert De Niro, Samuel L. Jackson</t>
  </si>
  <si>
    <t>tt1000447</t>
  </si>
  <si>
    <t>Secret Story 340</t>
  </si>
  <si>
    <t>Mystery, Musical</t>
  </si>
  <si>
    <t>An epic mystery tale directed by Steven Spielberg.</t>
  </si>
  <si>
    <t>Kate Winslet, Anthony Hopkins, Keanu Reeves, Scarlett Johansson, Leonardo DiCaprio</t>
  </si>
  <si>
    <t>tt1000436</t>
  </si>
  <si>
    <t>A Secrets 329</t>
  </si>
  <si>
    <t>Musical, Western</t>
  </si>
  <si>
    <t>Al Pacino, Robert Downey Jr., Emma Stone, Zendaya, Chris Hemsworth</t>
  </si>
  <si>
    <t>tt1000201</t>
  </si>
  <si>
    <t>Dark Quest 94</t>
  </si>
  <si>
    <t>Adventure, Action, Thriller</t>
  </si>
  <si>
    <t>A adventure film set in 2015.</t>
  </si>
  <si>
    <t>Florence Pugh, Denzel Washington, Natalie Portman</t>
  </si>
  <si>
    <t>tt1000197</t>
  </si>
  <si>
    <t>A Dreams 90</t>
  </si>
  <si>
    <t>Brad Pitt, Robert Downey Jr., Morgan Freeman</t>
  </si>
  <si>
    <t>tt1000860</t>
  </si>
  <si>
    <t>Lost Revolution 753</t>
  </si>
  <si>
    <t>Mystery, Fantasy, Crime</t>
  </si>
  <si>
    <t>TimothÃ©e Chalamet, Tom Cruise, Gary Oldman</t>
  </si>
  <si>
    <t>tt1000608</t>
  </si>
  <si>
    <t>The Love 501</t>
  </si>
  <si>
    <t>Amy Adams, Chris Hemsworth, Scarlett Johansson, Tom Hanks</t>
  </si>
  <si>
    <t>tt1000999</t>
  </si>
  <si>
    <t>Secret Mission 892</t>
  </si>
  <si>
    <t>Daniel Day-Lewis, Emma Stone, Cate Blanchett, Brad Pitt, Zendaya</t>
  </si>
  <si>
    <t>tt1000981</t>
  </si>
  <si>
    <t>Secret Dreams 874</t>
  </si>
  <si>
    <t>War, Sci-Fi</t>
  </si>
  <si>
    <t>Mark Ruffalo, Al Pacino, Viola Davis</t>
  </si>
  <si>
    <t>tt1000994</t>
  </si>
  <si>
    <t>Secret Legend 887</t>
  </si>
  <si>
    <t>A comedy film set in 2019.</t>
  </si>
  <si>
    <t>Harrison Ford, Keanu Reeves, Emma Stone, Meryl Streep, Kate Winslet</t>
  </si>
  <si>
    <t>tt1000366</t>
  </si>
  <si>
    <t>Dark Empire 259</t>
  </si>
  <si>
    <t>Meryl Streep, Al Pacino, Gary Oldman, Chris Hemsworth</t>
  </si>
  <si>
    <t>tt1000634</t>
  </si>
  <si>
    <t>The Secrets 527</t>
  </si>
  <si>
    <t>Horror, Thriller, Fantasy</t>
  </si>
  <si>
    <t>An epic horror tale directed by Peter Jackson.</t>
  </si>
  <si>
    <t>Natalie Portman, Mark Ruffalo, Keanu Reeves</t>
  </si>
  <si>
    <t>tt1000859</t>
  </si>
  <si>
    <t>An Dreams 752</t>
  </si>
  <si>
    <t>Family, Sci-Fi, Musical</t>
  </si>
  <si>
    <t>Harrison Ford, Tom Cruise, Robert De Niro, Samuel L. Jackson</t>
  </si>
  <si>
    <t>tt1000959</t>
  </si>
  <si>
    <t>Lost Destiny 852</t>
  </si>
  <si>
    <t>Mystery, Fantasy</t>
  </si>
  <si>
    <t>Robert De Niro, Al Pacino, Keanu Reeves</t>
  </si>
  <si>
    <t>tt1000628</t>
  </si>
  <si>
    <t>Dark Revolution 521</t>
  </si>
  <si>
    <t>Morgan Freeman, Gary Oldman, Samuel L. Jackson</t>
  </si>
  <si>
    <t>tt1000838</t>
  </si>
  <si>
    <t>First Awakening 731</t>
  </si>
  <si>
    <t>Johnny Depp, Viola Davis, Harrison Ford, Gary Oldman</t>
  </si>
  <si>
    <t>tt1000193</t>
  </si>
  <si>
    <t>Dark Mystery 86</t>
  </si>
  <si>
    <t>Emma Stone, Harrison Ford, Will Smith, Mark Ruffalo</t>
  </si>
  <si>
    <t>tt1000478</t>
  </si>
  <si>
    <t>Lost Mystery 371</t>
  </si>
  <si>
    <t>Matt Damon, Anthony Hopkins, Al Pacino, Emma Stone</t>
  </si>
  <si>
    <t>tt1000815</t>
  </si>
  <si>
    <t>Final Awakening 708</t>
  </si>
  <si>
    <t>Sci-Fi, Documentary</t>
  </si>
  <si>
    <t>Brad Pitt, Florence Pugh, Amy Adams, Robert De Niro, Tom Hanks</t>
  </si>
  <si>
    <t>tt1000912</t>
  </si>
  <si>
    <t>Final Chronicles 805</t>
  </si>
  <si>
    <t>War, Thriller, Animation</t>
  </si>
  <si>
    <t>Amy Adams, Robert De Niro, Scarlett Johansson, Viola Davis, Mark Ruffalo</t>
  </si>
  <si>
    <t>tt1000483</t>
  </si>
  <si>
    <t>Last Secrets 376</t>
  </si>
  <si>
    <t>An epic family tale directed by Ron Howard.</t>
  </si>
  <si>
    <t>Margot Robbie, Tom Cruise, Zendaya, Harrison Ford</t>
  </si>
  <si>
    <t>tt1000375</t>
  </si>
  <si>
    <t>Final War 268</t>
  </si>
  <si>
    <t>A adventure film set in 2011.</t>
  </si>
  <si>
    <t>Robert De Niro, TimothÃ©e Chalamet, Edward Norton</t>
  </si>
  <si>
    <t>tt1000518</t>
  </si>
  <si>
    <t>Final Awakening 411</t>
  </si>
  <si>
    <t>Meryl Streep, Jack Nicholson, Harrison Ford</t>
  </si>
  <si>
    <t>tt1000242</t>
  </si>
  <si>
    <t>A Empire 135</t>
  </si>
  <si>
    <t>An epic thriller tale directed by James Cameron.</t>
  </si>
  <si>
    <t>Natalie Portman, Gary Oldman, Meryl Streep, TimothÃ©e Chalamet, Zendaya</t>
  </si>
  <si>
    <t>tt1000551</t>
  </si>
  <si>
    <t>Last War 444</t>
  </si>
  <si>
    <t>Fantasy, Drama, War</t>
  </si>
  <si>
    <t>Florence Pugh, Tom Cruise, Margot Robbie</t>
  </si>
  <si>
    <t>tt1000550</t>
  </si>
  <si>
    <t>First Destiny 443</t>
  </si>
  <si>
    <t>Biography, Western, War</t>
  </si>
  <si>
    <t>Florence Pugh, Scarlett Johansson, Keanu Reeves</t>
  </si>
  <si>
    <t>tt1000361</t>
  </si>
  <si>
    <t>An Adventures 254</t>
  </si>
  <si>
    <t>Johnny Depp, Morgan Freeman, Chris Hemsworth, Viola Davis</t>
  </si>
  <si>
    <t>tt1000970</t>
  </si>
  <si>
    <t>An Secrets 863</t>
  </si>
  <si>
    <t>A horror film set in 2000.</t>
  </si>
  <si>
    <t>Gary Oldman, Anthony Hopkins, Robert Downey Jr., Mark Ruffalo, Emma Stone</t>
  </si>
  <si>
    <t>tt1000619</t>
  </si>
  <si>
    <t>A Legend 512</t>
  </si>
  <si>
    <t>An epic family tale directed by Stanley Kubrick.</t>
  </si>
  <si>
    <t>Mark Ruffalo, Margot Robbie, Robert De Niro, Kate Winslet</t>
  </si>
  <si>
    <t>tt1000966</t>
  </si>
  <si>
    <t>An Chronicles 859</t>
  </si>
  <si>
    <t>Natalie Portman, Jack Nicholson, Matt Damon, Samuel L. Jackson</t>
  </si>
  <si>
    <t>tt1000390</t>
  </si>
  <si>
    <t>First Dreams 283</t>
  </si>
  <si>
    <t>A war film set in 2009.</t>
  </si>
  <si>
    <t>Natalie Portman, Matt Damon, Viola Davis, Leonardo DiCaprio</t>
  </si>
  <si>
    <t>tt1000356</t>
  </si>
  <si>
    <t>Lost Mission 249</t>
  </si>
  <si>
    <t>Scarlett Johansson, Matt Damon, Meryl Streep</t>
  </si>
  <si>
    <t>tt1000119</t>
  </si>
  <si>
    <t>Lost Journey 12</t>
  </si>
  <si>
    <t>Romance, Western</t>
  </si>
  <si>
    <t>A romance film set in 1989.</t>
  </si>
  <si>
    <t>Robert De Niro, Amy Adams, Cate Blanchett</t>
  </si>
  <si>
    <t>tt1000376</t>
  </si>
  <si>
    <t>Final Chronicles 269</t>
  </si>
  <si>
    <t>Johnny Depp, Keanu Reeves, Jack Nicholson, Denzel Washington</t>
  </si>
  <si>
    <t>tt1000184</t>
  </si>
  <si>
    <t>An Revolution 77</t>
  </si>
  <si>
    <t>Adventure, Western</t>
  </si>
  <si>
    <t>A adventure film set in 1981.</t>
  </si>
  <si>
    <t>Margot Robbie, Leonardo DiCaprio, Natalie Portman, Anthony Hopkins</t>
  </si>
  <si>
    <t>tt1000877</t>
  </si>
  <si>
    <t>Final Chronicles 770</t>
  </si>
  <si>
    <t>An epic biography tale directed by Spike Lee.</t>
  </si>
  <si>
    <t>Jennifer Lawrence, Emma Stone, Matt Damon, Morgan Freeman</t>
  </si>
  <si>
    <t>tt1000316</t>
  </si>
  <si>
    <t>Lost Empire 209</t>
  </si>
  <si>
    <t>Family, Thriller</t>
  </si>
  <si>
    <t>Brad Pitt, Tom Hanks, Amy Adams</t>
  </si>
  <si>
    <t>tt1000421</t>
  </si>
  <si>
    <t>Lost Kingdom 314</t>
  </si>
  <si>
    <t>Robert De Niro, Morgan Freeman, Johnny Depp, Brad Pitt, Cate Blanchett</t>
  </si>
  <si>
    <t>tt1000206</t>
  </si>
  <si>
    <t>Dark Story 99</t>
  </si>
  <si>
    <t>Animation, Adventure</t>
  </si>
  <si>
    <t>An epic animation tale directed by Taika Waititi.</t>
  </si>
  <si>
    <t>Jennifer Lawrence, Margot Robbie, Robert De Niro, Harrison Ford, Anthony Hopkins</t>
  </si>
  <si>
    <t>tt1000362</t>
  </si>
  <si>
    <t>A Empire 255</t>
  </si>
  <si>
    <t>Biography, Thriller</t>
  </si>
  <si>
    <t>Viola Davis, Kate Winslet, Anthony Hopkins</t>
  </si>
  <si>
    <t>tt1000738</t>
  </si>
  <si>
    <t>First Secrets 631</t>
  </si>
  <si>
    <t>Thriller, Musical</t>
  </si>
  <si>
    <t>An epic thriller tale directed by Ron Howard.</t>
  </si>
  <si>
    <t>Brad Pitt, Scarlett Johansson, Keanu Reeves</t>
  </si>
  <si>
    <t>tt1000731</t>
  </si>
  <si>
    <t>Last Empire 624</t>
  </si>
  <si>
    <t>Thriller, Comedy</t>
  </si>
  <si>
    <t>Tom Cruise, Morgan Freeman, Christian Bale, Natalie Portman, Viola Davis</t>
  </si>
  <si>
    <t>tt1000714</t>
  </si>
  <si>
    <t>First Journey 607</t>
  </si>
  <si>
    <t>Will Smith, Mark Ruffalo, Keanu Reeves, Chris Hemsworth</t>
  </si>
  <si>
    <t>tt1000306</t>
  </si>
  <si>
    <t>Final Awakening 199</t>
  </si>
  <si>
    <t>Animation, Fantasy</t>
  </si>
  <si>
    <t>Denzel Washington, Cate Blanchett, Tom Cruise, Scarlett Johansson</t>
  </si>
  <si>
    <t>tt1000301</t>
  </si>
  <si>
    <t>The Story 194</t>
  </si>
  <si>
    <t>TimothÃ©e Chalamet, Gary Oldman, Margot Robbie, Viola Davis, Tom Cruise</t>
  </si>
  <si>
    <t>tt1000393</t>
  </si>
  <si>
    <t>The Mission 286</t>
  </si>
  <si>
    <t>A thriller film set in 2024.</t>
  </si>
  <si>
    <t>Denzel Washington, Tom Cruise, Cate Blanchett, Amy Adams, Keanu Reeves</t>
  </si>
  <si>
    <t>tt1000154</t>
  </si>
  <si>
    <t>First Quest 47</t>
  </si>
  <si>
    <t>Daniel Day-Lewis, Harrison Ford, Robert Downey Jr., Johnny Depp, Chris Hemsworth</t>
  </si>
  <si>
    <t>tt1000720</t>
  </si>
  <si>
    <t>Final Mystery 613</t>
  </si>
  <si>
    <t>Margot Robbie, Amy Adams, Meryl Streep</t>
  </si>
  <si>
    <t>tt1000686</t>
  </si>
  <si>
    <t>First Empire 579</t>
  </si>
  <si>
    <t>Action, Biography</t>
  </si>
  <si>
    <t>Robert Downey Jr., Tom Hanks, Harrison Ford, Will Smith, Matt Damon</t>
  </si>
  <si>
    <t>tt1000668</t>
  </si>
  <si>
    <t>First Story 561</t>
  </si>
  <si>
    <t>Sci-Fi, Horror</t>
  </si>
  <si>
    <t>Will Smith, Cate Blanchett, Keanu Reeves</t>
  </si>
  <si>
    <t>tt1000647</t>
  </si>
  <si>
    <t>Secret Love 540</t>
  </si>
  <si>
    <t>Will Smith, Al Pacino, Robert De Niro, Keanu Reeves, Gary Oldman</t>
  </si>
  <si>
    <t>tt1000562</t>
  </si>
  <si>
    <t>Last Journey 455</t>
  </si>
  <si>
    <t>Margot Robbie, Edward Norton, Matt Damon</t>
  </si>
  <si>
    <t>tt1000399</t>
  </si>
  <si>
    <t>Secret Chronicles 292</t>
  </si>
  <si>
    <t>Meryl Streep, Leonardo DiCaprio, Emma Stone, Robert Downey Jr.</t>
  </si>
  <si>
    <t>tt1000915</t>
  </si>
  <si>
    <t>A War 808</t>
  </si>
  <si>
    <t>Sci-Fi, Horror, Animation</t>
  </si>
  <si>
    <t>A sci-fi film set in 2009.</t>
  </si>
  <si>
    <t>Gary Oldman, Robert De Niro, Tom Cruise, Florence Pugh</t>
  </si>
  <si>
    <t>tt1000921</t>
  </si>
  <si>
    <t>Final Quest 814</t>
  </si>
  <si>
    <t>Musical, Fantasy, Action</t>
  </si>
  <si>
    <t>An epic musical tale directed by Edgar Wright.</t>
  </si>
  <si>
    <t>Tom Cruise, Robert Downey Jr., Zendaya</t>
  </si>
  <si>
    <t>tt1000370</t>
  </si>
  <si>
    <t>Lost Destiny 263</t>
  </si>
  <si>
    <t>Jennifer Lawrence, Cate Blanchett, Robert Downey Jr., Daniel Day-Lewis, Denzel Washington</t>
  </si>
  <si>
    <t>tt1000245</t>
  </si>
  <si>
    <t>Secret Mission 138</t>
  </si>
  <si>
    <t>An epic mystery tale directed by Peter Jackson.</t>
  </si>
  <si>
    <t>Tom Hanks, TimothÃ©e Chalamet, Anthony Hopkins, Harrison Ford</t>
  </si>
  <si>
    <t>tt1000243</t>
  </si>
  <si>
    <t>First War 136</t>
  </si>
  <si>
    <t>Documentary, Mystery</t>
  </si>
  <si>
    <t>TimothÃ©e Chalamet, Daniel Day-Lewis, Tom Hanks, Matt Damon, Cate Blanchett</t>
  </si>
  <si>
    <t>tt1000241</t>
  </si>
  <si>
    <t>Dark Dreams 134</t>
  </si>
  <si>
    <t>Tom Cruise, Zendaya, Brad Pitt, Viola Davis</t>
  </si>
  <si>
    <t>tt1000446</t>
  </si>
  <si>
    <t>A Adventures 339</t>
  </si>
  <si>
    <t>Samuel L. Jackson, Jack Nicholson, Margot Robbie</t>
  </si>
  <si>
    <t>tt1000854</t>
  </si>
  <si>
    <t>Dark Destiny 747</t>
  </si>
  <si>
    <t>An epic horror tale directed by Christopher Nolan.</t>
  </si>
  <si>
    <t>Brad Pitt, Margot Robbie, Jennifer Lawrence, Amy Adams</t>
  </si>
  <si>
    <t>tt1000800</t>
  </si>
  <si>
    <t>Secret Love 693</t>
  </si>
  <si>
    <t>Jennifer Lawrence, Chris Hemsworth, Samuel L. Jackson, Kate Winslet, Edward Norton</t>
  </si>
  <si>
    <t>tt1000964</t>
  </si>
  <si>
    <t>Last Kingdom 857</t>
  </si>
  <si>
    <t>Tom Hanks, TimothÃ©e Chalamet, Jennifer Lawrence, Viola Davis</t>
  </si>
  <si>
    <t>tt1000993</t>
  </si>
  <si>
    <t>Last Adventures 886</t>
  </si>
  <si>
    <t>Adventure, Sci-Fi, Action</t>
  </si>
  <si>
    <t>Scarlett Johansson, Harrison Ford, Edward Norton, Samuel L. Jackson, Keanu Reeves</t>
  </si>
  <si>
    <t>tt1000933</t>
  </si>
  <si>
    <t>A Legend 826</t>
  </si>
  <si>
    <t>A thriller film set in 2006.</t>
  </si>
  <si>
    <t>Natalie Portman, Florence Pugh, Jack Nicholson, Meryl Streep, Samuel L. Jackson</t>
  </si>
  <si>
    <t>tt1000278</t>
  </si>
  <si>
    <t>Final Legend 171</t>
  </si>
  <si>
    <t>Meryl Streep, Anthony Hopkins, Cate Blanchett, Chris Hemsworth, Jack Nicholson</t>
  </si>
  <si>
    <t>tt1000610</t>
  </si>
  <si>
    <t>Lost War 503</t>
  </si>
  <si>
    <t>Fantasy, Family, Comedy</t>
  </si>
  <si>
    <t>A fantasy film set in 2011.</t>
  </si>
  <si>
    <t>Harrison Ford, Meryl Streep, Leonardo DiCaprio, Jennifer Lawrence</t>
  </si>
  <si>
    <t>tt1000645</t>
  </si>
  <si>
    <t>Last Mission 538</t>
  </si>
  <si>
    <t>Family, Animation, Fantasy</t>
  </si>
  <si>
    <t>An epic family tale directed by David Fincher.</t>
  </si>
  <si>
    <t>TimothÃ©e Chalamet, Gary Oldman, Natalie Portman, Mark Ruffalo</t>
  </si>
  <si>
    <t>tt1000292</t>
  </si>
  <si>
    <t>Dark Adventures 185</t>
  </si>
  <si>
    <t>Adventure, Fantasy</t>
  </si>
  <si>
    <t>Natalie Portman, Amy Adams, Emma Stone, Will Smith</t>
  </si>
  <si>
    <t>tt1000572</t>
  </si>
  <si>
    <t>Lost Mission 465</t>
  </si>
  <si>
    <t>Mystery, Romance</t>
  </si>
  <si>
    <t>Jack Nicholson, Brad Pitt, Scarlett Johansson, Florence Pugh, Anthony Hopkins</t>
  </si>
  <si>
    <t>tt1000252</t>
  </si>
  <si>
    <t>First Quest 145</t>
  </si>
  <si>
    <t>Western, Biography</t>
  </si>
  <si>
    <t>Harrison Ford, Al Pacino, Emma Stone, Brad Pitt, Jack Nicholson</t>
  </si>
  <si>
    <t>tt1000566</t>
  </si>
  <si>
    <t>Secret Destiny 459</t>
  </si>
  <si>
    <t>Chris Hemsworth, Will Smith, Margot Robbie, Zendaya</t>
  </si>
  <si>
    <t>tt1000219</t>
  </si>
  <si>
    <t>First Story 112</t>
  </si>
  <si>
    <t>Fantasy, Comedy</t>
  </si>
  <si>
    <t>Al Pacino, Morgan Freeman, Gary Oldman, Edward Norton</t>
  </si>
  <si>
    <t>tt1000799</t>
  </si>
  <si>
    <t>First Chronicles 692</t>
  </si>
  <si>
    <t>Gary Oldman, Christian Bale, Florence Pugh</t>
  </si>
  <si>
    <t>tt1000901</t>
  </si>
  <si>
    <t>Dark Secrets 794</t>
  </si>
  <si>
    <t>An epic musical tale directed by Ridley Scott.</t>
  </si>
  <si>
    <t>Keanu Reeves, Viola Davis, Will Smith</t>
  </si>
  <si>
    <t>tt1000338</t>
  </si>
  <si>
    <t>Final Revolution 231</t>
  </si>
  <si>
    <t>Natalie Portman, Gary Oldman, Will Smith, Robert Downey Jr., Christian Bale</t>
  </si>
  <si>
    <t>tt1000811</t>
  </si>
  <si>
    <t>A Secrets 704</t>
  </si>
  <si>
    <t>Sci-Fi, Animation</t>
  </si>
  <si>
    <t>Margot Robbie, Anthony Hopkins, Johnny Depp</t>
  </si>
  <si>
    <t>tt1000472</t>
  </si>
  <si>
    <t>Dark Awakening 365</t>
  </si>
  <si>
    <t>Meryl Streep, Margot Robbie, Chris Hemsworth, Keanu Reeves, Morgan Freeman</t>
  </si>
  <si>
    <t>tt1000218</t>
  </si>
  <si>
    <t>A Kingdom 111</t>
  </si>
  <si>
    <t>Amy Adams, Mark Ruffalo, Cate Blanchett</t>
  </si>
  <si>
    <t>tt1000464</t>
  </si>
  <si>
    <t>The Quest 357</t>
  </si>
  <si>
    <t>Thriller, Drama, Western</t>
  </si>
  <si>
    <t>Brad Pitt, Tom Hanks, Morgan Freeman, Tom Cruise, Will Smith</t>
  </si>
  <si>
    <t>tt1000420</t>
  </si>
  <si>
    <t>Dark Mystery 313</t>
  </si>
  <si>
    <t>A crime film set in 2010.</t>
  </si>
  <si>
    <t>Tom Hanks, Brad Pitt, Anthony Hopkins</t>
  </si>
  <si>
    <t>tt1000998</t>
  </si>
  <si>
    <t>First Story 891</t>
  </si>
  <si>
    <t>Horror, Drama</t>
  </si>
  <si>
    <t>A horror film set in 2020.</t>
  </si>
  <si>
    <t>Anthony Hopkins, TimothÃ©e Chalamet, Emma Stone, Meryl Streep</t>
  </si>
  <si>
    <t>tt1000365</t>
  </si>
  <si>
    <t>Final Dreams 258</t>
  </si>
  <si>
    <t>Romance, Action</t>
  </si>
  <si>
    <t>Jack Nicholson, Keanu Reeves, Edward Norton, Gary Oldman, Emma Stone</t>
  </si>
  <si>
    <t>tt1000997</t>
  </si>
  <si>
    <t>An Love 890</t>
  </si>
  <si>
    <t>Meryl Streep, Harrison Ford, Margot Robbie, Tom Cruise, Leonardo DiCaprio</t>
  </si>
  <si>
    <t>tt1000342</t>
  </si>
  <si>
    <t>Dark Chronicles 235</t>
  </si>
  <si>
    <t>Jack Nicholson, Matt Damon, Natalie Portman</t>
  </si>
  <si>
    <t>tt1000205</t>
  </si>
  <si>
    <t>Last Empire 98</t>
  </si>
  <si>
    <t>Robert De Niro, Tom Cruise, Johnny Depp</t>
  </si>
  <si>
    <t>tt1000614</t>
  </si>
  <si>
    <t>First Awakening 507</t>
  </si>
  <si>
    <t>A western film set in 2004.</t>
  </si>
  <si>
    <t>Will Smith, Anthony Hopkins, Chris Hemsworth, Al Pacino</t>
  </si>
  <si>
    <t>tt1000087</t>
  </si>
  <si>
    <t>Rain Man</t>
  </si>
  <si>
    <t>Christian Bale, Edward Norton, Daniel Day-Lewis</t>
  </si>
  <si>
    <t>tt1000267</t>
  </si>
  <si>
    <t>Lost Dreams 160</t>
  </si>
  <si>
    <t>Kate Winslet, Florence Pugh, Matt Damon, Samuel L. Jackson, Jennifer Lawrence</t>
  </si>
  <si>
    <t>tt1000357</t>
  </si>
  <si>
    <t>Lost War 250</t>
  </si>
  <si>
    <t>Action, Western, Biography</t>
  </si>
  <si>
    <t>A action film set in 2014.</t>
  </si>
  <si>
    <t>Emma Stone, Viola Davis, Morgan Freeman, Johnny Depp</t>
  </si>
  <si>
    <t>tt1000673</t>
  </si>
  <si>
    <t>Dark Dreams 566</t>
  </si>
  <si>
    <t>A horror film set in 2009.</t>
  </si>
  <si>
    <t>Natalie Portman, Emma Stone, Samuel L. Jackson, Meryl Streep</t>
  </si>
  <si>
    <t>tt1000589</t>
  </si>
  <si>
    <t>The Kingdom 482</t>
  </si>
  <si>
    <t>Emma Stone, Tom Hanks, Mark Ruffalo, Gary Oldman</t>
  </si>
  <si>
    <t>tt1000281</t>
  </si>
  <si>
    <t>Secret Adventures 174</t>
  </si>
  <si>
    <t>Meryl Streep, Jennifer Lawrence, Brad Pitt, Leonardo DiCaprio</t>
  </si>
  <si>
    <t>tt1000646</t>
  </si>
  <si>
    <t>Secret Story 539</t>
  </si>
  <si>
    <t>Documentary, Thriller</t>
  </si>
  <si>
    <t>A documentary film set in 2001.</t>
  </si>
  <si>
    <t>Christian Bale, Robert Downey Jr., Chris Hemsworth</t>
  </si>
  <si>
    <t>tt1000906</t>
  </si>
  <si>
    <t>Last Destiny 799</t>
  </si>
  <si>
    <t>Horror, War, Drama</t>
  </si>
  <si>
    <t>Denzel Washington, Viola Davis, Natalie Portman, Harrison Ford, Mark Ruffalo</t>
  </si>
  <si>
    <t>tt1000431</t>
  </si>
  <si>
    <t>A Mission 324</t>
  </si>
  <si>
    <t>Meryl Streep, Brad Pitt, Johnny Depp, TimothÃ©e Chalamet, Daniel Day-Lewis</t>
  </si>
  <si>
    <t>tt1000441</t>
  </si>
  <si>
    <t>Secret Empire 334</t>
  </si>
  <si>
    <t>An epic animation tale directed by Christopher Nolan.</t>
  </si>
  <si>
    <t>Will Smith, Johnny Depp, Kate Winslet, Zendaya, Matt Damon</t>
  </si>
  <si>
    <t>tt1000183</t>
  </si>
  <si>
    <t>First Legend 76</t>
  </si>
  <si>
    <t>Documentary, Horror</t>
  </si>
  <si>
    <t>Denzel Washington, Tom Cruise, Edward Norton</t>
  </si>
  <si>
    <t>tt1000864</t>
  </si>
  <si>
    <t>Lost Adventures 757</t>
  </si>
  <si>
    <t>A war film set in 2013.</t>
  </si>
  <si>
    <t>Matt Damon, Morgan Freeman, Florence Pugh</t>
  </si>
  <si>
    <t>tt1000872</t>
  </si>
  <si>
    <t>Last Journey 765</t>
  </si>
  <si>
    <t>Will Smith, Florence Pugh, Samuel L. Jackson</t>
  </si>
  <si>
    <t>tt1000636</t>
  </si>
  <si>
    <t>A Mission 529</t>
  </si>
  <si>
    <t>Al Pacino, Brad Pitt, Will Smith, Morgan Freeman</t>
  </si>
  <si>
    <t>tt1000212</t>
  </si>
  <si>
    <t>Secret Story 105</t>
  </si>
  <si>
    <t>War, Family, Mystery</t>
  </si>
  <si>
    <t>Natalie Portman, Anthony Hopkins, Mark Ruffalo, Samuel L. Jackson, Florence Pugh</t>
  </si>
  <si>
    <t>tt1000209</t>
  </si>
  <si>
    <t>Final Kingdom 102</t>
  </si>
  <si>
    <t>Western, Action, Biography</t>
  </si>
  <si>
    <t>A western film set in 2006.</t>
  </si>
  <si>
    <t>Denzel Washington, Will Smith, Tom Cruise, Meryl Streep</t>
  </si>
  <si>
    <t>tt1000963</t>
  </si>
  <si>
    <t>Secret Mystery 856</t>
  </si>
  <si>
    <t>Sci-Fi, War, Crime</t>
  </si>
  <si>
    <t>An epic sci-fi tale directed by David Fincher.</t>
  </si>
  <si>
    <t>Keanu Reeves, Johnny Depp, Robert De Niro</t>
  </si>
  <si>
    <t>tt1000307</t>
  </si>
  <si>
    <t>A Destiny 200</t>
  </si>
  <si>
    <t>An epic comedy tale directed by Akira Kurosawa.</t>
  </si>
  <si>
    <t>Keanu Reeves, Denzel Washington, Florence Pugh, Daniel Day-Lewis</t>
  </si>
  <si>
    <t>tt1000748</t>
  </si>
  <si>
    <t>Final Mission 641</t>
  </si>
  <si>
    <t>Fantasy, Animation, Adventure</t>
  </si>
  <si>
    <t>Cate Blanchett, Jennifer Lawrence, Zendaya, Robert De Niro, Scarlett Johansson</t>
  </si>
  <si>
    <t>tt1000612</t>
  </si>
  <si>
    <t>Dark Legend 505</t>
  </si>
  <si>
    <t>Western, Romance, Biography</t>
  </si>
  <si>
    <t>A western film set in 2011.</t>
  </si>
  <si>
    <t>Jennifer Lawrence, Tom Cruise, Will Smith, Margot Robbie, Harrison Ford</t>
  </si>
  <si>
    <t>tt1000587</t>
  </si>
  <si>
    <t>Last Quest 480</t>
  </si>
  <si>
    <t>An epic war tale directed by Alfred Hitchcock.</t>
  </si>
  <si>
    <t>Chris Hemsworth, Matt Damon, Edward Norton, Margot Robbie</t>
  </si>
  <si>
    <t>tt1000128</t>
  </si>
  <si>
    <t>First Story 21</t>
  </si>
  <si>
    <t>Robert De Niro, Jack Nicholson, Samuel L. Jackson, Scarlett Johansson, Emma Stone</t>
  </si>
  <si>
    <t>tt1000371</t>
  </si>
  <si>
    <t>Final Mission 264</t>
  </si>
  <si>
    <t>A family film set in 2022.</t>
  </si>
  <si>
    <t>Keanu Reeves, Viola Davis, Scarlett Johansson, Denzel Washington</t>
  </si>
  <si>
    <t>tt1000713</t>
  </si>
  <si>
    <t>Dark Empire 606</t>
  </si>
  <si>
    <t>Kate Winslet, Cate Blanchett, Emma Stone, Leonardo DiCaprio, Samuel L. Jackson</t>
  </si>
  <si>
    <t>tt1000535</t>
  </si>
  <si>
    <t>Last Secrets 428</t>
  </si>
  <si>
    <t>An epic animation tale directed by Francis Ford Coppola.</t>
  </si>
  <si>
    <t>Viola Davis, Jack Nicholson, Leonardo DiCaprio</t>
  </si>
  <si>
    <t>tt1000323</t>
  </si>
  <si>
    <t>Lost Secrets 216</t>
  </si>
  <si>
    <t>Western, Fantasy</t>
  </si>
  <si>
    <t>An epic western tale directed by Kathryn Bigelow.</t>
  </si>
  <si>
    <t>Cate Blanchett, Robert De Niro, Amy Adams, Florence Pugh</t>
  </si>
  <si>
    <t>tt1000724</t>
  </si>
  <si>
    <t>Final Kingdom 617</t>
  </si>
  <si>
    <t>A drama film set in 2010.</t>
  </si>
  <si>
    <t>Daniel Day-Lewis, Viola Davis, Denzel Washington, Tom Cruise</t>
  </si>
  <si>
    <t>tt1000560</t>
  </si>
  <si>
    <t>A Kingdom 453</t>
  </si>
  <si>
    <t>Horror, Animation, Thriller</t>
  </si>
  <si>
    <t>Natalie Portman, Viola Davis, Edward Norton</t>
  </si>
  <si>
    <t>tt1000577</t>
  </si>
  <si>
    <t>The War 470</t>
  </si>
  <si>
    <t>Fantasy, Horror</t>
  </si>
  <si>
    <t>Zendaya, Robert Downey Jr., Leonardo DiCaprio</t>
  </si>
  <si>
    <t>tt1000682</t>
  </si>
  <si>
    <t>An Quest 575</t>
  </si>
  <si>
    <t>An epic sci-fi tale directed by Edgar Wright.</t>
  </si>
  <si>
    <t>Amy Adams, Meryl Streep, Samuel L. Jackson, Gary Oldman, Matt Damon</t>
  </si>
  <si>
    <t>tt1000794</t>
  </si>
  <si>
    <t>A War 687</t>
  </si>
  <si>
    <t>Documentary, Action</t>
  </si>
  <si>
    <t>Tom Hanks, Leonardo DiCaprio, Denzel Washington</t>
  </si>
  <si>
    <t>tt1000401</t>
  </si>
  <si>
    <t>Lost Story 294</t>
  </si>
  <si>
    <t>Horror, War</t>
  </si>
  <si>
    <t>TimothÃ©e Chalamet, Samuel L. Jackson, Kate Winslet, Will Smith</t>
  </si>
  <si>
    <t>tt1000291</t>
  </si>
  <si>
    <t>The Revolution 184</t>
  </si>
  <si>
    <t>Will Smith, Brad Pitt, Morgan Freeman</t>
  </si>
  <si>
    <t>tt1000717</t>
  </si>
  <si>
    <t>Lost War 610</t>
  </si>
  <si>
    <t>Musical, War, Horror</t>
  </si>
  <si>
    <t>Chris Hemsworth, Florence Pugh, Johnny Depp, TimothÃ©e Chalamet</t>
  </si>
  <si>
    <t>tt1000123</t>
  </si>
  <si>
    <t>Secret Story 16</t>
  </si>
  <si>
    <t>Romance, Adventure</t>
  </si>
  <si>
    <t>Robert Downey Jr., Emma Stone, Tom Cruise, TimothÃ©e Chalamet</t>
  </si>
  <si>
    <t>tt1000266</t>
  </si>
  <si>
    <t>First Revolution 159</t>
  </si>
  <si>
    <t>Keanu Reeves, Robert De Niro, Will Smith</t>
  </si>
  <si>
    <t>tt1000941</t>
  </si>
  <si>
    <t>Lost Quest 834</t>
  </si>
  <si>
    <t>Thriller, Sci-Fi, Action</t>
  </si>
  <si>
    <t>An epic thriller tale directed by Frank Darabont.</t>
  </si>
  <si>
    <t>Mark Ruffalo, Amy Adams, Daniel Day-Lewis</t>
  </si>
  <si>
    <t>tt1000931</t>
  </si>
  <si>
    <t>Last Love 824</t>
  </si>
  <si>
    <t>War, Horror</t>
  </si>
  <si>
    <t>Cate Blanchett, Daniel Day-Lewis, Zendaya, Jack Nicholson, Anthony Hopkins</t>
  </si>
  <si>
    <t>tt1000265</t>
  </si>
  <si>
    <t>Dark Quest 158</t>
  </si>
  <si>
    <t>A musical film set in 2010.</t>
  </si>
  <si>
    <t>Christian Bale, Meryl Streep, Chris Hemsworth, Samuel L. Jackson</t>
  </si>
  <si>
    <t>tt1000665</t>
  </si>
  <si>
    <t>The Chronicles 558</t>
  </si>
  <si>
    <t>An epic musical tale directed by Frank Darabont.</t>
  </si>
  <si>
    <t>Meryl Streep, Florence Pugh, Tom Hanks</t>
  </si>
  <si>
    <t>tt1000592</t>
  </si>
  <si>
    <t>Secret Secrets 485</t>
  </si>
  <si>
    <t>A fantasy film set in 2016.</t>
  </si>
  <si>
    <t>Leonardo DiCaprio, Viola Davis, Cate Blanchett, Morgan Freeman, Robert De Niro</t>
  </si>
  <si>
    <t>tt1000653</t>
  </si>
  <si>
    <t>Secret Mission 546</t>
  </si>
  <si>
    <t>Comedy, Thriller, War</t>
  </si>
  <si>
    <t>A comedy film set in 2015.</t>
  </si>
  <si>
    <t>Leonardo DiCaprio, Christian Bale, Tom Cruise</t>
  </si>
  <si>
    <t>tt1000693</t>
  </si>
  <si>
    <t>A War 586</t>
  </si>
  <si>
    <t>An epic mystery tale directed by Wong Kar-wai.</t>
  </si>
  <si>
    <t>Emma Stone, Viola Davis, Natalie Portman</t>
  </si>
  <si>
    <t>tt1000255</t>
  </si>
  <si>
    <t>Secret Secrets 148</t>
  </si>
  <si>
    <t>Animation, Comedy, Mystery</t>
  </si>
  <si>
    <t>TimothÃ©e Chalamet, Harrison Ford, Jennifer Lawrence, Matt Damon</t>
  </si>
  <si>
    <t>tt1000679</t>
  </si>
  <si>
    <t>Last Mystery 572</t>
  </si>
  <si>
    <t>Anthony Hopkins, Emma Stone, Jennifer Lawrence, Jack Nicholson, Brad Pitt</t>
  </si>
  <si>
    <t>tt1000707</t>
  </si>
  <si>
    <t>A Awakening 600</t>
  </si>
  <si>
    <t>Romance, Sci-Fi, Drama</t>
  </si>
  <si>
    <t>An epic romance tale directed by Hayao Miyazaki.</t>
  </si>
  <si>
    <t>Tom Cruise, Daniel Day-Lewis, Amy Adams, Christian Bale, Zendaya</t>
  </si>
  <si>
    <t>tt1000779</t>
  </si>
  <si>
    <t>A Revolution 672</t>
  </si>
  <si>
    <t>Adventure, Animation, Fantasy</t>
  </si>
  <si>
    <t>Johnny Depp, Jennifer Lawrence, Samuel L. Jackson</t>
  </si>
  <si>
    <t>tt1000736</t>
  </si>
  <si>
    <t>Final Story 629</t>
  </si>
  <si>
    <t>An epic drama tale directed by Martin Scorsese.</t>
  </si>
  <si>
    <t>Johnny Depp, Gary Oldman, Meryl Streep, Harrison Ford, Anthony Hopkins</t>
  </si>
  <si>
    <t>tt1000146</t>
  </si>
  <si>
    <t>Dark Dreams 39</t>
  </si>
  <si>
    <t>Meryl Streep, Edward Norton, Will Smith, Mark Ruffalo</t>
  </si>
  <si>
    <t>tt1000852</t>
  </si>
  <si>
    <t>The Destiny 745</t>
  </si>
  <si>
    <t>Sci-Fi, Thriller, Drama</t>
  </si>
  <si>
    <t>Cate Blanchett, Kate Winslet, Harrison Ford</t>
  </si>
  <si>
    <t>tt1000169</t>
  </si>
  <si>
    <t>The Quest 62</t>
  </si>
  <si>
    <t>A adventure film set in 1996.</t>
  </si>
  <si>
    <t>Keanu Reeves, Morgan Freeman, Al Pacino, Amy Adams, Brad Pitt</t>
  </si>
  <si>
    <t>tt1000364</t>
  </si>
  <si>
    <t>First Kingdom 257</t>
  </si>
  <si>
    <t>Documentary, Comedy</t>
  </si>
  <si>
    <t>An epic documentary tale directed by Ang Lee.</t>
  </si>
  <si>
    <t>Amy Adams, Chris Hemsworth, Johnny Depp</t>
  </si>
  <si>
    <t>tt1000453</t>
  </si>
  <si>
    <t>Lost Mission 346</t>
  </si>
  <si>
    <t>Al Pacino, Chris Hemsworth, Harrison Ford, Johnny Depp</t>
  </si>
  <si>
    <t>tt1000846</t>
  </si>
  <si>
    <t>An Quest 739</t>
  </si>
  <si>
    <t>Family, Comedy</t>
  </si>
  <si>
    <t>A family film set in 2024.</t>
  </si>
  <si>
    <t>Anthony Hopkins, TimothÃ©e Chalamet, Jennifer Lawrence, Amy Adams</t>
  </si>
  <si>
    <t>tt1000455</t>
  </si>
  <si>
    <t>Lost Journey 348</t>
  </si>
  <si>
    <t>Viola Davis, Chris Hemsworth, Robert De Niro, Gary Oldman</t>
  </si>
  <si>
    <t>tt1000134</t>
  </si>
  <si>
    <t>A Mission 27</t>
  </si>
  <si>
    <t>Drama, Adventure</t>
  </si>
  <si>
    <t>An epic drama tale directed by Pedro AlmodÃ³var.</t>
  </si>
  <si>
    <t>Christian Bale, Robert De Niro, Viola Davis, Margot Robbie</t>
  </si>
  <si>
    <t>tt1000178</t>
  </si>
  <si>
    <t>A Love 71</t>
  </si>
  <si>
    <t>Animation, Drama</t>
  </si>
  <si>
    <t>Jack Nicholson, Mark Ruffalo, Robert De Niro, Keanu Reeves, Robert Downey Jr.</t>
  </si>
  <si>
    <t>tt1000829</t>
  </si>
  <si>
    <t>Last Dreams 722</t>
  </si>
  <si>
    <t>A documentary film set in 2012.</t>
  </si>
  <si>
    <t>Morgan Freeman, Meryl Streep, Anthony Hopkins</t>
  </si>
  <si>
    <t>tt1000415</t>
  </si>
  <si>
    <t>Final Chronicles 308</t>
  </si>
  <si>
    <t>An epic family tale directed by Greta Gerwig.</t>
  </si>
  <si>
    <t>TimothÃ©e Chalamet, Robert Downey Jr., Florence Pugh, Leonardo DiCaprio, Tom Cruise</t>
  </si>
  <si>
    <t>tt1000908</t>
  </si>
  <si>
    <t>Last Revolution 801</t>
  </si>
  <si>
    <t>Adventure, Romance</t>
  </si>
  <si>
    <t>Edward Norton, Natalie Portman, Christian Bale</t>
  </si>
  <si>
    <t>tt1000822</t>
  </si>
  <si>
    <t>A Secrets 715</t>
  </si>
  <si>
    <t>Tom Hanks, Edward Norton, Margot Robbie, Daniel Day-Lewis, Matt Damon</t>
  </si>
  <si>
    <t>tt1000897</t>
  </si>
  <si>
    <t>The War 790</t>
  </si>
  <si>
    <t>Animation, War</t>
  </si>
  <si>
    <t>An epic animation tale directed by Coen Brothers.</t>
  </si>
  <si>
    <t>Margot Robbie, Natalie Portman, Jennifer Lawrence, Emma Stone</t>
  </si>
  <si>
    <t>tt1000902</t>
  </si>
  <si>
    <t>Secret Dreams 795</t>
  </si>
  <si>
    <t>Keanu Reeves, Cate Blanchett, Natalie Portman, Johnny Depp</t>
  </si>
  <si>
    <t>tt1000163</t>
  </si>
  <si>
    <t>Last Awakening 56</t>
  </si>
  <si>
    <t>Biography, Animation</t>
  </si>
  <si>
    <t>Meryl Streep, Margot Robbie, Jack Nicholson</t>
  </si>
  <si>
    <t>tt1000170</t>
  </si>
  <si>
    <t>First Chronicles 63</t>
  </si>
  <si>
    <t>Documentary, War, Fantasy</t>
  </si>
  <si>
    <t>Zendaya, Jack Nicholson, Edward Norton, Brad Pitt</t>
  </si>
  <si>
    <t>tt1000630</t>
  </si>
  <si>
    <t>Dark Mystery 523</t>
  </si>
  <si>
    <t>Gary Oldman, Kate Winslet, Edward Norton, Robert Downey Jr.</t>
  </si>
  <si>
    <t>tt1000435</t>
  </si>
  <si>
    <t>Last Journey 328</t>
  </si>
  <si>
    <t>Romance, Crime</t>
  </si>
  <si>
    <t>A romance film set in 2022.</t>
  </si>
  <si>
    <t>Cate Blanchett, Leonardo DiCaprio, Johnny Depp, Kate Winslet</t>
  </si>
  <si>
    <t>tt1000101</t>
  </si>
  <si>
    <t>The Godfather Part II</t>
  </si>
  <si>
    <t>An epic biography tale directed by Stanley Kubrick.</t>
  </si>
  <si>
    <t>Amy Adams, Cate Blanchett, Jack Nicholson, Tom Hanks</t>
  </si>
  <si>
    <t>tt1000732</t>
  </si>
  <si>
    <t>Last Kingdom 625</t>
  </si>
  <si>
    <t>Morgan Freeman, Emma Stone, Tom Hanks, Leonardo DiCaprio, Anthony Hopkins</t>
  </si>
  <si>
    <t>tt1000710</t>
  </si>
  <si>
    <t>A Love 603</t>
  </si>
  <si>
    <t>Family, Comedy, Action</t>
  </si>
  <si>
    <t>An epic family tale directed by George Lucas.</t>
  </si>
  <si>
    <t>Jennifer Lawrence, Samuel L. Jackson, Matt Damon</t>
  </si>
  <si>
    <t>tt1000122</t>
  </si>
  <si>
    <t>An Adventures 15</t>
  </si>
  <si>
    <t>An epic drama tale directed by George Lucas.</t>
  </si>
  <si>
    <t>Tom Hanks, Leonardo DiCaprio, Jennifer Lawrence</t>
  </si>
  <si>
    <t>tt1000513</t>
  </si>
  <si>
    <t>Last Secrets 406</t>
  </si>
  <si>
    <t>Thriller, Animation, Horror</t>
  </si>
  <si>
    <t>Kate Winslet, Scarlett Johansson, Margot Robbie</t>
  </si>
  <si>
    <t>tt1000745</t>
  </si>
  <si>
    <t>A Journey 638</t>
  </si>
  <si>
    <t>Harrison Ford, Scarlett Johansson, Tom Cruise, Christian Bale</t>
  </si>
  <si>
    <t>tt1000726</t>
  </si>
  <si>
    <t>Secret Secrets 619</t>
  </si>
  <si>
    <t>Crime, Comedy</t>
  </si>
  <si>
    <t>A crime film set in 2002.</t>
  </si>
  <si>
    <t>Emma Stone, Kate Winslet, Johnny Depp, TimothÃ©e Chalamet</t>
  </si>
  <si>
    <t>tt1000177</t>
  </si>
  <si>
    <t>Last Journey 70</t>
  </si>
  <si>
    <t>Mark Ruffalo, Robert Downey Jr., Zendaya</t>
  </si>
  <si>
    <t>tt1000817</t>
  </si>
  <si>
    <t>Secret Secrets 710</t>
  </si>
  <si>
    <t>Johnny Depp, Margot Robbie, Al Pacino, Tom Cruise</t>
  </si>
  <si>
    <t>tt1000946</t>
  </si>
  <si>
    <t>Last Chronicles 839</t>
  </si>
  <si>
    <t>Harrison Ford, Amy Adams, Robert Downey Jr., Viola Davis, Tom Cruise</t>
  </si>
  <si>
    <t>tt1000995</t>
  </si>
  <si>
    <t>Secret War 888</t>
  </si>
  <si>
    <t>Animation, Musical</t>
  </si>
  <si>
    <t>Kate Winslet, Will Smith, Anthony Hopkins</t>
  </si>
  <si>
    <t>tt1000942</t>
  </si>
  <si>
    <t>Last Adventures 835</t>
  </si>
  <si>
    <t>A fantasy film set in 2017.</t>
  </si>
  <si>
    <t>Jennifer Lawrence, Harrison Ford, Mark Ruffalo</t>
  </si>
  <si>
    <t>tt1000314</t>
  </si>
  <si>
    <t>Secret Story 207</t>
  </si>
  <si>
    <t>Margot Robbie, Chris Hemsworth, Will Smith, Florence Pugh, Jack Nicholson</t>
  </si>
  <si>
    <t>tt1000631</t>
  </si>
  <si>
    <t>Last Secrets 524</t>
  </si>
  <si>
    <t>Documentary, Comedy, Sci-Fi</t>
  </si>
  <si>
    <t>Emma Stone, Anthony Hopkins, Margot Robbie, Kate Winslet, Matt Damon</t>
  </si>
  <si>
    <t>tt1000975</t>
  </si>
  <si>
    <t>Lost Adventures 868</t>
  </si>
  <si>
    <t>Robert De Niro, Natalie Portman, Leonardo DiCaprio, Mark Ruffalo</t>
  </si>
  <si>
    <t>tt1000974</t>
  </si>
  <si>
    <t>Lost Mystery 867</t>
  </si>
  <si>
    <t>Romance, Drama, Biography</t>
  </si>
  <si>
    <t>Edward Norton, TimothÃ©e Chalamet, Tom Hanks</t>
  </si>
  <si>
    <t>tt1000600</t>
  </si>
  <si>
    <t>Final Quest 493</t>
  </si>
  <si>
    <t>A comedy film set in 2012.</t>
  </si>
  <si>
    <t>Robert De Niro, Kate Winslet, Florence Pugh</t>
  </si>
  <si>
    <t>tt1000585</t>
  </si>
  <si>
    <t>Dark Revolution 478</t>
  </si>
  <si>
    <t>Viola Davis, Chris Hemsworth, Leonardo DiCaprio</t>
  </si>
  <si>
    <t>tt1000254</t>
  </si>
  <si>
    <t>A Mission 147</t>
  </si>
  <si>
    <t>Romance, Biography, Sci-Fi</t>
  </si>
  <si>
    <t>Jack Nicholson, Margot Robbie, Mark Ruffalo, Robert De Niro, Chris Hemsworth</t>
  </si>
  <si>
    <t>tt1000570</t>
  </si>
  <si>
    <t>First Dreams 463</t>
  </si>
  <si>
    <t>Al Pacino, Samuel L. Jackson, Robert Downey Jr.</t>
  </si>
  <si>
    <t>tt1000609</t>
  </si>
  <si>
    <t>An Mystery 502</t>
  </si>
  <si>
    <t>Drama, Musical</t>
  </si>
  <si>
    <t>Brad Pitt, Edward Norton, Mark Ruffalo, Morgan Freeman, Kate Winslet</t>
  </si>
  <si>
    <t>tt1000935</t>
  </si>
  <si>
    <t>Final War 828</t>
  </si>
  <si>
    <t>Musical, Crime</t>
  </si>
  <si>
    <t>Al Pacino, Keanu Reeves, Scarlett Johansson</t>
  </si>
  <si>
    <t>tt1000990</t>
  </si>
  <si>
    <t>A Dreams 883</t>
  </si>
  <si>
    <t>An epic animation tale directed by Peter Jackson.</t>
  </si>
  <si>
    <t>Florence Pugh, Leonardo DiCaprio, Anthony Hopkins</t>
  </si>
  <si>
    <t>tt1000613</t>
  </si>
  <si>
    <t>First Love 506</t>
  </si>
  <si>
    <t>Scarlett Johansson, Chris Hemsworth, Mark Ruffalo, Natalie Portman, Morgan Freeman</t>
  </si>
  <si>
    <t>tt1000698</t>
  </si>
  <si>
    <t>A Mystery 591</t>
  </si>
  <si>
    <t>An epic drama tale directed by Denis Villeneuve.</t>
  </si>
  <si>
    <t>Jack Nicholson, Anthony Hopkins, Gary Oldman, Cate Blanchett, Tom Hanks</t>
  </si>
  <si>
    <t>tt1000597</t>
  </si>
  <si>
    <t>Dark Destiny 490</t>
  </si>
  <si>
    <t>TimothÃ©e Chalamet, Emma Stone, Brad Pitt, Will Smith</t>
  </si>
  <si>
    <t>tt1000392</t>
  </si>
  <si>
    <t>A Dreams 285</t>
  </si>
  <si>
    <t>A animation film set in 2010.</t>
  </si>
  <si>
    <t>Meryl Streep, Kate Winslet, Will Smith, Al Pacino, Christian Bale</t>
  </si>
  <si>
    <t>tt1000259</t>
  </si>
  <si>
    <t>First Secrets 152</t>
  </si>
  <si>
    <t>Robert Downey Jr., Tom Hanks, Jennifer Lawrence</t>
  </si>
  <si>
    <t>tt1000569</t>
  </si>
  <si>
    <t>Secret Revolution 462</t>
  </si>
  <si>
    <t>Emma Stone, Morgan Freeman, Brad Pitt, Margot Robbie, Johnny Depp</t>
  </si>
  <si>
    <t>tt1000547</t>
  </si>
  <si>
    <t>An Kingdom 440</t>
  </si>
  <si>
    <t>Drama, Romance, Documentary</t>
  </si>
  <si>
    <t>Viola Davis, Emma Stone, Gary Oldman, Zendaya, Harrison Ford</t>
  </si>
  <si>
    <t>tt1000408</t>
  </si>
  <si>
    <t>First Empire 301</t>
  </si>
  <si>
    <t>Daniel Day-Lewis, Cate Blanchett, TimothÃ©e Chalamet</t>
  </si>
  <si>
    <t>tt1000756</t>
  </si>
  <si>
    <t>A Destiny 649</t>
  </si>
  <si>
    <t>Matt Damon, Viola Davis, Al Pacino, TimothÃ©e Chalamet</t>
  </si>
  <si>
    <t>tt1000372</t>
  </si>
  <si>
    <t>Last Mission 265</t>
  </si>
  <si>
    <t>Edward Norton, Tom Hanks, Christian Bale, Robert Downey Jr.</t>
  </si>
  <si>
    <t>tt1000106</t>
  </si>
  <si>
    <t>Oliver!</t>
  </si>
  <si>
    <t>Anthony Hopkins, Mark Ruffalo, Daniel Day-Lewis</t>
  </si>
  <si>
    <t>tt1000442</t>
  </si>
  <si>
    <t>First War 335</t>
  </si>
  <si>
    <t>A documentary film set in 2021.</t>
  </si>
  <si>
    <t>Chris Hemsworth, Kate Winslet, Denzel Washington, Leonardo DiCaprio</t>
  </si>
  <si>
    <t>tt1000321</t>
  </si>
  <si>
    <t>Lost Destiny 214</t>
  </si>
  <si>
    <t>Thriller, Crime</t>
  </si>
  <si>
    <t>Matt Damon, Kate Winslet, Jack Nicholson, Zendaya</t>
  </si>
  <si>
    <t>tt1000363</t>
  </si>
  <si>
    <t>Final War 256</t>
  </si>
  <si>
    <t>Adventure, War</t>
  </si>
  <si>
    <t>An epic adventure tale directed by Stanley Kubrick.</t>
  </si>
  <si>
    <t>Keanu Reeves, TimothÃ©e Chalamet, Emma Stone</t>
  </si>
  <si>
    <t>tt1000644</t>
  </si>
  <si>
    <t>Dark Kingdom 537</t>
  </si>
  <si>
    <t>Mystery, Sci-Fi, Drama</t>
  </si>
  <si>
    <t>A mystery film set in 2017.</t>
  </si>
  <si>
    <t>Al Pacino, TimothÃ©e Chalamet, Zendaya, Mark Ruffalo</t>
  </si>
  <si>
    <t>tt1000639</t>
  </si>
  <si>
    <t>Secret Empire 532</t>
  </si>
  <si>
    <t>An epic comedy tale directed by Guillermo del Toro.</t>
  </si>
  <si>
    <t>Edward Norton, Robert De Niro, Viola Davis</t>
  </si>
  <si>
    <t>tt1000952</t>
  </si>
  <si>
    <t>First Mission 845</t>
  </si>
  <si>
    <t>Robert De Niro, Johnny Depp, Daniel Day-Lewis</t>
  </si>
  <si>
    <t>tt1000607</t>
  </si>
  <si>
    <t>Lost Kingdom 500</t>
  </si>
  <si>
    <t>Meryl Streep, Zendaya, Robert De Niro, Gary Oldman, Al Pacino</t>
  </si>
  <si>
    <t>tt1000944</t>
  </si>
  <si>
    <t>Dark Story 837</t>
  </si>
  <si>
    <t>Tom Hanks, Meryl Streep, Leonardo DiCaprio, Al Pacino</t>
  </si>
  <si>
    <t>tt1000868</t>
  </si>
  <si>
    <t>Lost Story 761</t>
  </si>
  <si>
    <t>Horror, Thriller, Drama</t>
  </si>
  <si>
    <t>A horror film set in 2005.</t>
  </si>
  <si>
    <t>Anthony Hopkins, Kate Winslet, Natalie Portman, Scarlett Johansson</t>
  </si>
  <si>
    <t>tt1000182</t>
  </si>
  <si>
    <t>Last Mystery 75</t>
  </si>
  <si>
    <t>Leonardo DiCaprio, Harrison Ford, Meryl Streep, Amy Adams, Florence Pugh</t>
  </si>
  <si>
    <t>tt1000343</t>
  </si>
  <si>
    <t>First Kingdom 236</t>
  </si>
  <si>
    <t>Thriller, Mystery</t>
  </si>
  <si>
    <t>Jennifer Lawrence, Will Smith, Johnny Depp, Florence Pugh, Amy Adams</t>
  </si>
  <si>
    <t>tt1000856</t>
  </si>
  <si>
    <t>Dark Journey 749</t>
  </si>
  <si>
    <t>Daniel Day-Lewis, Tom Hanks, Cate Blanchett, Florence Pugh</t>
  </si>
  <si>
    <t>tt1000487</t>
  </si>
  <si>
    <t>Dark Quest 380</t>
  </si>
  <si>
    <t>Comedy, Biography</t>
  </si>
  <si>
    <t>A comedy film set in 2003.</t>
  </si>
  <si>
    <t>Scarlett Johansson, Will Smith, Leonardo DiCaprio</t>
  </si>
  <si>
    <t>tt1000329</t>
  </si>
  <si>
    <t>A Secrets 222</t>
  </si>
  <si>
    <t>Anthony Hopkins, Viola Davis, Morgan Freeman, Mark Ruffalo, Harrison Ford</t>
  </si>
  <si>
    <t>tt1000217</t>
  </si>
  <si>
    <t>Last Mission 110</t>
  </si>
  <si>
    <t>An epic animation tale directed by Ron Howard.</t>
  </si>
  <si>
    <t>Al Pacino, Scarlett Johansson, Edward Norton, Robert Downey Jr., Daniel Day-Lewis</t>
  </si>
  <si>
    <t>tt1000825</t>
  </si>
  <si>
    <t>The War 718</t>
  </si>
  <si>
    <t>Western, Adventure, Thriller</t>
  </si>
  <si>
    <t>Jennifer Lawrence, Denzel Washington, Mark Ruffalo</t>
  </si>
  <si>
    <t>tt1000476</t>
  </si>
  <si>
    <t>The Story 369</t>
  </si>
  <si>
    <t>Natalie Portman, Cate Blanchett, Leonardo DiCaprio</t>
  </si>
  <si>
    <t>tt1000807</t>
  </si>
  <si>
    <t>An War 700</t>
  </si>
  <si>
    <t>Thriller, Comedy, Crime</t>
  </si>
  <si>
    <t>Christian Bale, Daniel Day-Lewis, Robert Downey Jr.</t>
  </si>
  <si>
    <t>tt1000795</t>
  </si>
  <si>
    <t>A Awakening 688</t>
  </si>
  <si>
    <t>Margot Robbie, Kate Winslet, Amy Adams, TimothÃ©e Chalamet</t>
  </si>
  <si>
    <t>tt1000862</t>
  </si>
  <si>
    <t>Last Journey 755</t>
  </si>
  <si>
    <t>Jennifer Lawrence, Daniel Day-Lewis, Amy Adams, Will Smith</t>
  </si>
  <si>
    <t>tt1000880</t>
  </si>
  <si>
    <t>First Awakening 773</t>
  </si>
  <si>
    <t>Natalie Portman, Edward Norton, Johnny Depp</t>
  </si>
  <si>
    <t>tt1000458</t>
  </si>
  <si>
    <t>The Secrets 351</t>
  </si>
  <si>
    <t>Documentary, Crime, War</t>
  </si>
  <si>
    <t>Chris Hemsworth, Keanu Reeves, Harrison Ford, Anthony Hopkins</t>
  </si>
  <si>
    <t>tt1000847</t>
  </si>
  <si>
    <t>Last Awakening 740</t>
  </si>
  <si>
    <t>War, Thriller</t>
  </si>
  <si>
    <t>Tom Hanks, Keanu Reeves, Kate Winslet, Robert De Niro, Matt Damon</t>
  </si>
  <si>
    <t>tt1000839</t>
  </si>
  <si>
    <t>Final Chronicles 732</t>
  </si>
  <si>
    <t>Christian Bale, Meryl Streep, TimothÃ©e Chalamet, Keanu Reeves, Johnny Depp</t>
  </si>
  <si>
    <t>tt1000727</t>
  </si>
  <si>
    <t>Secret Mystery 620</t>
  </si>
  <si>
    <t>War, Drama</t>
  </si>
  <si>
    <t>An epic war tale directed by Kathryn Bigelow.</t>
  </si>
  <si>
    <t>Anthony Hopkins, Tom Hanks, Leonardo DiCaprio</t>
  </si>
  <si>
    <t>tt1000116</t>
  </si>
  <si>
    <t>First Adventures 9</t>
  </si>
  <si>
    <t>A romance film set in 2000.</t>
  </si>
  <si>
    <t>Daniel Day-Lewis, Margot Robbie, Brad Pitt</t>
  </si>
  <si>
    <t>tt1000501</t>
  </si>
  <si>
    <t>The Mystery 394</t>
  </si>
  <si>
    <t>An epic fantasy tale directed by Clint Eastwood.</t>
  </si>
  <si>
    <t>Jennifer Lawrence, Edward Norton, Cate Blanchett, Amy Adams, Jack Nicholson</t>
  </si>
  <si>
    <t>tt1000507</t>
  </si>
  <si>
    <t>Final Revolution 400</t>
  </si>
  <si>
    <t>A crime film set in 2024.</t>
  </si>
  <si>
    <t>Zendaya, Florence Pugh, Kate Winslet, Morgan Freeman, Edward Norton</t>
  </si>
  <si>
    <t>tt1000568</t>
  </si>
  <si>
    <t>First Destiny 461</t>
  </si>
  <si>
    <t>A comedy film set in 2022.</t>
  </si>
  <si>
    <t>Leonardo DiCaprio, Denzel Washington, Samuel L. Jackson, Meryl Streep, Morgan Freeman</t>
  </si>
  <si>
    <t>tt1000705</t>
  </si>
  <si>
    <t>The Secrets 598</t>
  </si>
  <si>
    <t>An epic fantasy tale directed by Wong Kar-wai.</t>
  </si>
  <si>
    <t>Kate Winslet, Samuel L. Jackson, Will Smith, Meryl Streep</t>
  </si>
  <si>
    <t>tt1000706</t>
  </si>
  <si>
    <t>Lost Love 599</t>
  </si>
  <si>
    <t>Romance, Family</t>
  </si>
  <si>
    <t>An epic romance tale directed by David Fincher.</t>
  </si>
  <si>
    <t>Chris Hemsworth, Amy Adams, Kate Winslet, Robert Downey Jr., Johnny Depp</t>
  </si>
  <si>
    <t>tt1000916</t>
  </si>
  <si>
    <t>Lost Secrets 809</t>
  </si>
  <si>
    <t>Jack Nicholson, Florence Pugh, Morgan Freeman, Samuel L. Jackson, TimothÃ©e Chalamet</t>
  </si>
  <si>
    <t>tt1000536</t>
  </si>
  <si>
    <t>First Quest 429</t>
  </si>
  <si>
    <t>Comedy, Musical</t>
  </si>
  <si>
    <t>Robert Downey Jr., Christian Bale, Robert De Niro</t>
  </si>
  <si>
    <t>tt1000533</t>
  </si>
  <si>
    <t>A Kingdom 426</t>
  </si>
  <si>
    <t>Mystery, War</t>
  </si>
  <si>
    <t>Keanu Reeves, Johnny Depp, Tom Hanks</t>
  </si>
  <si>
    <t>tt1000158</t>
  </si>
  <si>
    <t>Last Mystery 51</t>
  </si>
  <si>
    <t>An epic biography tale directed by Ang Lee.</t>
  </si>
  <si>
    <t>Leonardo DiCaprio, Margot Robbie, Jennifer Lawrence</t>
  </si>
  <si>
    <t>tt1000103</t>
  </si>
  <si>
    <t>The French Connection</t>
  </si>
  <si>
    <t>Johnny Depp, Jack Nicholson, Al Pacino</t>
  </si>
  <si>
    <t>tt1000749</t>
  </si>
  <si>
    <t>First Love 642</t>
  </si>
  <si>
    <t>Leonardo DiCaprio, Morgan Freeman, Tom Cruise, Chris Hemsworth</t>
  </si>
  <si>
    <t>tt1000762</t>
  </si>
  <si>
    <t>Final Awakening 655</t>
  </si>
  <si>
    <t>A biography film set in 2012.</t>
  </si>
  <si>
    <t>Margot Robbie, Harrison Ford, Zendaya</t>
  </si>
  <si>
    <t>tt1000655</t>
  </si>
  <si>
    <t>A Adventures 548</t>
  </si>
  <si>
    <t>Christian Bale, Johnny Depp, Robert Downey Jr., Tom Cruise, Natalie Portman</t>
  </si>
  <si>
    <t>tt1000580</t>
  </si>
  <si>
    <t>Final Legend 473</t>
  </si>
  <si>
    <t>Documentary, Family, Adventure</t>
  </si>
  <si>
    <t>Chris Hemsworth, TimothÃ©e Chalamet, Kate Winslet</t>
  </si>
  <si>
    <t>tt1000381</t>
  </si>
  <si>
    <t>An Kingdom 274</t>
  </si>
  <si>
    <t>Tom Cruise, Robert Downey Jr., Gary Oldman, Daniel Day-Lewis, Mark Ruffalo</t>
  </si>
  <si>
    <t>tt1000923</t>
  </si>
  <si>
    <t>Final Love 816</t>
  </si>
  <si>
    <t>Thriller, Fantasy, Sci-Fi</t>
  </si>
  <si>
    <t>An epic thriller tale directed by Wes Anderson.</t>
  </si>
  <si>
    <t>Meryl Streep, Robert De Niro, Daniel Day-Lewis</t>
  </si>
  <si>
    <t>tt1000925</t>
  </si>
  <si>
    <t>The Legend 818</t>
  </si>
  <si>
    <t>Cate Blanchett, Johnny Depp, Natalie Portman, Anthony Hopkins</t>
  </si>
  <si>
    <t>tt1000988</t>
  </si>
  <si>
    <t>Dark Destiny 881</t>
  </si>
  <si>
    <t>A family film set in 2008.</t>
  </si>
  <si>
    <t>Kate Winslet, Scarlett Johansson, Edward Norton, Harrison Ford, Jennifer Lawrence</t>
  </si>
  <si>
    <t>tt1000268</t>
  </si>
  <si>
    <t>A Empire 161</t>
  </si>
  <si>
    <t>Jennifer Lawrence, Kate Winslet, Christian Bale, Natalie Portman</t>
  </si>
  <si>
    <t>tt1000213</t>
  </si>
  <si>
    <t>Dark Adventures 106</t>
  </si>
  <si>
    <t>Drama, Documentary, Sci-Fi</t>
  </si>
  <si>
    <t>Chris Hemsworth, Scarlett Johansson, Natalie Portman</t>
  </si>
  <si>
    <t>tt1000658</t>
  </si>
  <si>
    <t>The Quest 551</t>
  </si>
  <si>
    <t>Johnny Depp, Jack Nicholson, Natalie Portman</t>
  </si>
  <si>
    <t>tt1000832</t>
  </si>
  <si>
    <t>Lost Kingdom 725</t>
  </si>
  <si>
    <t>Denzel Washington, Leonardo DiCaprio, Will Smith, Chris Hemsworth, Kate Winslet</t>
  </si>
  <si>
    <t>tt1000424</t>
  </si>
  <si>
    <t>The Revolution 317</t>
  </si>
  <si>
    <t>An epic musical tale directed by Sam Mendes.</t>
  </si>
  <si>
    <t>Meryl Streep, Natalie Portman, Scarlett Johansson, Cate Blanchett, Kate Winslet</t>
  </si>
  <si>
    <t>tt1000426</t>
  </si>
  <si>
    <t>Last Adventures 319</t>
  </si>
  <si>
    <t>Will Smith, Anthony Hopkins, Tom Hanks, Matt Damon</t>
  </si>
  <si>
    <t>tt1000432</t>
  </si>
  <si>
    <t>Final Revolution 325</t>
  </si>
  <si>
    <t>An epic western tale directed by Greta Gerwig.</t>
  </si>
  <si>
    <t>Christian Bale, Jack Nicholson, Mark Ruffalo</t>
  </si>
  <si>
    <t>tt1000595</t>
  </si>
  <si>
    <t>Dark Destiny 488</t>
  </si>
  <si>
    <t>Gary Oldman, Edward Norton, Johnny Depp, Tom Hanks</t>
  </si>
  <si>
    <t>tt1000857</t>
  </si>
  <si>
    <t>Secret Story 750</t>
  </si>
  <si>
    <t>A documentary film set in 2007.</t>
  </si>
  <si>
    <t>Tom Cruise, Robert Downey Jr., Viola Davis</t>
  </si>
  <si>
    <t>tt1000276</t>
  </si>
  <si>
    <t>An Dreams 169</t>
  </si>
  <si>
    <t>Leonardo DiCaprio, Keanu Reeves, Viola Davis, Amy Adams</t>
  </si>
  <si>
    <t>tt1000274</t>
  </si>
  <si>
    <t>First Journey 167</t>
  </si>
  <si>
    <t>Kate Winslet, Robert De Niro, Viola Davis</t>
  </si>
  <si>
    <t>tt1000224</t>
  </si>
  <si>
    <t>Dark Destiny 117</t>
  </si>
  <si>
    <t>Matt Damon, Cate Blanchett, Keanu Reeves</t>
  </si>
  <si>
    <t>tt1000469</t>
  </si>
  <si>
    <t>An Secrets 362</t>
  </si>
  <si>
    <t>Mark Ruffalo, Edward Norton, Scarlett Johansson, Samuel L. Jackson, Morgan Freeman</t>
  </si>
  <si>
    <t>tt1000648</t>
  </si>
  <si>
    <t>The Destiny 541</t>
  </si>
  <si>
    <t>Animation, Crime</t>
  </si>
  <si>
    <t>Edward Norton, Keanu Reeves, Tom Hanks, Chris Hemsworth</t>
  </si>
  <si>
    <t>tt1000684</t>
  </si>
  <si>
    <t>Final Awakening 577</t>
  </si>
  <si>
    <t>Kate Winslet, Keanu Reeves, Florence Pugh, Amy Adams, TimothÃ©e Chalamet</t>
  </si>
  <si>
    <t>tt1000642</t>
  </si>
  <si>
    <t>Final Quest 535</t>
  </si>
  <si>
    <t>Musical, War, Fantasy</t>
  </si>
  <si>
    <t>Natalie Portman, Gary Oldman, Denzel Washington, Mark Ruffalo, Margot Robbie</t>
  </si>
  <si>
    <t>tt1000386</t>
  </si>
  <si>
    <t>Secret Destiny 279</t>
  </si>
  <si>
    <t>Emma Stone, Jack Nicholson, Johnny Depp, Edward Norton</t>
  </si>
  <si>
    <t>tt1000928</t>
  </si>
  <si>
    <t>Dark Love 821</t>
  </si>
  <si>
    <t>Horror, Adventure, Musical</t>
  </si>
  <si>
    <t>An epic horror tale directed by Ridley Scott.</t>
  </si>
  <si>
    <t>Jennifer Lawrence, Viola Davis, Anthony Hopkins</t>
  </si>
  <si>
    <t>tt1000360</t>
  </si>
  <si>
    <t>Dark Destiny 253</t>
  </si>
  <si>
    <t>Western, Mystery, Sci-Fi</t>
  </si>
  <si>
    <t>Robert Downey Jr., Margot Robbie, Denzel Washington, Robert De Niro, Mark Ruffalo</t>
  </si>
  <si>
    <t>tt1000558</t>
  </si>
  <si>
    <t>The Legend 451</t>
  </si>
  <si>
    <t>Johnny Depp, Natalie Portman, Florence Pugh, Morgan Freeman, Tom Hanks</t>
  </si>
  <si>
    <t>tt1000288</t>
  </si>
  <si>
    <t>Final Mission 181</t>
  </si>
  <si>
    <t>A biography film set in 2021.</t>
  </si>
  <si>
    <t>TimothÃ©e Chalamet, Emma Stone, Meryl Streep, Jack Nicholson</t>
  </si>
  <si>
    <t>tt1000112</t>
  </si>
  <si>
    <t>Final Dreams 5</t>
  </si>
  <si>
    <t>Thriller, Drama</t>
  </si>
  <si>
    <t>Kate Winslet, Matt Damon, Amy Adams, Mark Ruffalo, Zendaya</t>
  </si>
  <si>
    <t>tt1000767</t>
  </si>
  <si>
    <t>First Story 660</t>
  </si>
  <si>
    <t>Cate Blanchett, Jennifer Lawrence, Matt Damon, Tom Hanks, Viola Davis</t>
  </si>
  <si>
    <t>tt1000303</t>
  </si>
  <si>
    <t>Lost Dreams 196</t>
  </si>
  <si>
    <t>Jennifer Lawrence, Morgan Freeman, Meryl Streep</t>
  </si>
  <si>
    <t>tt1000239</t>
  </si>
  <si>
    <t>A Mission 132</t>
  </si>
  <si>
    <t>Family, Adventure</t>
  </si>
  <si>
    <t>Al Pacino, Chris Hemsworth, Margot Robbie</t>
  </si>
  <si>
    <t>tt1000413</t>
  </si>
  <si>
    <t>Final Love 306</t>
  </si>
  <si>
    <t>A war film set in 2021.</t>
  </si>
  <si>
    <t>Tom Cruise, TimothÃ©e Chalamet, Cate Blanchett, Jack Nicholson</t>
  </si>
  <si>
    <t>tt1000785</t>
  </si>
  <si>
    <t>The Dreams 678</t>
  </si>
  <si>
    <t>Crime, Action</t>
  </si>
  <si>
    <t>An epic crime tale directed by Peter Jackson.</t>
  </si>
  <si>
    <t>Keanu Reeves, Robert De Niro, Scarlett Johansson, Matt Damon</t>
  </si>
  <si>
    <t>tt1000339</t>
  </si>
  <si>
    <t>Final Mission 232</t>
  </si>
  <si>
    <t>An epic fantasy tale directed by Greta Gerwig.</t>
  </si>
  <si>
    <t>Viola Davis, Mark Ruffalo, Edward Norton, Meryl Streep</t>
  </si>
  <si>
    <t>tt1000711</t>
  </si>
  <si>
    <t>First Love 604</t>
  </si>
  <si>
    <t>An epic horror tale directed by Bong Joon-ho.</t>
  </si>
  <si>
    <t>Robert De Niro, Brad Pitt, Tom Cruise, Chris Hemsworth, Denzel Washington</t>
  </si>
  <si>
    <t>tt1000494</t>
  </si>
  <si>
    <t>Last Story 387</t>
  </si>
  <si>
    <t>An epic thriller tale directed by Coen Brothers.</t>
  </si>
  <si>
    <t>Morgan Freeman, Robert Downey Jr., Chris Hemsworth, Amy Adams, Samuel L. Jackson</t>
  </si>
  <si>
    <t>tt1000557</t>
  </si>
  <si>
    <t>An Revolution 450</t>
  </si>
  <si>
    <t>Adventure, Romance, Drama</t>
  </si>
  <si>
    <t>A adventure film set in 2020.</t>
  </si>
  <si>
    <t>Meryl Streep, Morgan Freeman, TimothÃ©e Chalamet, Zendaya, Amy Adams</t>
  </si>
  <si>
    <t>tt1000918</t>
  </si>
  <si>
    <t>An Kingdom 811</t>
  </si>
  <si>
    <t>A mystery film set in 2001.</t>
  </si>
  <si>
    <t>Robert De Niro, Jack Nicholson, Leonardo DiCaprio</t>
  </si>
  <si>
    <t>tt1000270</t>
  </si>
  <si>
    <t>The War 163</t>
  </si>
  <si>
    <t>Mystery, Documentary</t>
  </si>
  <si>
    <t>Harrison Ford, Zendaya, Edward Norton</t>
  </si>
  <si>
    <t>tt1000980</t>
  </si>
  <si>
    <t>An Chronicles 873</t>
  </si>
  <si>
    <t>Tom Hanks, Viola Davis, Kate Winslet, Robert Downey Jr.</t>
  </si>
  <si>
    <t>tt1000199</t>
  </si>
  <si>
    <t>The War 92</t>
  </si>
  <si>
    <t>Musical, Biography</t>
  </si>
  <si>
    <t>Al Pacino, Johnny Depp, Denzel Washington, Will Smith</t>
  </si>
  <si>
    <t>tt1000358</t>
  </si>
  <si>
    <t>Secret Mystery 251</t>
  </si>
  <si>
    <t>Matt Damon, Gary Oldman, Robert De Niro, Jennifer Lawrence, Viola Davis</t>
  </si>
  <si>
    <t>tt1000300</t>
  </si>
  <si>
    <t>Final War 193</t>
  </si>
  <si>
    <t>Musical, Sci-Fi</t>
  </si>
  <si>
    <t>Tom Hanks, Robert Downey Jr., Gary Oldman, Harrison Ford, Brad Pitt</t>
  </si>
  <si>
    <t>tt1000460</t>
  </si>
  <si>
    <t>A Journey 353</t>
  </si>
  <si>
    <t>Matt Damon, Florence Pugh, Brad Pitt</t>
  </si>
  <si>
    <t>tt1000680</t>
  </si>
  <si>
    <t>A War 573</t>
  </si>
  <si>
    <t>An epic war tale directed by Frank Darabont.</t>
  </si>
  <si>
    <t>Zendaya, Viola Davis, Tom Hanks</t>
  </si>
  <si>
    <t>tt1000866</t>
  </si>
  <si>
    <t>Final Story 759</t>
  </si>
  <si>
    <t>Johnny Depp, Tom Hanks, Mark Ruffalo</t>
  </si>
  <si>
    <t>tt1000685</t>
  </si>
  <si>
    <t>Lost Kingdom 578</t>
  </si>
  <si>
    <t>Sci-Fi, Drama</t>
  </si>
  <si>
    <t>A sci-fi film set in 2013.</t>
  </si>
  <si>
    <t>Keanu Reeves, Emma Stone, Edward Norton</t>
  </si>
  <si>
    <t>tt1000676</t>
  </si>
  <si>
    <t>The Revolution 569</t>
  </si>
  <si>
    <t>Fantasy, Documentary</t>
  </si>
  <si>
    <t>Daniel Day-Lewis, Tom Hanks, Christian Bale, Keanu Reeves</t>
  </si>
  <si>
    <t>tt1000876</t>
  </si>
  <si>
    <t>Secret Mission 769</t>
  </si>
  <si>
    <t>Sci-Fi, Adventure</t>
  </si>
  <si>
    <t>A sci-fi film set in 2017.</t>
  </si>
  <si>
    <t>Christian Bale, Will Smith, Keanu Reeves, Tom Hanks</t>
  </si>
  <si>
    <t>tt1000195</t>
  </si>
  <si>
    <t>First Mission 88</t>
  </si>
  <si>
    <t>Leonardo DiCaprio, Viola Davis, Amy Adams, Chris Hemsworth, Edward Norton</t>
  </si>
  <si>
    <t>tt1000729</t>
  </si>
  <si>
    <t>An Dreams 622</t>
  </si>
  <si>
    <t>Margot Robbie, Scarlett Johansson, Natalie Portman, Cate Blanchett</t>
  </si>
  <si>
    <t>tt1000929</t>
  </si>
  <si>
    <t>Secret Destiny 822</t>
  </si>
  <si>
    <t>A biography film set in 2017.</t>
  </si>
  <si>
    <t>Tom Cruise, Chris Hemsworth, Daniel Day-Lewis, Tom Hanks</t>
  </si>
  <si>
    <t>tt1000917</t>
  </si>
  <si>
    <t>Last Empire 810</t>
  </si>
  <si>
    <t>Al Pacino, Mark Ruffalo, Harrison Ford, Chris Hemsworth, Jack Nicholson</t>
  </si>
  <si>
    <t>tt1000603</t>
  </si>
  <si>
    <t>Dark Love 496</t>
  </si>
  <si>
    <t>Musical, Documentary, Biography</t>
  </si>
  <si>
    <t>Robert De Niro, Kate Winslet, Edward Norton</t>
  </si>
  <si>
    <t>tt1000969</t>
  </si>
  <si>
    <t>A Awakening 862</t>
  </si>
  <si>
    <t>Denzel Washington, Keanu Reeves, Florence Pugh, Robert De Niro, Robert Downey Jr.</t>
  </si>
  <si>
    <t>tt1000168</t>
  </si>
  <si>
    <t>An Kingdom 61</t>
  </si>
  <si>
    <t>A adventure film set in 1995.</t>
  </si>
  <si>
    <t>Robert De Niro, Scarlett Johansson, Anthony Hopkins, Brad Pitt</t>
  </si>
  <si>
    <t>tt1000629</t>
  </si>
  <si>
    <t>The War 522</t>
  </si>
  <si>
    <t>Drama, Adventure, Comedy</t>
  </si>
  <si>
    <t>Edward Norton, Zendaya, Brad Pitt, Daniel Day-Lewis</t>
  </si>
  <si>
    <t>tt1000511</t>
  </si>
  <si>
    <t>A Chronicles 404</t>
  </si>
  <si>
    <t>Sci-Fi, Horror, Action</t>
  </si>
  <si>
    <t>Harrison Ford, Morgan Freeman, Leonardo DiCaprio</t>
  </si>
  <si>
    <t>tt1000514</t>
  </si>
  <si>
    <t>Final Dreams 407</t>
  </si>
  <si>
    <t>An epic war tale directed by Pedro AlmodÃ³var.</t>
  </si>
  <si>
    <t>Viola Davis, Matt Damon, Emma Stone</t>
  </si>
  <si>
    <t>tt1000761</t>
  </si>
  <si>
    <t>Dark Empire 654</t>
  </si>
  <si>
    <t>Musical, Western, War</t>
  </si>
  <si>
    <t>Gary Oldman, Matt Damon, Tom Cruise</t>
  </si>
  <si>
    <t>tt1000185</t>
  </si>
  <si>
    <t>First Chronicles 78</t>
  </si>
  <si>
    <t>Natalie Portman, Gary Oldman, Florence Pugh, Daniel Day-Lewis</t>
  </si>
  <si>
    <t>tt1000188</t>
  </si>
  <si>
    <t>First Adventures 81</t>
  </si>
  <si>
    <t>An epic family tale directed by Danny Boyle.</t>
  </si>
  <si>
    <t>Zendaya, Cate Blanchett, Harrison Ford</t>
  </si>
  <si>
    <t>tt1000186</t>
  </si>
  <si>
    <t>Lost Awakening 79</t>
  </si>
  <si>
    <t>Thriller, Horror</t>
  </si>
  <si>
    <t>A thriller film set in 1984.</t>
  </si>
  <si>
    <t>Anthony Hopkins, Cate Blanchett, Johnny Depp, Amy Adams</t>
  </si>
  <si>
    <t>tt1000325</t>
  </si>
  <si>
    <t>Secret Kingdom 218</t>
  </si>
  <si>
    <t>Horror, Family</t>
  </si>
  <si>
    <t>Amy Adams, Daniel Day-Lewis, Viola Davis, Keanu Reeves</t>
  </si>
  <si>
    <t>tt1000400</t>
  </si>
  <si>
    <t>A Chronicles 293</t>
  </si>
  <si>
    <t>Meryl Streep, Christian Bale, Harrison Ford, Robert De Niro</t>
  </si>
  <si>
    <t>tt1000539</t>
  </si>
  <si>
    <t>Last Legend 432</t>
  </si>
  <si>
    <t>Johnny Depp, Jack Nicholson, Robert Downey Jr.</t>
  </si>
  <si>
    <t>tt1000752</t>
  </si>
  <si>
    <t>The Kingdom 645</t>
  </si>
  <si>
    <t>A horror film set in 2003.</t>
  </si>
  <si>
    <t>Gary Oldman, Samuel L. Jackson, Zendaya, Al Pacino</t>
  </si>
  <si>
    <t>tt1000509</t>
  </si>
  <si>
    <t>Secret Empire 402</t>
  </si>
  <si>
    <t>An epic documentary tale directed by Edgar Wright.</t>
  </si>
  <si>
    <t>Will Smith, Natalie Portman, Matt Damon, Leonardo DiCaprio</t>
  </si>
  <si>
    <t>tt1000227</t>
  </si>
  <si>
    <t>Final Quest 120</t>
  </si>
  <si>
    <t>Mystery, Western, Sci-Fi</t>
  </si>
  <si>
    <t>An epic mystery tale directed by Ridley Scott.</t>
  </si>
  <si>
    <t>Harrison Ford, Cate Blanchett, Brad Pitt, Chris Hemsworth, Tom Cruise</t>
  </si>
  <si>
    <t>tt1000688</t>
  </si>
  <si>
    <t>First Adventures 581</t>
  </si>
  <si>
    <t>A western film set in 2020.</t>
  </si>
  <si>
    <t>Emma Stone, Meryl Streep, Robert De Niro, Margot Robbie, Florence Pugh</t>
  </si>
  <si>
    <t>tt1000451</t>
  </si>
  <si>
    <t>First Secrets 344</t>
  </si>
  <si>
    <t>Jennifer Lawrence, Keanu Reeves, Al Pacino</t>
  </si>
  <si>
    <t>tt1000273</t>
  </si>
  <si>
    <t>First Empire 166</t>
  </si>
  <si>
    <t>Adventure, Horror, Romance</t>
  </si>
  <si>
    <t>An epic adventure tale directed by Francis Ford Coppola.</t>
  </si>
  <si>
    <t>Emma Stone, Will Smith, Edward Norton, Margot Robbie, Samuel L. Jackson</t>
  </si>
  <si>
    <t>tt1000459</t>
  </si>
  <si>
    <t>An Revolution 352</t>
  </si>
  <si>
    <t>Will Smith, Natalie Portman, Daniel Day-Lewis</t>
  </si>
  <si>
    <t>tt1000865</t>
  </si>
  <si>
    <t>An Awakening 758</t>
  </si>
  <si>
    <t>A thriller film set in 2008.</t>
  </si>
  <si>
    <t>Meryl Streep, Denzel Washington, Leonardo DiCaprio</t>
  </si>
  <si>
    <t>tt1000625</t>
  </si>
  <si>
    <t>Last Love 518</t>
  </si>
  <si>
    <t>An epic documentary tale directed by Spike Lee.</t>
  </si>
  <si>
    <t>Robert Downey Jr., Jennifer Lawrence, TimothÃ©e Chalamet</t>
  </si>
  <si>
    <t>tt1000651</t>
  </si>
  <si>
    <t>A Adventures 544</t>
  </si>
  <si>
    <t>Thriller, Adventure, Crime</t>
  </si>
  <si>
    <t>An epic thriller tale directed by Akira Kurosawa.</t>
  </si>
  <si>
    <t>Jennifer Lawrence, Al Pacino, Johnny Depp, Daniel Day-Lewis, Amy Adams</t>
  </si>
  <si>
    <t>tt1000967</t>
  </si>
  <si>
    <t>An Empire 860</t>
  </si>
  <si>
    <t>Johnny Depp, Natalie Portman, Tom Cruise, Samuel L. Jackson, Robert Downey Jr.</t>
  </si>
  <si>
    <t>tt1000198</t>
  </si>
  <si>
    <t>Dark Mystery 91</t>
  </si>
  <si>
    <t>An epic family tale directed by Alfred Hitchcock.</t>
  </si>
  <si>
    <t>Will Smith, Brad Pitt, Kate Winslet, Leonardo DiCaprio</t>
  </si>
  <si>
    <t>tt1000439</t>
  </si>
  <si>
    <t>Secret Revolution 332</t>
  </si>
  <si>
    <t>Daniel Day-Lewis, Meryl Streep, Leonardo DiCaprio</t>
  </si>
  <si>
    <t>tt1000987</t>
  </si>
  <si>
    <t>Lost Revolution 880</t>
  </si>
  <si>
    <t>An epic documentary tale directed by Francis Ford Coppola.</t>
  </si>
  <si>
    <t>Christian Bale, Al Pacino, Viola Davis</t>
  </si>
  <si>
    <t>tt1000208</t>
  </si>
  <si>
    <t>Secret Empire 101</t>
  </si>
  <si>
    <t>Florence Pugh, Scarlett Johansson, Robert De Niro</t>
  </si>
  <si>
    <t>tt1000397</t>
  </si>
  <si>
    <t>A Adventures 290</t>
  </si>
  <si>
    <t>Fantasy, Musical</t>
  </si>
  <si>
    <t>Morgan Freeman, Will Smith, Denzel Washington, Margot Robbie</t>
  </si>
  <si>
    <t>tt1000703</t>
  </si>
  <si>
    <t>A Empire 596</t>
  </si>
  <si>
    <t>Action, Biography, Animation</t>
  </si>
  <si>
    <t>Kate Winslet, Edward Norton, Morgan Freeman, Jack Nicholson, Johnny Depp</t>
  </si>
  <si>
    <t>tt1000220</t>
  </si>
  <si>
    <t>The Journey 113</t>
  </si>
  <si>
    <t>Scarlett Johansson, Cate Blanchett, Florence Pugh</t>
  </si>
  <si>
    <t>tt1000114</t>
  </si>
  <si>
    <t>Dark Mission 7</t>
  </si>
  <si>
    <t>Will Smith, Edward Norton, Anthony Hopkins, Zendaya, Emma Stone</t>
  </si>
  <si>
    <t>tt1000571</t>
  </si>
  <si>
    <t>A Mission 464</t>
  </si>
  <si>
    <t>Natalie Portman, Leonardo DiCaprio, Emma Stone</t>
  </si>
  <si>
    <t>tt1000742</t>
  </si>
  <si>
    <t>Lost Adventures 635</t>
  </si>
  <si>
    <t>Mystery, Adventure, Horror</t>
  </si>
  <si>
    <t>A mystery film set in 2020.</t>
  </si>
  <si>
    <t>Emma Stone, Jack Nicholson, TimothÃ©e Chalamet, Tom Cruise, Samuel L. Jackson</t>
  </si>
  <si>
    <t>tt1000233</t>
  </si>
  <si>
    <t>Secret Dreams 126</t>
  </si>
  <si>
    <t>An epic animation tale directed by Kathryn Bigelow.</t>
  </si>
  <si>
    <t>Christian Bale, Edward Norton, Robert Downey Jr., Denzel Washington</t>
  </si>
  <si>
    <t>tt1000575</t>
  </si>
  <si>
    <t>Last Chronicles 468</t>
  </si>
  <si>
    <t>Action, Animation</t>
  </si>
  <si>
    <t>An epic action tale directed by Ang Lee.</t>
  </si>
  <si>
    <t>Robert Downey Jr., Cate Blanchett, Daniel Day-Lewis</t>
  </si>
  <si>
    <t>tt1000490</t>
  </si>
  <si>
    <t>An Quest 383</t>
  </si>
  <si>
    <t>Fantasy, War, Western</t>
  </si>
  <si>
    <t>An epic fantasy tale directed by Ryan Coogler.</t>
  </si>
  <si>
    <t>Keanu Reeves, Robert Downey Jr., Will Smith, Edward Norton</t>
  </si>
  <si>
    <t>tt1000237</t>
  </si>
  <si>
    <t>First Mystery 130</t>
  </si>
  <si>
    <t>Viola Davis, Jennifer Lawrence, Natalie Portman</t>
  </si>
  <si>
    <t>tt1000412</t>
  </si>
  <si>
    <t>Last Story 305</t>
  </si>
  <si>
    <t>Denzel Washington, Robert Downey Jr., Anthony Hopkins, Daniel Day-Lewis, Jack Nicholson</t>
  </si>
  <si>
    <t>tt1000790</t>
  </si>
  <si>
    <t>Last Adventures 683</t>
  </si>
  <si>
    <t>Fantasy, Animation, Sci-Fi</t>
  </si>
  <si>
    <t>Daniel Day-Lewis, Gary Oldman, Emma Stone</t>
  </si>
  <si>
    <t>tt1000497</t>
  </si>
  <si>
    <t>First Revolution 390</t>
  </si>
  <si>
    <t>Matt Damon, Harrison Ford, Will Smith, Jack Nicholson</t>
  </si>
  <si>
    <t>tt1000695</t>
  </si>
  <si>
    <t>Lost Love 588</t>
  </si>
  <si>
    <t>Robert Downey Jr., Mark Ruffalo, Viola Davis</t>
  </si>
  <si>
    <t>tt1000102</t>
  </si>
  <si>
    <t>The Sting</t>
  </si>
  <si>
    <t>Harrison Ford, Anthony Hopkins, Matt Damon</t>
  </si>
  <si>
    <t>tt1000500</t>
  </si>
  <si>
    <t>Secret Quest 393</t>
  </si>
  <si>
    <t>Leonardo DiCaprio, Edward Norton, Amy Adams, Robert Downey Jr.</t>
  </si>
  <si>
    <t>tt1000100</t>
  </si>
  <si>
    <t>One Flew Over the Cuckoo's Nest</t>
  </si>
  <si>
    <t>Mark Ruffalo, Harrison Ford, Samuel L. Jackson, Robert Downey Jr.</t>
  </si>
  <si>
    <t>tt1000156</t>
  </si>
  <si>
    <t>Secret Mission 49</t>
  </si>
  <si>
    <t>Mark Ruffalo, Emma Stone, Robert De Niro</t>
  </si>
  <si>
    <t>tt1000149</t>
  </si>
  <si>
    <t>Dark War 42</t>
  </si>
  <si>
    <t>Drama, Thriller, Biography</t>
  </si>
  <si>
    <t>Margot Robbie, Anthony Hopkins, Morgan Freeman</t>
  </si>
  <si>
    <t>tt1000151</t>
  </si>
  <si>
    <t>Final Kingdom 44</t>
  </si>
  <si>
    <t>A crime film set in 1997.</t>
  </si>
  <si>
    <t>Natalie Portman, Harrison Ford, Edward Norton</t>
  </si>
  <si>
    <t>tt1000512</t>
  </si>
  <si>
    <t>Secret Empire 405</t>
  </si>
  <si>
    <t>Sci-Fi, War</t>
  </si>
  <si>
    <t>Denzel Washington, Leonardo DiCaprio, Zendaya, Scarlett Johansson</t>
  </si>
  <si>
    <t>tt1000554</t>
  </si>
  <si>
    <t>Final Dreams 447</t>
  </si>
  <si>
    <t>Comedy, Animation, Drama</t>
  </si>
  <si>
    <t>Zendaya, Matt Damon, Jennifer Lawrence, Scarlett Johansson</t>
  </si>
  <si>
    <t>tt1000336</t>
  </si>
  <si>
    <t>A Kingdom 229</t>
  </si>
  <si>
    <t>Gary Oldman, Daniel Day-Lewis, Samuel L. Jackson</t>
  </si>
  <si>
    <t>tt1000340</t>
  </si>
  <si>
    <t>An Journey 233</t>
  </si>
  <si>
    <t>Adventure, Action</t>
  </si>
  <si>
    <t>Denzel Washington, Al Pacino, Margot Robbie</t>
  </si>
  <si>
    <t>tt1000253</t>
  </si>
  <si>
    <t>An Love 146</t>
  </si>
  <si>
    <t>Daniel Day-Lewis, Matt Damon, TimothÃ©e Chalamet, Margot Robbie</t>
  </si>
  <si>
    <t>tt1000351</t>
  </si>
  <si>
    <t>Last Quest 244</t>
  </si>
  <si>
    <t>Cate Blanchett, Gary Oldman, Matt Damon, Johnny Depp, Tom Hanks</t>
  </si>
  <si>
    <t>tt1000949</t>
  </si>
  <si>
    <t>A Secrets 842</t>
  </si>
  <si>
    <t>Meryl Streep, Mark Ruffalo, Amy Adams, Denzel Washington</t>
  </si>
  <si>
    <t>tt1000953</t>
  </si>
  <si>
    <t>A Adventures 846</t>
  </si>
  <si>
    <t>An epic war tale directed by Coen Brothers.</t>
  </si>
  <si>
    <t>Brad Pitt, Florence Pugh, Tom Cruise, Edward Norton</t>
  </si>
  <si>
    <t>tt1000171</t>
  </si>
  <si>
    <t>First Story 64</t>
  </si>
  <si>
    <t>Crime, Drama</t>
  </si>
  <si>
    <t>Tom Cruise, Morgan Freeman, Leonardo DiCaprio, Anthony Hopkins, Natalie Portman</t>
  </si>
  <si>
    <t>tt1000638</t>
  </si>
  <si>
    <t>Final Kingdom 531</t>
  </si>
  <si>
    <t>Action, Drama</t>
  </si>
  <si>
    <t>An epic action tale directed by Edgar Wright.</t>
  </si>
  <si>
    <t>Cate Blanchett, Samuel L. Jackson, Amy Adams</t>
  </si>
  <si>
    <t>tt1000930</t>
  </si>
  <si>
    <t>The Legend 823</t>
  </si>
  <si>
    <t>Family, Documentary, Adventure</t>
  </si>
  <si>
    <t>Johnny Depp, Tom Hanks, Margot Robbie</t>
  </si>
  <si>
    <t>tt1000936</t>
  </si>
  <si>
    <t>Lost Mission 829</t>
  </si>
  <si>
    <t>Tom Hanks, Will Smith, Cate Blanchett, Matt Damon, Christian Bale</t>
  </si>
  <si>
    <t>tt1000385</t>
  </si>
  <si>
    <t>Last War 278</t>
  </si>
  <si>
    <t>TimothÃ©e Chalamet, Jennifer Lawrence, Harrison Ford, Scarlett Johansson</t>
  </si>
  <si>
    <t>tt1000611</t>
  </si>
  <si>
    <t>Final Chronicles 504</t>
  </si>
  <si>
    <t>An epic fantasy tale directed by Sam Mendes.</t>
  </si>
  <si>
    <t>Morgan Freeman, Robert De Niro, Samuel L. Jackson, Harrison Ford</t>
  </si>
  <si>
    <t>tt1000973</t>
  </si>
  <si>
    <t>Secret Awakening 866</t>
  </si>
  <si>
    <t>Western, Adventure, Crime</t>
  </si>
  <si>
    <t>An epic western tale directed by Wes Anderson.</t>
  </si>
  <si>
    <t>Scarlett Johansson, Margot Robbie, Florence Pugh, Jennifer Lawrence, Tom Cruise</t>
  </si>
  <si>
    <t>tt1000369</t>
  </si>
  <si>
    <t>The Love 262</t>
  </si>
  <si>
    <t>Crime, Musical, Sci-Fi</t>
  </si>
  <si>
    <t>An epic crime tale directed by Ang Lee.</t>
  </si>
  <si>
    <t>Harrison Ford, Cate Blanchett, Al Pacino, Chris Hemsworth, Emma Stone</t>
  </si>
  <si>
    <t>tt1000740</t>
  </si>
  <si>
    <t>Final Dreams 633</t>
  </si>
  <si>
    <t>Horror, Sci-Fi, Mystery</t>
  </si>
  <si>
    <t>A horror film set in 2021.</t>
  </si>
  <si>
    <t>Meryl Streep, Anthony Hopkins, Denzel Washington, Cate Blanchett, Matt Damon</t>
  </si>
  <si>
    <t>tt1000718</t>
  </si>
  <si>
    <t>Secret Journey 611</t>
  </si>
  <si>
    <t>Gary Oldman, Zendaya, Brad Pitt</t>
  </si>
  <si>
    <t>tt1000445</t>
  </si>
  <si>
    <t>Lost Mission 338</t>
  </si>
  <si>
    <t>Florence Pugh, Meryl Streep, Robert De Niro, Natalie Portman, Gary Oldman</t>
  </si>
  <si>
    <t>tt1000867</t>
  </si>
  <si>
    <t>Lost Mission 760</t>
  </si>
  <si>
    <t>Crime, Drama, Adventure</t>
  </si>
  <si>
    <t>An epic crime tale directed by Spike Lee.</t>
  </si>
  <si>
    <t>Morgan Freeman, Jack Nicholson, Jennifer Lawrence, Gary Oldman</t>
  </si>
  <si>
    <t>tt1000466</t>
  </si>
  <si>
    <t>A Destiny 359</t>
  </si>
  <si>
    <t>Biography, War</t>
  </si>
  <si>
    <t>Jack Nicholson, Anthony Hopkins, Robert Downey Jr., Cate Blanchett, Johnny Depp</t>
  </si>
  <si>
    <t>tt1000221</t>
  </si>
  <si>
    <t>A Mission 114</t>
  </si>
  <si>
    <t>Sci-Fi, Romance, Drama</t>
  </si>
  <si>
    <t>An epic sci-fi tale directed by James Cameron.</t>
  </si>
  <si>
    <t>Kate Winslet, Amy Adams, Tom Hanks, TimothÃ©e Chalamet</t>
  </si>
  <si>
    <t>tt1000419</t>
  </si>
  <si>
    <t>Lost War 312</t>
  </si>
  <si>
    <t>Robert Downey Jr., Matt Damon, Scarlett Johansson</t>
  </si>
  <si>
    <t>tt1000691</t>
  </si>
  <si>
    <t>Secret Kingdom 584</t>
  </si>
  <si>
    <t>Adventure, Horror</t>
  </si>
  <si>
    <t>Daniel Day-Lewis, Matt Damon, Robert Downey Jr., Will Smith, Leonardo DiCaprio</t>
  </si>
  <si>
    <t>tt1000405</t>
  </si>
  <si>
    <t>Dark Story 298</t>
  </si>
  <si>
    <t>An epic crime tale directed by Sam Mendes.</t>
  </si>
  <si>
    <t>Will Smith, Keanu Reeves, Viola Davis</t>
  </si>
  <si>
    <t>tt1000247</t>
  </si>
  <si>
    <t>An Secrets 140</t>
  </si>
  <si>
    <t>Keanu Reeves, Johnny Depp, Cate Blanchett, TimothÃ©e Chalamet</t>
  </si>
  <si>
    <t>tt1000324</t>
  </si>
  <si>
    <t>Dark Empire 217</t>
  </si>
  <si>
    <t>Jack Nicholson, Christian Bale, Robert De Niro, Florence Pugh, Cate Blanchett</t>
  </si>
  <si>
    <t>tt1000402</t>
  </si>
  <si>
    <t>The Secrets 295</t>
  </si>
  <si>
    <t>Drama, Sci-Fi</t>
  </si>
  <si>
    <t>Amy Adams, Leonardo DiCaprio, Matt Damon, Gary Oldman, Mark Ruffalo</t>
  </si>
  <si>
    <t>tt1000741</t>
  </si>
  <si>
    <t>The Adventures 634</t>
  </si>
  <si>
    <t>Kate Winslet, Natalie Portman, Emma Stone, Samuel L. Jackson</t>
  </si>
  <si>
    <t>tt1000772</t>
  </si>
  <si>
    <t>An Quest 665</t>
  </si>
  <si>
    <t>Thriller, Romance</t>
  </si>
  <si>
    <t>Matt Damon, Tom Cruise, Christian Bale, Jack Nicholson</t>
  </si>
  <si>
    <t>tt1000743</t>
  </si>
  <si>
    <t>An Quest 636</t>
  </si>
  <si>
    <t>Mark Ruffalo, Robert Downey Jr., Brad Pitt</t>
  </si>
  <si>
    <t>tt1000760</t>
  </si>
  <si>
    <t>Final Story 653</t>
  </si>
  <si>
    <t>Viola Davis, Scarlett Johansson, Jennifer Lawrence</t>
  </si>
  <si>
    <t>tt1000757</t>
  </si>
  <si>
    <t>The War 650</t>
  </si>
  <si>
    <t>Comedy, Animation, Mystery</t>
  </si>
  <si>
    <t>Cate Blanchett, Samuel L. Jackson, Viola Davis, Zendaya</t>
  </si>
  <si>
    <t>tt1000283</t>
  </si>
  <si>
    <t>Secret Empire 176</t>
  </si>
  <si>
    <t>Brad Pitt, Margot Robbie, Natalie Portman, Meryl Streep, Matt Damon</t>
  </si>
  <si>
    <t>tt1000249</t>
  </si>
  <si>
    <t>A Journey 142</t>
  </si>
  <si>
    <t>Chris Hemsworth, Tom Hanks, Natalie Portman, Margot Robbie, Cate Blanchett</t>
  </si>
  <si>
    <t>tt1000334</t>
  </si>
  <si>
    <t>The Dreams 227</t>
  </si>
  <si>
    <t>Robert Downey Jr., Samuel L. Jackson, Denzel Washington</t>
  </si>
  <si>
    <t>tt1000471</t>
  </si>
  <si>
    <t>A Empire 364</t>
  </si>
  <si>
    <t>Daniel Day-Lewis, Leonardo DiCaprio, Harrison Ford</t>
  </si>
  <si>
    <t>tt1000834</t>
  </si>
  <si>
    <t>Lost Revolution 727</t>
  </si>
  <si>
    <t>Drama, Musical, Adventure</t>
  </si>
  <si>
    <t>Jennifer Lawrence, Emma Stone, Mark Ruffalo, Will Smith, Tom Hanks</t>
  </si>
  <si>
    <t>tt1000816</t>
  </si>
  <si>
    <t>Secret Journey 709</t>
  </si>
  <si>
    <t>An epic mystery tale directed by Robert Zemeckis.</t>
  </si>
  <si>
    <t>TimothÃ©e Chalamet, Cate Blanchett, Brad Pitt, Margot Robbie</t>
  </si>
  <si>
    <t>tt1000830</t>
  </si>
  <si>
    <t>Final Love 723</t>
  </si>
  <si>
    <t>Crime, Romance</t>
  </si>
  <si>
    <t>Scarlett Johansson, Samuel L. Jackson, Natalie Portman, Keanu Reeves, Tom Hanks</t>
  </si>
  <si>
    <t>tt1000433</t>
  </si>
  <si>
    <t>First Mission 326</t>
  </si>
  <si>
    <t>Tom Cruise, Robert De Niro, Emma Stone, Denzel Washington</t>
  </si>
  <si>
    <t>tt1000618</t>
  </si>
  <si>
    <t>A Kingdom 511</t>
  </si>
  <si>
    <t>An epic horror tale directed by Clint Eastwood.</t>
  </si>
  <si>
    <t>Leonardo DiCaprio, Morgan Freeman, Chris Hemsworth, Margot Robbie, Samuel L. Jackson</t>
  </si>
  <si>
    <t>tt1000248</t>
  </si>
  <si>
    <t>Last War 141</t>
  </si>
  <si>
    <t>Thriller, Documentary</t>
  </si>
  <si>
    <t>A thriller film set in 2016.</t>
  </si>
  <si>
    <t>Meryl Streep, Emma Stone, Anthony Hopkins</t>
  </si>
  <si>
    <t>tt1000681</t>
  </si>
  <si>
    <t>An Mystery 574</t>
  </si>
  <si>
    <t>An epic mystery tale directed by Sam Mendes.</t>
  </si>
  <si>
    <t>Scarlett Johansson, Brad Pitt, Viola Davis</t>
  </si>
  <si>
    <t>tt1000591</t>
  </si>
  <si>
    <t>A Kingdom 484</t>
  </si>
  <si>
    <t>Amy Adams, TimothÃ©e Chalamet, Denzel Washington, Morgan Freeman</t>
  </si>
  <si>
    <t>tt1000290</t>
  </si>
  <si>
    <t>A Destiny 183</t>
  </si>
  <si>
    <t>Comedy, Musical, Documentary</t>
  </si>
  <si>
    <t>Natalie Portman, Emma Stone, Matt Damon</t>
  </si>
  <si>
    <t>tt1000659</t>
  </si>
  <si>
    <t>An Legend 552</t>
  </si>
  <si>
    <t>An epic animation tale directed by Spike Lee.</t>
  </si>
  <si>
    <t>Amy Adams, Natalie Portman, Christian Bale, Leonardo DiCaprio, Scarlett Johansson</t>
  </si>
  <si>
    <t>tt1000667</t>
  </si>
  <si>
    <t>An Empire 560</t>
  </si>
  <si>
    <t>Christian Bale, Florence Pugh, Tom Cruise, Leonardo DiCaprio, Daniel Day-Lewis</t>
  </si>
  <si>
    <t>tt1000598</t>
  </si>
  <si>
    <t>Secret Secrets 491</t>
  </si>
  <si>
    <t>Keanu Reeves, Tom Cruise, Samuel L. Jackson, Brad Pitt, Margot Robbie</t>
  </si>
  <si>
    <t>tt1000434</t>
  </si>
  <si>
    <t>Last Revolution 327</t>
  </si>
  <si>
    <t>Robert De Niro, Anthony Hopkins, Natalie Portman, Brad Pitt</t>
  </si>
  <si>
    <t>tt1000626</t>
  </si>
  <si>
    <t>Lost Destiny 519</t>
  </si>
  <si>
    <t>Fantasy, Western, War</t>
  </si>
  <si>
    <t>Keanu Reeves, Robert De Niro, Florence Pugh, Amy Adams, Scarlett Johansson</t>
  </si>
  <si>
    <t>tt1000903</t>
  </si>
  <si>
    <t>Secret Quest 796</t>
  </si>
  <si>
    <t>Meryl Streep, Emma Stone, Mark Ruffalo, Robert Downey Jr.</t>
  </si>
  <si>
    <t>tt1000909</t>
  </si>
  <si>
    <t>Secret Awakening 802</t>
  </si>
  <si>
    <t>An epic comedy tale directed by James Cameron.</t>
  </si>
  <si>
    <t>Jennifer Lawrence, Robert De Niro, Will Smith</t>
  </si>
  <si>
    <t>tt1000107</t>
  </si>
  <si>
    <t>In the Heat of the Night</t>
  </si>
  <si>
    <t>Jack Nicholson, Robert Downey Jr., Harrison Ford</t>
  </si>
  <si>
    <t>tt1000138</t>
  </si>
  <si>
    <t>Secret Love 31</t>
  </si>
  <si>
    <t>Samuel L. Jackson, Cate Blanchett, Morgan Freeman</t>
  </si>
  <si>
    <t>tt1000468</t>
  </si>
  <si>
    <t>The Legend 361</t>
  </si>
  <si>
    <t>Horror, Fantasy, Family</t>
  </si>
  <si>
    <t>An epic horror tale directed by James Cameron.</t>
  </si>
  <si>
    <t>Brad Pitt, Harrison Ford, Viola Davis, Al Pacino, TimothÃ©e Chalamet</t>
  </si>
  <si>
    <t>tt1000670</t>
  </si>
  <si>
    <t>Last Love 563</t>
  </si>
  <si>
    <t>An epic fantasy tale directed by Bong Joon-ho.</t>
  </si>
  <si>
    <t>Brad Pitt, Chris Hemsworth, Denzel Washington, Anthony Hopkins, Robert Downey Jr.</t>
  </si>
  <si>
    <t>tt1000529</t>
  </si>
  <si>
    <t>An Secrets 422</t>
  </si>
  <si>
    <t>A comedy film set in 2013.</t>
  </si>
  <si>
    <t>Natalie Portman, Daniel Day-Lewis, Denzel Washington, Scarlett Johansson, Matt Damon</t>
  </si>
  <si>
    <t>tt1000920</t>
  </si>
  <si>
    <t>The Love 813</t>
  </si>
  <si>
    <t>A drama film set in 2022.</t>
  </si>
  <si>
    <t>Keanu Reeves, Jennifer Lawrence, Gary Oldman</t>
  </si>
  <si>
    <t>tt1000391</t>
  </si>
  <si>
    <t>Secret Mission 284</t>
  </si>
  <si>
    <t>Mystery, Animation</t>
  </si>
  <si>
    <t>Keanu Reeves, Emma Stone, Kate Winslet</t>
  </si>
  <si>
    <t>tt1000411</t>
  </si>
  <si>
    <t>The Empire 304</t>
  </si>
  <si>
    <t>A western film set in 2024.</t>
  </si>
  <si>
    <t>Meryl Streep, Anthony Hopkins, Margot Robbie</t>
  </si>
  <si>
    <t>tt1000491</t>
  </si>
  <si>
    <t>An Mystery 384</t>
  </si>
  <si>
    <t>Mystery, Comedy</t>
  </si>
  <si>
    <t>Jennifer Lawrence, Al Pacino, Christian Bale, Denzel Washington, Robert Downey Jr.</t>
  </si>
  <si>
    <t>tt1000161</t>
  </si>
  <si>
    <t>Final Mystery 54</t>
  </si>
  <si>
    <t>An epic fantasy tale directed by Hayao Miyazaki.</t>
  </si>
  <si>
    <t>Al Pacino, Daniel Day-Lewis, Florence Pugh, Keanu Reeves, Leonardo DiCaprio</t>
  </si>
  <si>
    <t>tt1000520</t>
  </si>
  <si>
    <t>Final Dreams 413</t>
  </si>
  <si>
    <t>Johnny Depp, Matt Damon, Edward Norton</t>
  </si>
  <si>
    <t>tt1000534</t>
  </si>
  <si>
    <t>A Legend 427</t>
  </si>
  <si>
    <t>An epic comedy tale directed by Peter Jackson.</t>
  </si>
  <si>
    <t>Christian Bale, Keanu Reeves, Tom Cruise, TimothÃ©e Chalamet, Kate Winslet</t>
  </si>
  <si>
    <t>tt1000126</t>
  </si>
  <si>
    <t>Secret Quest 19</t>
  </si>
  <si>
    <t>Drama, Romance</t>
  </si>
  <si>
    <t>A drama film set in 1988.</t>
  </si>
  <si>
    <t>Tom Cruise, Will Smith, Brad Pitt, Gary Oldman, Jack Nicholson</t>
  </si>
  <si>
    <t>tt1000526</t>
  </si>
  <si>
    <t>Lost Kingdom 419</t>
  </si>
  <si>
    <t>Robert De Niro, Amy Adams, Christian Bale, Tom Hanks, Johnny Depp</t>
  </si>
  <si>
    <t>tt1000113</t>
  </si>
  <si>
    <t>The Mystery 6</t>
  </si>
  <si>
    <t>A romance film set in 1988.</t>
  </si>
  <si>
    <t>Natalie Portman, Scarlett Johansson, Will Smith, Gary Oldman, Keanu Reeves</t>
  </si>
  <si>
    <t>tt1000764</t>
  </si>
  <si>
    <t>Lost War 657</t>
  </si>
  <si>
    <t>Fantasy, Western, Horror</t>
  </si>
  <si>
    <t>Kate Winslet, Viola Davis, Edward Norton, Robert De Niro</t>
  </si>
  <si>
    <t>tt1000285</t>
  </si>
  <si>
    <t>An Chronicles 178</t>
  </si>
  <si>
    <t>Robert Downey Jr., Gary Oldman, Amy Adams, Brad Pitt, Natalie Portman</t>
  </si>
  <si>
    <t>tt1000666</t>
  </si>
  <si>
    <t>Lost Dreams 559</t>
  </si>
  <si>
    <t>A war film set in 2005.</t>
  </si>
  <si>
    <t>Kate Winslet, Denzel Washington, Margot Robbie</t>
  </si>
  <si>
    <t>tt1000977</t>
  </si>
  <si>
    <t>An Secrets 870</t>
  </si>
  <si>
    <t>A documentary film set in 2018.</t>
  </si>
  <si>
    <t>Christian Bale, Amy Adams, Scarlett Johansson</t>
  </si>
  <si>
    <t>tt1000581</t>
  </si>
  <si>
    <t>Dark Awakening 474</t>
  </si>
  <si>
    <t>An epic drama tale directed by Ava DuVernay.</t>
  </si>
  <si>
    <t>Amy Adams, Morgan Freeman, Will Smith, Tom Cruise, Tom Hanks</t>
  </si>
  <si>
    <t>tt1000588</t>
  </si>
  <si>
    <t>Last Quest 481</t>
  </si>
  <si>
    <t>Emma Stone, Harrison Ford, Matt Damon, Anthony Hopkins, Edward Norton</t>
  </si>
  <si>
    <t>tt1000456</t>
  </si>
  <si>
    <t>First Legend 349</t>
  </si>
  <si>
    <t>Viola Davis, Florence Pugh, Denzel Washington, Anthony Hopkins, Edward Norton</t>
  </si>
  <si>
    <t>tt1000196</t>
  </si>
  <si>
    <t>Dark Journey 89</t>
  </si>
  <si>
    <t>War, Animation, Fantasy</t>
  </si>
  <si>
    <t>Scarlett Johansson, Samuel L. Jackson, Al Pacino, Edward Norton</t>
  </si>
  <si>
    <t>tt1000804</t>
  </si>
  <si>
    <t>A War 697</t>
  </si>
  <si>
    <t>Drama, Family, Mystery</t>
  </si>
  <si>
    <t>A drama film set in 2007.</t>
  </si>
  <si>
    <t>Emma Stone, TimothÃ©e Chalamet, Jack Nicholson</t>
  </si>
  <si>
    <t>tt1000844</t>
  </si>
  <si>
    <t>First Story 737</t>
  </si>
  <si>
    <t>A drama film set in 2013.</t>
  </si>
  <si>
    <t>Chris Hemsworth, Edward Norton, Amy Adams</t>
  </si>
  <si>
    <t>tt1000517</t>
  </si>
  <si>
    <t>Secret Story 410</t>
  </si>
  <si>
    <t>TimothÃ©e Chalamet, Al Pacino, Cate Blanchett, Brad Pitt, Amy Adams</t>
  </si>
  <si>
    <t>tt1000883</t>
  </si>
  <si>
    <t>The Destiny 776</t>
  </si>
  <si>
    <t>Amy Adams, Meryl Streep, Robert De Niro, Zendaya, TimothÃ©e Chalamet</t>
  </si>
  <si>
    <t>tt1000955</t>
  </si>
  <si>
    <t>Last Journey 848</t>
  </si>
  <si>
    <t>Al Pacino, Amy Adams, Anthony Hopkins, Chris Hemsworth, Gary Oldman</t>
  </si>
  <si>
    <t>tt1000958</t>
  </si>
  <si>
    <t>A Mystery 851</t>
  </si>
  <si>
    <t>Thriller, Comedy, Family</t>
  </si>
  <si>
    <t>An epic thriller tale directed by Park Chan-wook.</t>
  </si>
  <si>
    <t>Emma Stone, Morgan Freeman, Harrison Ford, Denzel Washington, Cate Blanchett</t>
  </si>
  <si>
    <t>tt1000176</t>
  </si>
  <si>
    <t>The War 69</t>
  </si>
  <si>
    <t>Documentary, Fantasy</t>
  </si>
  <si>
    <t>Jennifer Lawrence, Leonardo DiCaprio, Christian Bale, Al Pacino</t>
  </si>
  <si>
    <t>tt1000474</t>
  </si>
  <si>
    <t>Last Secrets 367</t>
  </si>
  <si>
    <t>Mark Ruffalo, Daniel Day-Lewis, TimothÃ©e Chalamet</t>
  </si>
  <si>
    <t>tt1000200</t>
  </si>
  <si>
    <t>A Awakening 93</t>
  </si>
  <si>
    <t>Drama, Thriller, Fantasy</t>
  </si>
  <si>
    <t>A drama film set in 2005.</t>
  </si>
  <si>
    <t>Meryl Streep, Cate Blanchett, Emma Stone</t>
  </si>
  <si>
    <t>tt1000992</t>
  </si>
  <si>
    <t>Final Revolution 885</t>
  </si>
  <si>
    <t>Daniel Day-Lewis, Emma Stone, Meryl Streep, Mark Ruffalo</t>
  </si>
  <si>
    <t>tt1000422</t>
  </si>
  <si>
    <t>Dark Kingdom 315</t>
  </si>
  <si>
    <t>Margot Robbie, Jennifer Lawrence, Denzel Washington</t>
  </si>
  <si>
    <t>tt1000851</t>
  </si>
  <si>
    <t>The Empire 744</t>
  </si>
  <si>
    <t>Mark Ruffalo, Edward Norton, Robert De Niro, Al Pacino</t>
  </si>
  <si>
    <t>tt1000782</t>
  </si>
  <si>
    <t>Secret Awakening 675</t>
  </si>
  <si>
    <t>Animation, Romance, Documentary</t>
  </si>
  <si>
    <t>A animation film set in 2023.</t>
  </si>
  <si>
    <t>Jack Nicholson, Morgan Freeman, Daniel Day-Lewis, Cate Blanchett</t>
  </si>
  <si>
    <t>tt1000164</t>
  </si>
  <si>
    <t>Lost Journey 57</t>
  </si>
  <si>
    <t>Animation, Biography</t>
  </si>
  <si>
    <t>Samuel L. Jackson, Anthony Hopkins, Scarlett Johansson, Tom Cruise, Daniel Day-Lewis</t>
  </si>
  <si>
    <t>tt1000110</t>
  </si>
  <si>
    <t>Dark Legend 3</t>
  </si>
  <si>
    <t>Denzel Washington, Keanu Reeves, Christian Bale, Robert De Niro</t>
  </si>
  <si>
    <t>tt1000700</t>
  </si>
  <si>
    <t>Secret Legend 593</t>
  </si>
  <si>
    <t>Amy Adams, Cate Blanchett, Margot Robbie</t>
  </si>
  <si>
    <t>tt1000165</t>
  </si>
  <si>
    <t>A Quest 58</t>
  </si>
  <si>
    <t>An epic documentary tale directed by Wes Anderson.</t>
  </si>
  <si>
    <t>Keanu Reeves, Will Smith, Natalie Portman</t>
  </si>
  <si>
    <t>tt1000368</t>
  </si>
  <si>
    <t>Final Revolution 261</t>
  </si>
  <si>
    <t>Musical, Romance</t>
  </si>
  <si>
    <t>An epic musical tale directed by Taika Waititi.</t>
  </si>
  <si>
    <t>Daniel Day-Lewis, Chris Hemsworth, Al Pacino, Brad Pitt, Leonardo DiCaprio</t>
  </si>
  <si>
    <t>tt1000606</t>
  </si>
  <si>
    <t>A Dreams 499</t>
  </si>
  <si>
    <t>An epic horror tale directed by Danny Boyle.</t>
  </si>
  <si>
    <t>Cate Blanchett, TimothÃ©e Chalamet, Denzel Washington, Brad Pitt</t>
  </si>
  <si>
    <t>tt1000934</t>
  </si>
  <si>
    <t>First Love 827</t>
  </si>
  <si>
    <t>Western, Crime</t>
  </si>
  <si>
    <t>A western film set in 2013.</t>
  </si>
  <si>
    <t>Morgan Freeman, Al Pacino, Samuel L. Jackson, Harrison Ford, Jennifer Lawrence</t>
  </si>
  <si>
    <t>tt1000383</t>
  </si>
  <si>
    <t>Lost Destiny 276</t>
  </si>
  <si>
    <t>Al Pacino, Keanu Reeves, Mark Ruffalo</t>
  </si>
  <si>
    <t>tt1000853</t>
  </si>
  <si>
    <t>First Love 746</t>
  </si>
  <si>
    <t>Johnny Depp, Chris Hemsworth, Brad Pitt</t>
  </si>
  <si>
    <t>tt1000172</t>
  </si>
  <si>
    <t>Lost Awakening 65</t>
  </si>
  <si>
    <t>Will Smith, Daniel Day-Lewis, Natalie Portman, Gary Oldman, Mark Ruffalo</t>
  </si>
  <si>
    <t>tt1000152</t>
  </si>
  <si>
    <t>An Quest 45</t>
  </si>
  <si>
    <t>Robert De Niro, Scarlett Johansson, Samuel L. Jackson, Gary Oldman, Anthony Hopkins</t>
  </si>
  <si>
    <t>tt1000118</t>
  </si>
  <si>
    <t>Dark Kingdom 11</t>
  </si>
  <si>
    <t>TimothÃ©e Chalamet, Al Pacino, Scarlett Johansson</t>
  </si>
  <si>
    <t>tt1000565</t>
  </si>
  <si>
    <t>Last Quest 458</t>
  </si>
  <si>
    <t>Leonardo DiCaprio, Emma Stone, Robert Downey Jr.</t>
  </si>
  <si>
    <t>tt1000327</t>
  </si>
  <si>
    <t>Dark Awakening 220</t>
  </si>
  <si>
    <t>Viola Davis, Keanu Reeves, Samuel L. Jackson, Harrison Ford</t>
  </si>
  <si>
    <t>tt1000545</t>
  </si>
  <si>
    <t>The Secrets 438</t>
  </si>
  <si>
    <t>Mystery, Drama, Sci-Fi</t>
  </si>
  <si>
    <t>A mystery film set in 2018.</t>
  </si>
  <si>
    <t>Margot Robbie, Morgan Freeman, Gary Oldman, Samuel L. Jackson</t>
  </si>
  <si>
    <t>tt1000515</t>
  </si>
  <si>
    <t>Last Mystery 408</t>
  </si>
  <si>
    <t>An epic romance tale directed by Denis Villeneuve.</t>
  </si>
  <si>
    <t>Cate Blanchett, Robert De Niro, Johnny Depp, Edward Norton</t>
  </si>
  <si>
    <t>tt1000891</t>
  </si>
  <si>
    <t>An Kingdom 784</t>
  </si>
  <si>
    <t>Denzel Washington, Edward Norton, Daniel Day-Lewis, Johnny Depp</t>
  </si>
  <si>
    <t>tt1000527</t>
  </si>
  <si>
    <t>Last Story 420</t>
  </si>
  <si>
    <t>A adventure film set in 2002.</t>
  </si>
  <si>
    <t>Chris Hemsworth, Amy Adams, Gary Oldman, TimothÃ©e Chalamet, Kate Winslet</t>
  </si>
  <si>
    <t>tt1000855</t>
  </si>
  <si>
    <t>A Love 748</t>
  </si>
  <si>
    <t>An epic family tale directed by Ridley Scott.</t>
  </si>
  <si>
    <t>Johnny Depp, Robert De Niro, Amy Adams, Keanu Reeves, Christian Bale</t>
  </si>
  <si>
    <t>tt1000454</t>
  </si>
  <si>
    <t>Secret Chronicles 347</t>
  </si>
  <si>
    <t>Comedy, Mystery</t>
  </si>
  <si>
    <t>A comedy film set in 2009.</t>
  </si>
  <si>
    <t>Johnny Depp, Cate Blanchett, Leonardo DiCaprio</t>
  </si>
  <si>
    <t>tt1000414</t>
  </si>
  <si>
    <t>Last Legend 307</t>
  </si>
  <si>
    <t>Sci-Fi, Documentary, Horror</t>
  </si>
  <si>
    <t>A sci-fi film set in 2002.</t>
  </si>
  <si>
    <t>Kate Winslet, Matt Damon, Jennifer Lawrence, Brad Pitt, Meryl Streep</t>
  </si>
  <si>
    <t>tt1000879</t>
  </si>
  <si>
    <t>Secret Mystery 772</t>
  </si>
  <si>
    <t>Horror, Documentary</t>
  </si>
  <si>
    <t>Viola Davis, Brad Pitt, Meryl Streep, Natalie Portman, Robert De Niro</t>
  </si>
  <si>
    <t>tt1000810</t>
  </si>
  <si>
    <t>Final Legend 703</t>
  </si>
  <si>
    <t>Zendaya, Gary Oldman, Emma Stone</t>
  </si>
  <si>
    <t>tt1000277</t>
  </si>
  <si>
    <t>Secret Legend 170</t>
  </si>
  <si>
    <t>Harrison Ford, Zendaya, TimothÃ©e Chalamet</t>
  </si>
  <si>
    <t>tt1000211</t>
  </si>
  <si>
    <t>The Destiny 104</t>
  </si>
  <si>
    <t>Daniel Day-Lewis, Keanu Reeves, TimothÃ©e Chalamet, Christian Bale, Harrison Ford</t>
  </si>
  <si>
    <t>tt1000395</t>
  </si>
  <si>
    <t>An Mission 288</t>
  </si>
  <si>
    <t>Christian Bale, Robert Downey Jr., Johnny Depp, Matt Damon, Samuel L. Jackson</t>
  </si>
  <si>
    <t>tt1000793</t>
  </si>
  <si>
    <t>The Kingdom 686</t>
  </si>
  <si>
    <t>Johnny Depp, Gary Oldman, Margot Robbie</t>
  </si>
  <si>
    <t>tt1000160</t>
  </si>
  <si>
    <t>An Chronicles 53</t>
  </si>
  <si>
    <t>Sci-Fi, Crime, Horror</t>
  </si>
  <si>
    <t>Robert De Niro, Tom Hanks, Keanu Reeves, Daniel Day-Lewis, Natalie Portman</t>
  </si>
  <si>
    <t>tt1000704</t>
  </si>
  <si>
    <t>Secret Empire 597</t>
  </si>
  <si>
    <t>Jennifer Lawrence, Amy Adams, Natalie Portman</t>
  </si>
  <si>
    <t>tt1000555</t>
  </si>
  <si>
    <t>Secret Revolution 448</t>
  </si>
  <si>
    <t>Animation, Horror, Action</t>
  </si>
  <si>
    <t>Tom Hanks, Jack Nicholson, Morgan Freeman, Emma Stone, Johnny Depp</t>
  </si>
  <si>
    <t>tt1000331</t>
  </si>
  <si>
    <t>A Mission 224</t>
  </si>
  <si>
    <t>Thriller, War</t>
  </si>
  <si>
    <t>A thriller film set in 2018.</t>
  </si>
  <si>
    <t>Zendaya, Denzel Washington, Jennifer Lawrence, Chris Hemsworth</t>
  </si>
  <si>
    <t>tt1000396</t>
  </si>
  <si>
    <t>An Revolution 289</t>
  </si>
  <si>
    <t>Adventure, Drama, Action</t>
  </si>
  <si>
    <t>Johnny Depp, Gary Oldman, Margot Robbie, Samuel L. Jackson</t>
  </si>
  <si>
    <t>tt1000251</t>
  </si>
  <si>
    <t>A Adventures 144</t>
  </si>
  <si>
    <t>Fantasy, Adventure, Comedy</t>
  </si>
  <si>
    <t>A fantasy film set in 2010.</t>
  </si>
  <si>
    <t>Kate Winslet, Denzel Washington, Brad Pitt, Tom Hanks, Amy Adams</t>
  </si>
  <si>
    <t>tt1000907</t>
  </si>
  <si>
    <t>Secret Chronicles 800</t>
  </si>
  <si>
    <t>Edward Norton, Al Pacino, TimothÃ©e Chalamet</t>
  </si>
  <si>
    <t>tt1000948</t>
  </si>
  <si>
    <t>Secret Love 841</t>
  </si>
  <si>
    <t>An epic documentary tale directed by Peter Jackson.</t>
  </si>
  <si>
    <t>Anthony Hopkins, Morgan Freeman, Jennifer Lawrence, Gary Oldman</t>
  </si>
  <si>
    <t>tt1000204</t>
  </si>
  <si>
    <t>Last Mission 97</t>
  </si>
  <si>
    <t>Western, Crime, Drama</t>
  </si>
  <si>
    <t>Brad Pitt, Samuel L. Jackson, Meryl Streep, Viola Davis, Kate Winslet</t>
  </si>
  <si>
    <t>tt1000858</t>
  </si>
  <si>
    <t>Secret Legend 751</t>
  </si>
  <si>
    <t>Sci-Fi, Action, Biography</t>
  </si>
  <si>
    <t>TimothÃ©e Chalamet, Chris Hemsworth, Harrison Ford, Margot Robbie</t>
  </si>
  <si>
    <t>tt1000429</t>
  </si>
  <si>
    <t>Lost Journey 322</t>
  </si>
  <si>
    <t>Drama, Musical, Sci-Fi</t>
  </si>
  <si>
    <t>Natalie Portman, Amy Adams, Scarlett Johansson</t>
  </si>
  <si>
    <t>tt1000374</t>
  </si>
  <si>
    <t>Last Journey 267</t>
  </si>
  <si>
    <t>A musical film set in 2002.</t>
  </si>
  <si>
    <t>Chris Hemsworth, Jennifer Lawrence, Natalie Portman, Mark Ruffalo</t>
  </si>
  <si>
    <t>tt1000986</t>
  </si>
  <si>
    <t>First Secrets 879</t>
  </si>
  <si>
    <t>A western film set in 2003.</t>
  </si>
  <si>
    <t>Daniel Day-Lewis, Amy Adams, Harrison Ford</t>
  </si>
  <si>
    <t>tt1000885</t>
  </si>
  <si>
    <t>The Love 778</t>
  </si>
  <si>
    <t>A action film set in 2019.</t>
  </si>
  <si>
    <t>Viola Davis, Edward Norton, Keanu Reeves, Meryl Streep</t>
  </si>
  <si>
    <t>tt1000180</t>
  </si>
  <si>
    <t>The Mission 73</t>
  </si>
  <si>
    <t>Robert Downey Jr., Al Pacino, Daniel Day-Lewis</t>
  </si>
  <si>
    <t>tt1000789</t>
  </si>
  <si>
    <t>Last Dreams 682</t>
  </si>
  <si>
    <t>Samuel L. Jackson, Christian Bale, Florence Pugh, Tom Hanks</t>
  </si>
  <si>
    <t>tt1000623</t>
  </si>
  <si>
    <t>The Quest 516</t>
  </si>
  <si>
    <t>Johnny Depp, Tom Hanks, Jack Nicholson, Natalie Portman</t>
  </si>
  <si>
    <t>tt1000775</t>
  </si>
  <si>
    <t>An Revolution 668</t>
  </si>
  <si>
    <t>Jack Nicholson, Margot Robbie, Mark Ruffalo, Amy Adams</t>
  </si>
  <si>
    <t>tt1000546</t>
  </si>
  <si>
    <t>Lost Revolution 439</t>
  </si>
  <si>
    <t>Harrison Ford, Christian Bale, Anthony Hopkins, Natalie Portman</t>
  </si>
  <si>
    <t>tt1000758</t>
  </si>
  <si>
    <t>An Kingdom 651</t>
  </si>
  <si>
    <t>Mystery, Drama, Thriller</t>
  </si>
  <si>
    <t>A mystery film set in 2011.</t>
  </si>
  <si>
    <t>Mark Ruffalo, Robert Downey Jr., Harrison Ford, Matt Damon, Daniel Day-Lewis</t>
  </si>
  <si>
    <t>tt1000754</t>
  </si>
  <si>
    <t>Final Destiny 647</t>
  </si>
  <si>
    <t>Tom Cruise, Meryl Streep, Daniel Day-Lewis, Edward Norton</t>
  </si>
  <si>
    <t>tt1000225</t>
  </si>
  <si>
    <t>The Chronicles 118</t>
  </si>
  <si>
    <t>Zendaya, Chris Hemsworth, Jennifer Lawrence, Keanu Reeves</t>
  </si>
  <si>
    <t>tt1000870</t>
  </si>
  <si>
    <t>Final Kingdom 763</t>
  </si>
  <si>
    <t>Daniel Day-Lewis, Natalie Portman, Margot Robbie</t>
  </si>
  <si>
    <t>tt1000162</t>
  </si>
  <si>
    <t>Final Destiny 55</t>
  </si>
  <si>
    <t>Johnny Depp, Amy Adams, Zendaya, Meryl Streep, Scarlett Johansson</t>
  </si>
  <si>
    <t>tt1000328</t>
  </si>
  <si>
    <t>Last Chronicles 221</t>
  </si>
  <si>
    <t>A war film set in 2017.</t>
  </si>
  <si>
    <t>Kate Winslet, Margot Robbie, Anthony Hopkins, Emma Stone</t>
  </si>
  <si>
    <t>tt1000503</t>
  </si>
  <si>
    <t>Lost Dreams 396</t>
  </si>
  <si>
    <t>Fantasy, Family</t>
  </si>
  <si>
    <t>Keanu Reeves, Edward Norton, Denzel Washington</t>
  </si>
  <si>
    <t>tt1000919</t>
  </si>
  <si>
    <t>Secret Kingdom 812</t>
  </si>
  <si>
    <t>An epic horror tale directed by Robert Zemeckis.</t>
  </si>
  <si>
    <t>Al Pacino, TimothÃ©e Chalamet, Christian Bale</t>
  </si>
  <si>
    <t>tt1000135</t>
  </si>
  <si>
    <t>A Destiny 28</t>
  </si>
  <si>
    <t>A fantasy film set in 1981.</t>
  </si>
  <si>
    <t>Al Pacino, Viola Davis, Kate Winslet, Margot Robbie</t>
  </si>
  <si>
    <t>tt1000881</t>
  </si>
  <si>
    <t>First Journey 774</t>
  </si>
  <si>
    <t>Romance, Animation</t>
  </si>
  <si>
    <t>Kate Winslet, Samuel L. Jackson, Viola Davis</t>
  </si>
  <si>
    <t>tt1000927</t>
  </si>
  <si>
    <t>An Mystery 820</t>
  </si>
  <si>
    <t>Emma Stone, Zendaya, Chris Hemsworth</t>
  </si>
  <si>
    <t>tt1000617</t>
  </si>
  <si>
    <t>Lost War 510</t>
  </si>
  <si>
    <t>Jennifer Lawrence, Brad Pitt, Leonardo DiCaprio, Will Smith</t>
  </si>
  <si>
    <t>tt1000643</t>
  </si>
  <si>
    <t>The Love 536</t>
  </si>
  <si>
    <t>Meryl Streep, Chris Hemsworth, Kate Winslet, Gary Oldman</t>
  </si>
  <si>
    <t>tt1000722</t>
  </si>
  <si>
    <t>A Awakening 615</t>
  </si>
  <si>
    <t>Sci-Fi, Family</t>
  </si>
  <si>
    <t>An epic sci-fi tale directed by Ron Howard.</t>
  </si>
  <si>
    <t>Mark Ruffalo, Al Pacino, Kate Winslet</t>
  </si>
  <si>
    <t>tt1000345</t>
  </si>
  <si>
    <t>A Kingdom 238</t>
  </si>
  <si>
    <t>Horror, Romance</t>
  </si>
  <si>
    <t>Natalie Portman, Christian Bale, Kate Winslet, Margot Robbie</t>
  </si>
  <si>
    <t>tt1000561</t>
  </si>
  <si>
    <t>A Awakening 454</t>
  </si>
  <si>
    <t>Robert De Niro, Kate Winslet, Christian Bale, Meryl Streep</t>
  </si>
  <si>
    <t>tt1000264</t>
  </si>
  <si>
    <t>Dark War 157</t>
  </si>
  <si>
    <t>Horror, Western, Comedy</t>
  </si>
  <si>
    <t>Amy Adams, Robert De Niro, Harrison Ford</t>
  </si>
  <si>
    <t>tt1000232</t>
  </si>
  <si>
    <t>The Dreams 125</t>
  </si>
  <si>
    <t>Action, Documentary, Thriller</t>
  </si>
  <si>
    <t>Tom Cruise, Harrison Ford, Daniel Day-Lewis</t>
  </si>
  <si>
    <t>tt1000108</t>
  </si>
  <si>
    <t>A Journey 1</t>
  </si>
  <si>
    <t>Daniel Day-Lewis, Meryl Streep, TimothÃ©e Chalamet, Jennifer Lawrence, Denzel Washington</t>
  </si>
  <si>
    <t>tt1000751</t>
  </si>
  <si>
    <t>The Empire 644</t>
  </si>
  <si>
    <t>Florence Pugh, Jennifer Lawrence, Viola Davis</t>
  </si>
  <si>
    <t>tt1000489</t>
  </si>
  <si>
    <t>A Mission 382</t>
  </si>
  <si>
    <t>An epic biography tale directed by Ridley Scott.</t>
  </si>
  <si>
    <t>Leonardo DiCaprio, Keanu Reeves, Johnny Depp, Brad Pitt</t>
  </si>
  <si>
    <t>tt1000403</t>
  </si>
  <si>
    <t>Final Destiny 296</t>
  </si>
  <si>
    <t>Family, Drama</t>
  </si>
  <si>
    <t>A family film set in 2017.</t>
  </si>
  <si>
    <t>Morgan Freeman, Zendaya, Anthony Hopkins, Matt Damon, Leonardo DiCaprio</t>
  </si>
  <si>
    <t>tt1000418</t>
  </si>
  <si>
    <t>Last Empire 311</t>
  </si>
  <si>
    <t>Florence Pugh, Leonardo DiCaprio, Robert De Niro</t>
  </si>
  <si>
    <t>tt1000317</t>
  </si>
  <si>
    <t>Secret Destiny 210</t>
  </si>
  <si>
    <t>Documentary, Mystery, Adventure</t>
  </si>
  <si>
    <t>An epic documentary tale directed by Steven Spielberg.</t>
  </si>
  <si>
    <t>Morgan Freeman, Scarlett Johansson, Brad Pitt, Johnny Depp, Chris Hemsworth</t>
  </si>
  <si>
    <t>tt1000143</t>
  </si>
  <si>
    <t>Final Quest 36</t>
  </si>
  <si>
    <t>Drama, Animation</t>
  </si>
  <si>
    <t>Will Smith, Christian Bale, Robert Downey Jr.</t>
  </si>
  <si>
    <t>tt1000701</t>
  </si>
  <si>
    <t>First Dreams 594</t>
  </si>
  <si>
    <t>An epic western tale directed by Denis Villeneuve.</t>
  </si>
  <si>
    <t>Keanu Reeves, Morgan Freeman, TimothÃ©e Chalamet, Christian Bale</t>
  </si>
  <si>
    <t>tt1000831</t>
  </si>
  <si>
    <t>Dark Kingdom 724</t>
  </si>
  <si>
    <t>Christian Bale, Viola Davis, Amy Adams, Mark Ruffalo</t>
  </si>
  <si>
    <t>tt1000627</t>
  </si>
  <si>
    <t>Secret Story 520</t>
  </si>
  <si>
    <t>A family film set in 2007.</t>
  </si>
  <si>
    <t>Brad Pitt, Samuel L. Jackson, Robert Downey Jr., TimothÃ©e Chalamet, Margot Robbie</t>
  </si>
  <si>
    <t>tt1000202</t>
  </si>
  <si>
    <t>Last Adventures 95</t>
  </si>
  <si>
    <t>An epic animation tale directed by Martin Scorsese.</t>
  </si>
  <si>
    <t>Amy Adams, Johnny Depp, Florence Pugh, Al Pacino, Jennifer Lawrence</t>
  </si>
  <si>
    <t>tt1000166</t>
  </si>
  <si>
    <t>Secret Story 59</t>
  </si>
  <si>
    <t>A fantasy film set in 1999.</t>
  </si>
  <si>
    <t>Morgan Freeman, Amy Adams, Natalie Portman, Christian Bale, Gary Oldman</t>
  </si>
  <si>
    <t>tt1000457</t>
  </si>
  <si>
    <t>Lost Dreams 350</t>
  </si>
  <si>
    <t>A sci-fi film set in 2011.</t>
  </si>
  <si>
    <t>Jennifer Lawrence, Christian Bale, Leonardo DiCaprio, Morgan Freeman</t>
  </si>
  <si>
    <t>tt1000438</t>
  </si>
  <si>
    <t>Dark Secrets 331</t>
  </si>
  <si>
    <t>Crime, Musical</t>
  </si>
  <si>
    <t>Florence Pugh, Robert De Niro, Jack Nicholson</t>
  </si>
  <si>
    <t>tt1000428</t>
  </si>
  <si>
    <t>Secret Quest 321</t>
  </si>
  <si>
    <t>Harrison Ford, Samuel L. Jackson, Leonardo DiCaprio, Chris Hemsworth, Robert Downey Jr.</t>
  </si>
  <si>
    <t>tt1000836</t>
  </si>
  <si>
    <t>Last Kingdom 729</t>
  </si>
  <si>
    <t>Kate Winslet, Leonardo DiCaprio, Meryl Streep</t>
  </si>
  <si>
    <t>tt1000824</t>
  </si>
  <si>
    <t>First Awakening 717</t>
  </si>
  <si>
    <t>Daniel Day-Lewis, Harrison Ford, Denzel Washington, Tom Cruise</t>
  </si>
  <si>
    <t>tt1000806</t>
  </si>
  <si>
    <t>Lost Quest 699</t>
  </si>
  <si>
    <t>An epic musical tale directed by Quentin Tarantino.</t>
  </si>
  <si>
    <t>Matt Damon, Keanu Reeves, Leonardo DiCaprio, Al Pacino</t>
  </si>
  <si>
    <t>tt1000449</t>
  </si>
  <si>
    <t>Dark Adventures 342</t>
  </si>
  <si>
    <t>Mystery, Sci-Fi</t>
  </si>
  <si>
    <t>Gary Oldman, Robert Downey Jr., Tom Hanks, Scarlett Johansson, TimothÃ©e Chalamet</t>
  </si>
  <si>
    <t>tt1000235</t>
  </si>
  <si>
    <t>First Awakening 128</t>
  </si>
  <si>
    <t>Adventure, Thriller, Comedy</t>
  </si>
  <si>
    <t>An epic adventure tale directed by Wong Kar-wai.</t>
  </si>
  <si>
    <t>Florence Pugh, Al Pacino, Tom Cruise, Anthony Hopkins, Keanu Reeves</t>
  </si>
  <si>
    <t>tt1000313</t>
  </si>
  <si>
    <t>A War 206</t>
  </si>
  <si>
    <t>Sci-Fi, Biography</t>
  </si>
  <si>
    <t>Gary Oldman, Zendaya, Denzel Washington, Robert Downey Jr.</t>
  </si>
  <si>
    <t>tt1000792</t>
  </si>
  <si>
    <t>First Legend 685</t>
  </si>
  <si>
    <t>Mark Ruffalo, Christian Bale, Anthony Hopkins, Tom Cruise</t>
  </si>
  <si>
    <t>tt1000784</t>
  </si>
  <si>
    <t>Last Kingdom 677</t>
  </si>
  <si>
    <t>An epic documentary tale directed by Bong Joon-ho.</t>
  </si>
  <si>
    <t>Margot Robbie, Meryl Streep, Leonardo DiCaprio</t>
  </si>
  <si>
    <t>tt1000465</t>
  </si>
  <si>
    <t>Last Story 358</t>
  </si>
  <si>
    <t>Florence Pugh, Meryl Streep, Margot Robbie</t>
  </si>
  <si>
    <t>tt1000734</t>
  </si>
  <si>
    <t>Dark Awakening 627</t>
  </si>
  <si>
    <t>Natalie Portman, Robert Downey Jr., Florence Pugh, Gary Oldman, Christian Bale</t>
  </si>
  <si>
    <t>tt1000250</t>
  </si>
  <si>
    <t>Last Story 143</t>
  </si>
  <si>
    <t>Mark Ruffalo, Keanu Reeves, Jack Nicholson</t>
  </si>
  <si>
    <t>tt1000564</t>
  </si>
  <si>
    <t>An Mystery 457</t>
  </si>
  <si>
    <t>Edward Norton, Margot Robbie, Cate Blanchett, Denzel Washington, Viola Davis</t>
  </si>
  <si>
    <t>tt1000260</t>
  </si>
  <si>
    <t>A Legend 153</t>
  </si>
  <si>
    <t>War, Crime</t>
  </si>
  <si>
    <t>Cate Blanchett, Mark Ruffalo, Anthony Hopkins</t>
  </si>
  <si>
    <t>tt1000410</t>
  </si>
  <si>
    <t>First War 303</t>
  </si>
  <si>
    <t>Mystery, Horror</t>
  </si>
  <si>
    <t>An epic mystery tale directed by Pedro AlmodÃ³var.</t>
  </si>
  <si>
    <t>TimothÃ©e Chalamet, Denzel Washington, Tom Cruise</t>
  </si>
  <si>
    <t>tt1000355</t>
  </si>
  <si>
    <t>Last Mystery 248</t>
  </si>
  <si>
    <t>Biography, War, Romance</t>
  </si>
  <si>
    <t>Samuel L. Jackson, Tom Cruise, Margot Robbie, Edward Norton, Christian Bale</t>
  </si>
  <si>
    <t>tt1000674</t>
  </si>
  <si>
    <t>First Secrets 567</t>
  </si>
  <si>
    <t>Zendaya, Leonardo DiCaprio, Christian Bale, Gary Oldman, Amy Adams</t>
  </si>
  <si>
    <t>tt1000660</t>
  </si>
  <si>
    <t>First Quest 553</t>
  </si>
  <si>
    <t>Mystery, Comedy, Action</t>
  </si>
  <si>
    <t>A mystery film set in 2019.</t>
  </si>
  <si>
    <t>Amy Adams, Margot Robbie, Chris Hemsworth, Keanu Reeves</t>
  </si>
  <si>
    <t>tt1000384</t>
  </si>
  <si>
    <t>Secret Adventures 277</t>
  </si>
  <si>
    <t>Edward Norton, Keanu Reeves, Morgan Freeman, Denzel Washington, Florence Pugh</t>
  </si>
  <si>
    <t>tt1000524</t>
  </si>
  <si>
    <t>Dark Quest 417</t>
  </si>
  <si>
    <t>Tom Hanks, Florence Pugh, Mark Ruffalo</t>
  </si>
  <si>
    <t>tt1000888</t>
  </si>
  <si>
    <t>Secret Legend 781</t>
  </si>
  <si>
    <t>Fantasy, Western</t>
  </si>
  <si>
    <t>Viola Davis, Morgan Freeman, Al Pacino, Emma Stone, TimothÃ©e Chalamet</t>
  </si>
  <si>
    <t>tt1000448</t>
  </si>
  <si>
    <t>First Chronicles 341</t>
  </si>
  <si>
    <t>Cate Blanchett, Johnny Depp, Anthony Hopkins, Natalie Portman</t>
  </si>
  <si>
    <t>tt1000797</t>
  </si>
  <si>
    <t>Dark Kingdom 690</t>
  </si>
  <si>
    <t>Thriller, Action, Sci-Fi</t>
  </si>
  <si>
    <t>Amy Adams, Christian Bale, Tom Hanks, Florence Pugh</t>
  </si>
  <si>
    <t>tt1000798</t>
  </si>
  <si>
    <t>Last Awakening 691</t>
  </si>
  <si>
    <t>Biography, Mystery, Comedy</t>
  </si>
  <si>
    <t>An epic biography tale directed by Francis Ford Coppola.</t>
  </si>
  <si>
    <t>Brad Pitt, Chris Hemsworth, Daniel Day-Lewis</t>
  </si>
  <si>
    <t>tt1000167</t>
  </si>
  <si>
    <t>Lost Empire 60</t>
  </si>
  <si>
    <t>Sci-Fi, Action</t>
  </si>
  <si>
    <t>Daniel Day-Lewis, Tom Hanks, Robert Downey Jr., Al Pacino, Natalie Portman</t>
  </si>
  <si>
    <t>tt1000234</t>
  </si>
  <si>
    <t>The Revolution 127</t>
  </si>
  <si>
    <t>Kate Winslet, Tom Hanks, Matt Damon, Emma Stone</t>
  </si>
  <si>
    <t>tt1000904</t>
  </si>
  <si>
    <t>A Love 797</t>
  </si>
  <si>
    <t>Musical, War</t>
  </si>
  <si>
    <t>Margot Robbie, Scarlett Johansson, Kate Winslet</t>
  </si>
  <si>
    <t>tt1000882</t>
  </si>
  <si>
    <t>Final Revolution 775</t>
  </si>
  <si>
    <t>War, Action</t>
  </si>
  <si>
    <t>Jack Nicholson, Robert Downey Jr., Florence Pugh, Denzel Washington, Zendaya</t>
  </si>
  <si>
    <t>tt1000115</t>
  </si>
  <si>
    <t>First Journey 8</t>
  </si>
  <si>
    <t>Robert Downey Jr., Chris Hemsworth, Jack Nicholson, Amy Adams, Robert De Niro</t>
  </si>
  <si>
    <t>tt1000540</t>
  </si>
  <si>
    <t>Final Adventures 433</t>
  </si>
  <si>
    <t>Jack Nicholson, Al Pacino, Matt Damon, Daniel Day-Lewis</t>
  </si>
  <si>
    <t>tt1000593</t>
  </si>
  <si>
    <t>Final Quest 486</t>
  </si>
  <si>
    <t>Denzel Washington, Morgan Freeman, Chris Hemsworth, Daniel Day-Lewis</t>
  </si>
  <si>
    <t>tt1000387</t>
  </si>
  <si>
    <t>Lost Empire 280</t>
  </si>
  <si>
    <t>Mark Ruffalo, Tom Cruise, Daniel Day-Lewis, Samuel L. Jackson</t>
  </si>
  <si>
    <t>tt1000382</t>
  </si>
  <si>
    <t>An Dreams 275</t>
  </si>
  <si>
    <t>Daniel Day-Lewis, Kate Winslet, Natalie Portman, Harrison Ford, Zendaya</t>
  </si>
  <si>
    <t>tt1000495</t>
  </si>
  <si>
    <t>Last Secrets 388</t>
  </si>
  <si>
    <t>Zendaya, Leonardo DiCaprio, Emma Stone</t>
  </si>
  <si>
    <t>tt1000308</t>
  </si>
  <si>
    <t>Dark Quest 201</t>
  </si>
  <si>
    <t>Al Pacino, Natalie Portman, Kate Winslet, Gary Oldman, Robert Downey Jr.</t>
  </si>
  <si>
    <t>tt1000157</t>
  </si>
  <si>
    <t>An Awakening 50</t>
  </si>
  <si>
    <t>Robert Downey Jr., Robert De Niro, Cate Blanchett</t>
  </si>
  <si>
    <t>tt1000715</t>
  </si>
  <si>
    <t>Lost Journey 608</t>
  </si>
  <si>
    <t>Musical, Family, Adventure</t>
  </si>
  <si>
    <t>Chris Hemsworth, Jack Nicholson, Kate Winslet, TimothÃ©e Chalamet, Harrison Ford</t>
  </si>
  <si>
    <t>tt1000892</t>
  </si>
  <si>
    <t>Last Chronicles 785</t>
  </si>
  <si>
    <t>Natalie Portman, Daniel Day-Lewis, Edward Norton, Jennifer Lawrence</t>
  </si>
  <si>
    <t>tt1000766</t>
  </si>
  <si>
    <t>An Mystery 659</t>
  </si>
  <si>
    <t>Romance, Mystery</t>
  </si>
  <si>
    <t>Johnny Depp, Harrison Ford, Margot Robbie, Leonardo DiCaprio</t>
  </si>
  <si>
    <t>tt1000133</t>
  </si>
  <si>
    <t>Dark Secrets 26</t>
  </si>
  <si>
    <t>Jennifer Lawrence, Amy Adams, Zendaya, Anthony Hopkins</t>
  </si>
  <si>
    <t>tt1000137</t>
  </si>
  <si>
    <t>Secret Chronicles 30</t>
  </si>
  <si>
    <t>Scarlett Johansson, Leonardo DiCaprio, TimothÃ©e Chalamet</t>
  </si>
  <si>
    <t>tt1000416</t>
  </si>
  <si>
    <t>First Quest 309</t>
  </si>
  <si>
    <t>Crime, Family</t>
  </si>
  <si>
    <t>TimothÃ©e Chalamet, Cate Blanchett, Amy Adams</t>
  </si>
  <si>
    <t>tt1000315</t>
  </si>
  <si>
    <t>Lost Awakening 208</t>
  </si>
  <si>
    <t>An epic war tale directed by David Fincher.</t>
  </si>
  <si>
    <t>Natalie Portman, Johnny Depp, Keanu Reeves</t>
  </si>
  <si>
    <t>tt1000258</t>
  </si>
  <si>
    <t>First Journey 151</t>
  </si>
  <si>
    <t>An epic romance tale directed by Ang Lee.</t>
  </si>
  <si>
    <t>Zendaya, Al Pacino, Leonardo DiCaprio, Keanu Reeves, Daniel Day-Lewis</t>
  </si>
  <si>
    <t>tt1000635</t>
  </si>
  <si>
    <t>Last Story 528</t>
  </si>
  <si>
    <t>An epic crime tale directed by Steven Spielberg.</t>
  </si>
  <si>
    <t>Natalie Portman, Robert Downey Jr., Edward Norton, Kate Winslet</t>
  </si>
  <si>
    <t>tt1000924</t>
  </si>
  <si>
    <t>First Chronicles 817</t>
  </si>
  <si>
    <t>Jack Nicholson, TimothÃ©e Chalamet, Natalie Portman, Kate Winslet</t>
  </si>
  <si>
    <t>tt1000394</t>
  </si>
  <si>
    <t>Dark Journey 287</t>
  </si>
  <si>
    <t>Margot Robbie, Daniel Day-Lewis, Meryl Streep, Viola Davis, Tom Hanks</t>
  </si>
  <si>
    <t>tt1000699</t>
  </si>
  <si>
    <t>Final Story 592</t>
  </si>
  <si>
    <t>Amy Adams, Al Pacino, Florence Pugh</t>
  </si>
  <si>
    <t>tt1000725</t>
  </si>
  <si>
    <t>Secret Chronicles 618</t>
  </si>
  <si>
    <t>Robert De Niro, Al Pacino, Mark Ruffalo, Morgan Freeman, Harrison Ford</t>
  </si>
  <si>
    <t>tt1000214</t>
  </si>
  <si>
    <t>Dark Kingdom 107</t>
  </si>
  <si>
    <t>Documentary, Sci-Fi, Thriller</t>
  </si>
  <si>
    <t>An epic documentary tale directed by Ryan Coogler.</t>
  </si>
  <si>
    <t>Brad Pitt, Samuel L. Jackson, Florence Pugh</t>
  </si>
  <si>
    <t>tt1000787</t>
  </si>
  <si>
    <t>A Mystery 680</t>
  </si>
  <si>
    <t>An epic sci-fi tale directed by Christopher Nolan.</t>
  </si>
  <si>
    <t>Leonardo DiCaprio, Denzel Washington, Anthony Hopkins, Morgan Freeman</t>
  </si>
  <si>
    <t>tt1000777</t>
  </si>
  <si>
    <t>Secret War 670</t>
  </si>
  <si>
    <t>An epic war tale directed by George Lucas.</t>
  </si>
  <si>
    <t>Keanu Reeves, Florence Pugh, Meryl Streep</t>
  </si>
  <si>
    <t>tt1000525</t>
  </si>
  <si>
    <t>First Legend 418</t>
  </si>
  <si>
    <t>Sci-Fi, Romance, Western</t>
  </si>
  <si>
    <t>An epic sci-fi tale directed by Robert Zemeckis.</t>
  </si>
  <si>
    <t>Jennifer Lawrence, Natalie Portman, Scarlett Johansson, Denzel Washington</t>
  </si>
  <si>
    <t>tt1000943</t>
  </si>
  <si>
    <t>Lost Revolution 836</t>
  </si>
  <si>
    <t>An epic adventure tale directed by Akira Kurosawa.</t>
  </si>
  <si>
    <t>Brad Pitt, Scarlett Johansson, Al Pacino</t>
  </si>
  <si>
    <t>tt1000173</t>
  </si>
  <si>
    <t>Dark Legend 66</t>
  </si>
  <si>
    <t>Scarlett Johansson, Kate Winslet, Christian Bale, Jack Nicholson, Natalie Portman</t>
  </si>
  <si>
    <t>tt1000578</t>
  </si>
  <si>
    <t>The Secrets 471</t>
  </si>
  <si>
    <t>Fantasy, Adventure, Mystery</t>
  </si>
  <si>
    <t>A fantasy film set in 2022.</t>
  </si>
  <si>
    <t>TimothÃ©e Chalamet, Emma Stone, Johnny Depp</t>
  </si>
  <si>
    <t>tt1000175</t>
  </si>
  <si>
    <t>First Awakening 68</t>
  </si>
  <si>
    <t>Animation, Documentary</t>
  </si>
  <si>
    <t>An epic animation tale directed by Quentin Tarantino.</t>
  </si>
  <si>
    <t>Viola Davis, Kate Winslet, Leonardo DiCaprio</t>
  </si>
  <si>
    <t>tt1000979</t>
  </si>
  <si>
    <t>First Chronicles 872</t>
  </si>
  <si>
    <t>An epic romance tale directed by Francis Ford Coppola.</t>
  </si>
  <si>
    <t>Margot Robbie, Denzel Washington, Emma Stone, Gary Oldman, Matt Damon</t>
  </si>
  <si>
    <t>tt1000716</t>
  </si>
  <si>
    <t>An Quest 609</t>
  </si>
  <si>
    <t>Natalie Portman, Johnny Depp, Margot Robbie, Christian Bale, Cate Blanchett</t>
  </si>
  <si>
    <t>tt1000244</t>
  </si>
  <si>
    <t>Lost Adventures 137</t>
  </si>
  <si>
    <t>TimothÃ©e Chalamet, Emma Stone, Gary Oldman, Denzel Washington, Tom Cruise</t>
  </si>
  <si>
    <t>tt1000240</t>
  </si>
  <si>
    <t>Final Story 133</t>
  </si>
  <si>
    <t>Comedy, Romance, Musical</t>
  </si>
  <si>
    <t>A comedy film set in 2002.</t>
  </si>
  <si>
    <t>Tom Cruise, Gary Oldman, Natalie Portman, Denzel Washington</t>
  </si>
  <si>
    <t>tt1000584</t>
  </si>
  <si>
    <t>A Destiny 477</t>
  </si>
  <si>
    <t>An epic romance tale directed by Akira Kurosawa.</t>
  </si>
  <si>
    <t>Johnny Depp, Emma Stone, Tom Cruise, Robert Downey Jr., Mark Ruffalo</t>
  </si>
  <si>
    <t>tt1000354</t>
  </si>
  <si>
    <t>Dark Quest 247</t>
  </si>
  <si>
    <t>Sci-Fi, Comedy, Mystery</t>
  </si>
  <si>
    <t>A sci-fi film set in 2005.</t>
  </si>
  <si>
    <t>Samuel L. Jackson, Morgan Freeman, Margot Robbie</t>
  </si>
  <si>
    <t>tt1000755</t>
  </si>
  <si>
    <t>Final Secrets 648</t>
  </si>
  <si>
    <t>Zendaya, Jennifer Lawrence, Will Smith, Kate Winslet</t>
  </si>
  <si>
    <t>tt1000510</t>
  </si>
  <si>
    <t>Secret War 403</t>
  </si>
  <si>
    <t>Will Smith, Mark Ruffalo, Morgan Freeman, Christian Bale</t>
  </si>
  <si>
    <t>tt1000932</t>
  </si>
  <si>
    <t>Secret Kingdom 825</t>
  </si>
  <si>
    <t>Tom Hanks, Robert De Niro, Jack Nicholson, Brad Pitt, Scarlett Johansson</t>
  </si>
  <si>
    <t>tt1000989</t>
  </si>
  <si>
    <t>Lost Kingdom 882</t>
  </si>
  <si>
    <t>A mystery film set in 2005.</t>
  </si>
  <si>
    <t>Tom Hanks, Viola Davis, Harrison Ford, Edward Norton, Daniel Day-Lewis</t>
  </si>
  <si>
    <t>tt1000450</t>
  </si>
  <si>
    <t>Last Quest 343</t>
  </si>
  <si>
    <t>Margot Robbie, Matt Damon, Kate Winslet, Leonardo DiCaprio, Robert De Niro</t>
  </si>
  <si>
    <t>tt1000601</t>
  </si>
  <si>
    <t>The Dreams 494</t>
  </si>
  <si>
    <t>An epic family tale directed by Clint Eastwood.</t>
  </si>
  <si>
    <t>Kate Winslet, Robert Downey Jr., Scarlett Johansson, Cate Blanchett</t>
  </si>
  <si>
    <t>tt1000504</t>
  </si>
  <si>
    <t>An Revolution 397</t>
  </si>
  <si>
    <t>An epic fantasy tale directed by Denis Villeneuve.</t>
  </si>
  <si>
    <t>Leonardo DiCaprio, Denzel Washington, Margot Robbie</t>
  </si>
  <si>
    <t>tt1000189</t>
  </si>
  <si>
    <t>Lost Destiny 82</t>
  </si>
  <si>
    <t>Johnny Depp, Christian Bale, TimothÃ©e Chalamet, Gary Oldman</t>
  </si>
  <si>
    <t>tt1000850</t>
  </si>
  <si>
    <t>Last Love 743</t>
  </si>
  <si>
    <t>Christian Bale, Brad Pitt, Tom Hanks</t>
  </si>
  <si>
    <t>tt1000417</t>
  </si>
  <si>
    <t>First Revolution 310</t>
  </si>
  <si>
    <t>An epic mystery tale directed by Park Chan-wook.</t>
  </si>
  <si>
    <t>Viola Davis, Scarlett Johansson, Leonardo DiCaprio</t>
  </si>
  <si>
    <t>tt1000330</t>
  </si>
  <si>
    <t>First War 223</t>
  </si>
  <si>
    <t>Denzel Washington, Tom Hanks, Meryl Streep, Brad Pitt</t>
  </si>
  <si>
    <t>tt1000672</t>
  </si>
  <si>
    <t>Last Awakening 565</t>
  </si>
  <si>
    <t>Harrison Ford, Natalie Portman, Edward Norton</t>
  </si>
  <si>
    <t>tt1000127</t>
  </si>
  <si>
    <t>The Kingdom 20</t>
  </si>
  <si>
    <t>Christian Bale, Meryl Streep, Mark Ruffalo, Viola Davis</t>
  </si>
  <si>
    <t>tt1000605</t>
  </si>
  <si>
    <t>Lost Legend 498</t>
  </si>
  <si>
    <t>Tom Cruise, Keanu Reeves, Chris Hemsworth</t>
  </si>
  <si>
    <t>tt1000960</t>
  </si>
  <si>
    <t>Last Awakening 853</t>
  </si>
  <si>
    <t>A documentary film set in 2010.</t>
  </si>
  <si>
    <t>Tom Cruise, Leonardo DiCaprio, Matt Damon, Natalie Portman, Tom Hanks</t>
  </si>
  <si>
    <t>tt1000957</t>
  </si>
  <si>
    <t>Last Legend 850</t>
  </si>
  <si>
    <t>Jennifer Lawrence, Natalie Portman, Zendaya, Cate Blanchett</t>
  </si>
  <si>
    <t>tt1000965</t>
  </si>
  <si>
    <t>First Love 858</t>
  </si>
  <si>
    <t>Cate Blanchett, Denzel Washington, Tom Cruise</t>
  </si>
  <si>
    <t>tt1000147</t>
  </si>
  <si>
    <t>Secret Destiny 40</t>
  </si>
  <si>
    <t>Action, Sci-Fi, Mystery</t>
  </si>
  <si>
    <t>Mark Ruffalo, Zendaya, Robert De Niro, Margot Robbie</t>
  </si>
  <si>
    <t>tt1000781</t>
  </si>
  <si>
    <t>Lost Dreams 674</t>
  </si>
  <si>
    <t>Christian Bale, Viola Davis, Robert De Niro</t>
  </si>
  <si>
    <t>tt1000694</t>
  </si>
  <si>
    <t>Final War 587</t>
  </si>
  <si>
    <t>Natalie Portman, Tom Cruise, Florence Pugh</t>
  </si>
  <si>
    <t>tt1000531</t>
  </si>
  <si>
    <t>First Empire 424</t>
  </si>
  <si>
    <t>An epic comedy tale directed by Greta Gerwig.</t>
  </si>
  <si>
    <t>Mark Ruffalo, Cate Blanchett, Meryl Streep</t>
  </si>
  <si>
    <t>tt1000181</t>
  </si>
  <si>
    <t>A Mystery 74</t>
  </si>
  <si>
    <t>Horror, Adventure, Crime</t>
  </si>
  <si>
    <t>Jennifer Lawrence, Samuel L. Jackson, Natalie Portman</t>
  </si>
  <si>
    <t>tt1000215</t>
  </si>
  <si>
    <t>An Empire 108</t>
  </si>
  <si>
    <t>Comedy, Mystery, Musical</t>
  </si>
  <si>
    <t>Chris Hemsworth, Meryl Streep, Anthony Hopkins</t>
  </si>
  <si>
    <t>tt1000583</t>
  </si>
  <si>
    <t>An Chronicles 476</t>
  </si>
  <si>
    <t>A mystery film set in 2016.</t>
  </si>
  <si>
    <t>Cate Blanchett, Meryl Streep, Tom Cruise, TimothÃ©e Chalamet</t>
  </si>
  <si>
    <t>tt1000961</t>
  </si>
  <si>
    <t>Final Empire 854</t>
  </si>
  <si>
    <t>Documentary, Drama, Fantasy</t>
  </si>
  <si>
    <t>Viola Davis, Samuel L. Jackson, Robert Downey Jr., Morgan Freeman</t>
  </si>
  <si>
    <t>tt1000530</t>
  </si>
  <si>
    <t>First Journey 423</t>
  </si>
  <si>
    <t>Edward Norton, Cate Blanchett, Will Smith, Jack Nicholson, Robert De Niro</t>
  </si>
  <si>
    <t>tt1000982</t>
  </si>
  <si>
    <t>The Mystery 875</t>
  </si>
  <si>
    <t>Comedy, Horror</t>
  </si>
  <si>
    <t>An epic comedy tale directed by George Lucas.</t>
  </si>
  <si>
    <t>Harrison Ford, Samuel L. Jackson, Robert De Niro, Cate Blanchett, Emma Stone</t>
  </si>
  <si>
    <t>title</t>
  </si>
  <si>
    <t>year</t>
  </si>
  <si>
    <t>certificate</t>
  </si>
  <si>
    <t>runtime_minutes</t>
  </si>
  <si>
    <t>genre</t>
  </si>
  <si>
    <t>rating</t>
  </si>
  <si>
    <t>metascore</t>
  </si>
  <si>
    <t>description</t>
  </si>
  <si>
    <t>director</t>
  </si>
  <si>
    <t>stars</t>
  </si>
  <si>
    <t>votes</t>
  </si>
  <si>
    <t>gross_millions</t>
  </si>
  <si>
    <t>Row Labels</t>
  </si>
  <si>
    <t>Grand Total</t>
  </si>
  <si>
    <t>Average of Rating</t>
  </si>
  <si>
    <t>Sum of Gross_millions_Clean</t>
  </si>
  <si>
    <t xml:space="preserve"> Musical</t>
  </si>
  <si>
    <t xml:space="preserve"> Animation</t>
  </si>
  <si>
    <t xml:space="preserve"> Mystery</t>
  </si>
  <si>
    <t xml:space="preserve"> War</t>
  </si>
  <si>
    <t xml:space="preserve"> Action</t>
  </si>
  <si>
    <t xml:space="preserve"> Romance</t>
  </si>
  <si>
    <t xml:space="preserve"> Family</t>
  </si>
  <si>
    <t xml:space="preserve"> Crime</t>
  </si>
  <si>
    <t xml:space="preserve"> Adventure</t>
  </si>
  <si>
    <t xml:space="preserve"> Horror</t>
  </si>
  <si>
    <t xml:space="preserve"> Documentary</t>
  </si>
  <si>
    <t xml:space="preserve"> Fantasy</t>
  </si>
  <si>
    <t xml:space="preserve"> Drama</t>
  </si>
  <si>
    <t xml:space="preserve"> Sci-Fi</t>
  </si>
  <si>
    <t xml:space="preserve"> Western</t>
  </si>
  <si>
    <t xml:space="preserve"> Thriller</t>
  </si>
  <si>
    <t xml:space="preserve"> Biography</t>
  </si>
  <si>
    <t xml:space="preserve"> Comedy</t>
  </si>
  <si>
    <t>Genre 1</t>
  </si>
  <si>
    <t>Genre 2</t>
  </si>
  <si>
    <t>Genre 3</t>
  </si>
  <si>
    <t>Medium</t>
  </si>
  <si>
    <t>Blockbuster</t>
  </si>
  <si>
    <t>Long</t>
  </si>
  <si>
    <t>Short</t>
  </si>
  <si>
    <t>Average</t>
  </si>
  <si>
    <t>Hit</t>
  </si>
  <si>
    <t>Genre_Clean</t>
  </si>
  <si>
    <t xml:space="preserve">Revenue by Genre </t>
  </si>
  <si>
    <t>Count of Title</t>
  </si>
  <si>
    <t>Rating</t>
  </si>
  <si>
    <t>Correlation: Voting vs Rating</t>
  </si>
  <si>
    <t>Values to Display</t>
  </si>
  <si>
    <t>Total Movies</t>
  </si>
  <si>
    <t>Avg Rating</t>
  </si>
  <si>
    <t>Total Revenue</t>
  </si>
  <si>
    <t>Average of Runtime_minutes</t>
  </si>
  <si>
    <t>Avg Runtime</t>
  </si>
  <si>
    <t>Remaining</t>
  </si>
  <si>
    <t>Visual Display</t>
  </si>
  <si>
    <t>directors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</si>
</sst>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x14ac:knownFonts="1">
    <font>
      <sz val="11"/>
      <color theme="1"/>
      <name val="Calibri"/>
      <family val="2"/>
      <scheme val="minor"/>
    </font>
    <font>
      <sz val="8"/>
      <name val="Calibri"/>
      <family val="2"/>
      <scheme val="minor"/>
    </font>
    <font>
      <b/>
      <sz val="11"/>
      <color theme="0"/>
      <name val="Calibri"/>
      <family val="2"/>
      <scheme val="minor"/>
    </font>
    <font>
      <sz val="11"/>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3">
    <xf numFmtId="0" fontId="0" fillId="0" borderId="0" xfId="0"/>
    <xf numFmtId="0" fontId="0" fillId="0" borderId="0" xfId="0" applyAlignment="1">
      <alignment vertical="center"/>
    </xf>
    <xf numFmtId="0" fontId="0" fillId="0" borderId="0" xfId="0" applyAlignment="1">
      <alignment vertical="center" wrapText="1"/>
    </xf>
    <xf numFmtId="164"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2" fillId="2" borderId="0" xfId="0" applyFont="1" applyFill="1"/>
    <xf numFmtId="9" fontId="0" fillId="0" borderId="0" xfId="1" applyFont="1"/>
    <xf numFmtId="9" fontId="0" fillId="0" borderId="0" xfId="0" applyNumberFormat="1"/>
    <xf numFmtId="0" fontId="0" fillId="0" borderId="0" xfId="0" applyAlignment="1">
      <alignment horizontal="center"/>
    </xf>
  </cellXfs>
  <cellStyles count="2">
    <cellStyle name="Normal" xfId="0" builtinId="0"/>
    <cellStyle name="Percent" xfId="1" builtinId="5"/>
  </cellStyles>
  <dxfs count="23">
    <dxf>
      <numFmt numFmtId="2" formatCode="0.00"/>
    </dxf>
    <dxf>
      <numFmt numFmtId="2" formatCode="0.00"/>
    </dxf>
    <dxf>
      <numFmt numFmtId="2" formatCode="0.00"/>
    </dxf>
    <dxf>
      <alignment horizontal="left" vertical="bottom" textRotation="0" wrapText="0" indent="0" justifyLastLine="0" shrinkToFit="0" readingOrder="0"/>
    </dxf>
    <dxf>
      <numFmt numFmtId="164" formatCode="&quot;$&quot;#,##0.00"/>
    </dxf>
    <dxf>
      <alignment vertical="center"/>
    </dxf>
    <dxf>
      <alignment wrapText="1"/>
    </dxf>
    <dxf>
      <numFmt numFmtId="164" formatCode="&quot;$&quot;#,##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00"/>
    </dxf>
    <dxf>
      <numFmt numFmtId="164" formatCode="&quot;$&quot;#,##0.00"/>
    </dxf>
    <dxf>
      <numFmt numFmtId="0" formatCode="General"/>
    </dxf>
    <dxf>
      <numFmt numFmtId="1" formatCode="0"/>
    </dxf>
  </dxfs>
  <tableStyles count="0" defaultTableStyle="TableStyleMedium2" defaultPivotStyle="PivotStyleLight16"/>
  <colors>
    <mruColors>
      <color rgb="FF003399"/>
      <color rgb="FFBFCFEB"/>
      <color rgb="FFEC49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[BProject.xlsx]Avg_Rating&amp;Revenue!PivotTable1</c:name>
    <c:fmtId val="7"/>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'Avg_Rating&amp;Revenue'!$B$3</c:f>
              <c:strCache>
                <c:ptCount val="1"/>
                <c:pt idx="0">
                  <c:v>Sum of Gross_millions_Clean</c:v>
                </c:pt>
              </c:strCache>
            </c:strRef>
          </c:tx>
          <c:spPr>
            <a:ln w="28575" cap="rnd">
              <a:solidFill>
                <a:schemeClr val="accent1"/>
              </a:solidFill>
              <a:round/>
            </a:ln>
            <a:effectLst/>
          </c:spPr>
          <c:marker>
            <c:symbol val="none"/>
          </c:marker>
          <c:cat>
            <c:strRef>
              <c:f>'Avg_Rating&amp;Revenue'!$A$4:$A$13</c:f>
              <c:strCache>
                <c:ptCount val="9"/>
                <c:pt idx="0">
                  <c:v>1940</c:v>
                </c:pt>
                <c:pt idx="1">
                  <c:v>1950</c:v>
                </c:pt>
                <c:pt idx="2">
                  <c:v>1960</c:v>
                </c:pt>
                <c:pt idx="3">
                  <c:v>1970</c:v>
                </c:pt>
                <c:pt idx="4">
                  <c:v>1980</c:v>
                </c:pt>
                <c:pt idx="5">
                  <c:v>1990</c:v>
                </c:pt>
                <c:pt idx="6">
                  <c:v>2000</c:v>
                </c:pt>
                <c:pt idx="7">
                  <c:v>2010</c:v>
                </c:pt>
                <c:pt idx="8">
                  <c:v>2020</c:v>
                </c:pt>
              </c:strCache>
            </c:strRef>
          </c:cat>
          <c:val>
            <c:numRef>
              <c:f>'Avg_Rating&amp;Revenue'!$B$4:$B$13</c:f>
              <c:numCache>
                <c:formatCode>"$"#,##0.00</c:formatCode>
                <c:ptCount val="9"/>
                <c:pt idx="0">
                  <c:v>791.59</c:v>
                </c:pt>
                <c:pt idx="1">
                  <c:v>780.03000000000009</c:v>
                </c:pt>
                <c:pt idx="2">
                  <c:v>2524.08</c:v>
                </c:pt>
                <c:pt idx="3">
                  <c:v>1660.3300000000002</c:v>
                </c:pt>
                <c:pt idx="4">
                  <c:v>7328.7999999999993</c:v>
                </c:pt>
                <c:pt idx="5">
                  <c:v>8316.7099999999991</c:v>
                </c:pt>
                <c:pt idx="6">
                  <c:v>61858.889999999978</c:v>
                </c:pt>
                <c:pt idx="7">
                  <c:v>64248.270000000011</c:v>
                </c:pt>
                <c:pt idx="8">
                  <c:v>35385.000000000007</c:v>
                </c:pt>
              </c:numCache>
            </c:numRef>
          </c:val>
          <c:smooth val="0"/>
          <c:extLst>
            <c:ext xmlns:c16="http://schemas.microsoft.com/office/drawing/2014/chart" uri="{C3380CC4-5D6E-409C-BE32-E72D297353CC}">
              <c16:uniqueId val="{00000000-973C-4A20-8522-E44E0909CEA4}"/>
            </c:ext>
          </c:extLst>
        </c:ser>
        <c:dLbls>
          <c:showLegendKey val="0"/>
          <c:showVal val="0"/>
          <c:showCatName val="0"/>
          <c:showSerName val="0"/>
          <c:showPercent val="0"/>
          <c:showBubbleSize val="0"/>
        </c:dLbls>
        <c:marker val="1"/>
        <c:smooth val="0"/>
        <c:axId val="31226687"/>
        <c:axId val="31227647"/>
      </c:lineChart>
      <c:lineChart>
        <c:grouping val="standard"/>
        <c:varyColors val="0"/>
        <c:ser>
          <c:idx val="1"/>
          <c:order val="1"/>
          <c:tx>
            <c:strRef>
              <c:f>'Avg_Rating&amp;Revenue'!$C$3</c:f>
              <c:strCache>
                <c:ptCount val="1"/>
                <c:pt idx="0">
                  <c:v>Average of Rating</c:v>
                </c:pt>
              </c:strCache>
            </c:strRef>
          </c:tx>
          <c:spPr>
            <a:ln w="28575" cap="rnd">
              <a:solidFill>
                <a:schemeClr val="accent2"/>
              </a:solidFill>
              <a:round/>
            </a:ln>
            <a:effectLst/>
          </c:spPr>
          <c:marker>
            <c:symbol val="none"/>
          </c:marker>
          <c:cat>
            <c:strRef>
              <c:f>'Avg_Rating&amp;Revenue'!$A$4:$A$13</c:f>
              <c:strCache>
                <c:ptCount val="9"/>
                <c:pt idx="0">
                  <c:v>1940</c:v>
                </c:pt>
                <c:pt idx="1">
                  <c:v>1950</c:v>
                </c:pt>
                <c:pt idx="2">
                  <c:v>1960</c:v>
                </c:pt>
                <c:pt idx="3">
                  <c:v>1970</c:v>
                </c:pt>
                <c:pt idx="4">
                  <c:v>1980</c:v>
                </c:pt>
                <c:pt idx="5">
                  <c:v>1990</c:v>
                </c:pt>
                <c:pt idx="6">
                  <c:v>2000</c:v>
                </c:pt>
                <c:pt idx="7">
                  <c:v>2010</c:v>
                </c:pt>
                <c:pt idx="8">
                  <c:v>2020</c:v>
                </c:pt>
              </c:strCache>
            </c:strRef>
          </c:cat>
          <c:val>
            <c:numRef>
              <c:f>'Avg_Rating&amp;Revenue'!$C$4:$C$13</c:f>
              <c:numCache>
                <c:formatCode>0.00</c:formatCode>
                <c:ptCount val="9"/>
                <c:pt idx="0">
                  <c:v>8.127272727272727</c:v>
                </c:pt>
                <c:pt idx="1">
                  <c:v>8.0714285714285712</c:v>
                </c:pt>
                <c:pt idx="2">
                  <c:v>8.1470588235294112</c:v>
                </c:pt>
                <c:pt idx="3">
                  <c:v>8.1999999999999993</c:v>
                </c:pt>
                <c:pt idx="4">
                  <c:v>7.1391304347826079</c:v>
                </c:pt>
                <c:pt idx="5">
                  <c:v>7.1148648648648631</c:v>
                </c:pt>
                <c:pt idx="6">
                  <c:v>6.8329479768786072</c:v>
                </c:pt>
                <c:pt idx="7">
                  <c:v>6.8207792207792277</c:v>
                </c:pt>
                <c:pt idx="8">
                  <c:v>6.8790849673202601</c:v>
                </c:pt>
              </c:numCache>
            </c:numRef>
          </c:val>
          <c:smooth val="0"/>
          <c:extLst>
            <c:ext xmlns:c16="http://schemas.microsoft.com/office/drawing/2014/chart" uri="{C3380CC4-5D6E-409C-BE32-E72D297353CC}">
              <c16:uniqueId val="{00000001-973C-4A20-8522-E44E0909CEA4}"/>
            </c:ext>
          </c:extLst>
        </c:ser>
        <c:dLbls>
          <c:showLegendKey val="0"/>
          <c:showVal val="0"/>
          <c:showCatName val="0"/>
          <c:showSerName val="0"/>
          <c:showPercent val="0"/>
          <c:showBubbleSize val="0"/>
        </c:dLbls>
        <c:marker val="1"/>
        <c:smooth val="0"/>
        <c:axId val="32012719"/>
        <c:axId val="32013679"/>
      </c:lineChart>
      <c:catAx>
        <c:axId val="3122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27647"/>
        <c:crosses val="autoZero"/>
        <c:auto val="1"/>
        <c:lblAlgn val="ctr"/>
        <c:lblOffset val="100"/>
        <c:noMultiLvlLbl val="0"/>
      </c:catAx>
      <c:valAx>
        <c:axId val="312276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26687"/>
        <c:crosses val="autoZero"/>
        <c:crossBetween val="between"/>
      </c:valAx>
      <c:valAx>
        <c:axId val="3201367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12719"/>
        <c:crosses val="max"/>
        <c:crossBetween val="between"/>
      </c:valAx>
      <c:catAx>
        <c:axId val="32012719"/>
        <c:scaling>
          <c:orientation val="minMax"/>
        </c:scaling>
        <c:delete val="1"/>
        <c:axPos val="b"/>
        <c:numFmt formatCode="General" sourceLinked="1"/>
        <c:majorTickMark val="out"/>
        <c:minorTickMark val="none"/>
        <c:tickLblPos val="nextTo"/>
        <c:crossAx val="320136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[BProject.xlsx]Revenue_by_genre!PivotTable1</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Revenue_by_genre!$B$3</c:f>
              <c:strCache>
                <c:ptCount val="1"/>
                <c:pt idx="0">
                  <c:v>Total</c:v>
                </c:pt>
              </c:strCache>
            </c:strRef>
          </c:tx>
          <c:spPr>
            <a:solidFill>
              <a:schemeClr val="accent1"/>
            </a:solidFill>
            <a:ln>
              <a:noFill/>
            </a:ln>
            <a:effectLst/>
          </c:spPr>
          <c:invertIfNegative val="0"/>
          <c:cat>
            <c:strRef>
              <c:f>Revenue_by_genre!$A$4:$A$22</c:f>
              <c:strCache>
                <c:ptCount val="18"/>
                <c:pt idx="0">
                  <c:v>Action</c:v>
                </c:pt>
                <c:pt idx="1">
                  <c:v>Adventure</c:v>
                </c:pt>
                <c:pt idx="2">
                  <c:v>Animation</c:v>
                </c:pt>
                <c:pt idx="3">
                  <c:v>Biography</c:v>
                </c:pt>
                <c:pt idx="4">
                  <c:v>Comedy</c:v>
                </c:pt>
                <c:pt idx="5">
                  <c:v>Crime</c:v>
                </c:pt>
                <c:pt idx="6">
                  <c:v>Documentary</c:v>
                </c:pt>
                <c:pt idx="7">
                  <c:v>Drama</c:v>
                </c:pt>
                <c:pt idx="8">
                  <c:v>Family</c:v>
                </c:pt>
                <c:pt idx="9">
                  <c:v>Fantasy</c:v>
                </c:pt>
                <c:pt idx="10">
                  <c:v>Horror</c:v>
                </c:pt>
                <c:pt idx="11">
                  <c:v>Musical</c:v>
                </c:pt>
                <c:pt idx="12">
                  <c:v>Mystery</c:v>
                </c:pt>
                <c:pt idx="13">
                  <c:v>Romance</c:v>
                </c:pt>
                <c:pt idx="14">
                  <c:v>Sci-Fi</c:v>
                </c:pt>
                <c:pt idx="15">
                  <c:v>Thriller</c:v>
                </c:pt>
                <c:pt idx="16">
                  <c:v>War</c:v>
                </c:pt>
                <c:pt idx="17">
                  <c:v>Western</c:v>
                </c:pt>
              </c:strCache>
            </c:strRef>
          </c:cat>
          <c:val>
            <c:numRef>
              <c:f>Revenue_by_genre!$B$4:$B$22</c:f>
              <c:numCache>
                <c:formatCode>"$"#,##0.00</c:formatCode>
                <c:ptCount val="18"/>
                <c:pt idx="0">
                  <c:v>21639.739999999994</c:v>
                </c:pt>
                <c:pt idx="1">
                  <c:v>18075.260000000002</c:v>
                </c:pt>
                <c:pt idx="2">
                  <c:v>21808.889999999996</c:v>
                </c:pt>
                <c:pt idx="3">
                  <c:v>15565.890000000001</c:v>
                </c:pt>
                <c:pt idx="4">
                  <c:v>19296.230000000007</c:v>
                </c:pt>
                <c:pt idx="5">
                  <c:v>17345.299999999996</c:v>
                </c:pt>
                <c:pt idx="6">
                  <c:v>17464.399999999991</c:v>
                </c:pt>
                <c:pt idx="7">
                  <c:v>20412.809999999994</c:v>
                </c:pt>
                <c:pt idx="8">
                  <c:v>16111.870000000004</c:v>
                </c:pt>
                <c:pt idx="9">
                  <c:v>21041.269999999997</c:v>
                </c:pt>
                <c:pt idx="10">
                  <c:v>16991.019999999997</c:v>
                </c:pt>
                <c:pt idx="11">
                  <c:v>20146.490000000002</c:v>
                </c:pt>
                <c:pt idx="12">
                  <c:v>22303.37</c:v>
                </c:pt>
                <c:pt idx="13">
                  <c:v>16364.379999999996</c:v>
                </c:pt>
                <c:pt idx="14">
                  <c:v>23918.640000000007</c:v>
                </c:pt>
                <c:pt idx="15">
                  <c:v>24841.94</c:v>
                </c:pt>
                <c:pt idx="16">
                  <c:v>20414.119999999995</c:v>
                </c:pt>
                <c:pt idx="17">
                  <c:v>16015.500000000004</c:v>
                </c:pt>
              </c:numCache>
            </c:numRef>
          </c:val>
          <c:extLst>
            <c:ext xmlns:c16="http://schemas.microsoft.com/office/drawing/2014/chart" uri="{C3380CC4-5D6E-409C-BE32-E72D297353CC}">
              <c16:uniqueId val="{00000000-E197-4F89-AA8F-31065218EC33}"/>
            </c:ext>
          </c:extLst>
        </c:ser>
        <c:dLbls>
          <c:showLegendKey val="0"/>
          <c:showVal val="0"/>
          <c:showCatName val="0"/>
          <c:showSerName val="0"/>
          <c:showPercent val="0"/>
          <c:showBubbleSize val="0"/>
        </c:dLbls>
        <c:gapWidth val="150"/>
        <c:overlap val="100"/>
        <c:axId val="201657024"/>
        <c:axId val="201656064"/>
      </c:barChart>
      <c:catAx>
        <c:axId val="20165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56064"/>
        <c:crosses val="autoZero"/>
        <c:auto val="1"/>
        <c:lblAlgn val="ctr"/>
        <c:lblOffset val="100"/>
        <c:noMultiLvlLbl val="0"/>
      </c:catAx>
      <c:valAx>
        <c:axId val="2016560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5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[BProject.xlsx]Director_performance!PivotTable4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Director_performance!$B$46</c:f>
              <c:strCache>
                <c:ptCount val="1"/>
                <c:pt idx="0">
                  <c:v>Total</c:v>
                </c:pt>
              </c:strCache>
            </c:strRef>
          </c:tx>
          <c:spPr>
            <a:solidFill>
              <a:schemeClr val="accent1"/>
            </a:solidFill>
            <a:ln>
              <a:noFill/>
            </a:ln>
            <a:effectLst/>
          </c:spPr>
          <c:invertIfNegative val="0"/>
          <c:cat>
            <c:strRef>
              <c:f>Director_performance!$A$47:$A$54</c:f>
              <c:strCache>
                <c:ptCount val="7"/>
                <c:pt idx="0">
                  <c:v>Christopher Nolan</c:v>
                </c:pt>
                <c:pt idx="1">
                  <c:v>Guillermo del Toro</c:v>
                </c:pt>
                <c:pt idx="2">
                  <c:v>Hayao Miyazaki</c:v>
                </c:pt>
                <c:pt idx="3">
                  <c:v>Jordan Peele</c:v>
                </c:pt>
                <c:pt idx="4">
                  <c:v>Ridley Scott</c:v>
                </c:pt>
                <c:pt idx="5">
                  <c:v>Sam Mendes</c:v>
                </c:pt>
                <c:pt idx="6">
                  <c:v>Stanley Kubrick</c:v>
                </c:pt>
              </c:strCache>
            </c:strRef>
          </c:cat>
          <c:val>
            <c:numRef>
              <c:f>Director_performance!$B$47:$B$54</c:f>
              <c:numCache>
                <c:formatCode>0.00</c:formatCode>
                <c:ptCount val="7"/>
                <c:pt idx="0">
                  <c:v>7.211111111111113</c:v>
                </c:pt>
                <c:pt idx="1">
                  <c:v>7.5307692307692315</c:v>
                </c:pt>
                <c:pt idx="2">
                  <c:v>7.1925925925925958</c:v>
                </c:pt>
                <c:pt idx="3">
                  <c:v>7.2714285714285722</c:v>
                </c:pt>
                <c:pt idx="4">
                  <c:v>7.2236842105263142</c:v>
                </c:pt>
                <c:pt idx="5">
                  <c:v>7.2843749999999998</c:v>
                </c:pt>
                <c:pt idx="6">
                  <c:v>7.3806451612903228</c:v>
                </c:pt>
              </c:numCache>
            </c:numRef>
          </c:val>
          <c:extLst>
            <c:ext xmlns:c16="http://schemas.microsoft.com/office/drawing/2014/chart" uri="{C3380CC4-5D6E-409C-BE32-E72D297353CC}">
              <c16:uniqueId val="{00000000-61A6-47D1-A2B3-78C25F49C241}"/>
            </c:ext>
          </c:extLst>
        </c:ser>
        <c:dLbls>
          <c:showLegendKey val="0"/>
          <c:showVal val="0"/>
          <c:showCatName val="0"/>
          <c:showSerName val="0"/>
          <c:showPercent val="0"/>
          <c:showBubbleSize val="0"/>
        </c:dLbls>
        <c:gapWidth val="150"/>
        <c:overlap val="100"/>
        <c:axId val="1930974975"/>
        <c:axId val="1930982175"/>
      </c:barChart>
      <c:catAx>
        <c:axId val="1930974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982175"/>
        <c:crosses val="autoZero"/>
        <c:auto val="1"/>
        <c:lblAlgn val="ctr"/>
        <c:lblOffset val="100"/>
        <c:noMultiLvlLbl val="0"/>
      </c:catAx>
      <c:valAx>
        <c:axId val="193098217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97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Director_performance!$E$46</c:f>
              <c:strCache>
                <c:ptCount val="1"/>
                <c:pt idx="0">
                  <c:v>Rating</c:v>
                </c:pt>
              </c:strCache>
            </c:strRef>
          </c:tx>
          <c:spPr>
            <a:solidFill>
              <a:schemeClr val="accent1"/>
            </a:solidFill>
            <a:ln>
              <a:noFill/>
            </a:ln>
            <a:effectLst/>
          </c:spPr>
          <c:invertIfNegative val="0"/>
          <c:cat>
            <c:strRef>
              <c:f>Director_performance!$D$47:$D$53</c:f>
              <c:strCache>
                <c:ptCount val="7"/>
                <c:pt idx="0">
                  <c:v>Guillermo del Toro</c:v>
                </c:pt>
                <c:pt idx="1">
                  <c:v>Stanley Kubrick</c:v>
                </c:pt>
                <c:pt idx="2">
                  <c:v>Sam Mendes</c:v>
                </c:pt>
                <c:pt idx="3">
                  <c:v>Jordan Peele</c:v>
                </c:pt>
                <c:pt idx="4">
                  <c:v>Ridley Scott</c:v>
                </c:pt>
                <c:pt idx="5">
                  <c:v>Christopher Nolan</c:v>
                </c:pt>
                <c:pt idx="6">
                  <c:v>Hayao Miyazaki</c:v>
                </c:pt>
              </c:strCache>
            </c:strRef>
          </c:cat>
          <c:val>
            <c:numRef>
              <c:f>Director_performance!$E$47:$E$53</c:f>
              <c:numCache>
                <c:formatCode>0.00</c:formatCode>
                <c:ptCount val="7"/>
                <c:pt idx="0">
                  <c:v>7.5307692307692315</c:v>
                </c:pt>
                <c:pt idx="1">
                  <c:v>7.3806451612903228</c:v>
                </c:pt>
                <c:pt idx="2">
                  <c:v>7.2843749999999998</c:v>
                </c:pt>
                <c:pt idx="3">
                  <c:v>7.2714285714285722</c:v>
                </c:pt>
                <c:pt idx="4">
                  <c:v>7.2236842105263142</c:v>
                </c:pt>
                <c:pt idx="5">
                  <c:v>7.211111111111113</c:v>
                </c:pt>
                <c:pt idx="6">
                  <c:v>7.1925925925925958</c:v>
                </c:pt>
              </c:numCache>
            </c:numRef>
          </c:val>
          <c:extLst>
            <c:ext xmlns:c16="http://schemas.microsoft.com/office/drawing/2014/chart" uri="{C3380CC4-5D6E-409C-BE32-E72D297353CC}">
              <c16:uniqueId val="{00000000-4C75-4CE5-992B-FEB9C0C3E250}"/>
            </c:ext>
          </c:extLst>
        </c:ser>
        <c:dLbls>
          <c:showLegendKey val="0"/>
          <c:showVal val="0"/>
          <c:showCatName val="0"/>
          <c:showSerName val="0"/>
          <c:showPercent val="0"/>
          <c:showBubbleSize val="0"/>
        </c:dLbls>
        <c:gapWidth val="182"/>
        <c:axId val="1833226143"/>
        <c:axId val="1833221823"/>
      </c:barChart>
      <c:catAx>
        <c:axId val="18332261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221823"/>
        <c:crosses val="autoZero"/>
        <c:auto val="1"/>
        <c:lblAlgn val="ctr"/>
        <c:lblOffset val="100"/>
        <c:noMultiLvlLbl val="0"/>
      </c:catAx>
      <c:valAx>
        <c:axId val="1833221823"/>
        <c:scaling>
          <c:orientation val="minMax"/>
        </c:scaling>
        <c:delete val="1"/>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83322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[BProject.xlsx]Certificate vs Revenue!PivotTable4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'Certificate vs Revenue'!$B$3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77D-4B08-B184-7AB1851F823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77D-4B08-B184-7AB1851F823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77D-4B08-B184-7AB1851F823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77D-4B08-B184-7AB1851F823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77D-4B08-B184-7AB1851F823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377D-4B08-B184-7AB1851F8232}"/>
              </c:ext>
            </c:extLst>
          </c:dPt>
          <c:cat>
            <c:strRef>
              <c:f>'Certificate vs Revenue'!$A$4:$A$10</c:f>
              <c:strCache>
                <c:ptCount val="6"/>
                <c:pt idx="0">
                  <c:v>G</c:v>
                </c:pt>
                <c:pt idx="1">
                  <c:v>NC-17</c:v>
                </c:pt>
                <c:pt idx="2">
                  <c:v>Not Rated</c:v>
                </c:pt>
                <c:pt idx="3">
                  <c:v>PG</c:v>
                </c:pt>
                <c:pt idx="4">
                  <c:v>PG-13</c:v>
                </c:pt>
                <c:pt idx="5">
                  <c:v>R</c:v>
                </c:pt>
              </c:strCache>
            </c:strRef>
          </c:cat>
          <c:val>
            <c:numRef>
              <c:f>'Certificate vs Revenue'!$B$4:$B$10</c:f>
              <c:numCache>
                <c:formatCode>"$"#,##0.00</c:formatCode>
                <c:ptCount val="6"/>
                <c:pt idx="0">
                  <c:v>9694.0400000000009</c:v>
                </c:pt>
                <c:pt idx="1">
                  <c:v>6456.5200000000013</c:v>
                </c:pt>
                <c:pt idx="2">
                  <c:v>8687.83</c:v>
                </c:pt>
                <c:pt idx="3">
                  <c:v>47567.060000000012</c:v>
                </c:pt>
                <c:pt idx="4">
                  <c:v>63905.120000000039</c:v>
                </c:pt>
                <c:pt idx="5">
                  <c:v>46583.130000000026</c:v>
                </c:pt>
              </c:numCache>
            </c:numRef>
          </c:val>
          <c:extLst>
            <c:ext xmlns:c16="http://schemas.microsoft.com/office/drawing/2014/chart" uri="{C3380CC4-5D6E-409C-BE32-E72D297353CC}">
              <c16:uniqueId val="{00000000-2DAD-4DF2-860C-EA6140AC2FC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[BProject.xlsx]Certificate vs Revenue!PivotTable4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'Certificate vs Revenue'!$B$3</c:f>
              <c:strCache>
                <c:ptCount val="1"/>
                <c:pt idx="0">
                  <c:v>Total</c:v>
                </c:pt>
              </c:strCache>
            </c:strRef>
          </c:tx>
          <c:spPr>
            <a:solidFill>
              <a:schemeClr val="accent1"/>
            </a:solidFill>
            <a:ln>
              <a:noFill/>
            </a:ln>
            <a:effectLst/>
          </c:spPr>
          <c:invertIfNegative val="0"/>
          <c:cat>
            <c:strRef>
              <c:f>'Certificate vs Revenue'!$A$4:$A$10</c:f>
              <c:strCache>
                <c:ptCount val="6"/>
                <c:pt idx="0">
                  <c:v>G</c:v>
                </c:pt>
                <c:pt idx="1">
                  <c:v>NC-17</c:v>
                </c:pt>
                <c:pt idx="2">
                  <c:v>Not Rated</c:v>
                </c:pt>
                <c:pt idx="3">
                  <c:v>PG</c:v>
                </c:pt>
                <c:pt idx="4">
                  <c:v>PG-13</c:v>
                </c:pt>
                <c:pt idx="5">
                  <c:v>R</c:v>
                </c:pt>
              </c:strCache>
            </c:strRef>
          </c:cat>
          <c:val>
            <c:numRef>
              <c:f>'Certificate vs Revenue'!$B$4:$B$10</c:f>
              <c:numCache>
                <c:formatCode>"$"#,##0.00</c:formatCode>
                <c:ptCount val="6"/>
                <c:pt idx="0">
                  <c:v>9694.0400000000009</c:v>
                </c:pt>
                <c:pt idx="1">
                  <c:v>6456.5200000000013</c:v>
                </c:pt>
                <c:pt idx="2">
                  <c:v>8687.83</c:v>
                </c:pt>
                <c:pt idx="3">
                  <c:v>47567.060000000012</c:v>
                </c:pt>
                <c:pt idx="4">
                  <c:v>63905.120000000039</c:v>
                </c:pt>
                <c:pt idx="5">
                  <c:v>46583.130000000026</c:v>
                </c:pt>
              </c:numCache>
            </c:numRef>
          </c:val>
          <c:extLst>
            <c:ext xmlns:c16="http://schemas.microsoft.com/office/drawing/2014/chart" uri="{C3380CC4-5D6E-409C-BE32-E72D297353CC}">
              <c16:uniqueId val="{00000000-78ED-44BD-B274-8701C9736643}"/>
            </c:ext>
          </c:extLst>
        </c:ser>
        <c:dLbls>
          <c:showLegendKey val="0"/>
          <c:showVal val="0"/>
          <c:showCatName val="0"/>
          <c:showSerName val="0"/>
          <c:showPercent val="0"/>
          <c:showBubbleSize val="0"/>
        </c:dLbls>
        <c:gapWidth val="219"/>
        <c:overlap val="-27"/>
        <c:axId val="1868393791"/>
        <c:axId val="1868394271"/>
      </c:barChart>
      <c:catAx>
        <c:axId val="186839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394271"/>
        <c:crosses val="autoZero"/>
        <c:auto val="1"/>
        <c:lblAlgn val="ctr"/>
        <c:lblOffset val="100"/>
        <c:noMultiLvlLbl val="0"/>
      </c:catAx>
      <c:valAx>
        <c:axId val="1868394271"/>
        <c:scaling>
          <c:orientation val="minMax"/>
          <c:max val="80000"/>
          <c:min val="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393791"/>
        <c:crosses val="autoZero"/>
        <c:crossBetween val="between"/>
        <c:majorUnit val="25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cene3d>
              <a:camera prst="orthographicFront"/>
              <a:lightRig rig="threePt" dir="t"/>
            </a:scene3d>
            <a:sp3d prstMaterial="dkEdge"/>
          </c:spPr>
          <c:dPt>
            <c:idx val="0"/>
            <c:bubble3D val="0"/>
            <c:spPr>
              <a:solidFill>
                <a:schemeClr val="accent1"/>
              </a:solidFill>
              <a:ln w="19050">
                <a:solidFill>
                  <a:schemeClr val="lt1"/>
                </a:solidFill>
              </a:ln>
              <a:effectLst/>
              <a:scene3d>
                <a:camera prst="orthographicFront"/>
                <a:lightRig rig="threePt" dir="t"/>
              </a:scene3d>
              <a:sp3d prstMaterial="dkEdge"/>
            </c:spPr>
            <c:extLst>
              <c:ext xmlns:c16="http://schemas.microsoft.com/office/drawing/2014/chart" uri="{C3380CC4-5D6E-409C-BE32-E72D297353CC}">
                <c16:uniqueId val="{00000001-581B-4D3A-A522-74C45984583C}"/>
              </c:ext>
            </c:extLst>
          </c:dPt>
          <c:dPt>
            <c:idx val="1"/>
            <c:bubble3D val="0"/>
            <c:spPr>
              <a:solidFill>
                <a:schemeClr val="accent3"/>
              </a:solidFill>
              <a:ln w="19050">
                <a:solidFill>
                  <a:schemeClr val="lt1"/>
                </a:solidFill>
              </a:ln>
              <a:effectLst/>
              <a:scene3d>
                <a:camera prst="orthographicFront"/>
                <a:lightRig rig="threePt" dir="t"/>
              </a:scene3d>
              <a:sp3d prstMaterial="dkEdge"/>
            </c:spPr>
            <c:extLst>
              <c:ext xmlns:c16="http://schemas.microsoft.com/office/drawing/2014/chart" uri="{C3380CC4-5D6E-409C-BE32-E72D297353CC}">
                <c16:uniqueId val="{00000003-581B-4D3A-A522-74C45984583C}"/>
              </c:ext>
            </c:extLst>
          </c:dPt>
          <c:val>
            <c:numRef>
              <c:f>Stat_Analysis!$D$1:$D$2</c:f>
              <c:numCache>
                <c:formatCode>0%</c:formatCode>
                <c:ptCount val="2"/>
                <c:pt idx="0">
                  <c:v>0.10708827367168404</c:v>
                </c:pt>
                <c:pt idx="1">
                  <c:v>0.89291172632831595</c:v>
                </c:pt>
              </c:numCache>
            </c:numRef>
          </c:val>
          <c:extLst>
            <c:ext xmlns:c16="http://schemas.microsoft.com/office/drawing/2014/chart" uri="{C3380CC4-5D6E-409C-BE32-E72D297353CC}">
              <c16:uniqueId val="{00000000-7239-4E6E-A331-13462679BDFB}"/>
            </c:ext>
          </c:extLst>
        </c:ser>
        <c:dLbls>
          <c:showLegendKey val="0"/>
          <c:showVal val="0"/>
          <c:showCatName val="0"/>
          <c:showSerName val="0"/>
          <c:showPercent val="0"/>
          <c:showBubbleSize val="0"/>
          <c:showLeaderLines val="1"/>
        </c:dLbls>
        <c:firstSliceAng val="52"/>
        <c:holeSize val="6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[BProject.xlsx]Stat_Analysis!PivotTable2</c:name>
    <c:fmtId val="4"/>
  </c:pivotSource>
  <c:chart>
    <c:autoTitleDeleted val="1"/>
    <c:pivotFmts>
      <c:pivotFmt>
        <c:idx val="0"/>
        <c:spPr>
          <a:solidFill>
            <a:schemeClr val="accent1"/>
          </a:solidFill>
          <a:ln>
            <a:noFill/>
          </a:ln>
          <a:effectLst/>
          <a:scene3d>
            <a:camera prst="orthographicFront"/>
            <a:lightRig rig="threePt" dir="t"/>
          </a:scene3d>
          <a:sp3d>
            <a:bevelT w="63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Stat_Analysis!$B$18</c:f>
              <c:strCache>
                <c:ptCount val="1"/>
                <c:pt idx="0">
                  <c:v>Total</c:v>
                </c:pt>
              </c:strCache>
            </c:strRef>
          </c:tx>
          <c:spPr>
            <a:solidFill>
              <a:schemeClr val="accent1"/>
            </a:solidFill>
            <a:ln>
              <a:noFill/>
            </a:ln>
            <a:effectLst/>
            <a:scene3d>
              <a:camera prst="orthographicFront"/>
              <a:lightRig rig="threePt" dir="t"/>
            </a:scene3d>
            <a:sp3d>
              <a:bevelT w="6350"/>
            </a:sp3d>
          </c:spPr>
          <c:invertIfNegative val="0"/>
          <c:cat>
            <c:strRef>
              <c:f>Stat_Analysis!$A$19:$A$91</c:f>
              <c:strCache>
                <c:ptCount val="72"/>
                <c:pt idx="0">
                  <c:v>1940</c:v>
                </c:pt>
                <c:pt idx="1">
                  <c:v>1942</c:v>
                </c:pt>
                <c:pt idx="2">
                  <c:v>1943</c:v>
                </c:pt>
                <c:pt idx="3">
                  <c:v>1944</c:v>
                </c:pt>
                <c:pt idx="4">
                  <c:v>1945</c:v>
                </c:pt>
                <c:pt idx="5">
                  <c:v>1949</c:v>
                </c:pt>
                <c:pt idx="6">
                  <c:v>1950</c:v>
                </c:pt>
                <c:pt idx="7">
                  <c:v>1955</c:v>
                </c:pt>
                <c:pt idx="8">
                  <c:v>1957</c:v>
                </c:pt>
                <c:pt idx="9">
                  <c:v>1959</c:v>
                </c:pt>
                <c:pt idx="10">
                  <c:v>1960</c:v>
                </c:pt>
                <c:pt idx="11">
                  <c:v>1961</c:v>
                </c:pt>
                <c:pt idx="12">
                  <c:v>1962</c:v>
                </c:pt>
                <c:pt idx="13">
                  <c:v>1963</c:v>
                </c:pt>
                <c:pt idx="14">
                  <c:v>1964</c:v>
                </c:pt>
                <c:pt idx="15">
                  <c:v>1966</c:v>
                </c:pt>
                <c:pt idx="16">
                  <c:v>1967</c:v>
                </c:pt>
                <c:pt idx="17">
                  <c:v>1968</c:v>
                </c:pt>
                <c:pt idx="18">
                  <c:v>1969</c:v>
                </c:pt>
                <c:pt idx="19">
                  <c:v>1970</c:v>
                </c:pt>
                <c:pt idx="20">
                  <c:v>1971</c:v>
                </c:pt>
                <c:pt idx="21">
                  <c:v>1972</c:v>
                </c:pt>
                <c:pt idx="22">
                  <c:v>1974</c:v>
                </c:pt>
                <c:pt idx="23">
                  <c:v>1975</c:v>
                </c:pt>
                <c:pt idx="24">
                  <c:v>1976</c:v>
                </c:pt>
                <c:pt idx="25">
                  <c:v>1977</c:v>
                </c:pt>
                <c:pt idx="26">
                  <c:v>1978</c:v>
                </c:pt>
                <c:pt idx="27">
                  <c:v>1980</c:v>
                </c:pt>
                <c:pt idx="28">
                  <c:v>1981</c:v>
                </c:pt>
                <c:pt idx="29">
                  <c:v>1982</c:v>
                </c:pt>
                <c:pt idx="30">
                  <c:v>1983</c:v>
                </c:pt>
                <c:pt idx="31">
                  <c:v>1984</c:v>
                </c:pt>
                <c:pt idx="32">
                  <c:v>1985</c:v>
                </c:pt>
                <c:pt idx="33">
                  <c:v>1986</c:v>
                </c:pt>
                <c:pt idx="34">
                  <c:v>1987</c:v>
                </c:pt>
                <c:pt idx="35">
                  <c:v>1988</c:v>
                </c:pt>
                <c:pt idx="36">
                  <c:v>1989</c:v>
                </c:pt>
                <c:pt idx="37">
                  <c:v>1990</c:v>
                </c:pt>
                <c:pt idx="38">
                  <c:v>1991</c:v>
                </c:pt>
                <c:pt idx="39">
                  <c:v>1992</c:v>
                </c:pt>
                <c:pt idx="40">
                  <c:v>1993</c:v>
                </c:pt>
                <c:pt idx="41">
                  <c:v>1994</c:v>
                </c:pt>
                <c:pt idx="42">
                  <c:v>1995</c:v>
                </c:pt>
                <c:pt idx="43">
                  <c:v>1996</c:v>
                </c:pt>
                <c:pt idx="44">
                  <c:v>1997</c:v>
                </c:pt>
                <c:pt idx="45">
                  <c:v>1998</c:v>
                </c:pt>
                <c:pt idx="46">
                  <c:v>1999</c:v>
                </c:pt>
                <c:pt idx="47">
                  <c:v>2000</c:v>
                </c:pt>
                <c:pt idx="48">
                  <c:v>2001</c:v>
                </c:pt>
                <c:pt idx="49">
                  <c:v>2002</c:v>
                </c:pt>
                <c:pt idx="50">
                  <c:v>2003</c:v>
                </c:pt>
                <c:pt idx="51">
                  <c:v>2004</c:v>
                </c:pt>
                <c:pt idx="52">
                  <c:v>2005</c:v>
                </c:pt>
                <c:pt idx="53">
                  <c:v>2006</c:v>
                </c:pt>
                <c:pt idx="54">
                  <c:v>2007</c:v>
                </c:pt>
                <c:pt idx="55">
                  <c:v>2008</c:v>
                </c:pt>
                <c:pt idx="56">
                  <c:v>2009</c:v>
                </c:pt>
                <c:pt idx="57">
                  <c:v>2010</c:v>
                </c:pt>
                <c:pt idx="58">
                  <c:v>2011</c:v>
                </c:pt>
                <c:pt idx="59">
                  <c:v>2012</c:v>
                </c:pt>
                <c:pt idx="60">
                  <c:v>2013</c:v>
                </c:pt>
                <c:pt idx="61">
                  <c:v>2014</c:v>
                </c:pt>
                <c:pt idx="62">
                  <c:v>2015</c:v>
                </c:pt>
                <c:pt idx="63">
                  <c:v>2016</c:v>
                </c:pt>
                <c:pt idx="64">
                  <c:v>2017</c:v>
                </c:pt>
                <c:pt idx="65">
                  <c:v>2018</c:v>
                </c:pt>
                <c:pt idx="66">
                  <c:v>2019</c:v>
                </c:pt>
                <c:pt idx="67">
                  <c:v>2020</c:v>
                </c:pt>
                <c:pt idx="68">
                  <c:v>2021</c:v>
                </c:pt>
                <c:pt idx="69">
                  <c:v>2022</c:v>
                </c:pt>
                <c:pt idx="70">
                  <c:v>2023</c:v>
                </c:pt>
                <c:pt idx="71">
                  <c:v>2024</c:v>
                </c:pt>
              </c:strCache>
            </c:strRef>
          </c:cat>
          <c:val>
            <c:numRef>
              <c:f>Stat_Analysis!$B$19:$B$91</c:f>
              <c:numCache>
                <c:formatCode>0.00</c:formatCode>
                <c:ptCount val="72"/>
                <c:pt idx="0">
                  <c:v>8.0333333333333332</c:v>
                </c:pt>
                <c:pt idx="1">
                  <c:v>7.4</c:v>
                </c:pt>
                <c:pt idx="2">
                  <c:v>8.3000000000000007</c:v>
                </c:pt>
                <c:pt idx="3">
                  <c:v>8.3000000000000007</c:v>
                </c:pt>
                <c:pt idx="4">
                  <c:v>9</c:v>
                </c:pt>
                <c:pt idx="5">
                  <c:v>8</c:v>
                </c:pt>
                <c:pt idx="6">
                  <c:v>8.1499999999999986</c:v>
                </c:pt>
                <c:pt idx="7">
                  <c:v>8.3000000000000007</c:v>
                </c:pt>
                <c:pt idx="8">
                  <c:v>7.9000000000000012</c:v>
                </c:pt>
                <c:pt idx="9">
                  <c:v>8.1999999999999993</c:v>
                </c:pt>
                <c:pt idx="10">
                  <c:v>8.3500000000000014</c:v>
                </c:pt>
                <c:pt idx="11">
                  <c:v>8.35</c:v>
                </c:pt>
                <c:pt idx="12">
                  <c:v>8.5</c:v>
                </c:pt>
                <c:pt idx="13">
                  <c:v>8.8000000000000007</c:v>
                </c:pt>
                <c:pt idx="14">
                  <c:v>8</c:v>
                </c:pt>
                <c:pt idx="15">
                  <c:v>7.6</c:v>
                </c:pt>
                <c:pt idx="16">
                  <c:v>7.6</c:v>
                </c:pt>
                <c:pt idx="17">
                  <c:v>8.4</c:v>
                </c:pt>
                <c:pt idx="18">
                  <c:v>7.9249999999999998</c:v>
                </c:pt>
                <c:pt idx="19">
                  <c:v>8.2000000000000011</c:v>
                </c:pt>
                <c:pt idx="20">
                  <c:v>8</c:v>
                </c:pt>
                <c:pt idx="21">
                  <c:v>8</c:v>
                </c:pt>
                <c:pt idx="22">
                  <c:v>8.4</c:v>
                </c:pt>
                <c:pt idx="23">
                  <c:v>8.4</c:v>
                </c:pt>
                <c:pt idx="24">
                  <c:v>8.6</c:v>
                </c:pt>
                <c:pt idx="25">
                  <c:v>8.35</c:v>
                </c:pt>
                <c:pt idx="26">
                  <c:v>7.95</c:v>
                </c:pt>
                <c:pt idx="27">
                  <c:v>7.2199999999999989</c:v>
                </c:pt>
                <c:pt idx="28">
                  <c:v>7.1250000000000009</c:v>
                </c:pt>
                <c:pt idx="29">
                  <c:v>7.3749999999999991</c:v>
                </c:pt>
                <c:pt idx="30">
                  <c:v>7.2333333333333334</c:v>
                </c:pt>
                <c:pt idx="31">
                  <c:v>7.4538461538461567</c:v>
                </c:pt>
                <c:pt idx="32">
                  <c:v>6.9599999999999991</c:v>
                </c:pt>
                <c:pt idx="33">
                  <c:v>7.0666666666666664</c:v>
                </c:pt>
                <c:pt idx="34">
                  <c:v>7.3428571428571416</c:v>
                </c:pt>
                <c:pt idx="35">
                  <c:v>6.4500000000000011</c:v>
                </c:pt>
                <c:pt idx="36">
                  <c:v>7.1000000000000005</c:v>
                </c:pt>
                <c:pt idx="37">
                  <c:v>7.9666666666666659</c:v>
                </c:pt>
                <c:pt idx="38">
                  <c:v>7.0090909090909088</c:v>
                </c:pt>
                <c:pt idx="39">
                  <c:v>7.6399999999999988</c:v>
                </c:pt>
                <c:pt idx="40">
                  <c:v>7.2625000000000002</c:v>
                </c:pt>
                <c:pt idx="41">
                  <c:v>7.1999999999999993</c:v>
                </c:pt>
                <c:pt idx="42">
                  <c:v>7.4666666666666668</c:v>
                </c:pt>
                <c:pt idx="43">
                  <c:v>6.7545454545454557</c:v>
                </c:pt>
                <c:pt idx="44">
                  <c:v>7.1099999999999994</c:v>
                </c:pt>
                <c:pt idx="45">
                  <c:v>7.4799999999999995</c:v>
                </c:pt>
                <c:pt idx="46">
                  <c:v>6.3</c:v>
                </c:pt>
                <c:pt idx="47">
                  <c:v>6.9357142857142859</c:v>
                </c:pt>
                <c:pt idx="48">
                  <c:v>6.8514285714285714</c:v>
                </c:pt>
                <c:pt idx="49">
                  <c:v>6.7971428571428572</c:v>
                </c:pt>
                <c:pt idx="50">
                  <c:v>6.9605263157894752</c:v>
                </c:pt>
                <c:pt idx="51">
                  <c:v>6.9962962962962978</c:v>
                </c:pt>
                <c:pt idx="52">
                  <c:v>6.7075000000000005</c:v>
                </c:pt>
                <c:pt idx="53">
                  <c:v>6.867857142857142</c:v>
                </c:pt>
                <c:pt idx="54">
                  <c:v>6.6066666666666665</c:v>
                </c:pt>
                <c:pt idx="55">
                  <c:v>6.8139534883720945</c:v>
                </c:pt>
                <c:pt idx="56">
                  <c:v>6.7857142857142865</c:v>
                </c:pt>
                <c:pt idx="57">
                  <c:v>6.5289473684210506</c:v>
                </c:pt>
                <c:pt idx="58">
                  <c:v>6.7608695652173925</c:v>
                </c:pt>
                <c:pt idx="59">
                  <c:v>6.8714285714285728</c:v>
                </c:pt>
                <c:pt idx="60">
                  <c:v>6.9893617021276571</c:v>
                </c:pt>
                <c:pt idx="61">
                  <c:v>6.8032258064516116</c:v>
                </c:pt>
                <c:pt idx="62">
                  <c:v>6.9571428571428573</c:v>
                </c:pt>
                <c:pt idx="63">
                  <c:v>6.7032258064516155</c:v>
                </c:pt>
                <c:pt idx="64">
                  <c:v>6.8156249999999989</c:v>
                </c:pt>
                <c:pt idx="65">
                  <c:v>6.4500000000000011</c:v>
                </c:pt>
                <c:pt idx="66">
                  <c:v>7.1437500000000007</c:v>
                </c:pt>
                <c:pt idx="67">
                  <c:v>6.7200000000000015</c:v>
                </c:pt>
                <c:pt idx="68">
                  <c:v>6.8478260869565215</c:v>
                </c:pt>
                <c:pt idx="69">
                  <c:v>6.8675675675675683</c:v>
                </c:pt>
                <c:pt idx="70">
                  <c:v>6.9571428571428564</c:v>
                </c:pt>
                <c:pt idx="71">
                  <c:v>6.9525000000000023</c:v>
                </c:pt>
              </c:numCache>
            </c:numRef>
          </c:val>
          <c:extLst>
            <c:ext xmlns:c16="http://schemas.microsoft.com/office/drawing/2014/chart" uri="{C3380CC4-5D6E-409C-BE32-E72D297353CC}">
              <c16:uniqueId val="{00000000-9F27-45FA-AA06-68BF96B267F3}"/>
            </c:ext>
          </c:extLst>
        </c:ser>
        <c:dLbls>
          <c:showLegendKey val="0"/>
          <c:showVal val="0"/>
          <c:showCatName val="0"/>
          <c:showSerName val="0"/>
          <c:showPercent val="0"/>
          <c:showBubbleSize val="0"/>
        </c:dLbls>
        <c:gapWidth val="29"/>
        <c:overlap val="-11"/>
        <c:axId val="1417075391"/>
        <c:axId val="1416770319"/>
      </c:barChart>
      <c:catAx>
        <c:axId val="1417075391"/>
        <c:scaling>
          <c:orientation val="minMax"/>
        </c:scaling>
        <c:delete val="1"/>
        <c:axPos val="b"/>
        <c:numFmt formatCode="General" sourceLinked="1"/>
        <c:majorTickMark val="none"/>
        <c:minorTickMark val="none"/>
        <c:tickLblPos val="nextTo"/>
        <c:crossAx val="1416770319"/>
        <c:crosses val="autoZero"/>
        <c:auto val="1"/>
        <c:lblAlgn val="ctr"/>
        <c:lblOffset val="100"/>
        <c:noMultiLvlLbl val="0"/>
      </c:catAx>
      <c:valAx>
        <c:axId val="1416770319"/>
        <c:scaling>
          <c:orientation val="minMax"/>
        </c:scaling>
        <c:delete val="1"/>
        <c:axPos val="l"/>
        <c:numFmt formatCode="0.00" sourceLinked="1"/>
        <c:majorTickMark val="none"/>
        <c:minorTickMark val="none"/>
        <c:tickLblPos val="nextTo"/>
        <c:crossAx val="1417075391"/>
        <c:crosses val="autoZero"/>
        <c:crossBetween val="between"/>
        <c:majorUnit val="3"/>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[BProject.xlsx]Certificate vs Revenue!PivotTable4</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7000">
                <a:schemeClr val="accent5">
                  <a:lumMod val="75000"/>
                </a:schemeClr>
              </a:gs>
              <a:gs pos="74000">
                <a:schemeClr val="accent1">
                  <a:lumMod val="45000"/>
                  <a:lumOff val="55000"/>
                </a:schemeClr>
              </a:gs>
              <a:gs pos="68000">
                <a:schemeClr val="accent1">
                  <a:lumMod val="45000"/>
                  <a:lumOff val="55000"/>
                </a:schemeClr>
              </a:gs>
              <a:gs pos="100000">
                <a:schemeClr val="accent1">
                  <a:lumMod val="30000"/>
                  <a:lumOff val="70000"/>
                </a:schemeClr>
              </a:gs>
            </a:gsLst>
            <a:lin ang="5400000" scaled="1"/>
          </a:gradFill>
          <a:ln>
            <a:noFill/>
          </a:ln>
          <a:effectLst>
            <a:softEdge rad="0"/>
          </a:effectLst>
          <a:scene3d>
            <a:camera prst="orthographicFront"/>
            <a:lightRig rig="threePt" dir="t"/>
          </a:scene3d>
          <a:sp3d>
            <a:bevelT w="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'Certificate vs Revenue'!$B$3</c:f>
              <c:strCache>
                <c:ptCount val="1"/>
                <c:pt idx="0">
                  <c:v>Total</c:v>
                </c:pt>
              </c:strCache>
            </c:strRef>
          </c:tx>
          <c:spPr>
            <a:gradFill>
              <a:gsLst>
                <a:gs pos="17000">
                  <a:schemeClr val="accent5">
                    <a:lumMod val="75000"/>
                  </a:schemeClr>
                </a:gs>
                <a:gs pos="74000">
                  <a:schemeClr val="accent1">
                    <a:lumMod val="45000"/>
                    <a:lumOff val="55000"/>
                  </a:schemeClr>
                </a:gs>
                <a:gs pos="68000">
                  <a:schemeClr val="accent1">
                    <a:lumMod val="45000"/>
                    <a:lumOff val="55000"/>
                  </a:schemeClr>
                </a:gs>
                <a:gs pos="100000">
                  <a:schemeClr val="accent1">
                    <a:lumMod val="30000"/>
                    <a:lumOff val="70000"/>
                  </a:schemeClr>
                </a:gs>
              </a:gsLst>
              <a:lin ang="5400000" scaled="1"/>
            </a:gradFill>
            <a:ln>
              <a:noFill/>
            </a:ln>
            <a:effectLst>
              <a:softEdge rad="0"/>
            </a:effectLst>
            <a:scene3d>
              <a:camera prst="orthographicFront"/>
              <a:lightRig rig="threePt" dir="t"/>
            </a:scene3d>
            <a:sp3d>
              <a:bevelT w="12700"/>
            </a:sp3d>
          </c:spPr>
          <c:invertIfNegative val="0"/>
          <c:cat>
            <c:strRef>
              <c:f>'Certificate vs Revenue'!$A$4:$A$10</c:f>
              <c:strCache>
                <c:ptCount val="6"/>
                <c:pt idx="0">
                  <c:v>G</c:v>
                </c:pt>
                <c:pt idx="1">
                  <c:v>NC-17</c:v>
                </c:pt>
                <c:pt idx="2">
                  <c:v>Not Rated</c:v>
                </c:pt>
                <c:pt idx="3">
                  <c:v>PG</c:v>
                </c:pt>
                <c:pt idx="4">
                  <c:v>PG-13</c:v>
                </c:pt>
                <c:pt idx="5">
                  <c:v>R</c:v>
                </c:pt>
              </c:strCache>
            </c:strRef>
          </c:cat>
          <c:val>
            <c:numRef>
              <c:f>'Certificate vs Revenue'!$B$4:$B$10</c:f>
              <c:numCache>
                <c:formatCode>"$"#,##0.00</c:formatCode>
                <c:ptCount val="6"/>
                <c:pt idx="0">
                  <c:v>9694.0400000000009</c:v>
                </c:pt>
                <c:pt idx="1">
                  <c:v>6456.5200000000013</c:v>
                </c:pt>
                <c:pt idx="2">
                  <c:v>8687.83</c:v>
                </c:pt>
                <c:pt idx="3">
                  <c:v>47567.060000000012</c:v>
                </c:pt>
                <c:pt idx="4">
                  <c:v>63905.120000000039</c:v>
                </c:pt>
                <c:pt idx="5">
                  <c:v>46583.130000000026</c:v>
                </c:pt>
              </c:numCache>
            </c:numRef>
          </c:val>
          <c:extLst>
            <c:ext xmlns:c16="http://schemas.microsoft.com/office/drawing/2014/chart" uri="{C3380CC4-5D6E-409C-BE32-E72D297353CC}">
              <c16:uniqueId val="{00000000-B7E3-4769-841A-2E60C040B74B}"/>
            </c:ext>
          </c:extLst>
        </c:ser>
        <c:dLbls>
          <c:showLegendKey val="0"/>
          <c:showVal val="0"/>
          <c:showCatName val="0"/>
          <c:showSerName val="0"/>
          <c:showPercent val="0"/>
          <c:showBubbleSize val="0"/>
        </c:dLbls>
        <c:gapWidth val="219"/>
        <c:overlap val="-27"/>
        <c:axId val="1868393791"/>
        <c:axId val="1868394271"/>
      </c:barChart>
      <c:catAx>
        <c:axId val="186839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394271"/>
        <c:crosses val="autoZero"/>
        <c:auto val="1"/>
        <c:lblAlgn val="ctr"/>
        <c:lblOffset val="100"/>
        <c:noMultiLvlLbl val="0"/>
      </c:catAx>
      <c:valAx>
        <c:axId val="1868394271"/>
        <c:scaling>
          <c:orientation val="minMax"/>
          <c:max val="80000"/>
          <c:min val="0"/>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393791"/>
        <c:crosses val="autoZero"/>
        <c:crossBetween val="between"/>
        <c:majorUnit val="25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75351050716674"/>
          <c:y val="0.13186813186813187"/>
          <c:w val="0.58537973700079782"/>
          <c:h val="0.83882783882783885"/>
        </c:manualLayout>
      </c:layout>
      <c:doughnutChart>
        <c:varyColors val="1"/>
        <c:ser>
          <c:idx val="0"/>
          <c:order val="0"/>
          <c:spPr>
            <a:scene3d>
              <a:camera prst="orthographicFront"/>
              <a:lightRig rig="threePt" dir="t"/>
            </a:scene3d>
            <a:sp3d prstMaterial="dkEdge"/>
          </c:spPr>
          <c:dPt>
            <c:idx val="0"/>
            <c:bubble3D val="0"/>
            <c:spPr>
              <a:solidFill>
                <a:schemeClr val="accent1"/>
              </a:solidFill>
              <a:ln w="19050">
                <a:solidFill>
                  <a:schemeClr val="lt1"/>
                </a:solidFill>
              </a:ln>
              <a:effectLst/>
              <a:scene3d>
                <a:camera prst="orthographicFront"/>
                <a:lightRig rig="threePt" dir="t"/>
              </a:scene3d>
              <a:sp3d prstMaterial="dkEdge"/>
            </c:spPr>
            <c:extLst>
              <c:ext xmlns:c16="http://schemas.microsoft.com/office/drawing/2014/chart" uri="{C3380CC4-5D6E-409C-BE32-E72D297353CC}">
                <c16:uniqueId val="{00000001-3A8F-451D-B42C-4FE7D961F029}"/>
              </c:ext>
            </c:extLst>
          </c:dPt>
          <c:dPt>
            <c:idx val="1"/>
            <c:bubble3D val="0"/>
            <c:spPr>
              <a:solidFill>
                <a:schemeClr val="accent3"/>
              </a:solidFill>
              <a:ln w="19050">
                <a:solidFill>
                  <a:schemeClr val="lt1"/>
                </a:solidFill>
              </a:ln>
              <a:effectLst/>
              <a:scene3d>
                <a:camera prst="orthographicFront"/>
                <a:lightRig rig="threePt" dir="t"/>
              </a:scene3d>
              <a:sp3d prstMaterial="dkEdge"/>
            </c:spPr>
            <c:extLst>
              <c:ext xmlns:c16="http://schemas.microsoft.com/office/drawing/2014/chart" uri="{C3380CC4-5D6E-409C-BE32-E72D297353CC}">
                <c16:uniqueId val="{00000003-3A8F-451D-B42C-4FE7D961F029}"/>
              </c:ext>
            </c:extLst>
          </c:dPt>
          <c:val>
            <c:numRef>
              <c:f>Stat_Analysis!$D$1:$D$2</c:f>
              <c:numCache>
                <c:formatCode>0%</c:formatCode>
                <c:ptCount val="2"/>
                <c:pt idx="0">
                  <c:v>0.10708827367168404</c:v>
                </c:pt>
                <c:pt idx="1">
                  <c:v>0.89291172632831595</c:v>
                </c:pt>
              </c:numCache>
            </c:numRef>
          </c:val>
          <c:extLst>
            <c:ext xmlns:c16="http://schemas.microsoft.com/office/drawing/2014/chart" uri="{C3380CC4-5D6E-409C-BE32-E72D297353CC}">
              <c16:uniqueId val="{00000004-3A8F-451D-B42C-4FE7D961F029}"/>
            </c:ext>
          </c:extLst>
        </c:ser>
        <c:dLbls>
          <c:showLegendKey val="0"/>
          <c:showVal val="0"/>
          <c:showCatName val="0"/>
          <c:showSerName val="0"/>
          <c:showPercent val="0"/>
          <c:showBubbleSize val="0"/>
          <c:showLeaderLines val="1"/>
        </c:dLbls>
        <c:firstSliceAng val="52"/>
        <c:holeSize val="6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[BProject.xlsx]Stat_Analysis!PivotTable2</c:name>
    <c:fmtId val="9"/>
  </c:pivotSource>
  <c:chart>
    <c:autoTitleDeleted val="1"/>
    <c:pivotFmts>
      <c:pivotFmt>
        <c:idx val="0"/>
        <c:spPr>
          <a:solidFill>
            <a:schemeClr val="accent1"/>
          </a:solidFill>
          <a:ln>
            <a:noFill/>
          </a:ln>
          <a:effectLst/>
          <a:scene3d>
            <a:camera prst="orthographicFront"/>
            <a:lightRig rig="threePt" dir="t"/>
          </a:scene3d>
          <a:sp3d>
            <a:bevelT w="63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threePt" dir="t"/>
          </a:scene3d>
          <a:sp3d>
            <a:bevelT w="63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w="63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780092785912785E-2"/>
          <c:y val="0.15127056573872927"/>
          <c:w val="0.93277778365898656"/>
          <c:h val="0.70019754342253371"/>
        </c:manualLayout>
      </c:layout>
      <c:barChart>
        <c:barDir val="col"/>
        <c:grouping val="clustered"/>
        <c:varyColors val="0"/>
        <c:ser>
          <c:idx val="0"/>
          <c:order val="0"/>
          <c:tx>
            <c:strRef>
              <c:f>Stat_Analysis!$B$18</c:f>
              <c:strCache>
                <c:ptCount val="1"/>
                <c:pt idx="0">
                  <c:v>Total</c:v>
                </c:pt>
              </c:strCache>
            </c:strRef>
          </c:tx>
          <c:spPr>
            <a:solidFill>
              <a:schemeClr val="accent1"/>
            </a:solidFill>
            <a:ln>
              <a:noFill/>
            </a:ln>
            <a:effectLst/>
            <a:scene3d>
              <a:camera prst="orthographicFront"/>
              <a:lightRig rig="threePt" dir="t"/>
            </a:scene3d>
            <a:sp3d>
              <a:bevelT w="6350"/>
            </a:sp3d>
          </c:spPr>
          <c:invertIfNegative val="0"/>
          <c:trendline>
            <c:spPr>
              <a:ln w="19050" cap="rnd">
                <a:solidFill>
                  <a:schemeClr val="accent1"/>
                </a:solidFill>
                <a:prstDash val="sysDot"/>
              </a:ln>
              <a:effectLst/>
            </c:spPr>
            <c:trendlineType val="linear"/>
            <c:dispRSqr val="0"/>
            <c:dispEq val="0"/>
          </c:trendline>
          <c:cat>
            <c:strRef>
              <c:f>Stat_Analysis!$A$19:$A$91</c:f>
              <c:strCache>
                <c:ptCount val="72"/>
                <c:pt idx="0">
                  <c:v>1940</c:v>
                </c:pt>
                <c:pt idx="1">
                  <c:v>1942</c:v>
                </c:pt>
                <c:pt idx="2">
                  <c:v>1943</c:v>
                </c:pt>
                <c:pt idx="3">
                  <c:v>1944</c:v>
                </c:pt>
                <c:pt idx="4">
                  <c:v>1945</c:v>
                </c:pt>
                <c:pt idx="5">
                  <c:v>1949</c:v>
                </c:pt>
                <c:pt idx="6">
                  <c:v>1950</c:v>
                </c:pt>
                <c:pt idx="7">
                  <c:v>1955</c:v>
                </c:pt>
                <c:pt idx="8">
                  <c:v>1957</c:v>
                </c:pt>
                <c:pt idx="9">
                  <c:v>1959</c:v>
                </c:pt>
                <c:pt idx="10">
                  <c:v>1960</c:v>
                </c:pt>
                <c:pt idx="11">
                  <c:v>1961</c:v>
                </c:pt>
                <c:pt idx="12">
                  <c:v>1962</c:v>
                </c:pt>
                <c:pt idx="13">
                  <c:v>1963</c:v>
                </c:pt>
                <c:pt idx="14">
                  <c:v>1964</c:v>
                </c:pt>
                <c:pt idx="15">
                  <c:v>1966</c:v>
                </c:pt>
                <c:pt idx="16">
                  <c:v>1967</c:v>
                </c:pt>
                <c:pt idx="17">
                  <c:v>1968</c:v>
                </c:pt>
                <c:pt idx="18">
                  <c:v>1969</c:v>
                </c:pt>
                <c:pt idx="19">
                  <c:v>1970</c:v>
                </c:pt>
                <c:pt idx="20">
                  <c:v>1971</c:v>
                </c:pt>
                <c:pt idx="21">
                  <c:v>1972</c:v>
                </c:pt>
                <c:pt idx="22">
                  <c:v>1974</c:v>
                </c:pt>
                <c:pt idx="23">
                  <c:v>1975</c:v>
                </c:pt>
                <c:pt idx="24">
                  <c:v>1976</c:v>
                </c:pt>
                <c:pt idx="25">
                  <c:v>1977</c:v>
                </c:pt>
                <c:pt idx="26">
                  <c:v>1978</c:v>
                </c:pt>
                <c:pt idx="27">
                  <c:v>1980</c:v>
                </c:pt>
                <c:pt idx="28">
                  <c:v>1981</c:v>
                </c:pt>
                <c:pt idx="29">
                  <c:v>1982</c:v>
                </c:pt>
                <c:pt idx="30">
                  <c:v>1983</c:v>
                </c:pt>
                <c:pt idx="31">
                  <c:v>1984</c:v>
                </c:pt>
                <c:pt idx="32">
                  <c:v>1985</c:v>
                </c:pt>
                <c:pt idx="33">
                  <c:v>1986</c:v>
                </c:pt>
                <c:pt idx="34">
                  <c:v>1987</c:v>
                </c:pt>
                <c:pt idx="35">
                  <c:v>1988</c:v>
                </c:pt>
                <c:pt idx="36">
                  <c:v>1989</c:v>
                </c:pt>
                <c:pt idx="37">
                  <c:v>1990</c:v>
                </c:pt>
                <c:pt idx="38">
                  <c:v>1991</c:v>
                </c:pt>
                <c:pt idx="39">
                  <c:v>1992</c:v>
                </c:pt>
                <c:pt idx="40">
                  <c:v>1993</c:v>
                </c:pt>
                <c:pt idx="41">
                  <c:v>1994</c:v>
                </c:pt>
                <c:pt idx="42">
                  <c:v>1995</c:v>
                </c:pt>
                <c:pt idx="43">
                  <c:v>1996</c:v>
                </c:pt>
                <c:pt idx="44">
                  <c:v>1997</c:v>
                </c:pt>
                <c:pt idx="45">
                  <c:v>1998</c:v>
                </c:pt>
                <c:pt idx="46">
                  <c:v>1999</c:v>
                </c:pt>
                <c:pt idx="47">
                  <c:v>2000</c:v>
                </c:pt>
                <c:pt idx="48">
                  <c:v>2001</c:v>
                </c:pt>
                <c:pt idx="49">
                  <c:v>2002</c:v>
                </c:pt>
                <c:pt idx="50">
                  <c:v>2003</c:v>
                </c:pt>
                <c:pt idx="51">
                  <c:v>2004</c:v>
                </c:pt>
                <c:pt idx="52">
                  <c:v>2005</c:v>
                </c:pt>
                <c:pt idx="53">
                  <c:v>2006</c:v>
                </c:pt>
                <c:pt idx="54">
                  <c:v>2007</c:v>
                </c:pt>
                <c:pt idx="55">
                  <c:v>2008</c:v>
                </c:pt>
                <c:pt idx="56">
                  <c:v>2009</c:v>
                </c:pt>
                <c:pt idx="57">
                  <c:v>2010</c:v>
                </c:pt>
                <c:pt idx="58">
                  <c:v>2011</c:v>
                </c:pt>
                <c:pt idx="59">
                  <c:v>2012</c:v>
                </c:pt>
                <c:pt idx="60">
                  <c:v>2013</c:v>
                </c:pt>
                <c:pt idx="61">
                  <c:v>2014</c:v>
                </c:pt>
                <c:pt idx="62">
                  <c:v>2015</c:v>
                </c:pt>
                <c:pt idx="63">
                  <c:v>2016</c:v>
                </c:pt>
                <c:pt idx="64">
                  <c:v>2017</c:v>
                </c:pt>
                <c:pt idx="65">
                  <c:v>2018</c:v>
                </c:pt>
                <c:pt idx="66">
                  <c:v>2019</c:v>
                </c:pt>
                <c:pt idx="67">
                  <c:v>2020</c:v>
                </c:pt>
                <c:pt idx="68">
                  <c:v>2021</c:v>
                </c:pt>
                <c:pt idx="69">
                  <c:v>2022</c:v>
                </c:pt>
                <c:pt idx="70">
                  <c:v>2023</c:v>
                </c:pt>
                <c:pt idx="71">
                  <c:v>2024</c:v>
                </c:pt>
              </c:strCache>
            </c:strRef>
          </c:cat>
          <c:val>
            <c:numRef>
              <c:f>Stat_Analysis!$B$19:$B$91</c:f>
              <c:numCache>
                <c:formatCode>0.00</c:formatCode>
                <c:ptCount val="72"/>
                <c:pt idx="0">
                  <c:v>8.0333333333333332</c:v>
                </c:pt>
                <c:pt idx="1">
                  <c:v>7.4</c:v>
                </c:pt>
                <c:pt idx="2">
                  <c:v>8.3000000000000007</c:v>
                </c:pt>
                <c:pt idx="3">
                  <c:v>8.3000000000000007</c:v>
                </c:pt>
                <c:pt idx="4">
                  <c:v>9</c:v>
                </c:pt>
                <c:pt idx="5">
                  <c:v>8</c:v>
                </c:pt>
                <c:pt idx="6">
                  <c:v>8.1499999999999986</c:v>
                </c:pt>
                <c:pt idx="7">
                  <c:v>8.3000000000000007</c:v>
                </c:pt>
                <c:pt idx="8">
                  <c:v>7.9000000000000012</c:v>
                </c:pt>
                <c:pt idx="9">
                  <c:v>8.1999999999999993</c:v>
                </c:pt>
                <c:pt idx="10">
                  <c:v>8.3500000000000014</c:v>
                </c:pt>
                <c:pt idx="11">
                  <c:v>8.35</c:v>
                </c:pt>
                <c:pt idx="12">
                  <c:v>8.5</c:v>
                </c:pt>
                <c:pt idx="13">
                  <c:v>8.8000000000000007</c:v>
                </c:pt>
                <c:pt idx="14">
                  <c:v>8</c:v>
                </c:pt>
                <c:pt idx="15">
                  <c:v>7.6</c:v>
                </c:pt>
                <c:pt idx="16">
                  <c:v>7.6</c:v>
                </c:pt>
                <c:pt idx="17">
                  <c:v>8.4</c:v>
                </c:pt>
                <c:pt idx="18">
                  <c:v>7.9249999999999998</c:v>
                </c:pt>
                <c:pt idx="19">
                  <c:v>8.2000000000000011</c:v>
                </c:pt>
                <c:pt idx="20">
                  <c:v>8</c:v>
                </c:pt>
                <c:pt idx="21">
                  <c:v>8</c:v>
                </c:pt>
                <c:pt idx="22">
                  <c:v>8.4</c:v>
                </c:pt>
                <c:pt idx="23">
                  <c:v>8.4</c:v>
                </c:pt>
                <c:pt idx="24">
                  <c:v>8.6</c:v>
                </c:pt>
                <c:pt idx="25">
                  <c:v>8.35</c:v>
                </c:pt>
                <c:pt idx="26">
                  <c:v>7.95</c:v>
                </c:pt>
                <c:pt idx="27">
                  <c:v>7.2199999999999989</c:v>
                </c:pt>
                <c:pt idx="28">
                  <c:v>7.1250000000000009</c:v>
                </c:pt>
                <c:pt idx="29">
                  <c:v>7.3749999999999991</c:v>
                </c:pt>
                <c:pt idx="30">
                  <c:v>7.2333333333333334</c:v>
                </c:pt>
                <c:pt idx="31">
                  <c:v>7.4538461538461567</c:v>
                </c:pt>
                <c:pt idx="32">
                  <c:v>6.9599999999999991</c:v>
                </c:pt>
                <c:pt idx="33">
                  <c:v>7.0666666666666664</c:v>
                </c:pt>
                <c:pt idx="34">
                  <c:v>7.3428571428571416</c:v>
                </c:pt>
                <c:pt idx="35">
                  <c:v>6.4500000000000011</c:v>
                </c:pt>
                <c:pt idx="36">
                  <c:v>7.1000000000000005</c:v>
                </c:pt>
                <c:pt idx="37">
                  <c:v>7.9666666666666659</c:v>
                </c:pt>
                <c:pt idx="38">
                  <c:v>7.0090909090909088</c:v>
                </c:pt>
                <c:pt idx="39">
                  <c:v>7.6399999999999988</c:v>
                </c:pt>
                <c:pt idx="40">
                  <c:v>7.2625000000000002</c:v>
                </c:pt>
                <c:pt idx="41">
                  <c:v>7.1999999999999993</c:v>
                </c:pt>
                <c:pt idx="42">
                  <c:v>7.4666666666666668</c:v>
                </c:pt>
                <c:pt idx="43">
                  <c:v>6.7545454545454557</c:v>
                </c:pt>
                <c:pt idx="44">
                  <c:v>7.1099999999999994</c:v>
                </c:pt>
                <c:pt idx="45">
                  <c:v>7.4799999999999995</c:v>
                </c:pt>
                <c:pt idx="46">
                  <c:v>6.3</c:v>
                </c:pt>
                <c:pt idx="47">
                  <c:v>6.9357142857142859</c:v>
                </c:pt>
                <c:pt idx="48">
                  <c:v>6.8514285714285714</c:v>
                </c:pt>
                <c:pt idx="49">
                  <c:v>6.7971428571428572</c:v>
                </c:pt>
                <c:pt idx="50">
                  <c:v>6.9605263157894752</c:v>
                </c:pt>
                <c:pt idx="51">
                  <c:v>6.9962962962962978</c:v>
                </c:pt>
                <c:pt idx="52">
                  <c:v>6.7075000000000005</c:v>
                </c:pt>
                <c:pt idx="53">
                  <c:v>6.867857142857142</c:v>
                </c:pt>
                <c:pt idx="54">
                  <c:v>6.6066666666666665</c:v>
                </c:pt>
                <c:pt idx="55">
                  <c:v>6.8139534883720945</c:v>
                </c:pt>
                <c:pt idx="56">
                  <c:v>6.7857142857142865</c:v>
                </c:pt>
                <c:pt idx="57">
                  <c:v>6.5289473684210506</c:v>
                </c:pt>
                <c:pt idx="58">
                  <c:v>6.7608695652173925</c:v>
                </c:pt>
                <c:pt idx="59">
                  <c:v>6.8714285714285728</c:v>
                </c:pt>
                <c:pt idx="60">
                  <c:v>6.9893617021276571</c:v>
                </c:pt>
                <c:pt idx="61">
                  <c:v>6.8032258064516116</c:v>
                </c:pt>
                <c:pt idx="62">
                  <c:v>6.9571428571428573</c:v>
                </c:pt>
                <c:pt idx="63">
                  <c:v>6.7032258064516155</c:v>
                </c:pt>
                <c:pt idx="64">
                  <c:v>6.8156249999999989</c:v>
                </c:pt>
                <c:pt idx="65">
                  <c:v>6.4500000000000011</c:v>
                </c:pt>
                <c:pt idx="66">
                  <c:v>7.1437500000000007</c:v>
                </c:pt>
                <c:pt idx="67">
                  <c:v>6.7200000000000015</c:v>
                </c:pt>
                <c:pt idx="68">
                  <c:v>6.8478260869565215</c:v>
                </c:pt>
                <c:pt idx="69">
                  <c:v>6.8675675675675683</c:v>
                </c:pt>
                <c:pt idx="70">
                  <c:v>6.9571428571428564</c:v>
                </c:pt>
                <c:pt idx="71">
                  <c:v>6.9525000000000023</c:v>
                </c:pt>
              </c:numCache>
            </c:numRef>
          </c:val>
          <c:extLst>
            <c:ext xmlns:c16="http://schemas.microsoft.com/office/drawing/2014/chart" uri="{C3380CC4-5D6E-409C-BE32-E72D297353CC}">
              <c16:uniqueId val="{00000000-7DAE-4101-A4FA-FDC7B8EB4DFB}"/>
            </c:ext>
          </c:extLst>
        </c:ser>
        <c:dLbls>
          <c:showLegendKey val="0"/>
          <c:showVal val="0"/>
          <c:showCatName val="0"/>
          <c:showSerName val="0"/>
          <c:showPercent val="0"/>
          <c:showBubbleSize val="0"/>
        </c:dLbls>
        <c:gapWidth val="29"/>
        <c:overlap val="-11"/>
        <c:axId val="1417075391"/>
        <c:axId val="1416770319"/>
      </c:barChart>
      <c:catAx>
        <c:axId val="1417075391"/>
        <c:scaling>
          <c:orientation val="minMax"/>
        </c:scaling>
        <c:delete val="1"/>
        <c:axPos val="b"/>
        <c:numFmt formatCode="General" sourceLinked="1"/>
        <c:majorTickMark val="none"/>
        <c:minorTickMark val="none"/>
        <c:tickLblPos val="nextTo"/>
        <c:crossAx val="1416770319"/>
        <c:crosses val="autoZero"/>
        <c:auto val="1"/>
        <c:lblAlgn val="ctr"/>
        <c:lblOffset val="100"/>
        <c:noMultiLvlLbl val="0"/>
      </c:catAx>
      <c:valAx>
        <c:axId val="1416770319"/>
        <c:scaling>
          <c:orientation val="minMax"/>
        </c:scaling>
        <c:delete val="1"/>
        <c:axPos val="l"/>
        <c:numFmt formatCode="0.00" sourceLinked="1"/>
        <c:majorTickMark val="none"/>
        <c:minorTickMark val="none"/>
        <c:tickLblPos val="nextTo"/>
        <c:crossAx val="1417075391"/>
        <c:crosses val="autoZero"/>
        <c:crossBetween val="between"/>
        <c:majorUnit val="3"/>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Director_performance!$E$46</c:f>
              <c:strCache>
                <c:ptCount val="1"/>
                <c:pt idx="0">
                  <c:v>Rating</c:v>
                </c:pt>
              </c:strCache>
            </c:strRef>
          </c:tx>
          <c:spPr>
            <a:gradFill>
              <a:gsLst>
                <a:gs pos="0">
                  <a:schemeClr val="accent1">
                    <a:lumMod val="75000"/>
                  </a:schemeClr>
                </a:gs>
                <a:gs pos="92000">
                  <a:schemeClr val="accent5">
                    <a:lumMod val="75000"/>
                  </a:schemeClr>
                </a:gs>
              </a:gsLst>
              <a:lin ang="5400000" scaled="1"/>
            </a:gradFill>
            <a:ln>
              <a:gradFill>
                <a:gsLst>
                  <a:gs pos="11189">
                    <a:schemeClr val="accent1">
                      <a:lumMod val="45000"/>
                      <a:lumOff val="55000"/>
                    </a:schemeClr>
                  </a:gs>
                  <a:gs pos="100000">
                    <a:schemeClr val="accent1">
                      <a:lumMod val="5000"/>
                      <a:lumOff val="95000"/>
                    </a:schemeClr>
                  </a:gs>
                  <a:gs pos="4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cat>
            <c:strRef>
              <c:f>Director_performance!$D$47:$D$53</c:f>
              <c:strCache>
                <c:ptCount val="7"/>
                <c:pt idx="0">
                  <c:v>Guillermo del Toro</c:v>
                </c:pt>
                <c:pt idx="1">
                  <c:v>Stanley Kubrick</c:v>
                </c:pt>
                <c:pt idx="2">
                  <c:v>Sam Mendes</c:v>
                </c:pt>
                <c:pt idx="3">
                  <c:v>Jordan Peele</c:v>
                </c:pt>
                <c:pt idx="4">
                  <c:v>Ridley Scott</c:v>
                </c:pt>
                <c:pt idx="5">
                  <c:v>Christopher Nolan</c:v>
                </c:pt>
                <c:pt idx="6">
                  <c:v>Hayao Miyazaki</c:v>
                </c:pt>
              </c:strCache>
            </c:strRef>
          </c:cat>
          <c:val>
            <c:numRef>
              <c:f>Director_performance!$E$47:$E$53</c:f>
              <c:numCache>
                <c:formatCode>0.00</c:formatCode>
                <c:ptCount val="7"/>
                <c:pt idx="0">
                  <c:v>7.5307692307692315</c:v>
                </c:pt>
                <c:pt idx="1">
                  <c:v>7.3806451612903228</c:v>
                </c:pt>
                <c:pt idx="2">
                  <c:v>7.2843749999999998</c:v>
                </c:pt>
                <c:pt idx="3">
                  <c:v>7.2714285714285722</c:v>
                </c:pt>
                <c:pt idx="4">
                  <c:v>7.2236842105263142</c:v>
                </c:pt>
                <c:pt idx="5">
                  <c:v>7.211111111111113</c:v>
                </c:pt>
                <c:pt idx="6">
                  <c:v>7.1925925925925958</c:v>
                </c:pt>
              </c:numCache>
            </c:numRef>
          </c:val>
          <c:extLst>
            <c:ext xmlns:c16="http://schemas.microsoft.com/office/drawing/2014/chart" uri="{C3380CC4-5D6E-409C-BE32-E72D297353CC}">
              <c16:uniqueId val="{00000000-FA1D-47A5-B17B-8ED01B9404ED}"/>
            </c:ext>
          </c:extLst>
        </c:ser>
        <c:dLbls>
          <c:showLegendKey val="0"/>
          <c:showVal val="0"/>
          <c:showCatName val="0"/>
          <c:showSerName val="0"/>
          <c:showPercent val="0"/>
          <c:showBubbleSize val="0"/>
        </c:dLbls>
        <c:gapWidth val="182"/>
        <c:axId val="1833226143"/>
        <c:axId val="1833221823"/>
      </c:barChart>
      <c:catAx>
        <c:axId val="18332261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221823"/>
        <c:crosses val="autoZero"/>
        <c:auto val="1"/>
        <c:lblAlgn val="ctr"/>
        <c:lblOffset val="100"/>
        <c:noMultiLvlLbl val="0"/>
      </c:catAx>
      <c:valAx>
        <c:axId val="1833221823"/>
        <c:scaling>
          <c:orientation val="minMax"/>
        </c:scaling>
        <c:delete val="1"/>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83322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[BProject.xlsx]Revenue_by_genre!PivotTable1</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Revenue_by_genre!$B$3</c:f>
              <c:strCache>
                <c:ptCount val="1"/>
                <c:pt idx="0">
                  <c:v>Total</c:v>
                </c:pt>
              </c:strCache>
            </c:strRef>
          </c:tx>
          <c:spPr>
            <a:solidFill>
              <a:schemeClr val="accent1"/>
            </a:solidFill>
            <a:ln>
              <a:noFill/>
            </a:ln>
            <a:effectLst/>
          </c:spPr>
          <c:invertIfNegative val="0"/>
          <c:cat>
            <c:strRef>
              <c:f>Revenue_by_genre!$A$4:$A$22</c:f>
              <c:strCache>
                <c:ptCount val="18"/>
                <c:pt idx="0">
                  <c:v>Action</c:v>
                </c:pt>
                <c:pt idx="1">
                  <c:v>Adventure</c:v>
                </c:pt>
                <c:pt idx="2">
                  <c:v>Animation</c:v>
                </c:pt>
                <c:pt idx="3">
                  <c:v>Biography</c:v>
                </c:pt>
                <c:pt idx="4">
                  <c:v>Comedy</c:v>
                </c:pt>
                <c:pt idx="5">
                  <c:v>Crime</c:v>
                </c:pt>
                <c:pt idx="6">
                  <c:v>Documentary</c:v>
                </c:pt>
                <c:pt idx="7">
                  <c:v>Drama</c:v>
                </c:pt>
                <c:pt idx="8">
                  <c:v>Family</c:v>
                </c:pt>
                <c:pt idx="9">
                  <c:v>Fantasy</c:v>
                </c:pt>
                <c:pt idx="10">
                  <c:v>Horror</c:v>
                </c:pt>
                <c:pt idx="11">
                  <c:v>Musical</c:v>
                </c:pt>
                <c:pt idx="12">
                  <c:v>Mystery</c:v>
                </c:pt>
                <c:pt idx="13">
                  <c:v>Romance</c:v>
                </c:pt>
                <c:pt idx="14">
                  <c:v>Sci-Fi</c:v>
                </c:pt>
                <c:pt idx="15">
                  <c:v>Thriller</c:v>
                </c:pt>
                <c:pt idx="16">
                  <c:v>War</c:v>
                </c:pt>
                <c:pt idx="17">
                  <c:v>Western</c:v>
                </c:pt>
              </c:strCache>
            </c:strRef>
          </c:cat>
          <c:val>
            <c:numRef>
              <c:f>Revenue_by_genre!$B$4:$B$22</c:f>
              <c:numCache>
                <c:formatCode>"$"#,##0.00</c:formatCode>
                <c:ptCount val="18"/>
                <c:pt idx="0">
                  <c:v>21639.739999999994</c:v>
                </c:pt>
                <c:pt idx="1">
                  <c:v>18075.260000000002</c:v>
                </c:pt>
                <c:pt idx="2">
                  <c:v>21808.889999999996</c:v>
                </c:pt>
                <c:pt idx="3">
                  <c:v>15565.890000000001</c:v>
                </c:pt>
                <c:pt idx="4">
                  <c:v>19296.230000000007</c:v>
                </c:pt>
                <c:pt idx="5">
                  <c:v>17345.299999999996</c:v>
                </c:pt>
                <c:pt idx="6">
                  <c:v>17464.399999999991</c:v>
                </c:pt>
                <c:pt idx="7">
                  <c:v>20412.809999999994</c:v>
                </c:pt>
                <c:pt idx="8">
                  <c:v>16111.870000000004</c:v>
                </c:pt>
                <c:pt idx="9">
                  <c:v>21041.269999999997</c:v>
                </c:pt>
                <c:pt idx="10">
                  <c:v>16991.019999999997</c:v>
                </c:pt>
                <c:pt idx="11">
                  <c:v>20146.490000000002</c:v>
                </c:pt>
                <c:pt idx="12">
                  <c:v>22303.37</c:v>
                </c:pt>
                <c:pt idx="13">
                  <c:v>16364.379999999996</c:v>
                </c:pt>
                <c:pt idx="14">
                  <c:v>23918.640000000007</c:v>
                </c:pt>
                <c:pt idx="15">
                  <c:v>24841.94</c:v>
                </c:pt>
                <c:pt idx="16">
                  <c:v>20414.119999999995</c:v>
                </c:pt>
                <c:pt idx="17">
                  <c:v>16015.500000000004</c:v>
                </c:pt>
              </c:numCache>
            </c:numRef>
          </c:val>
          <c:extLst>
            <c:ext xmlns:c16="http://schemas.microsoft.com/office/drawing/2014/chart" uri="{C3380CC4-5D6E-409C-BE32-E72D297353CC}">
              <c16:uniqueId val="{00000000-1D13-4B59-BFEF-116D794B1E9F}"/>
            </c:ext>
          </c:extLst>
        </c:ser>
        <c:dLbls>
          <c:showLegendKey val="0"/>
          <c:showVal val="0"/>
          <c:showCatName val="0"/>
          <c:showSerName val="0"/>
          <c:showPercent val="0"/>
          <c:showBubbleSize val="0"/>
        </c:dLbls>
        <c:gapWidth val="150"/>
        <c:overlap val="100"/>
        <c:axId val="201657024"/>
        <c:axId val="201656064"/>
      </c:barChart>
      <c:catAx>
        <c:axId val="20165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56064"/>
        <c:crosses val="autoZero"/>
        <c:auto val="1"/>
        <c:lblAlgn val="ctr"/>
        <c:lblOffset val="100"/>
        <c:noMultiLvlLbl val="0"/>
      </c:catAx>
      <c:valAx>
        <c:axId val="201656064"/>
        <c:scaling>
          <c:orientation val="minMax"/>
        </c:scaling>
        <c:delete val="1"/>
        <c:axPos val="l"/>
        <c:majorGridlines>
          <c:spPr>
            <a:ln w="9525" cap="flat" cmpd="sng" algn="ctr">
              <a:solidFill>
                <a:schemeClr val="tx1">
                  <a:lumMod val="15000"/>
                  <a:lumOff val="85000"/>
                </a:schemeClr>
              </a:solidFill>
              <a:round/>
            </a:ln>
            <a:effectLst/>
          </c:spPr>
        </c:majorGridlines>
        <c:numFmt formatCode="&quot;$&quot;#,\k" sourceLinked="0"/>
        <c:majorTickMark val="none"/>
        <c:minorTickMark val="none"/>
        <c:tickLblPos val="nextTo"/>
        <c:crossAx val="20165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11430</xdr:rowOff>
    </xdr:from>
    <xdr:to>
      <xdr:col>2</xdr:col>
      <xdr:colOff>830580</xdr:colOff>
      <xdr:row>26</xdr:row>
      <xdr:rowOff>160020</xdr:rowOff>
    </xdr:to>
    <xdr:graphicFrame macro="">
      <xdr:nvGraphicFramePr>
        <xdr:cNvPr id="2" name="Chart 1">
          <a:extLst>
            <a:ext uri="{FF2B5EF4-FFF2-40B4-BE49-F238E27FC236}">
              <a16:creationId xmlns:a16="http://schemas.microsoft.com/office/drawing/2014/main" id="{FFA8C5A0-6B3C-A26D-D5A3-DBD86537CA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375781</xdr:colOff>
      <xdr:row>13</xdr:row>
      <xdr:rowOff>93946</xdr:rowOff>
    </xdr:from>
    <xdr:to>
      <xdr:col>13</xdr:col>
      <xdr:colOff>104384</xdr:colOff>
      <xdr:row>28</xdr:row>
      <xdr:rowOff>45928</xdr:rowOff>
    </xdr:to>
    <xdr:graphicFrame macro="">
      <xdr:nvGraphicFramePr>
        <xdr:cNvPr id="2" name="Chart 1">
          <a:extLst>
            <a:ext uri="{FF2B5EF4-FFF2-40B4-BE49-F238E27FC236}">
              <a16:creationId xmlns:a16="http://schemas.microsoft.com/office/drawing/2014/main" id="{BB297854-2904-7BBA-5661-E4A73FDD39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31429</xdr:colOff>
      <xdr:row>54</xdr:row>
      <xdr:rowOff>102124</xdr:rowOff>
    </xdr:from>
    <xdr:to>
      <xdr:col>2</xdr:col>
      <xdr:colOff>432062</xdr:colOff>
      <xdr:row>66</xdr:row>
      <xdr:rowOff>16497</xdr:rowOff>
    </xdr:to>
    <xdr:graphicFrame macro="">
      <xdr:nvGraphicFramePr>
        <xdr:cNvPr id="2" name="Chart 1">
          <a:extLst>
            <a:ext uri="{FF2B5EF4-FFF2-40B4-BE49-F238E27FC236}">
              <a16:creationId xmlns:a16="http://schemas.microsoft.com/office/drawing/2014/main" id="{BAA7E396-A5A1-08CC-86A9-79C17870AF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109979</xdr:colOff>
      <xdr:row>53</xdr:row>
      <xdr:rowOff>54204</xdr:rowOff>
    </xdr:from>
    <xdr:to>
      <xdr:col>9</xdr:col>
      <xdr:colOff>479195</xdr:colOff>
      <xdr:row>68</xdr:row>
      <xdr:rowOff>87198</xdr:rowOff>
    </xdr:to>
    <xdr:graphicFrame macro="">
      <xdr:nvGraphicFramePr>
        <xdr:cNvPr id="3" name="Chart 2">
          <a:extLst>
            <a:ext uri="{FF2B5EF4-FFF2-40B4-BE49-F238E27FC236}">
              <a16:creationId xmlns:a16="http://schemas.microsoft.com/office/drawing/2014/main" id="{15DD6E5A-0657-E612-2B0C-93DF1D91D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10</xdr:row>
      <xdr:rowOff>87630</xdr:rowOff>
    </xdr:from>
    <xdr:to>
      <xdr:col>4</xdr:col>
      <xdr:colOff>91440</xdr:colOff>
      <xdr:row>25</xdr:row>
      <xdr:rowOff>87630</xdr:rowOff>
    </xdr:to>
    <xdr:graphicFrame macro="">
      <xdr:nvGraphicFramePr>
        <xdr:cNvPr id="2" name="Chart 1">
          <a:extLst>
            <a:ext uri="{FF2B5EF4-FFF2-40B4-BE49-F238E27FC236}">
              <a16:creationId xmlns:a16="http://schemas.microsoft.com/office/drawing/2014/main" id="{C5D0C4BA-81CA-0EDB-538C-D1B69107F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34636</xdr:colOff>
      <xdr:row>0</xdr:row>
      <xdr:rowOff>103910</xdr:rowOff>
    </xdr:from>
    <xdr:to>
      <xdr:col>8</xdr:col>
      <xdr:colOff>322554</xdr:colOff>
      <xdr:row>12</xdr:row>
      <xdr:rowOff>69273</xdr:rowOff>
    </xdr:to>
    <xdr:graphicFrame macro="">
      <xdr:nvGraphicFramePr>
        <xdr:cNvPr id="3" name="Chart 2">
          <a:extLst>
            <a:ext uri="{FF2B5EF4-FFF2-40B4-BE49-F238E27FC236}">
              <a16:creationId xmlns:a16="http://schemas.microsoft.com/office/drawing/2014/main" id="{70CBA22F-44B3-6D73-0219-8607E011F1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xdr:colOff>
      <xdr:row>5</xdr:row>
      <xdr:rowOff>34290</xdr:rowOff>
    </xdr:from>
    <xdr:to>
      <xdr:col>3</xdr:col>
      <xdr:colOff>487680</xdr:colOff>
      <xdr:row>14</xdr:row>
      <xdr:rowOff>121920</xdr:rowOff>
    </xdr:to>
    <xdr:graphicFrame macro="">
      <xdr:nvGraphicFramePr>
        <xdr:cNvPr id="5" name="Chart 4">
          <a:extLst>
            <a:ext uri="{FF2B5EF4-FFF2-40B4-BE49-F238E27FC236}">
              <a16:creationId xmlns:a16="http://schemas.microsoft.com/office/drawing/2014/main" id="{408A7790-5E5D-A0B6-24B1-6D25183A88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1584159</xdr:colOff>
      <xdr:row>30</xdr:row>
      <xdr:rowOff>134919</xdr:rowOff>
    </xdr:from>
    <xdr:to>
      <xdr:col>7</xdr:col>
      <xdr:colOff>20053</xdr:colOff>
      <xdr:row>35</xdr:row>
      <xdr:rowOff>119287</xdr:rowOff>
    </xdr:to>
    <xdr:graphicFrame macro="">
      <xdr:nvGraphicFramePr>
        <xdr:cNvPr id="6" name="Chart 5">
          <a:extLst>
            <a:ext uri="{FF2B5EF4-FFF2-40B4-BE49-F238E27FC236}">
              <a16:creationId xmlns:a16="http://schemas.microsoft.com/office/drawing/2014/main" id="{6D37F1A6-3F1B-0551-A04E-A8532375C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5</xdr:row>
      <xdr:rowOff>42226</xdr:rowOff>
    </xdr:from>
    <xdr:to>
      <xdr:col>20</xdr:col>
      <xdr:colOff>181428</xdr:colOff>
      <xdr:row>50</xdr:row>
      <xdr:rowOff>97276</xdr:rowOff>
    </xdr:to>
    <xdr:sp macro="" textlink="">
      <xdr:nvSpPr>
        <xdr:cNvPr id="15" name="Rectangle 14">
          <a:extLst>
            <a:ext uri="{FF2B5EF4-FFF2-40B4-BE49-F238E27FC236}">
              <a16:creationId xmlns:a16="http://schemas.microsoft.com/office/drawing/2014/main" id="{8AC028E0-D269-B1EE-5B72-CA420575FCCF}"/>
            </a:ext>
          </a:extLst>
        </xdr:cNvPr>
        <xdr:cNvSpPr/>
      </xdr:nvSpPr>
      <xdr:spPr>
        <a:xfrm>
          <a:off x="0" y="949369"/>
          <a:ext cx="12337142" cy="8219336"/>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20</xdr:col>
      <xdr:colOff>127000</xdr:colOff>
      <xdr:row>5</xdr:row>
      <xdr:rowOff>22860</xdr:rowOff>
    </xdr:to>
    <xdr:sp macro="" textlink="">
      <xdr:nvSpPr>
        <xdr:cNvPr id="2" name="Rectangle: Rounded Corners 1">
          <a:extLst>
            <a:ext uri="{FF2B5EF4-FFF2-40B4-BE49-F238E27FC236}">
              <a16:creationId xmlns:a16="http://schemas.microsoft.com/office/drawing/2014/main" id="{0A62A98C-C9A7-538B-07DB-368CF506F777}"/>
            </a:ext>
          </a:extLst>
        </xdr:cNvPr>
        <xdr:cNvSpPr/>
      </xdr:nvSpPr>
      <xdr:spPr>
        <a:xfrm>
          <a:off x="0" y="0"/>
          <a:ext cx="12349178" cy="928207"/>
        </a:xfrm>
        <a:prstGeom prst="roundRect">
          <a:avLst/>
        </a:prstGeom>
        <a:gradFill flip="none" rotWithShape="1">
          <a:gsLst>
            <a:gs pos="84000">
              <a:srgbClr val="0070C0"/>
            </a:gs>
            <a:gs pos="30000">
              <a:srgbClr val="EC49F9"/>
            </a:gs>
          </a:gsLst>
          <a:path path="circle">
            <a:fillToRect l="100000" t="100000"/>
          </a:path>
          <a:tileRect r="-100000" b="-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reflection blurRad="6350" stA="25000" endPos="35000" dir="5400000" sy="-100000" algn="bl" rotWithShape="0"/>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effectLst>
                <a:innerShdw blurRad="63500" dist="50800" dir="10800000">
                  <a:prstClr val="black">
                    <a:alpha val="50000"/>
                  </a:prstClr>
                </a:innerShdw>
              </a:effectLst>
              <a:latin typeface="Segoe UI Black" panose="020B0A02040204020203" pitchFamily="34" charset="0"/>
              <a:ea typeface="Segoe UI Black" panose="020B0A02040204020203" pitchFamily="34" charset="0"/>
            </a:rPr>
            <a:t>🎬 MOVIE INDUSTRY ANALYSIS DASHBOARD 🎯</a:t>
          </a:r>
        </a:p>
        <a:p>
          <a:pPr algn="l"/>
          <a:endParaRPr lang="en-US" sz="1100" b="1">
            <a:effectLst>
              <a:innerShdw blurRad="63500" dist="50800" dir="10800000">
                <a:prstClr val="black">
                  <a:alpha val="50000"/>
                </a:prstClr>
              </a:innerShdw>
            </a:effectLst>
          </a:endParaRPr>
        </a:p>
      </xdr:txBody>
    </xdr:sp>
    <xdr:clientData/>
  </xdr:twoCellAnchor>
  <xdr:twoCellAnchor>
    <xdr:from>
      <xdr:col>0</xdr:col>
      <xdr:colOff>0</xdr:colOff>
      <xdr:row>4</xdr:row>
      <xdr:rowOff>0</xdr:rowOff>
    </xdr:from>
    <xdr:to>
      <xdr:col>23</xdr:col>
      <xdr:colOff>31750</xdr:colOff>
      <xdr:row>4</xdr:row>
      <xdr:rowOff>0</xdr:rowOff>
    </xdr:to>
    <xdr:cxnSp macro="">
      <xdr:nvCxnSpPr>
        <xdr:cNvPr id="4" name="Straight Connector 3">
          <a:extLst>
            <a:ext uri="{FF2B5EF4-FFF2-40B4-BE49-F238E27FC236}">
              <a16:creationId xmlns:a16="http://schemas.microsoft.com/office/drawing/2014/main" id="{0661E38C-A50D-2FEB-2505-95DB1B3453E6}"/>
            </a:ext>
          </a:extLst>
        </xdr:cNvPr>
        <xdr:cNvCxnSpPr/>
      </xdr:nvCxnSpPr>
      <xdr:spPr>
        <a:xfrm>
          <a:off x="0" y="746449"/>
          <a:ext cx="13981015" cy="0"/>
        </a:xfrm>
        <a:prstGeom prst="line">
          <a:avLst/>
        </a:prstGeom>
        <a:ln w="38100">
          <a:solidFill>
            <a:schemeClr val="bg1">
              <a:lumMod val="95000"/>
            </a:schemeClr>
          </a:solidFill>
        </a:ln>
        <a:effectLst>
          <a:innerShdw blurRad="63500" dist="50800" dir="5400000">
            <a:prstClr val="black">
              <a:alpha val="50000"/>
            </a:prstClr>
          </a:innerShdw>
        </a:effectLst>
      </xdr:spPr>
      <xdr:style>
        <a:lnRef idx="3">
          <a:schemeClr val="accent3"/>
        </a:lnRef>
        <a:fillRef idx="0">
          <a:schemeClr val="accent3"/>
        </a:fillRef>
        <a:effectRef idx="2">
          <a:schemeClr val="accent3"/>
        </a:effectRef>
        <a:fontRef idx="minor">
          <a:schemeClr val="tx1"/>
        </a:fontRef>
      </xdr:style>
    </xdr:cxnSp>
    <xdr:clientData/>
  </xdr:twoCellAnchor>
  <xdr:oneCellAnchor>
    <xdr:from>
      <xdr:col>0</xdr:col>
      <xdr:colOff>472966</xdr:colOff>
      <xdr:row>7</xdr:row>
      <xdr:rowOff>183930</xdr:rowOff>
    </xdr:from>
    <xdr:ext cx="1418896" cy="264560"/>
    <xdr:sp macro="" textlink="">
      <xdr:nvSpPr>
        <xdr:cNvPr id="17" name="TextBox 16">
          <a:extLst>
            <a:ext uri="{FF2B5EF4-FFF2-40B4-BE49-F238E27FC236}">
              <a16:creationId xmlns:a16="http://schemas.microsoft.com/office/drawing/2014/main" id="{35566FB2-C023-651C-F64E-52A2CDA15F1E}"/>
            </a:ext>
          </a:extLst>
        </xdr:cNvPr>
        <xdr:cNvSpPr txBox="1"/>
      </xdr:nvSpPr>
      <xdr:spPr>
        <a:xfrm>
          <a:off x="472966" y="1471447"/>
          <a:ext cx="14188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0</xdr:col>
      <xdr:colOff>560648</xdr:colOff>
      <xdr:row>13</xdr:row>
      <xdr:rowOff>130170</xdr:rowOff>
    </xdr:from>
    <xdr:to>
      <xdr:col>7</xdr:col>
      <xdr:colOff>558142</xdr:colOff>
      <xdr:row>20</xdr:row>
      <xdr:rowOff>16213</xdr:rowOff>
    </xdr:to>
    <xdr:sp macro="" textlink="">
      <xdr:nvSpPr>
        <xdr:cNvPr id="29" name="Rectangle: Rounded Corners 28">
          <a:extLst>
            <a:ext uri="{FF2B5EF4-FFF2-40B4-BE49-F238E27FC236}">
              <a16:creationId xmlns:a16="http://schemas.microsoft.com/office/drawing/2014/main" id="{577C6DD6-87FB-42C5-95A1-A704F1CB45E7}"/>
            </a:ext>
          </a:extLst>
        </xdr:cNvPr>
        <xdr:cNvSpPr/>
      </xdr:nvSpPr>
      <xdr:spPr>
        <a:xfrm>
          <a:off x="560648" y="2488741"/>
          <a:ext cx="4251994" cy="1156043"/>
        </a:xfrm>
        <a:prstGeom prst="roundRect">
          <a:avLst/>
        </a:prstGeom>
        <a:solidFill>
          <a:schemeClr val="bg1"/>
        </a:solidFill>
        <a:ln>
          <a:noFill/>
        </a:ln>
        <a:scene3d>
          <a:camera prst="orthographicFront"/>
          <a:lightRig rig="threePt" dir="t"/>
        </a:scene3d>
        <a:sp3d>
          <a:bevelT w="31750" h="317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166537</xdr:colOff>
      <xdr:row>13</xdr:row>
      <xdr:rowOff>130170</xdr:rowOff>
    </xdr:from>
    <xdr:to>
      <xdr:col>15</xdr:col>
      <xdr:colOff>69464</xdr:colOff>
      <xdr:row>23</xdr:row>
      <xdr:rowOff>170394</xdr:rowOff>
    </xdr:to>
    <xdr:sp macro="" textlink="">
      <xdr:nvSpPr>
        <xdr:cNvPr id="30" name="Rectangle: Rounded Corners 29">
          <a:extLst>
            <a:ext uri="{FF2B5EF4-FFF2-40B4-BE49-F238E27FC236}">
              <a16:creationId xmlns:a16="http://schemas.microsoft.com/office/drawing/2014/main" id="{AF9814FA-18F1-4B6F-A828-787ADD1DE65A}"/>
            </a:ext>
          </a:extLst>
        </xdr:cNvPr>
        <xdr:cNvSpPr/>
      </xdr:nvSpPr>
      <xdr:spPr>
        <a:xfrm>
          <a:off x="5028823" y="2488741"/>
          <a:ext cx="4157427" cy="1854510"/>
        </a:xfrm>
        <a:prstGeom prst="roundRect">
          <a:avLst/>
        </a:prstGeom>
        <a:solidFill>
          <a:schemeClr val="bg1"/>
        </a:solidFill>
        <a:ln>
          <a:noFill/>
        </a:ln>
        <a:scene3d>
          <a:camera prst="orthographicFront"/>
          <a:lightRig rig="threePt" dir="t"/>
        </a:scene3d>
        <a:sp3d>
          <a:bevelT w="31750" h="317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451044</xdr:colOff>
      <xdr:row>20</xdr:row>
      <xdr:rowOff>168193</xdr:rowOff>
    </xdr:from>
    <xdr:to>
      <xdr:col>8</xdr:col>
      <xdr:colOff>61257</xdr:colOff>
      <xdr:row>46</xdr:row>
      <xdr:rowOff>145914</xdr:rowOff>
    </xdr:to>
    <xdr:sp macro="" textlink="">
      <xdr:nvSpPr>
        <xdr:cNvPr id="31" name="Rectangle: Rounded Corners 30">
          <a:extLst>
            <a:ext uri="{FF2B5EF4-FFF2-40B4-BE49-F238E27FC236}">
              <a16:creationId xmlns:a16="http://schemas.microsoft.com/office/drawing/2014/main" id="{A15A7CE5-8FD2-4D33-AD50-DD5D0992D795}"/>
            </a:ext>
          </a:extLst>
        </xdr:cNvPr>
        <xdr:cNvSpPr/>
      </xdr:nvSpPr>
      <xdr:spPr>
        <a:xfrm>
          <a:off x="451044" y="3812541"/>
          <a:ext cx="4513517" cy="4715373"/>
        </a:xfrm>
        <a:prstGeom prst="roundRect">
          <a:avLst/>
        </a:prstGeom>
        <a:solidFill>
          <a:schemeClr val="bg1"/>
        </a:solidFill>
        <a:ln>
          <a:noFill/>
        </a:ln>
        <a:scene3d>
          <a:camera prst="orthographicFront"/>
          <a:lightRig rig="threePt" dir="t"/>
        </a:scene3d>
        <a:sp3d>
          <a:bevelT w="31750" h="317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166537</xdr:colOff>
      <xdr:row>36</xdr:row>
      <xdr:rowOff>105691</xdr:rowOff>
    </xdr:from>
    <xdr:to>
      <xdr:col>15</xdr:col>
      <xdr:colOff>69464</xdr:colOff>
      <xdr:row>46</xdr:row>
      <xdr:rowOff>145914</xdr:rowOff>
    </xdr:to>
    <xdr:sp macro="" textlink="">
      <xdr:nvSpPr>
        <xdr:cNvPr id="7" name="Rectangle: Rounded Corners 6">
          <a:extLst>
            <a:ext uri="{FF2B5EF4-FFF2-40B4-BE49-F238E27FC236}">
              <a16:creationId xmlns:a16="http://schemas.microsoft.com/office/drawing/2014/main" id="{E4830962-C62A-443F-BD02-EF710FEE774A}"/>
            </a:ext>
          </a:extLst>
        </xdr:cNvPr>
        <xdr:cNvSpPr/>
      </xdr:nvSpPr>
      <xdr:spPr>
        <a:xfrm>
          <a:off x="5059379" y="6602744"/>
          <a:ext cx="4184164" cy="1844959"/>
        </a:xfrm>
        <a:prstGeom prst="roundRect">
          <a:avLst/>
        </a:prstGeom>
        <a:solidFill>
          <a:schemeClr val="bg1"/>
        </a:solidFill>
        <a:ln>
          <a:noFill/>
        </a:ln>
        <a:scene3d>
          <a:camera prst="orthographicFront"/>
          <a:lightRig rig="threePt" dir="t"/>
        </a:scene3d>
        <a:sp3d>
          <a:bevelT w="31750" h="317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166537</xdr:colOff>
      <xdr:row>25</xdr:row>
      <xdr:rowOff>32733</xdr:rowOff>
    </xdr:from>
    <xdr:to>
      <xdr:col>15</xdr:col>
      <xdr:colOff>69464</xdr:colOff>
      <xdr:row>35</xdr:row>
      <xdr:rowOff>72957</xdr:rowOff>
    </xdr:to>
    <xdr:sp macro="" textlink="">
      <xdr:nvSpPr>
        <xdr:cNvPr id="8" name="Rectangle: Rounded Corners 7">
          <a:extLst>
            <a:ext uri="{FF2B5EF4-FFF2-40B4-BE49-F238E27FC236}">
              <a16:creationId xmlns:a16="http://schemas.microsoft.com/office/drawing/2014/main" id="{62189CC4-A44B-41D0-8506-4EE47C78876A}"/>
            </a:ext>
          </a:extLst>
        </xdr:cNvPr>
        <xdr:cNvSpPr/>
      </xdr:nvSpPr>
      <xdr:spPr>
        <a:xfrm>
          <a:off x="5028823" y="4568447"/>
          <a:ext cx="4157427" cy="1854510"/>
        </a:xfrm>
        <a:prstGeom prst="roundRect">
          <a:avLst/>
        </a:prstGeom>
        <a:solidFill>
          <a:schemeClr val="bg1"/>
        </a:solidFill>
        <a:ln>
          <a:noFill/>
        </a:ln>
        <a:scene3d>
          <a:camera prst="orthographicFront"/>
          <a:lightRig rig="threePt" dir="t"/>
        </a:scene3d>
        <a:sp3d>
          <a:bevelT w="31750" h="317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191507</xdr:colOff>
      <xdr:row>14</xdr:row>
      <xdr:rowOff>1</xdr:rowOff>
    </xdr:from>
    <xdr:to>
      <xdr:col>19</xdr:col>
      <xdr:colOff>336874</xdr:colOff>
      <xdr:row>46</xdr:row>
      <xdr:rowOff>145915</xdr:rowOff>
    </xdr:to>
    <xdr:sp macro="" textlink="">
      <xdr:nvSpPr>
        <xdr:cNvPr id="9" name="Rectangle: Rounded Corners 8">
          <a:extLst>
            <a:ext uri="{FF2B5EF4-FFF2-40B4-BE49-F238E27FC236}">
              <a16:creationId xmlns:a16="http://schemas.microsoft.com/office/drawing/2014/main" id="{3C1DD2D6-D0F7-4687-A074-C3990E1059E8}"/>
            </a:ext>
          </a:extLst>
        </xdr:cNvPr>
        <xdr:cNvSpPr/>
      </xdr:nvSpPr>
      <xdr:spPr>
        <a:xfrm>
          <a:off x="9288854" y="2612572"/>
          <a:ext cx="2571326" cy="6117506"/>
        </a:xfrm>
        <a:prstGeom prst="roundRect">
          <a:avLst/>
        </a:prstGeom>
        <a:gradFill>
          <a:gsLst>
            <a:gs pos="67000">
              <a:schemeClr val="accent1">
                <a:lumMod val="5000"/>
                <a:lumOff val="95000"/>
              </a:schemeClr>
            </a:gs>
            <a:gs pos="95000">
              <a:schemeClr val="accent1">
                <a:lumMod val="30000"/>
                <a:lumOff val="70000"/>
              </a:schemeClr>
            </a:gs>
          </a:gsLst>
          <a:lin ang="5400000" scaled="1"/>
        </a:gradFill>
        <a:ln>
          <a:noFill/>
        </a:ln>
        <a:scene3d>
          <a:camera prst="orthographicFront"/>
          <a:lightRig rig="threePt" dir="t"/>
        </a:scene3d>
        <a:sp3d>
          <a:bevelT w="31750" h="317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576280</xdr:colOff>
      <xdr:row>6</xdr:row>
      <xdr:rowOff>164585</xdr:rowOff>
    </xdr:from>
    <xdr:to>
      <xdr:col>5</xdr:col>
      <xdr:colOff>267555</xdr:colOff>
      <xdr:row>12</xdr:row>
      <xdr:rowOff>146959</xdr:rowOff>
    </xdr:to>
    <xdr:grpSp>
      <xdr:nvGrpSpPr>
        <xdr:cNvPr id="45" name="Group 44">
          <a:extLst>
            <a:ext uri="{FF2B5EF4-FFF2-40B4-BE49-F238E27FC236}">
              <a16:creationId xmlns:a16="http://schemas.microsoft.com/office/drawing/2014/main" id="{9E6A945A-7F88-3025-70F5-B9ECB590B7BC}"/>
            </a:ext>
          </a:extLst>
        </xdr:cNvPr>
        <xdr:cNvGrpSpPr/>
      </xdr:nvGrpSpPr>
      <xdr:grpSpPr>
        <a:xfrm>
          <a:off x="576280" y="1240350"/>
          <a:ext cx="2739275" cy="1058138"/>
          <a:chOff x="576280" y="1282185"/>
          <a:chExt cx="2739275" cy="1099974"/>
        </a:xfrm>
      </xdr:grpSpPr>
      <xdr:sp macro="" textlink="">
        <xdr:nvSpPr>
          <xdr:cNvPr id="19" name="Rectangle: Rounded Corners 18">
            <a:extLst>
              <a:ext uri="{FF2B5EF4-FFF2-40B4-BE49-F238E27FC236}">
                <a16:creationId xmlns:a16="http://schemas.microsoft.com/office/drawing/2014/main" id="{6641123D-BC00-794A-47AE-747C76CF300F}"/>
              </a:ext>
            </a:extLst>
          </xdr:cNvPr>
          <xdr:cNvSpPr/>
        </xdr:nvSpPr>
        <xdr:spPr>
          <a:xfrm>
            <a:off x="576280" y="1282185"/>
            <a:ext cx="2739275" cy="1099974"/>
          </a:xfrm>
          <a:prstGeom prst="roundRect">
            <a:avLst/>
          </a:prstGeom>
          <a:solidFill>
            <a:schemeClr val="bg1"/>
          </a:solidFill>
          <a:ln>
            <a:noFill/>
          </a:ln>
          <a:scene3d>
            <a:camera prst="orthographicFront"/>
            <a:lightRig rig="threePt" dir="t"/>
          </a:scene3d>
          <a:sp3d>
            <a:bevelT w="31750" h="317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Top Corners Rounded 11">
            <a:extLst>
              <a:ext uri="{FF2B5EF4-FFF2-40B4-BE49-F238E27FC236}">
                <a16:creationId xmlns:a16="http://schemas.microsoft.com/office/drawing/2014/main" id="{093C520E-226C-DEBE-669C-9363108D86EE}"/>
              </a:ext>
            </a:extLst>
          </xdr:cNvPr>
          <xdr:cNvSpPr/>
        </xdr:nvSpPr>
        <xdr:spPr>
          <a:xfrm>
            <a:off x="648032" y="1425095"/>
            <a:ext cx="2594263" cy="294601"/>
          </a:xfrm>
          <a:prstGeom prst="round2SameRect">
            <a:avLst/>
          </a:prstGeom>
          <a:gradFill>
            <a:gsLst>
              <a:gs pos="0">
                <a:schemeClr val="accent1">
                  <a:lumMod val="5000"/>
                  <a:lumOff val="95000"/>
                </a:schemeClr>
              </a:gs>
              <a:gs pos="100000">
                <a:schemeClr val="accent1">
                  <a:lumMod val="45000"/>
                  <a:lumOff val="55000"/>
                </a:schemeClr>
              </a:gs>
              <a:gs pos="100000">
                <a:srgbClr val="BFCFEB"/>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236252E3-80A9-53B2-7343-0F72F0F64647}"/>
              </a:ext>
            </a:extLst>
          </xdr:cNvPr>
          <xdr:cNvSpPr txBox="1"/>
        </xdr:nvSpPr>
        <xdr:spPr>
          <a:xfrm>
            <a:off x="805181" y="1375930"/>
            <a:ext cx="2286000" cy="3630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700" b="1">
                <a:solidFill>
                  <a:schemeClr val="tx2">
                    <a:lumMod val="75000"/>
                  </a:schemeClr>
                </a:solidFill>
              </a:rPr>
              <a:t>Total Movies</a:t>
            </a:r>
          </a:p>
        </xdr:txBody>
      </xdr:sp>
    </xdr:grpSp>
    <xdr:clientData/>
  </xdr:twoCellAnchor>
  <xdr:twoCellAnchor>
    <xdr:from>
      <xdr:col>5</xdr:col>
      <xdr:colOff>400092</xdr:colOff>
      <xdr:row>6</xdr:row>
      <xdr:rowOff>164585</xdr:rowOff>
    </xdr:from>
    <xdr:to>
      <xdr:col>10</xdr:col>
      <xdr:colOff>81773</xdr:colOff>
      <xdr:row>12</xdr:row>
      <xdr:rowOff>146959</xdr:rowOff>
    </xdr:to>
    <xdr:grpSp>
      <xdr:nvGrpSpPr>
        <xdr:cNvPr id="46" name="Group 45">
          <a:extLst>
            <a:ext uri="{FF2B5EF4-FFF2-40B4-BE49-F238E27FC236}">
              <a16:creationId xmlns:a16="http://schemas.microsoft.com/office/drawing/2014/main" id="{5AB0692A-C668-8F6D-A478-9CF3990F1825}"/>
            </a:ext>
          </a:extLst>
        </xdr:cNvPr>
        <xdr:cNvGrpSpPr/>
      </xdr:nvGrpSpPr>
      <xdr:grpSpPr>
        <a:xfrm>
          <a:off x="3448092" y="1240350"/>
          <a:ext cx="2729681" cy="1058138"/>
          <a:chOff x="3448092" y="1282185"/>
          <a:chExt cx="2729681" cy="1099974"/>
        </a:xfrm>
      </xdr:grpSpPr>
      <xdr:sp macro="" textlink="">
        <xdr:nvSpPr>
          <xdr:cNvPr id="5" name="Rectangle: Rounded Corners 4">
            <a:extLst>
              <a:ext uri="{FF2B5EF4-FFF2-40B4-BE49-F238E27FC236}">
                <a16:creationId xmlns:a16="http://schemas.microsoft.com/office/drawing/2014/main" id="{52E8E338-1A3E-4D41-88FC-CABB04FD2A84}"/>
              </a:ext>
            </a:extLst>
          </xdr:cNvPr>
          <xdr:cNvSpPr/>
        </xdr:nvSpPr>
        <xdr:spPr>
          <a:xfrm>
            <a:off x="3448092" y="1282185"/>
            <a:ext cx="2729681" cy="1099974"/>
          </a:xfrm>
          <a:prstGeom prst="roundRect">
            <a:avLst/>
          </a:prstGeom>
          <a:solidFill>
            <a:schemeClr val="bg1"/>
          </a:solidFill>
          <a:ln>
            <a:noFill/>
          </a:ln>
          <a:scene3d>
            <a:camera prst="orthographicFront"/>
            <a:lightRig rig="threePt" dir="t"/>
          </a:scene3d>
          <a:sp3d>
            <a:bevelT w="31750" h="317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Top Corners Rounded 12">
            <a:extLst>
              <a:ext uri="{FF2B5EF4-FFF2-40B4-BE49-F238E27FC236}">
                <a16:creationId xmlns:a16="http://schemas.microsoft.com/office/drawing/2014/main" id="{7715DCD1-4DC5-4C3B-8150-EE2F0FC14C17}"/>
              </a:ext>
            </a:extLst>
          </xdr:cNvPr>
          <xdr:cNvSpPr/>
        </xdr:nvSpPr>
        <xdr:spPr>
          <a:xfrm>
            <a:off x="3515801" y="1425095"/>
            <a:ext cx="2594263" cy="294601"/>
          </a:xfrm>
          <a:prstGeom prst="round2SameRect">
            <a:avLst/>
          </a:prstGeom>
          <a:gradFill>
            <a:gsLst>
              <a:gs pos="0">
                <a:schemeClr val="accent1">
                  <a:lumMod val="5000"/>
                  <a:lumOff val="95000"/>
                </a:schemeClr>
              </a:gs>
              <a:gs pos="100000">
                <a:schemeClr val="accent1">
                  <a:lumMod val="45000"/>
                  <a:lumOff val="55000"/>
                </a:schemeClr>
              </a:gs>
              <a:gs pos="100000">
                <a:srgbClr val="BFCFEB"/>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8CC2DF89-DE15-4880-8FCF-B83EA002791E}"/>
              </a:ext>
            </a:extLst>
          </xdr:cNvPr>
          <xdr:cNvSpPr txBox="1"/>
        </xdr:nvSpPr>
        <xdr:spPr>
          <a:xfrm>
            <a:off x="3672196" y="1375930"/>
            <a:ext cx="2286000" cy="3630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700" b="1">
                <a:solidFill>
                  <a:schemeClr val="tx2">
                    <a:lumMod val="75000"/>
                  </a:schemeClr>
                </a:solidFill>
              </a:rPr>
              <a:t>Avg Rating</a:t>
            </a:r>
          </a:p>
        </xdr:txBody>
      </xdr:sp>
    </xdr:grpSp>
    <xdr:clientData/>
  </xdr:twoCellAnchor>
  <xdr:twoCellAnchor>
    <xdr:from>
      <xdr:col>10</xdr:col>
      <xdr:colOff>216633</xdr:colOff>
      <xdr:row>6</xdr:row>
      <xdr:rowOff>164585</xdr:rowOff>
    </xdr:from>
    <xdr:to>
      <xdr:col>14</xdr:col>
      <xdr:colOff>504803</xdr:colOff>
      <xdr:row>12</xdr:row>
      <xdr:rowOff>146959</xdr:rowOff>
    </xdr:to>
    <xdr:grpSp>
      <xdr:nvGrpSpPr>
        <xdr:cNvPr id="47" name="Group 46">
          <a:extLst>
            <a:ext uri="{FF2B5EF4-FFF2-40B4-BE49-F238E27FC236}">
              <a16:creationId xmlns:a16="http://schemas.microsoft.com/office/drawing/2014/main" id="{5D32A1B4-D022-72E0-B7AE-8B36173C9769}"/>
            </a:ext>
          </a:extLst>
        </xdr:cNvPr>
        <xdr:cNvGrpSpPr/>
      </xdr:nvGrpSpPr>
      <xdr:grpSpPr>
        <a:xfrm>
          <a:off x="6312633" y="1240350"/>
          <a:ext cx="2726570" cy="1058138"/>
          <a:chOff x="6312633" y="1282185"/>
          <a:chExt cx="2726570" cy="1099974"/>
        </a:xfrm>
      </xdr:grpSpPr>
      <xdr:sp macro="" textlink="">
        <xdr:nvSpPr>
          <xdr:cNvPr id="3" name="Rectangle: Rounded Corners 2">
            <a:extLst>
              <a:ext uri="{FF2B5EF4-FFF2-40B4-BE49-F238E27FC236}">
                <a16:creationId xmlns:a16="http://schemas.microsoft.com/office/drawing/2014/main" id="{A0751459-0E1E-45A1-AA8A-65BFCE155800}"/>
              </a:ext>
            </a:extLst>
          </xdr:cNvPr>
          <xdr:cNvSpPr/>
        </xdr:nvSpPr>
        <xdr:spPr>
          <a:xfrm>
            <a:off x="6312633" y="1282185"/>
            <a:ext cx="2726570" cy="1099974"/>
          </a:xfrm>
          <a:prstGeom prst="roundRect">
            <a:avLst/>
          </a:prstGeom>
          <a:solidFill>
            <a:schemeClr val="bg1"/>
          </a:solidFill>
          <a:ln>
            <a:noFill/>
          </a:ln>
          <a:scene3d>
            <a:camera prst="orthographicFront"/>
            <a:lightRig rig="threePt" dir="t"/>
          </a:scene3d>
          <a:sp3d>
            <a:bevelT w="31750" h="317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Top Corners Rounded 13">
            <a:extLst>
              <a:ext uri="{FF2B5EF4-FFF2-40B4-BE49-F238E27FC236}">
                <a16:creationId xmlns:a16="http://schemas.microsoft.com/office/drawing/2014/main" id="{5AB536F4-B321-4BA8-AD3A-18277465AAC5}"/>
              </a:ext>
            </a:extLst>
          </xdr:cNvPr>
          <xdr:cNvSpPr/>
        </xdr:nvSpPr>
        <xdr:spPr>
          <a:xfrm>
            <a:off x="6378787" y="1425095"/>
            <a:ext cx="2594263" cy="294601"/>
          </a:xfrm>
          <a:prstGeom prst="round2SameRect">
            <a:avLst/>
          </a:prstGeom>
          <a:gradFill>
            <a:gsLst>
              <a:gs pos="0">
                <a:schemeClr val="accent1">
                  <a:lumMod val="5000"/>
                  <a:lumOff val="95000"/>
                </a:schemeClr>
              </a:gs>
              <a:gs pos="100000">
                <a:schemeClr val="accent1">
                  <a:lumMod val="45000"/>
                  <a:lumOff val="55000"/>
                </a:schemeClr>
              </a:gs>
              <a:gs pos="100000">
                <a:srgbClr val="BFCFEB"/>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41D23AE8-91CE-4A1B-BEE4-B47365ADF7B9}"/>
              </a:ext>
            </a:extLst>
          </xdr:cNvPr>
          <xdr:cNvSpPr txBox="1"/>
        </xdr:nvSpPr>
        <xdr:spPr>
          <a:xfrm>
            <a:off x="6535936" y="1375930"/>
            <a:ext cx="2286000" cy="3630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700" b="1">
                <a:solidFill>
                  <a:schemeClr val="tx2">
                    <a:lumMod val="75000"/>
                  </a:schemeClr>
                </a:solidFill>
              </a:rPr>
              <a:t>Total Revenue</a:t>
            </a:r>
          </a:p>
        </xdr:txBody>
      </xdr:sp>
    </xdr:grpSp>
    <xdr:clientData/>
  </xdr:twoCellAnchor>
  <xdr:twoCellAnchor>
    <xdr:from>
      <xdr:col>15</xdr:col>
      <xdr:colOff>35955</xdr:colOff>
      <xdr:row>6</xdr:row>
      <xdr:rowOff>164585</xdr:rowOff>
    </xdr:from>
    <xdr:to>
      <xdr:col>19</xdr:col>
      <xdr:colOff>338712</xdr:colOff>
      <xdr:row>12</xdr:row>
      <xdr:rowOff>146959</xdr:rowOff>
    </xdr:to>
    <xdr:grpSp>
      <xdr:nvGrpSpPr>
        <xdr:cNvPr id="48" name="Group 47">
          <a:extLst>
            <a:ext uri="{FF2B5EF4-FFF2-40B4-BE49-F238E27FC236}">
              <a16:creationId xmlns:a16="http://schemas.microsoft.com/office/drawing/2014/main" id="{20C9663C-3124-9034-EFA0-DAA2D4C03135}"/>
            </a:ext>
          </a:extLst>
        </xdr:cNvPr>
        <xdr:cNvGrpSpPr/>
      </xdr:nvGrpSpPr>
      <xdr:grpSpPr>
        <a:xfrm>
          <a:off x="9179955" y="1240350"/>
          <a:ext cx="2741157" cy="1058138"/>
          <a:chOff x="9179955" y="1282185"/>
          <a:chExt cx="2741157" cy="1099974"/>
        </a:xfrm>
      </xdr:grpSpPr>
      <xdr:sp macro="" textlink="">
        <xdr:nvSpPr>
          <xdr:cNvPr id="6" name="Rectangle: Rounded Corners 5">
            <a:extLst>
              <a:ext uri="{FF2B5EF4-FFF2-40B4-BE49-F238E27FC236}">
                <a16:creationId xmlns:a16="http://schemas.microsoft.com/office/drawing/2014/main" id="{17893B83-71EC-4754-A1F8-9894471E0E17}"/>
              </a:ext>
            </a:extLst>
          </xdr:cNvPr>
          <xdr:cNvSpPr/>
        </xdr:nvSpPr>
        <xdr:spPr>
          <a:xfrm>
            <a:off x="9179955" y="1282185"/>
            <a:ext cx="2741157" cy="1099974"/>
          </a:xfrm>
          <a:prstGeom prst="roundRect">
            <a:avLst/>
          </a:prstGeom>
          <a:solidFill>
            <a:schemeClr val="bg1"/>
          </a:solidFill>
          <a:ln>
            <a:noFill/>
          </a:ln>
          <a:scene3d>
            <a:camera prst="orthographicFront"/>
            <a:lightRig rig="threePt" dir="t"/>
          </a:scene3d>
          <a:sp3d>
            <a:bevelT w="31750" h="317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Top Corners Rounded 15">
            <a:extLst>
              <a:ext uri="{FF2B5EF4-FFF2-40B4-BE49-F238E27FC236}">
                <a16:creationId xmlns:a16="http://schemas.microsoft.com/office/drawing/2014/main" id="{B1F88B28-A914-4826-98E7-C5B7A352376D}"/>
              </a:ext>
            </a:extLst>
          </xdr:cNvPr>
          <xdr:cNvSpPr/>
        </xdr:nvSpPr>
        <xdr:spPr>
          <a:xfrm>
            <a:off x="9253402" y="1418624"/>
            <a:ext cx="2594263" cy="294601"/>
          </a:xfrm>
          <a:prstGeom prst="round2SameRect">
            <a:avLst/>
          </a:prstGeom>
          <a:gradFill>
            <a:gsLst>
              <a:gs pos="0">
                <a:schemeClr val="accent1">
                  <a:lumMod val="5000"/>
                  <a:lumOff val="95000"/>
                </a:schemeClr>
              </a:gs>
              <a:gs pos="100000">
                <a:schemeClr val="accent1">
                  <a:lumMod val="45000"/>
                  <a:lumOff val="55000"/>
                </a:schemeClr>
              </a:gs>
              <a:gs pos="100000">
                <a:srgbClr val="BFCFEB"/>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6D303E62-68CE-47A4-8827-37BF24223D34}"/>
              </a:ext>
            </a:extLst>
          </xdr:cNvPr>
          <xdr:cNvSpPr txBox="1"/>
        </xdr:nvSpPr>
        <xdr:spPr>
          <a:xfrm>
            <a:off x="9411296" y="1375930"/>
            <a:ext cx="2286000" cy="3630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700" b="1">
                <a:solidFill>
                  <a:schemeClr val="tx2">
                    <a:lumMod val="75000"/>
                  </a:schemeClr>
                </a:solidFill>
              </a:rPr>
              <a:t>Avg Runtime</a:t>
            </a:r>
          </a:p>
        </xdr:txBody>
      </xdr:sp>
    </xdr:grpSp>
    <xdr:clientData/>
  </xdr:twoCellAnchor>
  <xdr:oneCellAnchor>
    <xdr:from>
      <xdr:col>7</xdr:col>
      <xdr:colOff>0</xdr:colOff>
      <xdr:row>52</xdr:row>
      <xdr:rowOff>0</xdr:rowOff>
    </xdr:from>
    <xdr:ext cx="2268736" cy="264560"/>
    <xdr:sp macro="" textlink="">
      <xdr:nvSpPr>
        <xdr:cNvPr id="49" name="TextBox 48">
          <a:extLst>
            <a:ext uri="{FF2B5EF4-FFF2-40B4-BE49-F238E27FC236}">
              <a16:creationId xmlns:a16="http://schemas.microsoft.com/office/drawing/2014/main" id="{36B58F67-BEF9-9B2D-DA9A-8992300D3774}"/>
            </a:ext>
          </a:extLst>
        </xdr:cNvPr>
        <xdr:cNvSpPr txBox="1"/>
      </xdr:nvSpPr>
      <xdr:spPr>
        <a:xfrm>
          <a:off x="4267200" y="9685867"/>
          <a:ext cx="226873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endParaRPr lang="en-US" sz="1100"/>
        </a:p>
      </xdr:txBody>
    </xdr:sp>
    <xdr:clientData/>
  </xdr:oneCellAnchor>
  <xdr:twoCellAnchor>
    <xdr:from>
      <xdr:col>1</xdr:col>
      <xdr:colOff>221883</xdr:colOff>
      <xdr:row>15</xdr:row>
      <xdr:rowOff>175846</xdr:rowOff>
    </xdr:from>
    <xdr:to>
      <xdr:col>7</xdr:col>
      <xdr:colOff>289121</xdr:colOff>
      <xdr:row>15</xdr:row>
      <xdr:rowOff>175846</xdr:rowOff>
    </xdr:to>
    <xdr:cxnSp macro="">
      <xdr:nvCxnSpPr>
        <xdr:cNvPr id="59" name="Straight Connector 58">
          <a:extLst>
            <a:ext uri="{FF2B5EF4-FFF2-40B4-BE49-F238E27FC236}">
              <a16:creationId xmlns:a16="http://schemas.microsoft.com/office/drawing/2014/main" id="{F178692F-FAD2-06B8-9D6E-271F15C6A19A}"/>
            </a:ext>
          </a:extLst>
        </xdr:cNvPr>
        <xdr:cNvCxnSpPr/>
      </xdr:nvCxnSpPr>
      <xdr:spPr>
        <a:xfrm>
          <a:off x="833981" y="2986502"/>
          <a:ext cx="3739829" cy="0"/>
        </a:xfrm>
        <a:prstGeom prst="line">
          <a:avLst/>
        </a:prstGeom>
        <a:ln w="19050"/>
      </xdr:spPr>
      <xdr:style>
        <a:lnRef idx="1">
          <a:schemeClr val="accent3"/>
        </a:lnRef>
        <a:fillRef idx="0">
          <a:schemeClr val="accent3"/>
        </a:fillRef>
        <a:effectRef idx="0">
          <a:schemeClr val="accent3"/>
        </a:effectRef>
        <a:fontRef idx="minor">
          <a:schemeClr val="tx1"/>
        </a:fontRef>
      </xdr:style>
    </xdr:cxnSp>
    <xdr:clientData/>
  </xdr:twoCellAnchor>
  <xdr:twoCellAnchor>
    <xdr:from>
      <xdr:col>1</xdr:col>
      <xdr:colOff>222531</xdr:colOff>
      <xdr:row>25</xdr:row>
      <xdr:rowOff>23385</xdr:rowOff>
    </xdr:from>
    <xdr:to>
      <xdr:col>7</xdr:col>
      <xdr:colOff>289769</xdr:colOff>
      <xdr:row>25</xdr:row>
      <xdr:rowOff>23385</xdr:rowOff>
    </xdr:to>
    <xdr:cxnSp macro="">
      <xdr:nvCxnSpPr>
        <xdr:cNvPr id="62" name="Straight Connector 61">
          <a:extLst>
            <a:ext uri="{FF2B5EF4-FFF2-40B4-BE49-F238E27FC236}">
              <a16:creationId xmlns:a16="http://schemas.microsoft.com/office/drawing/2014/main" id="{08D839DF-0235-4499-9D9C-619F9911F247}"/>
            </a:ext>
          </a:extLst>
        </xdr:cNvPr>
        <xdr:cNvCxnSpPr/>
      </xdr:nvCxnSpPr>
      <xdr:spPr>
        <a:xfrm>
          <a:off x="830317" y="4559099"/>
          <a:ext cx="3713952" cy="0"/>
        </a:xfrm>
        <a:prstGeom prst="line">
          <a:avLst/>
        </a:prstGeom>
        <a:ln w="19050"/>
      </xdr:spPr>
      <xdr:style>
        <a:lnRef idx="1">
          <a:schemeClr val="accent3"/>
        </a:lnRef>
        <a:fillRef idx="0">
          <a:schemeClr val="accent3"/>
        </a:fillRef>
        <a:effectRef idx="0">
          <a:schemeClr val="accent3"/>
        </a:effectRef>
        <a:fontRef idx="minor">
          <a:schemeClr val="tx1"/>
        </a:fontRef>
      </xdr:style>
    </xdr:cxnSp>
    <xdr:clientData/>
  </xdr:twoCellAnchor>
  <xdr:twoCellAnchor>
    <xdr:from>
      <xdr:col>8</xdr:col>
      <xdr:colOff>388274</xdr:colOff>
      <xdr:row>15</xdr:row>
      <xdr:rowOff>175846</xdr:rowOff>
    </xdr:from>
    <xdr:to>
      <xdr:col>14</xdr:col>
      <xdr:colOff>455512</xdr:colOff>
      <xdr:row>15</xdr:row>
      <xdr:rowOff>175846</xdr:rowOff>
    </xdr:to>
    <xdr:cxnSp macro="">
      <xdr:nvCxnSpPr>
        <xdr:cNvPr id="63" name="Straight Connector 62">
          <a:extLst>
            <a:ext uri="{FF2B5EF4-FFF2-40B4-BE49-F238E27FC236}">
              <a16:creationId xmlns:a16="http://schemas.microsoft.com/office/drawing/2014/main" id="{BFC86881-9806-4F01-90A4-AC490E79A23E}"/>
            </a:ext>
          </a:extLst>
        </xdr:cNvPr>
        <xdr:cNvCxnSpPr/>
      </xdr:nvCxnSpPr>
      <xdr:spPr>
        <a:xfrm>
          <a:off x="5250560" y="2897275"/>
          <a:ext cx="3713952" cy="0"/>
        </a:xfrm>
        <a:prstGeom prst="line">
          <a:avLst/>
        </a:prstGeom>
        <a:ln w="19050"/>
      </xdr:spPr>
      <xdr:style>
        <a:lnRef idx="1">
          <a:schemeClr val="accent3"/>
        </a:lnRef>
        <a:fillRef idx="0">
          <a:schemeClr val="accent3"/>
        </a:fillRef>
        <a:effectRef idx="0">
          <a:schemeClr val="accent3"/>
        </a:effectRef>
        <a:fontRef idx="minor">
          <a:schemeClr val="tx1"/>
        </a:fontRef>
      </xdr:style>
    </xdr:cxnSp>
    <xdr:clientData/>
  </xdr:twoCellAnchor>
  <xdr:twoCellAnchor>
    <xdr:from>
      <xdr:col>8</xdr:col>
      <xdr:colOff>388274</xdr:colOff>
      <xdr:row>28</xdr:row>
      <xdr:rowOff>0</xdr:rowOff>
    </xdr:from>
    <xdr:to>
      <xdr:col>14</xdr:col>
      <xdr:colOff>455512</xdr:colOff>
      <xdr:row>28</xdr:row>
      <xdr:rowOff>0</xdr:rowOff>
    </xdr:to>
    <xdr:cxnSp macro="">
      <xdr:nvCxnSpPr>
        <xdr:cNvPr id="64" name="Straight Connector 63">
          <a:extLst>
            <a:ext uri="{FF2B5EF4-FFF2-40B4-BE49-F238E27FC236}">
              <a16:creationId xmlns:a16="http://schemas.microsoft.com/office/drawing/2014/main" id="{6D0BCE42-A604-42A6-A5B0-F8C7DCC4A9D4}"/>
            </a:ext>
          </a:extLst>
        </xdr:cNvPr>
        <xdr:cNvCxnSpPr/>
      </xdr:nvCxnSpPr>
      <xdr:spPr>
        <a:xfrm>
          <a:off x="5250560" y="5080000"/>
          <a:ext cx="3713952" cy="0"/>
        </a:xfrm>
        <a:prstGeom prst="line">
          <a:avLst/>
        </a:prstGeom>
        <a:ln w="19050"/>
      </xdr:spPr>
      <xdr:style>
        <a:lnRef idx="1">
          <a:schemeClr val="accent3"/>
        </a:lnRef>
        <a:fillRef idx="0">
          <a:schemeClr val="accent3"/>
        </a:fillRef>
        <a:effectRef idx="0">
          <a:schemeClr val="accent3"/>
        </a:effectRef>
        <a:fontRef idx="minor">
          <a:schemeClr val="tx1"/>
        </a:fontRef>
      </xdr:style>
    </xdr:cxnSp>
    <xdr:clientData/>
  </xdr:twoCellAnchor>
  <xdr:twoCellAnchor>
    <xdr:from>
      <xdr:col>8</xdr:col>
      <xdr:colOff>388513</xdr:colOff>
      <xdr:row>39</xdr:row>
      <xdr:rowOff>22548</xdr:rowOff>
    </xdr:from>
    <xdr:to>
      <xdr:col>14</xdr:col>
      <xdr:colOff>455751</xdr:colOff>
      <xdr:row>39</xdr:row>
      <xdr:rowOff>22548</xdr:rowOff>
    </xdr:to>
    <xdr:cxnSp macro="">
      <xdr:nvCxnSpPr>
        <xdr:cNvPr id="65" name="Straight Connector 64">
          <a:extLst>
            <a:ext uri="{FF2B5EF4-FFF2-40B4-BE49-F238E27FC236}">
              <a16:creationId xmlns:a16="http://schemas.microsoft.com/office/drawing/2014/main" id="{9780B66A-5294-4CDF-ACF4-D4CB1ECC34B6}"/>
            </a:ext>
          </a:extLst>
        </xdr:cNvPr>
        <xdr:cNvCxnSpPr/>
      </xdr:nvCxnSpPr>
      <xdr:spPr>
        <a:xfrm>
          <a:off x="5254618" y="7061022"/>
          <a:ext cx="3716817" cy="0"/>
        </a:xfrm>
        <a:prstGeom prst="line">
          <a:avLst/>
        </a:prstGeom>
        <a:ln w="19050"/>
      </xdr:spPr>
      <xdr:style>
        <a:lnRef idx="1">
          <a:schemeClr val="accent3"/>
        </a:lnRef>
        <a:fillRef idx="0">
          <a:schemeClr val="accent3"/>
        </a:fillRef>
        <a:effectRef idx="0">
          <a:schemeClr val="accent3"/>
        </a:effectRef>
        <a:fontRef idx="minor">
          <a:schemeClr val="tx1"/>
        </a:fontRef>
      </xdr:style>
    </xdr:cxnSp>
    <xdr:clientData/>
  </xdr:twoCellAnchor>
  <xdr:twoCellAnchor>
    <xdr:from>
      <xdr:col>1</xdr:col>
      <xdr:colOff>194127</xdr:colOff>
      <xdr:row>14</xdr:row>
      <xdr:rowOff>14152</xdr:rowOff>
    </xdr:from>
    <xdr:to>
      <xdr:col>5</xdr:col>
      <xdr:colOff>42158</xdr:colOff>
      <xdr:row>16</xdr:row>
      <xdr:rowOff>0</xdr:rowOff>
    </xdr:to>
    <xdr:sp macro="" textlink="">
      <xdr:nvSpPr>
        <xdr:cNvPr id="68" name="TextBox 67">
          <a:extLst>
            <a:ext uri="{FF2B5EF4-FFF2-40B4-BE49-F238E27FC236}">
              <a16:creationId xmlns:a16="http://schemas.microsoft.com/office/drawing/2014/main" id="{24F4FAA8-4222-40C2-902C-9830559DD37E}"/>
            </a:ext>
          </a:extLst>
        </xdr:cNvPr>
        <xdr:cNvSpPr txBox="1"/>
      </xdr:nvSpPr>
      <xdr:spPr>
        <a:xfrm>
          <a:off x="806225" y="2637431"/>
          <a:ext cx="2296425" cy="360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700" b="1">
              <a:solidFill>
                <a:schemeClr val="accent1">
                  <a:lumMod val="75000"/>
                </a:schemeClr>
              </a:solidFill>
            </a:rPr>
            <a:t>Avg</a:t>
          </a:r>
          <a:r>
            <a:rPr lang="en-US" sz="1700" b="1" baseline="0">
              <a:solidFill>
                <a:schemeClr val="accent1">
                  <a:lumMod val="75000"/>
                </a:schemeClr>
              </a:solidFill>
            </a:rPr>
            <a:t> Rating by Year</a:t>
          </a:r>
          <a:endParaRPr lang="en-US" sz="1700" b="1">
            <a:solidFill>
              <a:schemeClr val="accent1">
                <a:lumMod val="75000"/>
              </a:schemeClr>
            </a:solidFill>
          </a:endParaRPr>
        </a:p>
      </xdr:txBody>
    </xdr:sp>
    <xdr:clientData/>
  </xdr:twoCellAnchor>
  <xdr:twoCellAnchor>
    <xdr:from>
      <xdr:col>1</xdr:col>
      <xdr:colOff>193542</xdr:colOff>
      <xdr:row>23</xdr:row>
      <xdr:rowOff>37537</xdr:rowOff>
    </xdr:from>
    <xdr:to>
      <xdr:col>5</xdr:col>
      <xdr:colOff>531424</xdr:colOff>
      <xdr:row>25</xdr:row>
      <xdr:rowOff>23385</xdr:rowOff>
    </xdr:to>
    <xdr:sp macro="" textlink="">
      <xdr:nvSpPr>
        <xdr:cNvPr id="70" name="TextBox 69">
          <a:extLst>
            <a:ext uri="{FF2B5EF4-FFF2-40B4-BE49-F238E27FC236}">
              <a16:creationId xmlns:a16="http://schemas.microsoft.com/office/drawing/2014/main" id="{FC0B64B8-35D1-4B5A-91B7-A72E82BF2168}"/>
            </a:ext>
          </a:extLst>
        </xdr:cNvPr>
        <xdr:cNvSpPr txBox="1"/>
      </xdr:nvSpPr>
      <xdr:spPr>
        <a:xfrm>
          <a:off x="806645" y="4267951"/>
          <a:ext cx="2790296" cy="3537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700" b="1">
              <a:solidFill>
                <a:schemeClr val="accent1">
                  <a:lumMod val="75000"/>
                </a:schemeClr>
              </a:solidFill>
            </a:rPr>
            <a:t>Top</a:t>
          </a:r>
          <a:r>
            <a:rPr lang="en-US" sz="1700" b="1" baseline="0">
              <a:solidFill>
                <a:schemeClr val="accent1">
                  <a:lumMod val="75000"/>
                </a:schemeClr>
              </a:solidFill>
            </a:rPr>
            <a:t> Directors by Avg Rating</a:t>
          </a:r>
          <a:endParaRPr lang="en-US" sz="1700" b="1">
            <a:solidFill>
              <a:schemeClr val="accent1">
                <a:lumMod val="75000"/>
              </a:schemeClr>
            </a:solidFill>
          </a:endParaRPr>
        </a:p>
      </xdr:txBody>
    </xdr:sp>
    <xdr:clientData/>
  </xdr:twoCellAnchor>
  <xdr:twoCellAnchor>
    <xdr:from>
      <xdr:col>8</xdr:col>
      <xdr:colOff>388513</xdr:colOff>
      <xdr:row>14</xdr:row>
      <xdr:rowOff>17295</xdr:rowOff>
    </xdr:from>
    <xdr:to>
      <xdr:col>12</xdr:col>
      <xdr:colOff>236545</xdr:colOff>
      <xdr:row>16</xdr:row>
      <xdr:rowOff>3143</xdr:rowOff>
    </xdr:to>
    <xdr:sp macro="" textlink="">
      <xdr:nvSpPr>
        <xdr:cNvPr id="72" name="TextBox 71">
          <a:extLst>
            <a:ext uri="{FF2B5EF4-FFF2-40B4-BE49-F238E27FC236}">
              <a16:creationId xmlns:a16="http://schemas.microsoft.com/office/drawing/2014/main" id="{740BA054-2FAC-4579-878F-824A140F37B3}"/>
            </a:ext>
          </a:extLst>
        </xdr:cNvPr>
        <xdr:cNvSpPr txBox="1"/>
      </xdr:nvSpPr>
      <xdr:spPr>
        <a:xfrm>
          <a:off x="5285300" y="2640574"/>
          <a:ext cx="2296425" cy="360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700" b="1">
              <a:solidFill>
                <a:schemeClr val="accent1">
                  <a:lumMod val="75000"/>
                </a:schemeClr>
              </a:solidFill>
            </a:rPr>
            <a:t>Revenue</a:t>
          </a:r>
          <a:r>
            <a:rPr lang="en-US" sz="1700" b="1" baseline="0">
              <a:solidFill>
                <a:schemeClr val="accent1">
                  <a:lumMod val="75000"/>
                </a:schemeClr>
              </a:solidFill>
            </a:rPr>
            <a:t> by Genre</a:t>
          </a:r>
          <a:endParaRPr lang="en-US" sz="1700" b="1">
            <a:solidFill>
              <a:schemeClr val="accent1">
                <a:lumMod val="75000"/>
              </a:schemeClr>
            </a:solidFill>
          </a:endParaRPr>
        </a:p>
      </xdr:txBody>
    </xdr:sp>
    <xdr:clientData/>
  </xdr:twoCellAnchor>
  <xdr:twoCellAnchor>
    <xdr:from>
      <xdr:col>8</xdr:col>
      <xdr:colOff>389518</xdr:colOff>
      <xdr:row>26</xdr:row>
      <xdr:rowOff>0</xdr:rowOff>
    </xdr:from>
    <xdr:to>
      <xdr:col>12</xdr:col>
      <xdr:colOff>236545</xdr:colOff>
      <xdr:row>27</xdr:row>
      <xdr:rowOff>169779</xdr:rowOff>
    </xdr:to>
    <xdr:sp macro="" textlink="">
      <xdr:nvSpPr>
        <xdr:cNvPr id="74" name="TextBox 73">
          <a:extLst>
            <a:ext uri="{FF2B5EF4-FFF2-40B4-BE49-F238E27FC236}">
              <a16:creationId xmlns:a16="http://schemas.microsoft.com/office/drawing/2014/main" id="{58BB3164-14E0-4BB7-B9CB-E4178F442571}"/>
            </a:ext>
          </a:extLst>
        </xdr:cNvPr>
        <xdr:cNvSpPr txBox="1"/>
      </xdr:nvSpPr>
      <xdr:spPr>
        <a:xfrm>
          <a:off x="5294346" y="4782207"/>
          <a:ext cx="2299440" cy="3537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700" b="1">
              <a:solidFill>
                <a:schemeClr val="accent1">
                  <a:lumMod val="75000"/>
                </a:schemeClr>
              </a:solidFill>
            </a:rPr>
            <a:t>Revenue</a:t>
          </a:r>
          <a:r>
            <a:rPr lang="en-US" sz="1700" b="1" baseline="0">
              <a:solidFill>
                <a:schemeClr val="accent1">
                  <a:lumMod val="75000"/>
                </a:schemeClr>
              </a:solidFill>
            </a:rPr>
            <a:t> by Certificate</a:t>
          </a:r>
          <a:endParaRPr lang="en-US" sz="1700" b="1">
            <a:solidFill>
              <a:schemeClr val="accent1">
                <a:lumMod val="75000"/>
              </a:schemeClr>
            </a:solidFill>
          </a:endParaRPr>
        </a:p>
      </xdr:txBody>
    </xdr:sp>
    <xdr:clientData/>
  </xdr:twoCellAnchor>
  <xdr:twoCellAnchor>
    <xdr:from>
      <xdr:col>1</xdr:col>
      <xdr:colOff>119017</xdr:colOff>
      <xdr:row>10</xdr:row>
      <xdr:rowOff>0</xdr:rowOff>
    </xdr:from>
    <xdr:to>
      <xdr:col>5</xdr:col>
      <xdr:colOff>120473</xdr:colOff>
      <xdr:row>12</xdr:row>
      <xdr:rowOff>0</xdr:rowOff>
    </xdr:to>
    <xdr:sp macro="" textlink="Dashboard_Data!A9">
      <xdr:nvSpPr>
        <xdr:cNvPr id="76" name="TextBox 75">
          <a:extLst>
            <a:ext uri="{FF2B5EF4-FFF2-40B4-BE49-F238E27FC236}">
              <a16:creationId xmlns:a16="http://schemas.microsoft.com/office/drawing/2014/main" id="{47CAEA73-B3E8-5185-23C5-A909F9632B85}"/>
            </a:ext>
          </a:extLst>
        </xdr:cNvPr>
        <xdr:cNvSpPr txBox="1"/>
      </xdr:nvSpPr>
      <xdr:spPr>
        <a:xfrm>
          <a:off x="723362" y="1839310"/>
          <a:ext cx="2418835" cy="367862"/>
        </a:xfrm>
        <a:prstGeom prst="rect">
          <a:avLst/>
        </a:prstGeom>
        <a:solidFill>
          <a:srgbClr val="00B050"/>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889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l"/>
          <a:r>
            <a:rPr lang="en-US" sz="3200" b="1" i="0" u="none" strike="noStrike">
              <a:solidFill>
                <a:schemeClr val="bg1"/>
              </a:solidFill>
              <a:latin typeface="Calibri"/>
              <a:ea typeface="Calibri"/>
              <a:cs typeface="Calibri"/>
            </a:rPr>
            <a:t>......</a:t>
          </a:r>
          <a:fld id="{F5F70265-E976-46CC-BBDE-B0F5A7A7B0F4}" type="TxLink">
            <a:rPr lang="en-US" sz="3200" b="1" i="0" u="none" strike="noStrike">
              <a:solidFill>
                <a:schemeClr val="bg1"/>
              </a:solidFill>
              <a:latin typeface="Calibri"/>
              <a:ea typeface="Calibri"/>
              <a:cs typeface="Calibri"/>
            </a:rPr>
            <a:pPr lvl="0" algn="l"/>
            <a:t>1000</a:t>
          </a:fld>
          <a:r>
            <a:rPr lang="en-US" sz="3200" b="1" i="0" u="none" strike="noStrike">
              <a:solidFill>
                <a:schemeClr val="bg1"/>
              </a:solidFill>
              <a:latin typeface="Calibri"/>
              <a:ea typeface="Calibri"/>
              <a:cs typeface="Calibri"/>
            </a:rPr>
            <a:t>......</a:t>
          </a:r>
          <a:endParaRPr lang="en-US" sz="3200" b="1">
            <a:solidFill>
              <a:schemeClr val="bg1"/>
            </a:solidFill>
          </a:endParaRPr>
        </a:p>
      </xdr:txBody>
    </xdr:sp>
    <xdr:clientData/>
  </xdr:twoCellAnchor>
  <xdr:twoCellAnchor>
    <xdr:from>
      <xdr:col>10</xdr:col>
      <xdr:colOff>359991</xdr:colOff>
      <xdr:row>10</xdr:row>
      <xdr:rowOff>0</xdr:rowOff>
    </xdr:from>
    <xdr:to>
      <xdr:col>14</xdr:col>
      <xdr:colOff>361446</xdr:colOff>
      <xdr:row>12</xdr:row>
      <xdr:rowOff>0</xdr:rowOff>
    </xdr:to>
    <xdr:sp macro="" textlink="Dashboard_Data!C9">
      <xdr:nvSpPr>
        <xdr:cNvPr id="78" name="TextBox 77">
          <a:extLst>
            <a:ext uri="{FF2B5EF4-FFF2-40B4-BE49-F238E27FC236}">
              <a16:creationId xmlns:a16="http://schemas.microsoft.com/office/drawing/2014/main" id="{A8B22A39-9156-43D2-8AFF-D8935BA601AB}"/>
            </a:ext>
          </a:extLst>
        </xdr:cNvPr>
        <xdr:cNvSpPr txBox="1"/>
      </xdr:nvSpPr>
      <xdr:spPr>
        <a:xfrm>
          <a:off x="6403439" y="1839310"/>
          <a:ext cx="2418835" cy="367862"/>
        </a:xfrm>
        <a:prstGeom prst="rect">
          <a:avLst/>
        </a:prstGeom>
        <a:solidFill>
          <a:srgbClr val="00B050"/>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889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2800" b="1" i="0" u="none" strike="noStrike">
              <a:solidFill>
                <a:schemeClr val="bg1"/>
              </a:solidFill>
              <a:latin typeface="Calibri"/>
              <a:ea typeface="Calibri"/>
              <a:cs typeface="Calibri"/>
            </a:rPr>
            <a:t>....</a:t>
          </a:r>
          <a:fld id="{0ED0F9EA-E949-4A88-B41B-4A6B9F87E89C}" type="TxLink">
            <a:rPr lang="en-US" sz="2800" b="1" i="0" u="none" strike="noStrike">
              <a:solidFill>
                <a:schemeClr val="bg1"/>
              </a:solidFill>
              <a:latin typeface="Calibri"/>
              <a:ea typeface="Calibri"/>
              <a:cs typeface="Calibri"/>
            </a:rPr>
            <a:pPr lvl="0" algn="ctr"/>
            <a:t>$182,894</a:t>
          </a:fld>
          <a:r>
            <a:rPr lang="en-US" sz="2800" b="1" i="0" u="none" strike="noStrike">
              <a:solidFill>
                <a:schemeClr val="bg1"/>
              </a:solidFill>
              <a:latin typeface="Calibri"/>
              <a:ea typeface="Calibri"/>
              <a:cs typeface="Calibri"/>
            </a:rPr>
            <a:t>....</a:t>
          </a:r>
          <a:endParaRPr lang="en-US" sz="6600" b="1">
            <a:solidFill>
              <a:schemeClr val="bg1"/>
            </a:solidFill>
          </a:endParaRPr>
        </a:p>
      </xdr:txBody>
    </xdr:sp>
    <xdr:clientData/>
  </xdr:twoCellAnchor>
  <xdr:twoCellAnchor>
    <xdr:from>
      <xdr:col>15</xdr:col>
      <xdr:colOff>180472</xdr:colOff>
      <xdr:row>10</xdr:row>
      <xdr:rowOff>0</xdr:rowOff>
    </xdr:from>
    <xdr:to>
      <xdr:col>19</xdr:col>
      <xdr:colOff>181927</xdr:colOff>
      <xdr:row>12</xdr:row>
      <xdr:rowOff>0</xdr:rowOff>
    </xdr:to>
    <xdr:sp macro="" textlink="Dashboard_Data!D9">
      <xdr:nvSpPr>
        <xdr:cNvPr id="79" name="TextBox 78">
          <a:extLst>
            <a:ext uri="{FF2B5EF4-FFF2-40B4-BE49-F238E27FC236}">
              <a16:creationId xmlns:a16="http://schemas.microsoft.com/office/drawing/2014/main" id="{ECA8D402-1FE9-43AB-9CE0-4798907FF4DF}"/>
            </a:ext>
          </a:extLst>
        </xdr:cNvPr>
        <xdr:cNvSpPr txBox="1"/>
      </xdr:nvSpPr>
      <xdr:spPr>
        <a:xfrm>
          <a:off x="9245644" y="1839310"/>
          <a:ext cx="2418835" cy="367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fld id="{B70C3364-A6A5-4813-9BA7-203A5C85AB9B}" type="TxLink">
            <a:rPr lang="en-US" sz="2800" b="1" i="0" u="none" strike="noStrike">
              <a:solidFill>
                <a:srgbClr val="000000"/>
              </a:solidFill>
              <a:latin typeface="Calibri"/>
              <a:ea typeface="Calibri"/>
              <a:cs typeface="Calibri"/>
            </a:rPr>
            <a:pPr lvl="0" algn="ctr"/>
            <a:t>121min</a:t>
          </a:fld>
          <a:endParaRPr lang="en-US" sz="6600" b="1">
            <a:solidFill>
              <a:schemeClr val="tx1"/>
            </a:solidFill>
          </a:endParaRPr>
        </a:p>
      </xdr:txBody>
    </xdr:sp>
    <xdr:clientData/>
  </xdr:twoCellAnchor>
  <xdr:twoCellAnchor>
    <xdr:from>
      <xdr:col>5</xdr:col>
      <xdr:colOff>542377</xdr:colOff>
      <xdr:row>10</xdr:row>
      <xdr:rowOff>0</xdr:rowOff>
    </xdr:from>
    <xdr:to>
      <xdr:col>9</xdr:col>
      <xdr:colOff>543833</xdr:colOff>
      <xdr:row>12</xdr:row>
      <xdr:rowOff>0</xdr:rowOff>
    </xdr:to>
    <xdr:sp macro="" textlink="Dashboard_Data!B9">
      <xdr:nvSpPr>
        <xdr:cNvPr id="80" name="TextBox 79">
          <a:extLst>
            <a:ext uri="{FF2B5EF4-FFF2-40B4-BE49-F238E27FC236}">
              <a16:creationId xmlns:a16="http://schemas.microsoft.com/office/drawing/2014/main" id="{3CA777D5-63A9-4DFC-B683-B98F522D6DB7}"/>
            </a:ext>
          </a:extLst>
        </xdr:cNvPr>
        <xdr:cNvSpPr txBox="1"/>
      </xdr:nvSpPr>
      <xdr:spPr>
        <a:xfrm>
          <a:off x="3564101" y="1839310"/>
          <a:ext cx="2418835" cy="367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fld id="{A83ECA8D-504F-427C-8D5D-87BE2717A869}" type="TxLink">
            <a:rPr lang="en-US" sz="3400" b="1" i="0" u="none" strike="noStrike">
              <a:solidFill>
                <a:srgbClr val="000000"/>
              </a:solidFill>
              <a:latin typeface="Calibri"/>
              <a:ea typeface="Calibri"/>
              <a:cs typeface="Calibri"/>
            </a:rPr>
            <a:pPr lvl="0" algn="ctr"/>
            <a:t>6.94</a:t>
          </a:fld>
          <a:r>
            <a:rPr lang="en-US" sz="3400" b="1" i="0" u="none" strike="noStrike">
              <a:solidFill>
                <a:srgbClr val="000000"/>
              </a:solidFill>
              <a:latin typeface="Calibri"/>
              <a:ea typeface="Calibri"/>
              <a:cs typeface="Calibri"/>
            </a:rPr>
            <a:t>📊</a:t>
          </a:r>
          <a:endParaRPr lang="en-US" sz="3400" b="1" i="0" u="none" strike="noStrike">
            <a:solidFill>
              <a:schemeClr val="tx1"/>
            </a:solidFill>
            <a:latin typeface="Calibri"/>
            <a:ea typeface="Calibri"/>
            <a:cs typeface="Calibri"/>
          </a:endParaRPr>
        </a:p>
      </xdr:txBody>
    </xdr:sp>
    <xdr:clientData/>
  </xdr:twoCellAnchor>
  <xdr:twoCellAnchor editAs="oneCell">
    <xdr:from>
      <xdr:col>15</xdr:col>
      <xdr:colOff>550731</xdr:colOff>
      <xdr:row>24</xdr:row>
      <xdr:rowOff>104889</xdr:rowOff>
    </xdr:from>
    <xdr:to>
      <xdr:col>18</xdr:col>
      <xdr:colOff>541767</xdr:colOff>
      <xdr:row>35</xdr:row>
      <xdr:rowOff>93384</xdr:rowOff>
    </xdr:to>
    <mc:AlternateContent xmlns:mc="http://schemas.openxmlformats.org/markup-compatibility/2006" xmlns:a14="http://schemas.microsoft.com/office/drawing/2010/main">
      <mc:Choice Requires="a14">
        <xdr:graphicFrame macro="">
          <xdr:nvGraphicFramePr>
            <xdr:cNvPr id="18" name="Certificate">
              <a:extLst>
                <a:ext uri="{FF2B5EF4-FFF2-40B4-BE49-F238E27FC236}">
                  <a16:creationId xmlns:a16="http://schemas.microsoft.com/office/drawing/2014/main" id="{0A200BBB-147B-4C06-B397-A218E460CD1D}"/>
                </a:ext>
              </a:extLst>
            </xdr:cNvPr>
            <xdr:cNvGraphicFramePr/>
          </xdr:nvGraphicFramePr>
          <xdr:xfrm>
            <a:off x="0" y="0"/>
            <a:ext cx="0" cy="0"/>
          </xdr:xfrm>
          <a:graphic>
            <a:graphicData uri="http://schemas.microsoft.com/office/drawing/2010/slicer">
              <sle:slicer xmlns:sle="http://schemas.microsoft.com/office/drawing/2010/slicer" name="Certificate"/>
            </a:graphicData>
          </a:graphic>
        </xdr:graphicFrame>
      </mc:Choice>
      <mc:Fallback xmlns="">
        <xdr:sp macro="" textlink="">
          <xdr:nvSpPr>
            <xdr:cNvPr id="0" name=""/>
            <xdr:cNvSpPr>
              <a:spLocks noTextEdit="1"/>
            </xdr:cNvSpPr>
          </xdr:nvSpPr>
          <xdr:spPr>
            <a:xfrm>
              <a:off x="9627496" y="4407948"/>
              <a:ext cx="1806389" cy="1960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556558</xdr:colOff>
      <xdr:row>14</xdr:row>
      <xdr:rowOff>112509</xdr:rowOff>
    </xdr:from>
    <xdr:to>
      <xdr:col>18</xdr:col>
      <xdr:colOff>547594</xdr:colOff>
      <xdr:row>24</xdr:row>
      <xdr:rowOff>33618</xdr:rowOff>
    </xdr:to>
    <mc:AlternateContent xmlns:mc="http://schemas.openxmlformats.org/markup-compatibility/2006" xmlns:a14="http://schemas.microsoft.com/office/drawing/2010/main">
      <mc:Choice Requires="a14">
        <xdr:graphicFrame macro="">
          <xdr:nvGraphicFramePr>
            <xdr:cNvPr id="25" name="Decade">
              <a:extLst>
                <a:ext uri="{FF2B5EF4-FFF2-40B4-BE49-F238E27FC236}">
                  <a16:creationId xmlns:a16="http://schemas.microsoft.com/office/drawing/2014/main" id="{D9A71942-E640-48F8-9071-7F67ABF9C5FB}"/>
                </a:ext>
              </a:extLst>
            </xdr:cNvPr>
            <xdr:cNvGraphicFramePr/>
          </xdr:nvGraphicFramePr>
          <xdr:xfrm>
            <a:off x="0" y="0"/>
            <a:ext cx="0" cy="0"/>
          </xdr:xfrm>
          <a:graphic>
            <a:graphicData uri="http://schemas.microsoft.com/office/drawing/2010/slicer">
              <sle:slicer xmlns:sle="http://schemas.microsoft.com/office/drawing/2010/slicer" name="Decade"/>
            </a:graphicData>
          </a:graphic>
        </xdr:graphicFrame>
      </mc:Choice>
      <mc:Fallback xmlns="">
        <xdr:sp macro="" textlink="">
          <xdr:nvSpPr>
            <xdr:cNvPr id="0" name=""/>
            <xdr:cNvSpPr>
              <a:spLocks noTextEdit="1"/>
            </xdr:cNvSpPr>
          </xdr:nvSpPr>
          <xdr:spPr>
            <a:xfrm>
              <a:off x="9633323" y="2622627"/>
              <a:ext cx="1806389" cy="1714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548265</xdr:colOff>
      <xdr:row>35</xdr:row>
      <xdr:rowOff>156883</xdr:rowOff>
    </xdr:from>
    <xdr:to>
      <xdr:col>18</xdr:col>
      <xdr:colOff>561712</xdr:colOff>
      <xdr:row>45</xdr:row>
      <xdr:rowOff>134471</xdr:rowOff>
    </xdr:to>
    <mc:AlternateContent xmlns:mc="http://schemas.openxmlformats.org/markup-compatibility/2006" xmlns:a14="http://schemas.microsoft.com/office/drawing/2010/main">
      <mc:Choice Requires="a14">
        <xdr:graphicFrame macro="">
          <xdr:nvGraphicFramePr>
            <xdr:cNvPr id="26" name="Genre_Clean">
              <a:extLst>
                <a:ext uri="{FF2B5EF4-FFF2-40B4-BE49-F238E27FC236}">
                  <a16:creationId xmlns:a16="http://schemas.microsoft.com/office/drawing/2014/main" id="{9718EED2-335C-478C-82CE-94535A96B759}"/>
                </a:ext>
              </a:extLst>
            </xdr:cNvPr>
            <xdr:cNvGraphicFramePr/>
          </xdr:nvGraphicFramePr>
          <xdr:xfrm>
            <a:off x="0" y="0"/>
            <a:ext cx="0" cy="0"/>
          </xdr:xfrm>
          <a:graphic>
            <a:graphicData uri="http://schemas.microsoft.com/office/drawing/2010/slicer">
              <sle:slicer xmlns:sle="http://schemas.microsoft.com/office/drawing/2010/slicer" name="Genre_Clean"/>
            </a:graphicData>
          </a:graphic>
        </xdr:graphicFrame>
      </mc:Choice>
      <mc:Fallback xmlns="">
        <xdr:sp macro="" textlink="">
          <xdr:nvSpPr>
            <xdr:cNvPr id="0" name=""/>
            <xdr:cNvSpPr>
              <a:spLocks noTextEdit="1"/>
            </xdr:cNvSpPr>
          </xdr:nvSpPr>
          <xdr:spPr>
            <a:xfrm>
              <a:off x="9625030" y="6432177"/>
              <a:ext cx="1828800" cy="17705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503904</xdr:colOff>
      <xdr:row>28</xdr:row>
      <xdr:rowOff>33318</xdr:rowOff>
    </xdr:from>
    <xdr:to>
      <xdr:col>14</xdr:col>
      <xdr:colOff>208935</xdr:colOff>
      <xdr:row>34</xdr:row>
      <xdr:rowOff>159773</xdr:rowOff>
    </xdr:to>
    <xdr:graphicFrame macro="">
      <xdr:nvGraphicFramePr>
        <xdr:cNvPr id="10" name="Chart 9">
          <a:extLst>
            <a:ext uri="{FF2B5EF4-FFF2-40B4-BE49-F238E27FC236}">
              <a16:creationId xmlns:a16="http://schemas.microsoft.com/office/drawing/2014/main" id="{63E52679-CAA5-4576-89BC-DA7BE579C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371231</xdr:colOff>
      <xdr:row>37</xdr:row>
      <xdr:rowOff>58616</xdr:rowOff>
    </xdr:from>
    <xdr:to>
      <xdr:col>14</xdr:col>
      <xdr:colOff>449385</xdr:colOff>
      <xdr:row>39</xdr:row>
      <xdr:rowOff>19538</xdr:rowOff>
    </xdr:to>
    <xdr:sp macro="" textlink="">
      <xdr:nvSpPr>
        <xdr:cNvPr id="24" name="Rectangle: Top Corners Rounded 23">
          <a:extLst>
            <a:ext uri="{FF2B5EF4-FFF2-40B4-BE49-F238E27FC236}">
              <a16:creationId xmlns:a16="http://schemas.microsoft.com/office/drawing/2014/main" id="{C126029E-4EC2-5E91-0D70-158DA82AAA8B}"/>
            </a:ext>
          </a:extLst>
        </xdr:cNvPr>
        <xdr:cNvSpPr/>
      </xdr:nvSpPr>
      <xdr:spPr>
        <a:xfrm>
          <a:off x="5216769" y="6926385"/>
          <a:ext cx="3712308" cy="332153"/>
        </a:xfrm>
        <a:prstGeom prst="round2SameRect">
          <a:avLst/>
        </a:prstGeom>
        <a:solidFill>
          <a:schemeClr val="accent1">
            <a:alpha val="83000"/>
          </a:schemeClr>
        </a:solidFill>
        <a:ln>
          <a:noFill/>
        </a:ln>
        <a:scene3d>
          <a:camera prst="orthographicFront"/>
          <a:lightRig rig="threePt" dir="t"/>
        </a:scene3d>
        <a:sp3d>
          <a:bevelT w="254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Correlation Insight</a:t>
          </a:r>
        </a:p>
      </xdr:txBody>
    </xdr:sp>
    <xdr:clientData/>
  </xdr:twoCellAnchor>
  <xdr:twoCellAnchor>
    <xdr:from>
      <xdr:col>8</xdr:col>
      <xdr:colOff>411796</xdr:colOff>
      <xdr:row>42</xdr:row>
      <xdr:rowOff>8514</xdr:rowOff>
    </xdr:from>
    <xdr:to>
      <xdr:col>12</xdr:col>
      <xdr:colOff>160421</xdr:colOff>
      <xdr:row>42</xdr:row>
      <xdr:rowOff>20052</xdr:rowOff>
    </xdr:to>
    <xdr:cxnSp macro="">
      <xdr:nvCxnSpPr>
        <xdr:cNvPr id="27" name="Straight Connector 26">
          <a:extLst>
            <a:ext uri="{FF2B5EF4-FFF2-40B4-BE49-F238E27FC236}">
              <a16:creationId xmlns:a16="http://schemas.microsoft.com/office/drawing/2014/main" id="{D2697690-B3DB-4606-B98C-9346962F8A62}"/>
            </a:ext>
          </a:extLst>
        </xdr:cNvPr>
        <xdr:cNvCxnSpPr/>
      </xdr:nvCxnSpPr>
      <xdr:spPr>
        <a:xfrm>
          <a:off x="5304638" y="7588409"/>
          <a:ext cx="2195046" cy="11538"/>
        </a:xfrm>
        <a:prstGeom prst="line">
          <a:avLst/>
        </a:prstGeom>
        <a:ln w="19050"/>
      </xdr:spPr>
      <xdr:style>
        <a:lnRef idx="1">
          <a:schemeClr val="accent3"/>
        </a:lnRef>
        <a:fillRef idx="0">
          <a:schemeClr val="accent3"/>
        </a:fillRef>
        <a:effectRef idx="0">
          <a:schemeClr val="accent3"/>
        </a:effectRef>
        <a:fontRef idx="minor">
          <a:schemeClr val="tx1"/>
        </a:fontRef>
      </xdr:style>
    </xdr:cxnSp>
    <xdr:clientData/>
  </xdr:twoCellAnchor>
  <xdr:oneCellAnchor>
    <xdr:from>
      <xdr:col>9</xdr:col>
      <xdr:colOff>0</xdr:colOff>
      <xdr:row>39</xdr:row>
      <xdr:rowOff>118532</xdr:rowOff>
    </xdr:from>
    <xdr:ext cx="2235199" cy="405432"/>
    <xdr:sp macro="" textlink="">
      <xdr:nvSpPr>
        <xdr:cNvPr id="32" name="TextBox 31">
          <a:extLst>
            <a:ext uri="{FF2B5EF4-FFF2-40B4-BE49-F238E27FC236}">
              <a16:creationId xmlns:a16="http://schemas.microsoft.com/office/drawing/2014/main" id="{CF45AA50-FC07-B2BF-CF9D-B5A97A8B4FFD}"/>
            </a:ext>
          </a:extLst>
        </xdr:cNvPr>
        <xdr:cNvSpPr txBox="1"/>
      </xdr:nvSpPr>
      <xdr:spPr>
        <a:xfrm>
          <a:off x="5486400" y="7382932"/>
          <a:ext cx="223519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0">
              <a:solidFill>
                <a:schemeClr val="accent1">
                  <a:lumMod val="50000"/>
                </a:schemeClr>
              </a:solidFill>
              <a:latin typeface="Bahnschrift Condensed" panose="020B0502040204020203" pitchFamily="34" charset="0"/>
            </a:rPr>
            <a:t>Votes</a:t>
          </a:r>
          <a:r>
            <a:rPr lang="en-US" sz="2000" b="0" baseline="0">
              <a:solidFill>
                <a:schemeClr val="accent1">
                  <a:lumMod val="50000"/>
                </a:schemeClr>
              </a:solidFill>
              <a:latin typeface="Bahnschrift Condensed" panose="020B0502040204020203" pitchFamily="34" charset="0"/>
            </a:rPr>
            <a:t> vs Rating</a:t>
          </a:r>
          <a:endParaRPr lang="en-US" sz="2000" b="0">
            <a:solidFill>
              <a:schemeClr val="accent1">
                <a:lumMod val="50000"/>
              </a:schemeClr>
            </a:solidFill>
            <a:latin typeface="Bahnschrift Condensed" panose="020B0502040204020203" pitchFamily="34" charset="0"/>
          </a:endParaRPr>
        </a:p>
      </xdr:txBody>
    </xdr:sp>
    <xdr:clientData/>
  </xdr:oneCellAnchor>
  <xdr:oneCellAnchor>
    <xdr:from>
      <xdr:col>8</xdr:col>
      <xdr:colOff>551447</xdr:colOff>
      <xdr:row>42</xdr:row>
      <xdr:rowOff>180472</xdr:rowOff>
    </xdr:from>
    <xdr:ext cx="1975185" cy="311496"/>
    <xdr:sp macro="" textlink="Stat_Analysis!F2">
      <xdr:nvSpPr>
        <xdr:cNvPr id="33" name="TextBox 32">
          <a:extLst>
            <a:ext uri="{FF2B5EF4-FFF2-40B4-BE49-F238E27FC236}">
              <a16:creationId xmlns:a16="http://schemas.microsoft.com/office/drawing/2014/main" id="{458BD488-D0E3-3BAC-0A61-267842FA8CC9}"/>
            </a:ext>
          </a:extLst>
        </xdr:cNvPr>
        <xdr:cNvSpPr txBox="1"/>
      </xdr:nvSpPr>
      <xdr:spPr>
        <a:xfrm>
          <a:off x="5444289" y="7760367"/>
          <a:ext cx="197518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2F7D221-DDEA-4438-9036-93C1CC13915C}" type="TxLink">
            <a:rPr lang="en-US" sz="1400" b="1" i="1" u="none" strike="noStrike">
              <a:solidFill>
                <a:schemeClr val="accent4">
                  <a:lumMod val="75000"/>
                </a:schemeClr>
              </a:solidFill>
              <a:latin typeface="Calibri"/>
              <a:ea typeface="Calibri"/>
              <a:cs typeface="Calibri"/>
            </a:rPr>
            <a:pPr/>
            <a:t>Very Weak Relationship</a:t>
          </a:fld>
          <a:endParaRPr lang="en-US" sz="1800" b="1" i="1">
            <a:solidFill>
              <a:schemeClr val="accent4">
                <a:lumMod val="75000"/>
              </a:schemeClr>
            </a:solidFill>
          </a:endParaRPr>
        </a:p>
      </xdr:txBody>
    </xdr:sp>
    <xdr:clientData/>
  </xdr:oneCellAnchor>
  <xdr:twoCellAnchor>
    <xdr:from>
      <xdr:col>11</xdr:col>
      <xdr:colOff>310247</xdr:colOff>
      <xdr:row>36</xdr:row>
      <xdr:rowOff>175875</xdr:rowOff>
    </xdr:from>
    <xdr:to>
      <xdr:col>15</xdr:col>
      <xdr:colOff>347940</xdr:colOff>
      <xdr:row>46</xdr:row>
      <xdr:rowOff>104689</xdr:rowOff>
    </xdr:to>
    <xdr:graphicFrame macro="">
      <xdr:nvGraphicFramePr>
        <xdr:cNvPr id="34" name="Chart 33">
          <a:extLst>
            <a:ext uri="{FF2B5EF4-FFF2-40B4-BE49-F238E27FC236}">
              <a16:creationId xmlns:a16="http://schemas.microsoft.com/office/drawing/2014/main" id="{E815A70B-93C4-4777-8676-F6F5675EB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3</xdr:col>
      <xdr:colOff>355600</xdr:colOff>
      <xdr:row>52</xdr:row>
      <xdr:rowOff>81280</xdr:rowOff>
    </xdr:from>
    <xdr:ext cx="2479040" cy="264560"/>
    <xdr:sp macro="" textlink="Stat_Analysis!C20">
      <xdr:nvSpPr>
        <xdr:cNvPr id="41" name="TextBox 40">
          <a:extLst>
            <a:ext uri="{FF2B5EF4-FFF2-40B4-BE49-F238E27FC236}">
              <a16:creationId xmlns:a16="http://schemas.microsoft.com/office/drawing/2014/main" id="{D86A2E40-7C93-EF8D-8A9E-6A50B8375550}"/>
            </a:ext>
          </a:extLst>
        </xdr:cNvPr>
        <xdr:cNvSpPr txBox="1"/>
      </xdr:nvSpPr>
      <xdr:spPr>
        <a:xfrm>
          <a:off x="2184400" y="9591040"/>
          <a:ext cx="24790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57C5486-CDB6-4883-8329-B5B78710AE06}" type="TxLink">
            <a:rPr lang="en-US" sz="1100" b="0" i="0" u="none" strike="noStrike">
              <a:solidFill>
                <a:srgbClr val="000000"/>
              </a:solidFill>
              <a:latin typeface="Calibri"/>
              <a:ea typeface="Calibri"/>
              <a:cs typeface="Calibri"/>
            </a:rPr>
            <a:pPr/>
            <a:t> </a:t>
          </a:fld>
          <a:endParaRPr lang="en-US" sz="1100"/>
        </a:p>
      </xdr:txBody>
    </xdr:sp>
    <xdr:clientData/>
  </xdr:oneCellAnchor>
  <xdr:oneCellAnchor>
    <xdr:from>
      <xdr:col>7</xdr:col>
      <xdr:colOff>508000</xdr:colOff>
      <xdr:row>53</xdr:row>
      <xdr:rowOff>78154</xdr:rowOff>
    </xdr:from>
    <xdr:ext cx="3380154" cy="264560"/>
    <xdr:sp macro="" textlink="">
      <xdr:nvSpPr>
        <xdr:cNvPr id="43" name="TextBox 42">
          <a:extLst>
            <a:ext uri="{FF2B5EF4-FFF2-40B4-BE49-F238E27FC236}">
              <a16:creationId xmlns:a16="http://schemas.microsoft.com/office/drawing/2014/main" id="{404FF445-2E37-1FEC-9D38-684B03382113}"/>
            </a:ext>
          </a:extLst>
        </xdr:cNvPr>
        <xdr:cNvSpPr txBox="1"/>
      </xdr:nvSpPr>
      <xdr:spPr>
        <a:xfrm>
          <a:off x="4747846" y="9398000"/>
          <a:ext cx="33801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10</xdr:col>
      <xdr:colOff>578069</xdr:colOff>
      <xdr:row>55</xdr:row>
      <xdr:rowOff>131379</xdr:rowOff>
    </xdr:from>
    <xdr:ext cx="3258207" cy="264560"/>
    <xdr:sp macro="" textlink="Stat_Analysis!C20">
      <xdr:nvSpPr>
        <xdr:cNvPr id="44" name="TextBox 43">
          <a:extLst>
            <a:ext uri="{FF2B5EF4-FFF2-40B4-BE49-F238E27FC236}">
              <a16:creationId xmlns:a16="http://schemas.microsoft.com/office/drawing/2014/main" id="{E6E1C7DC-CB6D-D34A-C872-EE07075C2CC5}"/>
            </a:ext>
          </a:extLst>
        </xdr:cNvPr>
        <xdr:cNvSpPr txBox="1"/>
      </xdr:nvSpPr>
      <xdr:spPr>
        <a:xfrm>
          <a:off x="6621517" y="10247586"/>
          <a:ext cx="325820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9F5A791-4F2B-4DA8-863D-C553B3537238}" type="TxLink">
            <a:rPr lang="en-US" sz="1100" b="0" i="0" u="none" strike="noStrike">
              <a:solidFill>
                <a:srgbClr val="000000"/>
              </a:solidFill>
              <a:latin typeface="Calibri"/>
              <a:ea typeface="Calibri"/>
              <a:cs typeface="Calibri"/>
            </a:rPr>
            <a:pPr/>
            <a:t> </a:t>
          </a:fld>
          <a:endParaRPr lang="en-US" sz="1100"/>
        </a:p>
      </xdr:txBody>
    </xdr:sp>
    <xdr:clientData/>
  </xdr:oneCellAnchor>
  <xdr:twoCellAnchor>
    <xdr:from>
      <xdr:col>1</xdr:col>
      <xdr:colOff>124046</xdr:colOff>
      <xdr:row>16</xdr:row>
      <xdr:rowOff>26582</xdr:rowOff>
    </xdr:from>
    <xdr:to>
      <xdr:col>7</xdr:col>
      <xdr:colOff>455127</xdr:colOff>
      <xdr:row>19</xdr:row>
      <xdr:rowOff>152398</xdr:rowOff>
    </xdr:to>
    <xdr:graphicFrame macro="">
      <xdr:nvGraphicFramePr>
        <xdr:cNvPr id="51" name="Chart 50">
          <a:extLst>
            <a:ext uri="{FF2B5EF4-FFF2-40B4-BE49-F238E27FC236}">
              <a16:creationId xmlns:a16="http://schemas.microsoft.com/office/drawing/2014/main" id="{53CFD577-FF96-45F7-89BA-9C43919C0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540109</xdr:colOff>
      <xdr:row>27</xdr:row>
      <xdr:rowOff>22334</xdr:rowOff>
    </xdr:from>
    <xdr:to>
      <xdr:col>7</xdr:col>
      <xdr:colOff>385948</xdr:colOff>
      <xdr:row>44</xdr:row>
      <xdr:rowOff>168234</xdr:rowOff>
    </xdr:to>
    <xdr:graphicFrame macro="">
      <xdr:nvGraphicFramePr>
        <xdr:cNvPr id="52" name="Chart 51">
          <a:extLst>
            <a:ext uri="{FF2B5EF4-FFF2-40B4-BE49-F238E27FC236}">
              <a16:creationId xmlns:a16="http://schemas.microsoft.com/office/drawing/2014/main" id="{101C4289-3FA6-4D60-9F1A-728D265A7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283203</xdr:colOff>
      <xdr:row>16</xdr:row>
      <xdr:rowOff>115931</xdr:rowOff>
    </xdr:from>
    <xdr:to>
      <xdr:col>14</xdr:col>
      <xdr:colOff>443697</xdr:colOff>
      <xdr:row>24</xdr:row>
      <xdr:rowOff>48227</xdr:rowOff>
    </xdr:to>
    <xdr:graphicFrame macro="">
      <xdr:nvGraphicFramePr>
        <xdr:cNvPr id="23" name="Chart 22">
          <a:extLst>
            <a:ext uri="{FF2B5EF4-FFF2-40B4-BE49-F238E27FC236}">
              <a16:creationId xmlns:a16="http://schemas.microsoft.com/office/drawing/2014/main" id="{6A5D879C-025B-4B2A-87E1-D18A20EDF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12</xdr:col>
      <xdr:colOff>600634</xdr:colOff>
      <xdr:row>40</xdr:row>
      <xdr:rowOff>107576</xdr:rowOff>
    </xdr:from>
    <xdr:ext cx="891526" cy="530658"/>
    <xdr:sp macro="" textlink="">
      <xdr:nvSpPr>
        <xdr:cNvPr id="28" name="TextBox 27">
          <a:extLst>
            <a:ext uri="{FF2B5EF4-FFF2-40B4-BE49-F238E27FC236}">
              <a16:creationId xmlns:a16="http://schemas.microsoft.com/office/drawing/2014/main" id="{2B26188B-3B75-3949-C9C2-B12CAD3A641E}"/>
            </a:ext>
          </a:extLst>
        </xdr:cNvPr>
        <xdr:cNvSpPr txBox="1"/>
      </xdr:nvSpPr>
      <xdr:spPr>
        <a:xfrm>
          <a:off x="7915834" y="7279341"/>
          <a:ext cx="891526"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i="1" u="none" strike="noStrike">
              <a:solidFill>
                <a:schemeClr val="accent1">
                  <a:lumMod val="50000"/>
                </a:schemeClr>
              </a:solidFill>
              <a:effectLst/>
              <a:latin typeface="+mn-lt"/>
              <a:ea typeface="+mn-ea"/>
              <a:cs typeface="+mn-cs"/>
            </a:rPr>
            <a:t>11%</a:t>
          </a:r>
          <a:r>
            <a:rPr lang="en-US" sz="2800" b="1" i="1" u="none">
              <a:solidFill>
                <a:schemeClr val="accent1">
                  <a:lumMod val="50000"/>
                </a:schemeClr>
              </a:solidFill>
              <a:effectLst/>
            </a:rPr>
            <a:t> </a:t>
          </a:r>
          <a:endParaRPr lang="en-US" sz="2800" b="1" i="1" u="none">
            <a:solidFill>
              <a:schemeClr val="accent1">
                <a:lumMod val="50000"/>
              </a:schemeClr>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OPUR" refreshedDate="46064.785401388886" createdVersion="8" refreshedVersion="8" minRefreshableVersion="3" recordCount="1000" xr:uid="{53D13F9D-5D0A-4157-9E3D-2B4FC2B97250}">
  <cacheSource type="worksheet">
    <worksheetSource name="Table1"/>
  </cacheSource>
  <cacheFields count="17">
    <cacheField name="Movie_Id" numFmtId="0">
      <sharedItems/>
    </cacheField>
    <cacheField name="Title" numFmtId="0">
      <sharedItems containsMixedTypes="1" containsNumber="1" containsInteger="1" minValue="1917" maxValue="1917"/>
    </cacheField>
    <cacheField name="Year" numFmtId="0">
      <sharedItems containsSemiMixedTypes="0" containsString="0" containsNumber="1" containsInteger="1" minValue="1940" maxValue="2024" count="72">
        <n v="2004"/>
        <n v="2012"/>
        <n v="2008"/>
        <n v="2019"/>
        <n v="2000"/>
        <n v="2023"/>
        <n v="2021"/>
        <n v="2009"/>
        <n v="1945"/>
        <n v="2014"/>
        <n v="2022"/>
        <n v="2002"/>
        <n v="2013"/>
        <n v="1977"/>
        <n v="1997"/>
        <n v="1960"/>
        <n v="1963"/>
        <n v="1961"/>
        <n v="2024"/>
        <n v="2011"/>
        <n v="2018"/>
        <n v="1987"/>
        <n v="1992"/>
        <n v="2017"/>
        <n v="2003"/>
        <n v="1949"/>
        <n v="1976"/>
        <n v="1990"/>
        <n v="1988"/>
        <n v="1972"/>
        <n v="1984"/>
        <n v="1983"/>
        <n v="1998"/>
        <n v="1996"/>
        <n v="2006"/>
        <n v="2020"/>
        <n v="1944"/>
        <n v="1974"/>
        <n v="1970"/>
        <n v="1962"/>
        <n v="2005"/>
        <n v="1975"/>
        <n v="1968"/>
        <n v="1940"/>
        <n v="2007"/>
        <n v="2001"/>
        <n v="1969"/>
        <n v="1981"/>
        <n v="1982"/>
        <n v="1955"/>
        <n v="1943"/>
        <n v="2015"/>
        <n v="2010"/>
        <n v="1957"/>
        <n v="1959"/>
        <n v="1964"/>
        <n v="1950"/>
        <n v="1980"/>
        <n v="1985"/>
        <n v="1991"/>
        <n v="2016"/>
        <n v="1993"/>
        <n v="1995"/>
        <n v="1978"/>
        <n v="1971"/>
        <n v="1989"/>
        <n v="1986"/>
        <n v="1994"/>
        <n v="1966"/>
        <n v="1967"/>
        <n v="1942"/>
        <n v="1999"/>
      </sharedItems>
    </cacheField>
    <cacheField name="Decade" numFmtId="0">
      <sharedItems containsSemiMixedTypes="0" containsString="0" containsNumber="1" containsInteger="1" minValue="1940" maxValue="2020" count="9">
        <n v="2000"/>
        <n v="2010"/>
        <n v="2020"/>
        <n v="1940"/>
        <n v="1970"/>
        <n v="1990"/>
        <n v="1960"/>
        <n v="1980"/>
        <n v="1950"/>
      </sharedItems>
    </cacheField>
    <cacheField name="Certificate" numFmtId="0">
      <sharedItems count="6">
        <s v="PG-13"/>
        <s v="R"/>
        <s v="PG"/>
        <s v="G"/>
        <s v="Not Rated"/>
        <s v="NC-17"/>
      </sharedItems>
    </cacheField>
    <cacheField name="Runtime_minutes" numFmtId="0">
      <sharedItems containsSemiMixedTypes="0" containsString="0" containsNumber="1" containsInteger="1" minValue="70" maxValue="198" count="96">
        <n v="103"/>
        <n v="159"/>
        <n v="77"/>
        <n v="116"/>
        <n v="126"/>
        <n v="123"/>
        <n v="141"/>
        <n v="121"/>
        <n v="124"/>
        <n v="143"/>
        <n v="125"/>
        <n v="128"/>
        <n v="127"/>
        <n v="140"/>
        <n v="97"/>
        <n v="122"/>
        <n v="107"/>
        <n v="132"/>
        <n v="119"/>
        <n v="96"/>
        <n v="70"/>
        <n v="80"/>
        <n v="118"/>
        <n v="131"/>
        <n v="110"/>
        <n v="150"/>
        <n v="154"/>
        <n v="162"/>
        <n v="102"/>
        <n v="129"/>
        <n v="108"/>
        <n v="105"/>
        <n v="106"/>
        <n v="99"/>
        <n v="114"/>
        <n v="151"/>
        <n v="98"/>
        <n v="87"/>
        <n v="93"/>
        <n v="91"/>
        <n v="157"/>
        <n v="130"/>
        <n v="161"/>
        <n v="113"/>
        <n v="148"/>
        <n v="78"/>
        <n v="120"/>
        <n v="144"/>
        <n v="115"/>
        <n v="86"/>
        <n v="109"/>
        <n v="136"/>
        <n v="89"/>
        <n v="117"/>
        <n v="112"/>
        <n v="104"/>
        <n v="75"/>
        <n v="142"/>
        <n v="146"/>
        <n v="111"/>
        <n v="149"/>
        <n v="88"/>
        <n v="137"/>
        <n v="133"/>
        <n v="100"/>
        <n v="85"/>
        <n v="152"/>
        <n v="138"/>
        <n v="139"/>
        <n v="156"/>
        <n v="135"/>
        <n v="84"/>
        <n v="153"/>
        <n v="92"/>
        <n v="95"/>
        <n v="101"/>
        <n v="94"/>
        <n v="134"/>
        <n v="147"/>
        <n v="164"/>
        <n v="145"/>
        <n v="155"/>
        <n v="76"/>
        <n v="168"/>
        <n v="82"/>
        <n v="171"/>
        <n v="160"/>
        <n v="90"/>
        <n v="158"/>
        <n v="81"/>
        <n v="165"/>
        <n v="163"/>
        <n v="83"/>
        <n v="172"/>
        <n v="73"/>
        <n v="198"/>
      </sharedItems>
    </cacheField>
    <cacheField name="Runtime_Category" numFmtId="0">
      <sharedItems/>
    </cacheField>
    <cacheField name="Genre" numFmtId="0">
      <sharedItems count="461">
        <s v="Action, Musical"/>
        <s v="War, Animation"/>
        <s v="Action, Mystery, War"/>
        <s v="Biography"/>
        <s v="Mystery"/>
        <s v="Crime"/>
        <s v="Romance"/>
        <s v="Fantasy, Action"/>
        <s v="War"/>
        <s v="Adventure"/>
        <s v="Fantasy, Romance"/>
        <s v="War, Family, Crime"/>
        <s v="War, Adventure"/>
        <s v="Western, Musical"/>
        <s v="Biography, Horror"/>
        <s v="Fantasy, Family, Action"/>
        <s v="War, Documentary"/>
        <s v="Documentary, Fantasy, War"/>
        <s v="Horror"/>
        <s v="Mystery, Drama"/>
        <s v="Documentary, Romance"/>
        <s v="Action, Mystery"/>
        <s v="Animation"/>
        <s v="Comedy, Documentary"/>
        <s v="Adventure, Musical"/>
        <s v="Comedy, Sci-Fi"/>
        <s v="Romance, War, Western"/>
        <s v="Thriller, Action"/>
        <s v="Biography, Crime"/>
        <s v="Drama, Horror"/>
        <s v="Comedy, Action"/>
        <s v="Action"/>
        <s v="Sci-Fi, Romance"/>
        <s v="Comedy, Family"/>
        <s v="Documentary"/>
        <s v="Drama"/>
        <s v="Mystery, Thriller"/>
        <s v="Sci-Fi, Crime"/>
        <s v="Drama, Action"/>
        <s v="Fantasy, Sci-Fi"/>
        <s v="Musical, Thriller"/>
        <s v="Comedy, Western, Romance"/>
        <s v="Thriller"/>
        <s v="Thriller, Sci-Fi"/>
        <s v="Mystery, Romance, Action"/>
        <s v="Fantasy, Thriller"/>
        <s v="Adventure, Family"/>
        <s v="Animation, Mystery"/>
        <s v="Sci-Fi, Fantasy"/>
        <s v="Fantasy, Crime"/>
        <s v="Animation, Western"/>
        <s v="Drama, Crime"/>
        <s v="Comedy, Animation"/>
        <s v="Western, Mystery"/>
        <s v="Western, Thriller"/>
        <s v="War, Romance, Fantasy"/>
        <s v="Musical, Documentary, Adventure"/>
        <s v="Family"/>
        <s v="Family, Sci-Fi"/>
        <s v="Romance, Drama"/>
        <s v="Mystery, Action"/>
        <s v="Sci-Fi, Adventure, Family"/>
        <s v="Documentary, Biography"/>
        <s v="Documentary, Action, Comedy"/>
        <s v="Family, Mystery"/>
        <s v="Family, Crime"/>
        <s v="Action, Sci-Fi"/>
        <s v="Romance, Horror"/>
        <s v="Western, Documentary"/>
        <s v="Action, Adventure"/>
        <s v="Musical"/>
        <s v="Thriller, Family, Fantasy"/>
        <s v="Musical, Mystery"/>
        <s v="War, Family"/>
        <s v="Mystery, Biography"/>
        <s v="Documentary, Fantasy, Western"/>
        <s v="Horror, Comedy"/>
        <s v="Musical, Animation"/>
        <s v="Family, War, Fantasy"/>
        <s v="Comedy, Western"/>
        <s v="Musical, Documentary"/>
        <s v="Drama, Mystery, Family"/>
        <s v="Mystery, Western"/>
        <s v="Animation, Action"/>
        <s v="Biography, Mystery, Romance"/>
        <s v="Sci-Fi, Family, Crime"/>
        <s v="Crime, Comedy, Drama"/>
        <s v="Musical, Family"/>
        <s v="Crime, Thriller"/>
        <s v="Crime, Adventure"/>
        <s v="Fantasy, Drama, Documentary"/>
        <s v="Romance, Musical"/>
        <s v="Sci-Fi"/>
        <s v="Comedy, Action, Thriller"/>
        <s v="Romance, War"/>
        <s v="Animation, Musical, Sci-Fi"/>
        <s v="Horror, Adventure, Fantasy"/>
        <s v="Adventure, Biography"/>
        <s v="Mystery, Adventure, Biography"/>
        <s v="Horror, Sci-Fi"/>
        <s v="War, Western"/>
        <s v="Drama, Comedy"/>
        <s v="Biography, Sci-Fi"/>
        <s v="Drama, Romance, War"/>
        <s v="Biography, Documentary"/>
        <s v="Sci-Fi, Musical"/>
        <s v="Western, Action"/>
        <s v="Mystery, Western, Drama"/>
        <s v="Action, Adventure, Mystery"/>
        <s v="Documentary, Biography, Drama"/>
        <s v="Crime, Action, Family"/>
        <s v="Animation, Horror"/>
        <s v="Sci-Fi, Musical, Documentary"/>
        <s v="Documentary, Sci-Fi, Comedy"/>
        <s v="Adventure, Documentary"/>
        <s v="Fantasy"/>
        <s v="Biography, Western"/>
        <s v="Drama, Fantasy"/>
        <s v="Fantasy, Mystery"/>
        <s v="Family, Animation, Drama"/>
        <s v="Sci-Fi, Mystery"/>
        <s v="Documentary, Musical, War"/>
        <s v="Drama, Horror, Fantasy"/>
        <s v="Action, Fantasy"/>
        <s v="Family, Crime, Fantasy"/>
        <s v="Adventure, Thriller"/>
        <s v="Drama, Thriller"/>
        <s v="Romance, Sci-Fi"/>
        <s v="Western, Adventure"/>
        <s v="Western, Comedy"/>
        <s v="Western"/>
        <s v="Thriller, Western"/>
        <s v="Western, Biography, Comedy"/>
        <s v="Comedy, War"/>
        <s v="Musical, Animation, Biography"/>
        <s v="Comedy, Crime"/>
        <s v="Horror, Crime, Action"/>
        <s v="Animation, Romance"/>
        <s v="War, Comedy"/>
        <s v="Sci-Fi, Adventure, Musical"/>
        <s v="Crime, Comedy, Musical"/>
        <s v="Western, Sci-Fi"/>
        <s v="Animation, Sci-Fi"/>
        <s v="Animation, Adventure, Musical"/>
        <s v="Fantasy, War"/>
        <s v="Horror, Musical"/>
        <s v="Thriller, Family"/>
        <s v="Sci-Fi, Romance, Crime"/>
        <s v="Action, Documentary"/>
        <s v="Documentary, Crime"/>
        <s v="Adventure, Crime"/>
        <s v="Western, Drama"/>
        <s v="Family, Horror"/>
        <s v="Crime, Musical, Documentary"/>
        <s v="Horror, Western, Animation"/>
        <s v="Crime, Sci-Fi, Romance"/>
        <s v="War, Sci-Fi, Musical"/>
        <s v="Sci-Fi, Thriller"/>
        <s v="Comedy"/>
        <s v="Romance, Biography, Mystery"/>
        <s v="Musical, Family, War"/>
        <s v="Documentary, Family"/>
        <s v="Musical, Adventure"/>
        <s v="Horror, Thriller, War"/>
        <s v="Drama, Sci-Fi, Comedy"/>
        <s v="Drama, Adventure, Crime"/>
        <s v="Biography, Romance"/>
        <s v="Biography, Comedy, Family"/>
        <s v="Animation, Family"/>
        <s v="Biography, Drama"/>
        <s v="Horror, Biography"/>
        <s v="Fantasy, Mystery, Musical"/>
        <s v="War, Romance"/>
        <s v="Documentary, Mystery, Musical"/>
        <s v="Musical, Action"/>
        <s v="Comedy, Thriller"/>
        <s v="Sci-Fi, War, Mystery"/>
        <s v="Adventure, Comedy"/>
        <s v="Action, Crime"/>
        <s v="Musical, Horror"/>
        <s v="Horror, Adventure"/>
        <s v="Crime, Western"/>
        <s v="Animation, War, Adventure"/>
        <s v="War, Mystery"/>
        <s v="Documentary, Action, Western"/>
        <s v="Romance, Biography"/>
        <s v="Horror, Fantasy"/>
        <s v="Adventure, Animation"/>
        <s v="Romance, Horror, Crime"/>
        <s v="Comedy, Mystery, Thriller"/>
        <s v="Documentary, War"/>
        <s v="Thriller, Animation"/>
        <s v="Fantasy, Biography"/>
        <s v="Crime, Animation"/>
        <s v="Family, Action"/>
        <s v="Biography, Action"/>
        <s v="Crime, Mystery"/>
        <s v="Romance, Thriller"/>
        <s v="Family, Romance"/>
        <s v="Thriller, Fantasy"/>
        <s v="Horror, Fantasy, Documentary"/>
        <s v="Mystery, Comedy, Thriller"/>
        <s v="Action, Family"/>
        <s v="Action, Animation, Biography"/>
        <s v="Adventure, Documentary, Thriller"/>
        <s v="Horror, Animation"/>
        <s v="Documentary, Musical"/>
        <s v="Comedy, Fantasy"/>
        <s v="Action, Western"/>
        <s v="Mystery, Adventure"/>
        <s v="Sci-Fi, Thriller, Western"/>
        <s v="Family, Animation"/>
        <s v="Documentary, Comedy, Horror"/>
        <s v="Documentary, Adventure"/>
        <s v="Western, Sci-Fi, Documentary"/>
        <s v="Romance, Sci-Fi, War"/>
        <s v="Family, War, Documentary"/>
        <s v="Biography, Thriller, War"/>
        <s v="Drama, Western"/>
        <s v="Family, War"/>
        <s v="War, Biography"/>
        <s v="Drama, Documentary"/>
        <s v="Action, Romance"/>
        <s v="Adventure, Documentary, Musical"/>
        <s v="Drama, Mystery"/>
        <s v="Crime, Animation, Thriller"/>
        <s v="Thriller, Adventure"/>
        <s v="Western, Horror"/>
        <s v="Musical, Comedy"/>
        <s v="Thriller, Biography, Sci-Fi"/>
        <s v="Documentary, Drama"/>
        <s v="Adventure, Comedy, Documentary"/>
        <s v="Thriller, Crime, Action"/>
        <s v="Musical, Drama"/>
        <s v="Action, Romance, Horror"/>
        <s v="Mystery, Family, Sci-Fi"/>
        <s v="Adventure, Thriller, Drama"/>
        <s v="Horror, Crime"/>
        <s v="Crime, Horror"/>
        <s v="Documentary, Romance, Adventure"/>
        <s v="Family, Animation, Western"/>
        <s v="Documentary, Sci-Fi"/>
        <s v="Sci-Fi, Comedy"/>
        <s v="Horror, Thriller"/>
        <s v="War, Adventure, Western"/>
        <s v="Crime, Sci-Fi, Documentary"/>
        <s v="Drama, Horror, Thriller"/>
        <s v="Musical, Mystery, Crime"/>
        <s v="Horror, Musical, Documentary"/>
        <s v="Drama, Biography"/>
        <s v="Action, Horror"/>
        <s v="Mystery, Musical"/>
        <s v="Musical, Western"/>
        <s v="Adventure, Action, Thriller"/>
        <s v="Mystery, Fantasy, Crime"/>
        <s v="War, Sci-Fi"/>
        <s v="Horror, Thriller, Fantasy"/>
        <s v="Family, Sci-Fi, Musical"/>
        <s v="Mystery, Fantasy"/>
        <s v="Sci-Fi, Documentary"/>
        <s v="War, Thriller, Animation"/>
        <s v="Fantasy, Drama, War"/>
        <s v="Biography, Western, War"/>
        <s v="Romance, Western"/>
        <s v="Adventure, Western"/>
        <s v="Family, Thriller"/>
        <s v="Animation, Adventure"/>
        <s v="Biography, Thriller"/>
        <s v="Thriller, Musical"/>
        <s v="Thriller, Comedy"/>
        <s v="Animation, Fantasy"/>
        <s v="Action, Biography"/>
        <s v="Sci-Fi, Horror"/>
        <s v="Sci-Fi, Horror, Animation"/>
        <s v="Musical, Fantasy, Action"/>
        <s v="Documentary, Mystery"/>
        <s v="Adventure, Sci-Fi, Action"/>
        <s v="Fantasy, Family, Comedy"/>
        <s v="Family, Animation, Fantasy"/>
        <s v="Adventure, Fantasy"/>
        <s v="Mystery, Romance"/>
        <s v="Western, Biography"/>
        <s v="Fantasy, Comedy"/>
        <s v="Sci-Fi, Animation"/>
        <s v="Thriller, Drama, Western"/>
        <s v="Horror, Drama"/>
        <s v="Romance, Action"/>
        <s v="Action, Western, Biography"/>
        <s v="Documentary, Thriller"/>
        <s v="Horror, War, Drama"/>
        <s v="Documentary, Horror"/>
        <s v="War, Family, Mystery"/>
        <s v="Western, Action, Biography"/>
        <s v="Sci-Fi, War, Crime"/>
        <s v="Fantasy, Animation, Adventure"/>
        <s v="Western, Romance, Biography"/>
        <s v="Western, Fantasy"/>
        <s v="Horror, Animation, Thriller"/>
        <s v="Fantasy, Horror"/>
        <s v="Documentary, Action"/>
        <s v="Horror, War"/>
        <s v="Musical, War, Horror"/>
        <s v="Romance, Adventure"/>
        <s v="Thriller, Sci-Fi, Action"/>
        <s v="War, Horror"/>
        <s v="Comedy, Thriller, War"/>
        <s v="Animation, Comedy, Mystery"/>
        <s v="Romance, Sci-Fi, Drama"/>
        <s v="Adventure, Animation, Fantasy"/>
        <s v="Sci-Fi, Thriller, Drama"/>
        <s v="Documentary, Comedy"/>
        <s v="Family, Comedy"/>
        <s v="Drama, Adventure"/>
        <s v="Animation, Drama"/>
        <s v="Adventure, Romance"/>
        <s v="Animation, War"/>
        <s v="Biography, Animation"/>
        <s v="Documentary, War, Fantasy"/>
        <s v="Romance, Crime"/>
        <s v="Family, Comedy, Action"/>
        <s v="Thriller, Animation, Horror"/>
        <s v="Crime, Comedy"/>
        <s v="Animation, Musical"/>
        <s v="Documentary, Comedy, Sci-Fi"/>
        <s v="Romance, Drama, Biography"/>
        <s v="Romance, Biography, Sci-Fi"/>
        <s v="Drama, Musical"/>
        <s v="Musical, Crime"/>
        <s v="Drama, Romance, Documentary"/>
        <s v="Thriller, Crime"/>
        <s v="Adventure, War"/>
        <s v="Mystery, Sci-Fi, Drama"/>
        <s v="Horror, Thriller, Drama"/>
        <s v="Thriller, Mystery"/>
        <s v="Comedy, Biography"/>
        <s v="Western, Adventure, Thriller"/>
        <s v="Thriller, Comedy, Crime"/>
        <s v="Documentary, Crime, War"/>
        <s v="War, Thriller"/>
        <s v="War, Drama"/>
        <s v="Romance, Family"/>
        <s v="Comedy, Musical"/>
        <s v="Mystery, War"/>
        <s v="Documentary, Family, Adventure"/>
        <s v="Thriller, Fantasy, Sci-Fi"/>
        <s v="Drama, Documentary, Sci-Fi"/>
        <s v="Animation, Crime"/>
        <s v="Musical, War, Fantasy"/>
        <s v="Horror, Adventure, Musical"/>
        <s v="Western, Mystery, Sci-Fi"/>
        <s v="Thriller, Drama"/>
        <s v="Family, Adventure"/>
        <s v="Crime, Action"/>
        <s v="Adventure, Romance, Drama"/>
        <s v="Mystery, Documentary"/>
        <s v="Musical, Biography"/>
        <s v="Musical, Sci-Fi"/>
        <s v="Sci-Fi, Drama"/>
        <s v="Fantasy, Documentary"/>
        <s v="Sci-Fi, Adventure"/>
        <s v="Musical, Documentary, Biography"/>
        <s v="Drama, Adventure, Comedy"/>
        <s v="Sci-Fi, Horror, Action"/>
        <s v="Musical, Western, War"/>
        <s v="Thriller, Horror"/>
        <s v="Horror, Family"/>
        <s v="Mystery, Western, Sci-Fi"/>
        <s v="Adventure, Horror, Romance"/>
        <s v="Thriller, Adventure, Crime"/>
        <s v="Fantasy, Musical"/>
        <s v="Action, Biography, Animation"/>
        <s v="Mystery, Adventure, Horror"/>
        <s v="Action, Animation"/>
        <s v="Fantasy, War, Western"/>
        <s v="Fantasy, Animation, Sci-Fi"/>
        <s v="Drama, Thriller, Biography"/>
        <s v="Sci-Fi, War"/>
        <s v="Comedy, Animation, Drama"/>
        <s v="Adventure, Action"/>
        <s v="Crime, Drama"/>
        <s v="Action, Drama"/>
        <s v="Family, Documentary, Adventure"/>
        <s v="Western, Adventure, Crime"/>
        <s v="Crime, Musical, Sci-Fi"/>
        <s v="Horror, Sci-Fi, Mystery"/>
        <s v="Crime, Drama, Adventure"/>
        <s v="Biography, War"/>
        <s v="Sci-Fi, Romance, Drama"/>
        <s v="Adventure, Horror"/>
        <s v="Drama, Sci-Fi"/>
        <s v="Thriller, Romance"/>
        <s v="Comedy, Animation, Mystery"/>
        <s v="Drama, Musical, Adventure"/>
        <s v="Crime, Romance"/>
        <s v="Thriller, Documentary"/>
        <s v="Comedy, Musical, Documentary"/>
        <s v="Fantasy, Western, War"/>
        <s v="Horror, Fantasy, Family"/>
        <s v="Mystery, Animation"/>
        <s v="Mystery, Comedy"/>
        <s v="Drama, Romance"/>
        <s v="Fantasy, Western, Horror"/>
        <s v="War, Animation, Fantasy"/>
        <s v="Drama, Family, Mystery"/>
        <s v="Thriller, Comedy, Family"/>
        <s v="Documentary, Fantasy"/>
        <s v="Drama, Thriller, Fantasy"/>
        <s v="Animation, Romance, Documentary"/>
        <s v="Animation, Biography"/>
        <s v="Musical, Romance"/>
        <s v="Western, Crime"/>
        <s v="Mystery, Drama, Sci-Fi"/>
        <s v="Comedy, Mystery"/>
        <s v="Sci-Fi, Documentary, Horror"/>
        <s v="Horror, Documentary"/>
        <s v="Sci-Fi, Crime, Horror"/>
        <s v="Animation, Horror, Action"/>
        <s v="Thriller, War"/>
        <s v="Adventure, Drama, Action"/>
        <s v="Fantasy, Adventure, Comedy"/>
        <s v="Western, Crime, Drama"/>
        <s v="Sci-Fi, Action, Biography"/>
        <s v="Drama, Musical, Sci-Fi"/>
        <s v="Mystery, Drama, Thriller"/>
        <s v="Fantasy, Family"/>
        <s v="Romance, Animation"/>
        <s v="Sci-Fi, Family"/>
        <s v="Horror, Romance"/>
        <s v="Horror, Western, Comedy"/>
        <s v="Action, Documentary, Thriller"/>
        <s v="Family, Drama"/>
        <s v="Documentary, Mystery, Adventure"/>
        <s v="Drama, Animation"/>
        <s v="Crime, Musical"/>
        <s v="Mystery, Sci-Fi"/>
        <s v="Adventure, Thriller, Comedy"/>
        <s v="Sci-Fi, Biography"/>
        <s v="War, Crime"/>
        <s v="Mystery, Horror"/>
        <s v="Biography, War, Romance"/>
        <s v="Mystery, Comedy, Action"/>
        <s v="Fantasy, Western"/>
        <s v="Thriller, Action, Sci-Fi"/>
        <s v="Biography, Mystery, Comedy"/>
        <s v="Sci-Fi, Action"/>
        <s v="Musical, War"/>
        <s v="War, Action"/>
        <s v="Musical, Family, Adventure"/>
        <s v="Romance, Mystery"/>
        <s v="Crime, Family"/>
        <s v="Documentary, Sci-Fi, Thriller"/>
        <s v="Sci-Fi, Romance, Western"/>
        <s v="Fantasy, Adventure, Mystery"/>
        <s v="Animation, Documentary"/>
        <s v="Comedy, Romance, Musical"/>
        <s v="Sci-Fi, Comedy, Mystery"/>
        <s v="Action, Sci-Fi, Mystery"/>
        <s v="Horror, Adventure, Crime"/>
        <s v="Comedy, Mystery, Musical"/>
        <s v="Documentary, Drama, Fantasy"/>
        <s v="Comedy, Horror"/>
      </sharedItems>
    </cacheField>
    <cacheField name="Rating" numFmtId="0">
      <sharedItems containsSemiMixedTypes="0" containsString="0" containsNumber="1" minValue="4.0999999999999996" maxValue="9.5"/>
    </cacheField>
    <cacheField name="Metascore" numFmtId="0">
      <sharedItems containsString="0" containsBlank="1" containsNumber="1" containsInteger="1" minValue="30" maxValue="100" count="63">
        <m/>
        <n v="100"/>
        <n v="99"/>
        <n v="98"/>
        <n v="95"/>
        <n v="88"/>
        <n v="75"/>
        <n v="96"/>
        <n v="84"/>
        <n v="90"/>
        <n v="72"/>
        <n v="86"/>
        <n v="77"/>
        <n v="76"/>
        <n v="92"/>
        <n v="78"/>
        <n v="93"/>
        <n v="85"/>
        <n v="73"/>
        <n v="82"/>
        <n v="81"/>
        <n v="71"/>
        <n v="70"/>
        <n v="80"/>
        <n v="69"/>
        <n v="68"/>
        <n v="89"/>
        <n v="83"/>
        <n v="97"/>
        <n v="74"/>
        <n v="66"/>
        <n v="67"/>
        <n v="65"/>
        <n v="79"/>
        <n v="91"/>
        <n v="87"/>
        <n v="64"/>
        <n v="63"/>
        <n v="61"/>
        <n v="60"/>
        <n v="62"/>
        <n v="59"/>
        <n v="57"/>
        <n v="58"/>
        <n v="55"/>
        <n v="56"/>
        <n v="53"/>
        <n v="54"/>
        <n v="50"/>
        <n v="52"/>
        <n v="51"/>
        <n v="48"/>
        <n v="49"/>
        <n v="47"/>
        <n v="46"/>
        <n v="44"/>
        <n v="45"/>
        <n v="43"/>
        <n v="42"/>
        <n v="40"/>
        <n v="39"/>
        <n v="38"/>
        <n v="30"/>
      </sharedItems>
    </cacheField>
    <cacheField name="Description" numFmtId="0">
      <sharedItems/>
    </cacheField>
    <cacheField name="Director" numFmtId="0">
      <sharedItems count="37">
        <s v="Park Chan-wook"/>
        <s v="Ridley Scott"/>
        <s v="Spike Lee"/>
        <s v="Jordan Peele"/>
        <s v="Sam Mendes"/>
        <s v="Coen Brothers"/>
        <s v="Ang Lee"/>
        <s v="Guillermo del Toro"/>
        <s v="Peter Jackson"/>
        <s v="Francis Ford Coppola"/>
        <s v="Stanley Kubrick"/>
        <s v="Robert Zemeckis"/>
        <s v="Akira Kurosawa"/>
        <s v="Ava DuVernay"/>
        <s v="Frank Darabont"/>
        <s v="Quentin Tarantino"/>
        <s v="Martin Scorsese"/>
        <s v="Wong Kar-wai"/>
        <s v="Bong Joon-ho"/>
        <s v="Greta Gerwig"/>
        <s v="Alfred Hitchcock"/>
        <s v="Christopher Nolan"/>
        <s v="Danny Boyle"/>
        <s v="Kathryn Bigelow"/>
        <s v="Clint Eastwood"/>
        <s v="David Fincher"/>
        <s v="Edgar Wright"/>
        <s v="Steven Spielberg"/>
        <s v="Hayao Miyazaki"/>
        <s v="Denis Villeneuve"/>
        <s v="Pedro AlmodÃ³var"/>
        <s v="Ryan Coogler"/>
        <s v="James Cameron"/>
        <s v="Ron Howard"/>
        <s v="Wes Anderson"/>
        <s v="Taika Waititi"/>
        <s v="George Lucas"/>
      </sharedItems>
    </cacheField>
    <cacheField name="Stars" numFmtId="0">
      <sharedItems/>
    </cacheField>
    <cacheField name="Votes" numFmtId="0">
      <sharedItems containsSemiMixedTypes="0" containsString="0" containsNumber="1" containsInteger="1" minValue="1000" maxValue="2500000"/>
    </cacheField>
    <cacheField name="Gross_millions" numFmtId="164">
      <sharedItems containsString="0" containsBlank="1" containsNumber="1" minValue="5.2" maxValue="987.17"/>
    </cacheField>
    <cacheField name="Gross_millions_Clean" numFmtId="164">
      <sharedItems containsSemiMixedTypes="0" containsString="0" containsNumber="1" minValue="0" maxValue="987.17"/>
    </cacheField>
    <cacheField name="Profitablity Indicator" numFmtId="0">
      <sharedItems/>
    </cacheField>
  </cacheFields>
  <extLst>
    <ext xmlns:x14="http://schemas.microsoft.com/office/spreadsheetml/2009/9/main" uri="{725AE2AE-9491-48be-B2B4-4EB974FC3084}">
      <x14:pivotCacheDefinition pivotCacheId="165079738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OPUR" refreshedDate="46065.479181481482" createdVersion="8" refreshedVersion="8" minRefreshableVersion="3" recordCount="1912" xr:uid="{98AA78F2-2B73-4040-80C7-58FA1A42D96D}">
  <cacheSource type="worksheet">
    <worksheetSource name="Table13_1"/>
  </cacheSource>
  <cacheFields count="16">
    <cacheField name="Movie_Id" numFmtId="0">
      <sharedItems/>
    </cacheField>
    <cacheField name="Title" numFmtId="0">
      <sharedItems containsMixedTypes="1" containsNumber="1" containsInteger="1" minValue="1917" maxValue="1917"/>
    </cacheField>
    <cacheField name="Year" numFmtId="0">
      <sharedItems containsSemiMixedTypes="0" containsString="0" containsNumber="1" containsInteger="1" minValue="1940" maxValue="2024"/>
    </cacheField>
    <cacheField name="Decade" numFmtId="0">
      <sharedItems containsSemiMixedTypes="0" containsString="0" containsNumber="1" containsInteger="1" minValue="1940" maxValue="2020"/>
    </cacheField>
    <cacheField name="Certificate" numFmtId="0">
      <sharedItems count="6">
        <s v="PG-13"/>
        <s v="R"/>
        <s v="PG"/>
        <s v="G"/>
        <s v="Not Rated"/>
        <s v="NC-17"/>
      </sharedItems>
    </cacheField>
    <cacheField name="Runtime_minutes" numFmtId="0">
      <sharedItems containsSemiMixedTypes="0" containsString="0" containsNumber="1" containsInteger="1" minValue="70" maxValue="198"/>
    </cacheField>
    <cacheField name="Runtime_Category" numFmtId="0">
      <sharedItems/>
    </cacheField>
    <cacheField name="Description" numFmtId="0">
      <sharedItems/>
    </cacheField>
    <cacheField name="Director" numFmtId="0">
      <sharedItems/>
    </cacheField>
    <cacheField name="Stars" numFmtId="0">
      <sharedItems/>
    </cacheField>
    <cacheField name="Votes" numFmtId="0">
      <sharedItems containsSemiMixedTypes="0" containsString="0" containsNumber="1" containsInteger="1" minValue="1000" maxValue="2500000"/>
    </cacheField>
    <cacheField name="Gross_millions" numFmtId="0">
      <sharedItems containsString="0" containsBlank="1" containsNumber="1" minValue="5.2" maxValue="987.17"/>
    </cacheField>
    <cacheField name="Gross_millions_Clean" numFmtId="0">
      <sharedItems containsSemiMixedTypes="0" containsString="0" containsNumber="1" minValue="0" maxValue="987.17"/>
    </cacheField>
    <cacheField name="Profitablity Indicator" numFmtId="0">
      <sharedItems/>
    </cacheField>
    <cacheField name="Genre" numFmtId="0">
      <sharedItems/>
    </cacheField>
    <cacheField name="Genre_Clean" numFmtId="0">
      <sharedItems count="18">
        <s v="Action"/>
        <s v="Musical"/>
        <s v="War"/>
        <s v="Animation"/>
        <s v="Mystery"/>
        <s v="Biography"/>
        <s v="Crime"/>
        <s v="Romance"/>
        <s v="Fantasy"/>
        <s v="Adventure"/>
        <s v="Family"/>
        <s v="Western"/>
        <s v="Horror"/>
        <s v="Documentary"/>
        <s v="Drama"/>
        <s v="Comedy"/>
        <s v="Sci-Fi"/>
        <s v="Thriller"/>
      </sharedItems>
    </cacheField>
  </cacheFields>
  <extLst>
    <ext xmlns:x14="http://schemas.microsoft.com/office/spreadsheetml/2009/9/main" uri="{725AE2AE-9491-48be-B2B4-4EB974FC3084}">
      <x14:pivotCacheDefinition pivotCacheId="11572338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t1000835"/>
    <s v="Dark Love 728"/>
    <x v="0"/>
    <x v="0"/>
    <x v="0"/>
    <x v="0"/>
    <s v="Medium"/>
    <x v="0"/>
    <n v="9.5"/>
    <x v="0"/>
    <s v="A critically acclaimed action masterpiece."/>
    <x v="0"/>
    <s v="Matt Damon, Leonardo DiCaprio, Meryl Streep, Robert De Niro"/>
    <n v="774648"/>
    <n v="204.79"/>
    <n v="204.79"/>
    <s v="Blockbuster"/>
  </r>
  <r>
    <s v="tt1000768"/>
    <s v="First Awakening 661"/>
    <x v="1"/>
    <x v="1"/>
    <x v="1"/>
    <x v="1"/>
    <s v="Long"/>
    <x v="1"/>
    <n v="9.5"/>
    <x v="0"/>
    <s v="An epic war tale directed by Ridley Scott."/>
    <x v="1"/>
    <s v="Matt Damon, Jack Nicholson, Chris Hemsworth, Zendaya"/>
    <n v="297518"/>
    <n v="951.58"/>
    <n v="951.58"/>
    <s v="Blockbuster"/>
  </r>
  <r>
    <s v="tt1000652"/>
    <s v="The Dreams 545"/>
    <x v="2"/>
    <x v="0"/>
    <x v="1"/>
    <x v="2"/>
    <s v="Short"/>
    <x v="2"/>
    <n v="9.5"/>
    <x v="1"/>
    <s v="An epic action tale directed by Spike Lee."/>
    <x v="2"/>
    <s v="Natalie Portman, Mark Ruffalo, Viola Davis, Harrison Ford, Margot Robbie"/>
    <n v="583752"/>
    <n v="372.85"/>
    <n v="372.85"/>
    <s v="Blockbuster"/>
  </r>
  <r>
    <s v="tt1000538"/>
    <s v="Last Mission 431"/>
    <x v="3"/>
    <x v="1"/>
    <x v="0"/>
    <x v="3"/>
    <s v="Medium"/>
    <x v="3"/>
    <n v="9.5"/>
    <x v="0"/>
    <s v="A critically acclaimed biography masterpiece."/>
    <x v="3"/>
    <s v="Al Pacino, Gary Oldman, Keanu Reeves, Kate Winslet"/>
    <n v="187450"/>
    <m/>
    <n v="0"/>
    <s v="Average"/>
  </r>
  <r>
    <s v="tt1000159"/>
    <s v="The Story 52"/>
    <x v="4"/>
    <x v="0"/>
    <x v="1"/>
    <x v="4"/>
    <s v="Long"/>
    <x v="4"/>
    <n v="9.5"/>
    <x v="2"/>
    <s v="A mystery film set in 2000."/>
    <x v="0"/>
    <s v="Zendaya, Chris Hemsworth, Viola Davis, Mark Ruffalo"/>
    <n v="642106"/>
    <n v="252.83"/>
    <n v="252.83"/>
    <s v="Blockbuster"/>
  </r>
  <r>
    <s v="tt1000840"/>
    <s v="Dark Legend 733"/>
    <x v="5"/>
    <x v="2"/>
    <x v="1"/>
    <x v="5"/>
    <s v="Long"/>
    <x v="5"/>
    <n v="9.5"/>
    <x v="3"/>
    <s v="A crime film set in 2023."/>
    <x v="4"/>
    <s v="Gary Oldman, Morgan Freeman, Keanu Reeves"/>
    <n v="207806"/>
    <n v="808.8"/>
    <n v="808.8"/>
    <s v="Blockbuster"/>
  </r>
  <r>
    <s v="tt1000678"/>
    <s v="A Revolution 571"/>
    <x v="4"/>
    <x v="0"/>
    <x v="2"/>
    <x v="6"/>
    <s v="Long"/>
    <x v="6"/>
    <n v="9.3000000000000007"/>
    <x v="0"/>
    <s v="An epic romance tale directed by Coen Brothers."/>
    <x v="5"/>
    <s v="Edward Norton, Al Pacino, Jennifer Lawrence"/>
    <n v="215726"/>
    <n v="64.12"/>
    <n v="64.12"/>
    <s v="Average"/>
  </r>
  <r>
    <s v="tt1000073"/>
    <s v="The Lord of the Rings: The Fellowship of the Ring"/>
    <x v="4"/>
    <x v="0"/>
    <x v="2"/>
    <x v="7"/>
    <s v="Long"/>
    <x v="7"/>
    <n v="9.1"/>
    <x v="3"/>
    <s v="An epic fantasy tale directed by Ang Lee."/>
    <x v="6"/>
    <s v="Emma Stone, Denzel Washington, Chris Hemsworth"/>
    <n v="7274"/>
    <n v="24.5"/>
    <n v="24.5"/>
    <s v="Average"/>
  </r>
  <r>
    <s v="tt1000484"/>
    <s v="The Mission 377"/>
    <x v="6"/>
    <x v="2"/>
    <x v="2"/>
    <x v="8"/>
    <s v="Long"/>
    <x v="5"/>
    <n v="9.1"/>
    <x v="4"/>
    <s v="A critically acclaimed crime masterpiece."/>
    <x v="7"/>
    <s v="Mark Ruffalo, Natalie Portman, Zendaya"/>
    <n v="279682"/>
    <m/>
    <n v="0"/>
    <s v="Average"/>
  </r>
  <r>
    <s v="tt1000293"/>
    <s v="Last Love 186"/>
    <x v="5"/>
    <x v="2"/>
    <x v="0"/>
    <x v="9"/>
    <s v="Long"/>
    <x v="8"/>
    <n v="9.1"/>
    <x v="5"/>
    <s v="A war film set in 2023."/>
    <x v="8"/>
    <s v="Leonardo DiCaprio, Gary Oldman, Meryl Streep, Amy Adams, Keanu Reeves"/>
    <n v="54004"/>
    <m/>
    <n v="0"/>
    <s v="Average"/>
  </r>
  <r>
    <s v="tt1000282"/>
    <s v="Dark Story 175"/>
    <x v="7"/>
    <x v="0"/>
    <x v="1"/>
    <x v="10"/>
    <s v="Long"/>
    <x v="9"/>
    <n v="9"/>
    <x v="0"/>
    <s v="A adventure film set in 2009."/>
    <x v="9"/>
    <s v="Morgan Freeman, Viola Davis, Scarlett Johansson"/>
    <n v="46006"/>
    <m/>
    <n v="0"/>
    <s v="Average"/>
  </r>
  <r>
    <s v="tt1000035"/>
    <s v="Star Wars"/>
    <x v="8"/>
    <x v="3"/>
    <x v="1"/>
    <x v="11"/>
    <s v="Long"/>
    <x v="10"/>
    <n v="9"/>
    <x v="6"/>
    <s v="A thrilling fantasy adventure."/>
    <x v="10"/>
    <s v="Meryl Streep, Al Pacino, Daniel Day-Lewis, Anthony Hopkins, Mark Ruffalo"/>
    <n v="93356"/>
    <n v="124.78"/>
    <n v="124.78"/>
    <s v="Hit"/>
  </r>
  <r>
    <s v="tt1000430"/>
    <s v="First Adventures 323"/>
    <x v="9"/>
    <x v="1"/>
    <x v="0"/>
    <x v="12"/>
    <s v="Long"/>
    <x v="11"/>
    <n v="9"/>
    <x v="7"/>
    <s v="A war film set in 2014."/>
    <x v="11"/>
    <s v="Florence Pugh, Brad Pitt, Chris Hemsworth"/>
    <n v="118662"/>
    <n v="131.58000000000001"/>
    <n v="131.58000000000001"/>
    <s v="Hit"/>
  </r>
  <r>
    <s v="tt1000388"/>
    <s v="Lost Mystery 281"/>
    <x v="10"/>
    <x v="2"/>
    <x v="2"/>
    <x v="13"/>
    <s v="Long"/>
    <x v="12"/>
    <n v="9"/>
    <x v="0"/>
    <s v="A war film set in 2022."/>
    <x v="1"/>
    <s v="Emma Stone, Brad Pitt, Keanu Reeves, Tom Cruise"/>
    <n v="955084"/>
    <m/>
    <n v="0"/>
    <s v="Average"/>
  </r>
  <r>
    <s v="tt1000996"/>
    <s v="Secret Destiny 889"/>
    <x v="11"/>
    <x v="0"/>
    <x v="0"/>
    <x v="14"/>
    <s v="Medium"/>
    <x v="13"/>
    <n v="9"/>
    <x v="0"/>
    <s v="A thrilling western adventure."/>
    <x v="12"/>
    <s v="Harrison Ford, Johnny Depp, Edward Norton, Keanu Reeves"/>
    <n v="1164424"/>
    <m/>
    <n v="0"/>
    <s v="Average"/>
  </r>
  <r>
    <s v="tt1000425"/>
    <s v="Secret Chronicles 318"/>
    <x v="12"/>
    <x v="1"/>
    <x v="0"/>
    <x v="15"/>
    <s v="Long"/>
    <x v="14"/>
    <n v="8.9"/>
    <x v="6"/>
    <s v="A critically acclaimed biography masterpiece."/>
    <x v="1"/>
    <s v="Robert Downey Jr., Kate Winslet, Tom Cruise"/>
    <n v="216018"/>
    <m/>
    <n v="0"/>
    <s v="Average"/>
  </r>
  <r>
    <s v="tt1000010"/>
    <s v="Goodfellas"/>
    <x v="13"/>
    <x v="4"/>
    <x v="2"/>
    <x v="16"/>
    <s v="Medium"/>
    <x v="15"/>
    <n v="8.9"/>
    <x v="1"/>
    <s v="An epic fantasy tale directed by Ava DuVernay."/>
    <x v="13"/>
    <s v="Amy Adams, Jack Nicholson, Brad Pitt, Leonardo DiCaprio, Mark Ruffalo"/>
    <n v="70408"/>
    <n v="19.98"/>
    <n v="19.98"/>
    <s v="Average"/>
  </r>
  <r>
    <s v="tt1000194"/>
    <s v="Secret Journey 87"/>
    <x v="14"/>
    <x v="5"/>
    <x v="0"/>
    <x v="17"/>
    <s v="Long"/>
    <x v="16"/>
    <n v="8.8000000000000007"/>
    <x v="8"/>
    <s v="A war film set in 1997."/>
    <x v="14"/>
    <s v="Zendaya, Amy Adams, Harrison Ford, Scarlett Johansson"/>
    <n v="157304"/>
    <n v="181.29"/>
    <n v="181.29"/>
    <s v="Hit"/>
  </r>
  <r>
    <s v="tt1000024"/>
    <s v="Life is Beautiful"/>
    <x v="15"/>
    <x v="6"/>
    <x v="0"/>
    <x v="18"/>
    <s v="Medium"/>
    <x v="17"/>
    <n v="8.8000000000000007"/>
    <x v="0"/>
    <s v="A critically acclaimed documentary masterpiece."/>
    <x v="15"/>
    <s v="Matt Damon, Edward Norton, Mark Ruffalo, Viola Davis, Denzel Washington"/>
    <n v="1411"/>
    <n v="263.5"/>
    <n v="263.5"/>
    <s v="Blockbuster"/>
  </r>
  <r>
    <s v="tt1000027"/>
    <s v="Terminator 2"/>
    <x v="16"/>
    <x v="6"/>
    <x v="0"/>
    <x v="12"/>
    <s v="Long"/>
    <x v="18"/>
    <n v="8.8000000000000007"/>
    <x v="1"/>
    <s v="A thrilling horror adventure."/>
    <x v="16"/>
    <s v="Cate Blanchett, Mark Ruffalo, Natalie Portman"/>
    <n v="33020"/>
    <n v="218.75"/>
    <n v="218.75"/>
    <s v="Blockbuster"/>
  </r>
  <r>
    <s v="tt1000039"/>
    <s v="Psycho"/>
    <x v="17"/>
    <x v="6"/>
    <x v="0"/>
    <x v="19"/>
    <s v="Medium"/>
    <x v="19"/>
    <n v="8.6999999999999993"/>
    <x v="9"/>
    <s v="A thrilling mystery adventure."/>
    <x v="17"/>
    <s v="Scarlett Johansson, Zendaya, Mark Ruffalo, Anthony Hopkins"/>
    <n v="221952"/>
    <n v="186.09"/>
    <n v="186.09"/>
    <s v="Hit"/>
  </r>
  <r>
    <s v="tt1000367"/>
    <s v="Final Journey 260"/>
    <x v="18"/>
    <x v="2"/>
    <x v="2"/>
    <x v="20"/>
    <s v="Short"/>
    <x v="9"/>
    <n v="8.6999999999999993"/>
    <x v="10"/>
    <s v="A adventure film set in 2024."/>
    <x v="10"/>
    <s v="Samuel L. Jackson, Jack Nicholson, Edward Norton, Harrison Ford, Tom Hanks"/>
    <n v="97124"/>
    <n v="642.62"/>
    <n v="642.62"/>
    <s v="Blockbuster"/>
  </r>
  <r>
    <s v="tt1000475"/>
    <s v="Final Secrets 368"/>
    <x v="19"/>
    <x v="1"/>
    <x v="2"/>
    <x v="21"/>
    <s v="Short"/>
    <x v="20"/>
    <n v="8.6999999999999993"/>
    <x v="0"/>
    <s v="A documentary film set in 2011."/>
    <x v="18"/>
    <s v="Mark Ruffalo, Daniel Day-Lewis, Jack Nicholson, Brad Pitt, Margot Robbie"/>
    <n v="22886"/>
    <m/>
    <n v="0"/>
    <s v="Average"/>
  </r>
  <r>
    <s v="tt1000532"/>
    <s v="A Mission 425"/>
    <x v="20"/>
    <x v="1"/>
    <x v="2"/>
    <x v="17"/>
    <s v="Long"/>
    <x v="21"/>
    <n v="8.6999999999999993"/>
    <x v="8"/>
    <s v="An epic action tale directed by Greta Gerwig."/>
    <x v="19"/>
    <s v="Zendaya, Robert Downey Jr., Daniel Day-Lewis"/>
    <n v="123542"/>
    <n v="987.17"/>
    <n v="987.17"/>
    <s v="Blockbuster"/>
  </r>
  <r>
    <s v="tt1000739"/>
    <s v="The Mission 632"/>
    <x v="0"/>
    <x v="0"/>
    <x v="2"/>
    <x v="22"/>
    <s v="Medium"/>
    <x v="22"/>
    <n v="8.6999999999999993"/>
    <x v="11"/>
    <s v="A critically acclaimed animation masterpiece."/>
    <x v="20"/>
    <s v="Scarlett Johansson, Samuel L. Jackson, Matt Damon"/>
    <n v="82668"/>
    <n v="50.27"/>
    <n v="50.27"/>
    <s v="Average"/>
  </r>
  <r>
    <s v="tt1000070"/>
    <s v="The Departed"/>
    <x v="21"/>
    <x v="7"/>
    <x v="1"/>
    <x v="23"/>
    <s v="Long"/>
    <x v="23"/>
    <n v="8.6999999999999993"/>
    <x v="12"/>
    <s v="A critically acclaimed comedy masterpiece."/>
    <x v="21"/>
    <s v="Margot Robbie, Brad Pitt, Anthony Hopkins, Gary Oldman"/>
    <n v="300536"/>
    <n v="38.26"/>
    <n v="38.26"/>
    <s v="Average"/>
  </r>
  <r>
    <s v="tt1000085"/>
    <s v="Dances with Wolves"/>
    <x v="22"/>
    <x v="5"/>
    <x v="3"/>
    <x v="24"/>
    <s v="Medium"/>
    <x v="9"/>
    <n v="8.6999999999999993"/>
    <x v="0"/>
    <s v="A adventure film set in 1992."/>
    <x v="4"/>
    <s v="Mark Ruffalo, Jennifer Lawrence, Jack Nicholson, Emma Stone"/>
    <n v="41424"/>
    <n v="204.77"/>
    <n v="204.77"/>
    <s v="Blockbuster"/>
  </r>
  <r>
    <s v="tt1000337"/>
    <s v="Final Adventures 230"/>
    <x v="23"/>
    <x v="1"/>
    <x v="2"/>
    <x v="5"/>
    <s v="Long"/>
    <x v="24"/>
    <n v="8.6999999999999993"/>
    <x v="13"/>
    <s v="An epic adventure tale directed by Park Chan-wook."/>
    <x v="0"/>
    <s v="Harrison Ford, Edward Norton, Denzel Washington, Tom Cruise"/>
    <n v="42588"/>
    <n v="67.67"/>
    <n v="67.67"/>
    <s v="Average"/>
  </r>
  <r>
    <s v="tt1000406"/>
    <s v="Lost Story 299"/>
    <x v="5"/>
    <x v="2"/>
    <x v="1"/>
    <x v="0"/>
    <s v="Medium"/>
    <x v="25"/>
    <n v="8.6999999999999993"/>
    <x v="0"/>
    <s v="A comedy film set in 2023."/>
    <x v="1"/>
    <s v="Scarlett Johansson, Tom Cruise, Will Smith, Cate Blanchett"/>
    <n v="20164"/>
    <n v="698.26"/>
    <n v="698.26"/>
    <s v="Blockbuster"/>
  </r>
  <r>
    <s v="tt1000641"/>
    <s v="A Revolution 534"/>
    <x v="24"/>
    <x v="0"/>
    <x v="0"/>
    <x v="8"/>
    <s v="Long"/>
    <x v="26"/>
    <n v="8.6999999999999993"/>
    <x v="8"/>
    <s v="A romance film set in 2003."/>
    <x v="6"/>
    <s v="Matt Damon, Emma Stone, Margot Robbie"/>
    <n v="30152"/>
    <n v="481.83"/>
    <n v="481.83"/>
    <s v="Blockbuster"/>
  </r>
  <r>
    <s v="tt1000022"/>
    <s v="Casablanca"/>
    <x v="25"/>
    <x v="3"/>
    <x v="1"/>
    <x v="22"/>
    <s v="Medium"/>
    <x v="27"/>
    <n v="8.6"/>
    <x v="14"/>
    <s v="A thriller film set in 1949."/>
    <x v="22"/>
    <s v="Tom Hanks, Jennifer Lawrence, Natalie Portman, Robert De Niro, Jack Nicholson"/>
    <n v="123595"/>
    <n v="281.54000000000002"/>
    <n v="281.54000000000002"/>
    <s v="Blockbuster"/>
  </r>
  <r>
    <s v="tt1000498"/>
    <s v="Last Mystery 391"/>
    <x v="9"/>
    <x v="1"/>
    <x v="2"/>
    <x v="25"/>
    <s v="Long"/>
    <x v="28"/>
    <n v="8.6"/>
    <x v="0"/>
    <s v="A critically acclaimed biography masterpiece."/>
    <x v="23"/>
    <s v="Brad Pitt, Daniel Day-Lewis, Gary Oldman"/>
    <n v="2500000"/>
    <n v="386.05"/>
    <n v="386.05"/>
    <s v="Blockbuster"/>
  </r>
  <r>
    <s v="tt1000030"/>
    <s v="The Avengers"/>
    <x v="26"/>
    <x v="4"/>
    <x v="0"/>
    <x v="7"/>
    <s v="Long"/>
    <x v="29"/>
    <n v="8.6"/>
    <x v="15"/>
    <s v="A thrilling drama adventure."/>
    <x v="22"/>
    <s v="Johnny Depp, Cate Blanchett, TimothÃ©e Chalamet, Scarlett Johansson"/>
    <n v="25064"/>
    <m/>
    <n v="0"/>
    <s v="Average"/>
  </r>
  <r>
    <s v="tt1000153"/>
    <s v="An Mission 46"/>
    <x v="27"/>
    <x v="5"/>
    <x v="1"/>
    <x v="19"/>
    <s v="Medium"/>
    <x v="30"/>
    <n v="8.6"/>
    <x v="1"/>
    <s v="A comedy film set in 1990."/>
    <x v="9"/>
    <s v="Keanu Reeves, Jack Nicholson, Robert Downey Jr., Chris Hemsworth"/>
    <n v="126252"/>
    <n v="203.62"/>
    <n v="203.62"/>
    <s v="Blockbuster"/>
  </r>
  <r>
    <s v="tt1000827"/>
    <s v="An Chronicles 720"/>
    <x v="10"/>
    <x v="2"/>
    <x v="2"/>
    <x v="26"/>
    <s v="Long"/>
    <x v="31"/>
    <n v="8.6"/>
    <x v="6"/>
    <s v="An epic action tale directed by Akira Kurosawa."/>
    <x v="12"/>
    <s v="Zendaya, Al Pacino, Florence Pugh"/>
    <n v="37916"/>
    <n v="572.53"/>
    <n v="572.53"/>
    <s v="Blockbuster"/>
  </r>
  <r>
    <s v="tt1000084"/>
    <s v="The Silence of the Lambs"/>
    <x v="28"/>
    <x v="7"/>
    <x v="1"/>
    <x v="27"/>
    <s v="Long"/>
    <x v="6"/>
    <n v="8.6"/>
    <x v="0"/>
    <s v="An epic romance tale directed by Martin Scorsese."/>
    <x v="16"/>
    <s v="Margot Robbie, Johnny Depp, Al Pacino"/>
    <n v="7354"/>
    <m/>
    <n v="0"/>
    <s v="Average"/>
  </r>
  <r>
    <s v="tt1000747"/>
    <s v="An Legend 640"/>
    <x v="12"/>
    <x v="1"/>
    <x v="3"/>
    <x v="23"/>
    <s v="Long"/>
    <x v="32"/>
    <n v="8.6"/>
    <x v="11"/>
    <s v="A thrilling sci-fi adventure."/>
    <x v="24"/>
    <s v="Mark Ruffalo, Chris Hemsworth, Natalie Portman, Robert De Niro, Denzel Washington"/>
    <n v="11460"/>
    <m/>
    <n v="0"/>
    <s v="Average"/>
  </r>
  <r>
    <s v="tt1000911"/>
    <s v="Final Mystery 804"/>
    <x v="23"/>
    <x v="1"/>
    <x v="2"/>
    <x v="28"/>
    <s v="Medium"/>
    <x v="33"/>
    <n v="8.6"/>
    <x v="0"/>
    <s v="A thrilling comedy adventure."/>
    <x v="13"/>
    <s v="Tom Cruise, Harrison Ford, Cate Blanchett"/>
    <n v="53996"/>
    <m/>
    <n v="0"/>
    <s v="Average"/>
  </r>
  <r>
    <s v="tt1000018"/>
    <s v="Whiplash"/>
    <x v="29"/>
    <x v="4"/>
    <x v="0"/>
    <x v="13"/>
    <s v="Long"/>
    <x v="34"/>
    <n v="8.6"/>
    <x v="8"/>
    <s v="A thrilling documentary adventure."/>
    <x v="7"/>
    <s v="Viola Davis, Al Pacino, Keanu Reeves, Kate Winslet, Denzel Washington"/>
    <n v="20403"/>
    <n v="163.31"/>
    <n v="163.31"/>
    <s v="Hit"/>
  </r>
  <r>
    <s v="tt1000067"/>
    <s v="The Kings Speech"/>
    <x v="30"/>
    <x v="7"/>
    <x v="0"/>
    <x v="23"/>
    <s v="Long"/>
    <x v="35"/>
    <n v="8.6"/>
    <x v="0"/>
    <s v="A thrilling drama adventure."/>
    <x v="25"/>
    <s v="Zendaya, Natalie Portman, Johnny Depp, Gary Oldman"/>
    <n v="349068"/>
    <n v="204.76"/>
    <n v="204.76"/>
    <s v="Blockbuster"/>
  </r>
  <r>
    <s v="tt1000058"/>
    <s v="Guardians of the Galaxy"/>
    <x v="31"/>
    <x v="7"/>
    <x v="1"/>
    <x v="10"/>
    <s v="Long"/>
    <x v="10"/>
    <n v="8.5"/>
    <x v="0"/>
    <s v="A fantasy film set in 1983."/>
    <x v="16"/>
    <s v="Samuel L. Jackson, Zendaya, Al Pacino, Kate Winslet"/>
    <n v="73263"/>
    <m/>
    <n v="0"/>
    <s v="Average"/>
  </r>
  <r>
    <s v="tt1000207"/>
    <s v="A Empire 100"/>
    <x v="18"/>
    <x v="2"/>
    <x v="2"/>
    <x v="29"/>
    <s v="Long"/>
    <x v="36"/>
    <n v="8.5"/>
    <x v="13"/>
    <s v="An epic mystery tale directed by Francis Ford Coppola."/>
    <x v="9"/>
    <s v="Brad Pitt, Matt Damon, Meryl Streep"/>
    <n v="901014"/>
    <n v="632.39"/>
    <n v="632.39"/>
    <s v="Blockbuster"/>
  </r>
  <r>
    <s v="tt1000310"/>
    <s v="The Awakening 203"/>
    <x v="12"/>
    <x v="1"/>
    <x v="2"/>
    <x v="30"/>
    <s v="Medium"/>
    <x v="37"/>
    <n v="8.5"/>
    <x v="16"/>
    <s v="A critically acclaimed sci-fi masterpiece."/>
    <x v="26"/>
    <s v="Mark Ruffalo, Viola Davis, Meryl Streep, Chris Hemsworth"/>
    <n v="13644"/>
    <n v="489.01"/>
    <n v="489.01"/>
    <s v="Blockbuster"/>
  </r>
  <r>
    <s v="tt1000099"/>
    <s v="Rocky"/>
    <x v="28"/>
    <x v="7"/>
    <x v="1"/>
    <x v="4"/>
    <s v="Long"/>
    <x v="9"/>
    <n v="8.5"/>
    <x v="9"/>
    <s v="A adventure film set in 1988."/>
    <x v="25"/>
    <s v="Robert De Niro, Mark Ruffalo, Al Pacino, TimothÃ©e Chalamet, Amy Adams"/>
    <n v="184750"/>
    <m/>
    <n v="0"/>
    <s v="Average"/>
  </r>
  <r>
    <s v="tt1000076"/>
    <s v="American Beauty"/>
    <x v="32"/>
    <x v="5"/>
    <x v="1"/>
    <x v="31"/>
    <s v="Medium"/>
    <x v="38"/>
    <n v="8.5"/>
    <x v="0"/>
    <s v="A thrilling drama adventure."/>
    <x v="21"/>
    <s v="Meryl Streep, Amy Adams, Florence Pugh"/>
    <n v="40038"/>
    <n v="39.020000000000003"/>
    <n v="39.020000000000003"/>
    <s v="Average"/>
  </r>
  <r>
    <s v="tt1000086"/>
    <s v="Driving Miss Daisy"/>
    <x v="30"/>
    <x v="7"/>
    <x v="2"/>
    <x v="11"/>
    <s v="Long"/>
    <x v="39"/>
    <n v="8.5"/>
    <x v="9"/>
    <s v="A fantasy film set in 1984."/>
    <x v="4"/>
    <s v="Al Pacino, Samuel L. Jackson, Robert De Niro, Tom Hanks"/>
    <n v="17888"/>
    <n v="23.19"/>
    <n v="23.19"/>
    <s v="Average"/>
  </r>
  <r>
    <s v="tt1000541"/>
    <s v="First Legend 434"/>
    <x v="11"/>
    <x v="0"/>
    <x v="2"/>
    <x v="32"/>
    <s v="Medium"/>
    <x v="40"/>
    <n v="8.5"/>
    <x v="4"/>
    <s v="A thrilling musical adventure."/>
    <x v="16"/>
    <s v="Johnny Depp, Amy Adams, Natalie Portman, Margot Robbie, Meryl Streep"/>
    <n v="605142"/>
    <n v="498.25"/>
    <n v="498.25"/>
    <s v="Blockbuster"/>
  </r>
  <r>
    <s v="tt1000078"/>
    <s v="Titanic"/>
    <x v="33"/>
    <x v="5"/>
    <x v="1"/>
    <x v="27"/>
    <s v="Long"/>
    <x v="41"/>
    <n v="8.5"/>
    <x v="5"/>
    <s v="A critically acclaimed comedy masterpiece."/>
    <x v="19"/>
    <s v="Al Pacino, Mark Ruffalo, Emma Stone, Leonardo DiCaprio"/>
    <n v="5740"/>
    <m/>
    <n v="0"/>
    <s v="Average"/>
  </r>
  <r>
    <s v="tt1000506"/>
    <s v="Lost Chronicles 399"/>
    <x v="34"/>
    <x v="0"/>
    <x v="3"/>
    <x v="33"/>
    <s v="Medium"/>
    <x v="42"/>
    <n v="8.5"/>
    <x v="17"/>
    <s v="A critically acclaimed thriller masterpiece."/>
    <x v="18"/>
    <s v="Kate Winslet, Jack Nicholson, Robert De Niro"/>
    <n v="747654"/>
    <n v="52.74"/>
    <n v="52.74"/>
    <s v="Average"/>
  </r>
  <r>
    <s v="tt1000945"/>
    <s v="An Mystery 838"/>
    <x v="35"/>
    <x v="2"/>
    <x v="0"/>
    <x v="34"/>
    <s v="Medium"/>
    <x v="42"/>
    <n v="8.5"/>
    <x v="18"/>
    <s v="A critically acclaimed thriller masterpiece."/>
    <x v="14"/>
    <s v="Florence Pugh, Denzel Washington, Tom Hanks, Johnny Depp, Zendaya"/>
    <n v="1372418"/>
    <n v="128.5"/>
    <n v="128.5"/>
    <s v="Hit"/>
  </r>
  <r>
    <s v="tt1000002"/>
    <s v="The Dark Knight"/>
    <x v="36"/>
    <x v="3"/>
    <x v="4"/>
    <x v="35"/>
    <s v="Long"/>
    <x v="43"/>
    <n v="8.5"/>
    <x v="19"/>
    <s v="An epic thriller tale directed by Sam Mendes."/>
    <x v="4"/>
    <s v="TimothÃ©e Chalamet, Mark Ruffalo, Florence Pugh, Johnny Depp"/>
    <n v="35528"/>
    <n v="137.85"/>
    <n v="137.85"/>
    <s v="Hit"/>
  </r>
  <r>
    <s v="tt1000013"/>
    <s v="Interstellar"/>
    <x v="37"/>
    <x v="4"/>
    <x v="0"/>
    <x v="5"/>
    <s v="Long"/>
    <x v="34"/>
    <n v="8.5"/>
    <x v="0"/>
    <s v="A critically acclaimed documentary masterpiece."/>
    <x v="18"/>
    <s v="TimothÃ©e Chalamet, Christian Bale, Emma Stone"/>
    <n v="92908"/>
    <n v="267.33"/>
    <n v="267.33"/>
    <s v="Blockbuster"/>
  </r>
  <r>
    <s v="tt1000011"/>
    <s v="The Silence of the Lambs"/>
    <x v="38"/>
    <x v="4"/>
    <x v="5"/>
    <x v="36"/>
    <s v="Medium"/>
    <x v="44"/>
    <n v="8.5"/>
    <x v="0"/>
    <s v="An epic mystery tale directed by Stanley Kubrick."/>
    <x v="10"/>
    <s v="Scarlett Johansson, Harrison Ford, Meryl Streep, Matt Damon, Gary Oldman"/>
    <n v="11510"/>
    <n v="63.84"/>
    <n v="63.84"/>
    <s v="Average"/>
  </r>
  <r>
    <s v="tt1000576"/>
    <s v="Lost Journey 469"/>
    <x v="3"/>
    <x v="1"/>
    <x v="2"/>
    <x v="12"/>
    <s v="Long"/>
    <x v="45"/>
    <n v="8.5"/>
    <x v="3"/>
    <s v="A fantasy film set in 2019."/>
    <x v="15"/>
    <s v="Will Smith, Jennifer Lawrence, Robert De Niro"/>
    <n v="85642"/>
    <n v="461.89"/>
    <n v="461.89"/>
    <s v="Blockbuster"/>
  </r>
  <r>
    <s v="tt1000055"/>
    <s v="Top Gun: Maverick"/>
    <x v="32"/>
    <x v="5"/>
    <x v="0"/>
    <x v="11"/>
    <s v="Long"/>
    <x v="46"/>
    <n v="8.5"/>
    <x v="0"/>
    <s v="A critically acclaimed adventure masterpiece."/>
    <x v="1"/>
    <s v="Margot Robbie, Kate Winslet, Denzel Washington"/>
    <n v="2060246"/>
    <n v="59.8"/>
    <n v="59.8"/>
    <s v="Average"/>
  </r>
  <r>
    <s v="tt1000048"/>
    <n v="1917"/>
    <x v="39"/>
    <x v="6"/>
    <x v="4"/>
    <x v="10"/>
    <s v="Long"/>
    <x v="47"/>
    <n v="8.5"/>
    <x v="11"/>
    <s v="An epic animation tale directed by Ang Lee."/>
    <x v="6"/>
    <s v="Leonardo DiCaprio, Jack Nicholson, Samuel L. Jackson"/>
    <n v="11235"/>
    <n v="185.74"/>
    <n v="185.74"/>
    <s v="Hit"/>
  </r>
  <r>
    <s v="tt1000021"/>
    <s v="The Usual Suspects"/>
    <x v="39"/>
    <x v="6"/>
    <x v="1"/>
    <x v="19"/>
    <s v="Medium"/>
    <x v="48"/>
    <n v="8.5"/>
    <x v="20"/>
    <s v="An epic sci-fi tale directed by Steven Spielberg."/>
    <x v="27"/>
    <s v="Emma Stone, Harrison Ford, Edward Norton, Anthony Hopkins"/>
    <n v="549453"/>
    <n v="297.89"/>
    <n v="297.89"/>
    <s v="Blockbuster"/>
  </r>
  <r>
    <s v="tt1000813"/>
    <s v="Secret Legend 706"/>
    <x v="40"/>
    <x v="0"/>
    <x v="0"/>
    <x v="37"/>
    <s v="Short"/>
    <x v="49"/>
    <n v="8.4"/>
    <x v="0"/>
    <s v="A critically acclaimed fantasy masterpiece."/>
    <x v="12"/>
    <s v="Edward Norton, Christian Bale, Viola Davis, Denzel Washington"/>
    <n v="951056"/>
    <n v="478.05"/>
    <n v="478.05"/>
    <s v="Blockbuster"/>
  </r>
  <r>
    <s v="tt1000049"/>
    <s v="Everything Everywhere All at Once"/>
    <x v="41"/>
    <x v="4"/>
    <x v="1"/>
    <x v="38"/>
    <s v="Medium"/>
    <x v="50"/>
    <n v="8.4"/>
    <x v="3"/>
    <s v="A animation film set in 1975."/>
    <x v="28"/>
    <s v="Zendaya, Tom Hanks, Amy Adams"/>
    <n v="112172"/>
    <n v="174.69"/>
    <n v="174.69"/>
    <s v="Hit"/>
  </r>
  <r>
    <s v="tt1000041"/>
    <s v="Blade Runner"/>
    <x v="42"/>
    <x v="6"/>
    <x v="0"/>
    <x v="39"/>
    <s v="Medium"/>
    <x v="9"/>
    <n v="8.4"/>
    <x v="5"/>
    <s v="A critically acclaimed adventure masterpiece."/>
    <x v="11"/>
    <s v="Keanu Reeves, Gary Oldman, Jack Nicholson, Tom Hanks, Al Pacino"/>
    <n v="1920324"/>
    <n v="84.58"/>
    <n v="84.58"/>
    <s v="Average"/>
  </r>
  <r>
    <s v="tt1000937"/>
    <s v="A Journey 830"/>
    <x v="5"/>
    <x v="2"/>
    <x v="0"/>
    <x v="16"/>
    <s v="Medium"/>
    <x v="6"/>
    <n v="8.4"/>
    <x v="16"/>
    <s v="An epic romance tale directed by Wong Kar-wai."/>
    <x v="17"/>
    <s v="Brad Pitt, Meryl Streep, Morgan Freeman"/>
    <n v="73960"/>
    <n v="835.91"/>
    <n v="835.91"/>
    <s v="Blockbuster"/>
  </r>
  <r>
    <s v="tt1000052"/>
    <s v="Dune"/>
    <x v="4"/>
    <x v="0"/>
    <x v="0"/>
    <x v="40"/>
    <s v="Long"/>
    <x v="51"/>
    <n v="8.4"/>
    <x v="0"/>
    <s v="A drama film set in 2000."/>
    <x v="6"/>
    <s v="Leonardo DiCaprio, Natalie Portman, Will Smith, Robert De Niro"/>
    <n v="20054"/>
    <n v="193.94"/>
    <n v="193.94"/>
    <s v="Hit"/>
  </r>
  <r>
    <s v="tt1000044"/>
    <s v="La La Land"/>
    <x v="43"/>
    <x v="3"/>
    <x v="0"/>
    <x v="36"/>
    <s v="Medium"/>
    <x v="47"/>
    <n v="8.4"/>
    <x v="20"/>
    <s v="A critically acclaimed animation masterpiece."/>
    <x v="6"/>
    <s v="Brad Pitt, Chris Hemsworth, Margot Robbie, Cate Blanchett, Amy Adams"/>
    <n v="18091"/>
    <m/>
    <n v="0"/>
    <s v="Average"/>
  </r>
  <r>
    <s v="tt1000341"/>
    <s v="A Empire 234"/>
    <x v="12"/>
    <x v="1"/>
    <x v="5"/>
    <x v="27"/>
    <s v="Long"/>
    <x v="52"/>
    <n v="8.4"/>
    <x v="21"/>
    <s v="A critically acclaimed comedy masterpiece."/>
    <x v="1"/>
    <s v="Morgan Freeman, Keanu Reeves, Tom Cruise"/>
    <n v="230412"/>
    <m/>
    <n v="0"/>
    <s v="Average"/>
  </r>
  <r>
    <s v="tt1000256"/>
    <s v="An Kingdom 149"/>
    <x v="10"/>
    <x v="2"/>
    <x v="0"/>
    <x v="16"/>
    <s v="Medium"/>
    <x v="53"/>
    <n v="8.4"/>
    <x v="0"/>
    <s v="A western film set in 2022."/>
    <x v="17"/>
    <s v="Chris Hemsworth, Daniel Day-Lewis, Robert De Niro"/>
    <n v="346200"/>
    <n v="512.29999999999995"/>
    <n v="512.29999999999995"/>
    <s v="Blockbuster"/>
  </r>
  <r>
    <s v="tt1000322"/>
    <s v="First Journey 215"/>
    <x v="44"/>
    <x v="0"/>
    <x v="0"/>
    <x v="32"/>
    <s v="Medium"/>
    <x v="54"/>
    <n v="8.4"/>
    <x v="20"/>
    <s v="A critically acclaimed western masterpiece."/>
    <x v="12"/>
    <s v="Robert Downey Jr., Mark Ruffalo, Meryl Streep, Al Pacino"/>
    <n v="112746"/>
    <n v="383.09"/>
    <n v="383.09"/>
    <s v="Blockbuster"/>
  </r>
  <r>
    <s v="tt1000733"/>
    <s v="Final Quest 626"/>
    <x v="24"/>
    <x v="0"/>
    <x v="4"/>
    <x v="29"/>
    <s v="Long"/>
    <x v="55"/>
    <n v="8.4"/>
    <x v="13"/>
    <s v="A war film set in 2003."/>
    <x v="10"/>
    <s v="Anthony Hopkins, Amy Adams, Tom Hanks, Will Smith, Margot Robbie"/>
    <n v="89930"/>
    <n v="473.41"/>
    <n v="473.41"/>
    <s v="Blockbuster"/>
  </r>
  <r>
    <s v="tt1000069"/>
    <s v="No Country for Old Men"/>
    <x v="14"/>
    <x v="5"/>
    <x v="1"/>
    <x v="41"/>
    <s v="Long"/>
    <x v="35"/>
    <n v="8.4"/>
    <x v="22"/>
    <s v="A thrilling drama adventure."/>
    <x v="19"/>
    <s v="Tom Cruise, Keanu Reeves, Cate Blanchett"/>
    <n v="2500000"/>
    <n v="217.75"/>
    <n v="217.75"/>
    <s v="Blockbuster"/>
  </r>
  <r>
    <s v="tt1000140"/>
    <s v="A Chronicles 33"/>
    <x v="14"/>
    <x v="5"/>
    <x v="1"/>
    <x v="42"/>
    <s v="Long"/>
    <x v="56"/>
    <n v="8.4"/>
    <x v="5"/>
    <s v="A thrilling musical adventure."/>
    <x v="29"/>
    <s v="Brad Pitt, Jack Nicholson, Anthony Hopkins, Margot Robbie, Keanu Reeves"/>
    <n v="82428"/>
    <m/>
    <n v="0"/>
    <s v="Average"/>
  </r>
  <r>
    <s v="tt1000770"/>
    <s v="Secret Legend 663"/>
    <x v="45"/>
    <x v="0"/>
    <x v="2"/>
    <x v="43"/>
    <s v="Medium"/>
    <x v="3"/>
    <n v="8.4"/>
    <x v="0"/>
    <s v="A critically acclaimed biography masterpiece."/>
    <x v="21"/>
    <s v="Leonardo DiCaprio, Margot Robbie, Anthony Hopkins, Chris Hemsworth, Tom Hanks"/>
    <n v="169100"/>
    <m/>
    <n v="0"/>
    <s v="Average"/>
  </r>
  <r>
    <s v="tt1000675"/>
    <s v="Last Journey 568"/>
    <x v="24"/>
    <x v="0"/>
    <x v="2"/>
    <x v="5"/>
    <s v="Long"/>
    <x v="57"/>
    <n v="8.4"/>
    <x v="23"/>
    <s v="An epic family tale directed by Steven Spielberg."/>
    <x v="27"/>
    <s v="Emma Stone, Edward Norton, Daniel Day-Lewis, Amy Adams"/>
    <n v="768016"/>
    <n v="185.42"/>
    <n v="185.42"/>
    <s v="Hit"/>
  </r>
  <r>
    <s v="tt1000763"/>
    <s v="A Destiny 656"/>
    <x v="0"/>
    <x v="0"/>
    <x v="2"/>
    <x v="44"/>
    <s v="Long"/>
    <x v="58"/>
    <n v="8.4"/>
    <x v="0"/>
    <s v="A critically acclaimed family masterpiece."/>
    <x v="28"/>
    <s v="Amy Adams, Harrison Ford, Margot Robbie, Jack Nicholson, Scarlett Johansson"/>
    <n v="519922"/>
    <n v="415.45"/>
    <n v="415.45"/>
    <s v="Blockbuster"/>
  </r>
  <r>
    <s v="tt1000019"/>
    <s v="The Prestige"/>
    <x v="46"/>
    <x v="6"/>
    <x v="0"/>
    <x v="43"/>
    <s v="Medium"/>
    <x v="59"/>
    <n v="8.3000000000000007"/>
    <x v="24"/>
    <s v="A romance film set in 1969."/>
    <x v="21"/>
    <s v="Natalie Portman, Robert De Niro, Meryl Streep, Edward Norton, Zendaya"/>
    <n v="310406"/>
    <n v="169.85"/>
    <n v="169.85"/>
    <s v="Hit"/>
  </r>
  <r>
    <s v="tt1000145"/>
    <s v="Secret Dreams 38"/>
    <x v="47"/>
    <x v="7"/>
    <x v="3"/>
    <x v="7"/>
    <s v="Long"/>
    <x v="60"/>
    <n v="8.3000000000000007"/>
    <x v="0"/>
    <s v="An epic mystery tale directed by Clint Eastwood."/>
    <x v="24"/>
    <s v="Kate Winslet, Scarlett Johansson, Florence Pugh"/>
    <n v="9064"/>
    <m/>
    <n v="0"/>
    <s v="Average"/>
  </r>
  <r>
    <s v="tt1000377"/>
    <s v="Last Legend 270"/>
    <x v="18"/>
    <x v="2"/>
    <x v="0"/>
    <x v="11"/>
    <s v="Long"/>
    <x v="27"/>
    <n v="8.3000000000000007"/>
    <x v="0"/>
    <s v="A thrilling thriller adventure."/>
    <x v="25"/>
    <s v="Morgan Freeman, Natalie Portman, Florence Pugh, Christian Bale, Robert Downey Jr."/>
    <n v="236438"/>
    <n v="150.6"/>
    <n v="150.6"/>
    <s v="Hit"/>
  </r>
  <r>
    <s v="tt1000236"/>
    <s v="An Dreams 129"/>
    <x v="45"/>
    <x v="0"/>
    <x v="2"/>
    <x v="45"/>
    <s v="Short"/>
    <x v="61"/>
    <n v="8.3000000000000007"/>
    <x v="0"/>
    <s v="A sci-fi film set in 2001."/>
    <x v="15"/>
    <s v="Chris Hemsworth, Kate Winslet, Robert Downey Jr., Matt Damon"/>
    <n v="164336"/>
    <m/>
    <n v="0"/>
    <s v="Average"/>
  </r>
  <r>
    <s v="tt1000590"/>
    <s v="Lost Chronicles 483"/>
    <x v="3"/>
    <x v="1"/>
    <x v="2"/>
    <x v="46"/>
    <s v="Medium"/>
    <x v="62"/>
    <n v="8.3000000000000007"/>
    <x v="0"/>
    <s v="A thrilling documentary adventure."/>
    <x v="14"/>
    <s v="Robert Downey Jr., Denzel Washington, Daniel Day-Lewis, Brad Pitt, Leonardo DiCaprio"/>
    <n v="47058"/>
    <m/>
    <n v="0"/>
    <s v="Average"/>
  </r>
  <r>
    <s v="tt1000050"/>
    <s v="Oppenheimer"/>
    <x v="48"/>
    <x v="7"/>
    <x v="0"/>
    <x v="10"/>
    <s v="Long"/>
    <x v="6"/>
    <n v="8.3000000000000007"/>
    <x v="16"/>
    <s v="A romance film set in 1982."/>
    <x v="7"/>
    <s v="Amy Adams, Zendaya, Jack Nicholson, Kate Winslet, Margot Robbie"/>
    <n v="25906"/>
    <n v="282.5"/>
    <n v="282.5"/>
    <s v="Blockbuster"/>
  </r>
  <r>
    <s v="tt1000051"/>
    <s v="Barbie"/>
    <x v="31"/>
    <x v="7"/>
    <x v="5"/>
    <x v="8"/>
    <s v="Long"/>
    <x v="9"/>
    <n v="8.3000000000000007"/>
    <x v="23"/>
    <s v="A thrilling adventure adventure."/>
    <x v="5"/>
    <s v="Matt Damon, Mark Ruffalo, Christian Bale, TimothÃ©e Chalamet, Edward Norton"/>
    <n v="24607"/>
    <n v="106.21"/>
    <n v="106.21"/>
    <s v="Hit"/>
  </r>
  <r>
    <s v="tt1000032"/>
    <s v="Avatar"/>
    <x v="37"/>
    <x v="4"/>
    <x v="5"/>
    <x v="10"/>
    <s v="Long"/>
    <x v="63"/>
    <n v="8.3000000000000007"/>
    <x v="0"/>
    <s v="A documentary film set in 1974."/>
    <x v="15"/>
    <s v="Gary Oldman, Brad Pitt, Scarlett Johansson"/>
    <n v="72402"/>
    <m/>
    <n v="0"/>
    <s v="Average"/>
  </r>
  <r>
    <s v="tt1000038"/>
    <s v="Vertigo"/>
    <x v="49"/>
    <x v="8"/>
    <x v="0"/>
    <x v="3"/>
    <s v="Medium"/>
    <x v="64"/>
    <n v="8.3000000000000007"/>
    <x v="22"/>
    <s v="A thrilling family adventure."/>
    <x v="1"/>
    <s v="Al Pacino, Keanu Reeves, Zendaya, Denzel Washington, Jack Nicholson"/>
    <n v="68203"/>
    <n v="255.59"/>
    <n v="255.59"/>
    <s v="Blockbuster"/>
  </r>
  <r>
    <s v="tt1000023"/>
    <s v="City of Lights"/>
    <x v="50"/>
    <x v="3"/>
    <x v="1"/>
    <x v="16"/>
    <s v="Medium"/>
    <x v="65"/>
    <n v="8.3000000000000007"/>
    <x v="14"/>
    <s v="A critically acclaimed family masterpiece."/>
    <x v="15"/>
    <s v="Keanu Reeves, Robert Downey Jr., Scarlett Johansson"/>
    <n v="721707"/>
    <n v="18.05"/>
    <n v="18.05"/>
    <s v="Average"/>
  </r>
  <r>
    <s v="tt1000801"/>
    <s v="Lost Destiny 694"/>
    <x v="18"/>
    <x v="2"/>
    <x v="1"/>
    <x v="34"/>
    <s v="Medium"/>
    <x v="66"/>
    <n v="8.3000000000000007"/>
    <x v="9"/>
    <s v="A thrilling action adventure."/>
    <x v="21"/>
    <s v="Tom Hanks, Chris Hemsworth, Anthony Hopkins, Cate Blanchett, Amy Adams"/>
    <n v="894336"/>
    <n v="676.44"/>
    <n v="676.44"/>
    <s v="Blockbuster"/>
  </r>
  <r>
    <s v="tt1000774"/>
    <s v="An Mystery 667"/>
    <x v="51"/>
    <x v="1"/>
    <x v="1"/>
    <x v="29"/>
    <s v="Long"/>
    <x v="40"/>
    <n v="8.3000000000000007"/>
    <x v="19"/>
    <s v="A critically acclaimed musical masterpiece."/>
    <x v="10"/>
    <s v="Margot Robbie, Tom Cruise, Harrison Ford, Daniel Day-Lewis, Cate Blanchett"/>
    <n v="118746"/>
    <n v="434.07"/>
    <n v="434.07"/>
    <s v="Blockbuster"/>
  </r>
  <r>
    <s v="tt1000190"/>
    <s v="Secret Kingdom 83"/>
    <x v="48"/>
    <x v="7"/>
    <x v="0"/>
    <x v="46"/>
    <s v="Medium"/>
    <x v="67"/>
    <n v="8.3000000000000007"/>
    <x v="25"/>
    <s v="An epic romance tale directed by Sam Mendes."/>
    <x v="4"/>
    <s v="Kate Winslet, Florence Pugh, Tom Cruise, Gary Oldman"/>
    <n v="117325"/>
    <n v="106.37"/>
    <n v="106.37"/>
    <s v="Hit"/>
  </r>
  <r>
    <s v="tt1000910"/>
    <s v="Lost Mystery 803"/>
    <x v="52"/>
    <x v="1"/>
    <x v="2"/>
    <x v="47"/>
    <s v="Long"/>
    <x v="68"/>
    <n v="8.3000000000000007"/>
    <x v="0"/>
    <s v="A thrilling western adventure."/>
    <x v="2"/>
    <s v="Zendaya, Al Pacino, Matt Damon"/>
    <n v="278582"/>
    <n v="385.34"/>
    <n v="385.34"/>
    <s v="Blockbuster"/>
  </r>
  <r>
    <s v="tt1000037"/>
    <s v="Citizen Kane"/>
    <x v="53"/>
    <x v="8"/>
    <x v="5"/>
    <x v="18"/>
    <s v="Medium"/>
    <x v="69"/>
    <n v="8.1999999999999993"/>
    <x v="17"/>
    <s v="A action film set in 1957."/>
    <x v="3"/>
    <s v="Natalie Portman, Johnny Depp, Daniel Day-Lewis"/>
    <n v="2500000"/>
    <m/>
    <n v="0"/>
    <s v="Average"/>
  </r>
  <r>
    <s v="tt1000222"/>
    <s v="An Empire 115"/>
    <x v="34"/>
    <x v="0"/>
    <x v="0"/>
    <x v="34"/>
    <s v="Medium"/>
    <x v="70"/>
    <n v="8.1999999999999993"/>
    <x v="18"/>
    <s v="An epic musical tale directed by Peter Jackson."/>
    <x v="8"/>
    <s v="Tom Hanks, Anthony Hopkins, Tom Cruise, Meryl Streep, Samuel L. Jackson"/>
    <n v="2244"/>
    <n v="266.39999999999998"/>
    <n v="266.39999999999998"/>
    <s v="Blockbuster"/>
  </r>
  <r>
    <s v="tt1000007"/>
    <s v="Forrest Gump"/>
    <x v="46"/>
    <x v="6"/>
    <x v="0"/>
    <x v="48"/>
    <s v="Medium"/>
    <x v="14"/>
    <n v="8.1999999999999993"/>
    <x v="0"/>
    <s v="An epic biography tale directed by Bong Joon-ho."/>
    <x v="18"/>
    <s v="Will Smith, Mark Ruffalo, Chris Hemsworth"/>
    <n v="8476"/>
    <m/>
    <n v="0"/>
    <s v="Average"/>
  </r>
  <r>
    <s v="tt1000210"/>
    <s v="The Story 103"/>
    <x v="11"/>
    <x v="0"/>
    <x v="0"/>
    <x v="49"/>
    <s v="Short"/>
    <x v="71"/>
    <n v="8.1999999999999993"/>
    <x v="0"/>
    <s v="A thrilling thriller adventure."/>
    <x v="18"/>
    <s v="Tom Cruise, Jennifer Lawrence, Matt Damon"/>
    <n v="94478"/>
    <m/>
    <n v="0"/>
    <s v="Average"/>
  </r>
  <r>
    <s v="tt1000008"/>
    <s v="Inception"/>
    <x v="54"/>
    <x v="8"/>
    <x v="0"/>
    <x v="50"/>
    <s v="Medium"/>
    <x v="72"/>
    <n v="8.1999999999999993"/>
    <x v="0"/>
    <s v="A thrilling musical adventure."/>
    <x v="11"/>
    <s v="Will Smith, Robert Downey Jr., Morgan Freeman, Harrison Ford, Anthony Hopkins"/>
    <n v="12782"/>
    <m/>
    <n v="0"/>
    <s v="Average"/>
  </r>
  <r>
    <s v="tt1000025"/>
    <s v="Spirited Away"/>
    <x v="55"/>
    <x v="6"/>
    <x v="2"/>
    <x v="51"/>
    <s v="Long"/>
    <x v="73"/>
    <n v="8.1999999999999993"/>
    <x v="26"/>
    <s v="An epic war tale directed by Edgar Wright."/>
    <x v="26"/>
    <s v="Harrison Ford, Amy Adams, Jennifer Lawrence"/>
    <n v="45880"/>
    <m/>
    <n v="0"/>
    <s v="Average"/>
  </r>
  <r>
    <s v="tt1000036"/>
    <s v="The Shining"/>
    <x v="56"/>
    <x v="8"/>
    <x v="1"/>
    <x v="10"/>
    <s v="Long"/>
    <x v="36"/>
    <n v="8.1999999999999993"/>
    <x v="0"/>
    <s v="A mystery film set in 1950."/>
    <x v="16"/>
    <s v="Natalie Portman, Amy Adams, Will Smith"/>
    <n v="4040"/>
    <n v="254.37"/>
    <n v="254.37"/>
    <s v="Blockbuster"/>
  </r>
  <r>
    <s v="tt1000304"/>
    <s v="A Empire 197"/>
    <x v="2"/>
    <x v="0"/>
    <x v="2"/>
    <x v="8"/>
    <s v="Long"/>
    <x v="74"/>
    <n v="8.1999999999999993"/>
    <x v="0"/>
    <s v="A thrilling mystery adventure."/>
    <x v="17"/>
    <s v="Christian Bale, Harrison Ford, Chris Hemsworth, Morgan Freeman, Tom Hanks"/>
    <n v="103798"/>
    <n v="110.53"/>
    <n v="110.53"/>
    <s v="Hit"/>
  </r>
  <r>
    <s v="tt1000309"/>
    <s v="The Empire 202"/>
    <x v="12"/>
    <x v="1"/>
    <x v="2"/>
    <x v="12"/>
    <s v="Long"/>
    <x v="25"/>
    <n v="8.1999999999999993"/>
    <x v="6"/>
    <s v="A thrilling comedy adventure."/>
    <x v="30"/>
    <s v="TimothÃ©e Chalamet, Robert De Niro, Anthony Hopkins, Al Pacino, Leonardo DiCaprio"/>
    <n v="108500"/>
    <m/>
    <n v="0"/>
    <s v="Average"/>
  </r>
  <r>
    <s v="tt1000287"/>
    <s v="An War 180"/>
    <x v="24"/>
    <x v="0"/>
    <x v="1"/>
    <x v="52"/>
    <s v="Short"/>
    <x v="75"/>
    <n v="8.1999999999999993"/>
    <x v="10"/>
    <s v="A thrilling documentary adventure."/>
    <x v="7"/>
    <s v="Denzel Washington, Cate Blanchett, Morgan Freeman, Johnny Depp"/>
    <n v="1770838"/>
    <n v="432.74"/>
    <n v="432.74"/>
    <s v="Blockbuster"/>
  </r>
  <r>
    <s v="tt1000984"/>
    <s v="Dark Empire 877"/>
    <x v="11"/>
    <x v="0"/>
    <x v="2"/>
    <x v="29"/>
    <s v="Long"/>
    <x v="8"/>
    <n v="8.1999999999999993"/>
    <x v="18"/>
    <s v="A critically acclaimed war masterpiece."/>
    <x v="28"/>
    <s v="Margot Robbie, Brad Pitt, Emma Stone, Viola Davis, Harrison Ford"/>
    <n v="28846"/>
    <n v="10.23"/>
    <n v="10.23"/>
    <s v="Average"/>
  </r>
  <r>
    <s v="tt1000750"/>
    <s v="A Destiny 643"/>
    <x v="3"/>
    <x v="1"/>
    <x v="0"/>
    <x v="53"/>
    <s v="Medium"/>
    <x v="42"/>
    <n v="8.1999999999999993"/>
    <x v="4"/>
    <s v="A thriller film set in 2019."/>
    <x v="0"/>
    <s v="Robert De Niro, TimothÃ©e Chalamet, Will Smith"/>
    <n v="13580"/>
    <n v="677.4"/>
    <n v="677.4"/>
    <s v="Blockbuster"/>
  </r>
  <r>
    <s v="tt1000075"/>
    <s v="Gladiator"/>
    <x v="57"/>
    <x v="7"/>
    <x v="0"/>
    <x v="6"/>
    <s v="Long"/>
    <x v="76"/>
    <n v="8.1999999999999993"/>
    <x v="22"/>
    <s v="An epic horror tale directed by Hayao Miyazaki."/>
    <x v="28"/>
    <s v="Denzel Washington, Viola Davis, Christian Bale, Florence Pugh"/>
    <n v="14266"/>
    <n v="131.65"/>
    <n v="131.65"/>
    <s v="Hit"/>
  </r>
  <r>
    <s v="tt1000788"/>
    <s v="First Destiny 681"/>
    <x v="45"/>
    <x v="0"/>
    <x v="2"/>
    <x v="16"/>
    <s v="Medium"/>
    <x v="77"/>
    <n v="8.1999999999999993"/>
    <x v="4"/>
    <s v="A thrilling musical adventure."/>
    <x v="26"/>
    <s v="Jennifer Lawrence, Viola Davis, Samuel L. Jackson, Zendaya"/>
    <n v="53606"/>
    <n v="46.22"/>
    <n v="46.22"/>
    <s v="Average"/>
  </r>
  <r>
    <s v="tt1000093"/>
    <s v="Gandhi"/>
    <x v="48"/>
    <x v="7"/>
    <x v="3"/>
    <x v="54"/>
    <s v="Medium"/>
    <x v="70"/>
    <n v="8.1999999999999993"/>
    <x v="17"/>
    <s v="A musical film set in 1982."/>
    <x v="18"/>
    <s v="TimothÃ©e Chalamet, Matt Damon, Margot Robbie"/>
    <n v="193981"/>
    <n v="182.49"/>
    <n v="182.49"/>
    <s v="Hit"/>
  </r>
  <r>
    <s v="tt1000077"/>
    <s v="Shakespeare in Love"/>
    <x v="58"/>
    <x v="7"/>
    <x v="0"/>
    <x v="8"/>
    <s v="Long"/>
    <x v="78"/>
    <n v="8.1999999999999993"/>
    <x v="14"/>
    <s v="A family film set in 1985."/>
    <x v="22"/>
    <s v="Margot Robbie, Will Smith, Robert De Niro, Florence Pugh, Morgan Freeman"/>
    <n v="27034"/>
    <m/>
    <n v="0"/>
    <s v="Average"/>
  </r>
  <r>
    <s v="tt1000062"/>
    <s v="The Revenant"/>
    <x v="59"/>
    <x v="5"/>
    <x v="0"/>
    <x v="29"/>
    <s v="Long"/>
    <x v="79"/>
    <n v="8.1999999999999993"/>
    <x v="0"/>
    <s v="A thrilling comedy adventure."/>
    <x v="31"/>
    <s v="Harrison Ford, Daniel Day-Lewis, Natalie Portman"/>
    <n v="33622"/>
    <n v="148.97"/>
    <n v="148.97"/>
    <s v="Hit"/>
  </r>
  <r>
    <s v="tt1000057"/>
    <s v="Avatar: The Way of Water"/>
    <x v="21"/>
    <x v="7"/>
    <x v="2"/>
    <x v="0"/>
    <s v="Medium"/>
    <x v="80"/>
    <n v="8.1999999999999993"/>
    <x v="0"/>
    <s v="An epic musical tale directed by James Cameron."/>
    <x v="32"/>
    <s v="Harrison Ford, Florence Pugh, Meryl Streep, Kate Winslet"/>
    <n v="119856"/>
    <n v="54.62"/>
    <n v="54.62"/>
    <s v="Average"/>
  </r>
  <r>
    <s v="tt1000080"/>
    <s v="Braveheart"/>
    <x v="57"/>
    <x v="7"/>
    <x v="1"/>
    <x v="55"/>
    <s v="Medium"/>
    <x v="81"/>
    <n v="8.1999999999999993"/>
    <x v="25"/>
    <s v="A thrilling drama adventure."/>
    <x v="26"/>
    <s v="Chris Hemsworth, Jack Nicholson, Natalie Portman, Tom Cruise, Jennifer Lawrence"/>
    <n v="153246"/>
    <n v="107.19"/>
    <n v="107.19"/>
    <s v="Hit"/>
  </r>
  <r>
    <s v="tt1000728"/>
    <s v="The Legend 621"/>
    <x v="2"/>
    <x v="0"/>
    <x v="1"/>
    <x v="56"/>
    <s v="Short"/>
    <x v="82"/>
    <n v="8.1999999999999993"/>
    <x v="8"/>
    <s v="An epic mystery tale directed by Bong Joon-ho."/>
    <x v="18"/>
    <s v="Zendaya, Johnny Depp, Cate Blanchett, Natalie Portman, Chris Hemsworth"/>
    <n v="14146"/>
    <m/>
    <n v="0"/>
    <s v="Average"/>
  </r>
  <r>
    <s v="tt1000721"/>
    <s v="An Journey 614"/>
    <x v="10"/>
    <x v="2"/>
    <x v="2"/>
    <x v="57"/>
    <s v="Long"/>
    <x v="83"/>
    <n v="8.1999999999999993"/>
    <x v="4"/>
    <s v="A animation film set in 2022."/>
    <x v="13"/>
    <s v="Harrison Ford, Florence Pugh, Kate Winslet, Robert Downey Jr."/>
    <n v="26120"/>
    <n v="316.14"/>
    <n v="316.14"/>
    <s v="Blockbuster"/>
  </r>
  <r>
    <s v="tt1000505"/>
    <s v="First Kingdom 398"/>
    <x v="3"/>
    <x v="1"/>
    <x v="2"/>
    <x v="53"/>
    <s v="Medium"/>
    <x v="84"/>
    <n v="8.1999999999999993"/>
    <x v="6"/>
    <s v="A critically acclaimed biography masterpiece."/>
    <x v="21"/>
    <s v="Mark Ruffalo, Brad Pitt, TimothÃ©e Chalamet, Florence Pugh, Tom Cruise"/>
    <n v="308464"/>
    <n v="225.6"/>
    <n v="225.6"/>
    <s v="Blockbuster"/>
  </r>
  <r>
    <s v="tt1000120"/>
    <s v="An Empire 13"/>
    <x v="22"/>
    <x v="5"/>
    <x v="0"/>
    <x v="41"/>
    <s v="Long"/>
    <x v="85"/>
    <n v="8.1999999999999993"/>
    <x v="10"/>
    <s v="A thrilling sci-fi adventure."/>
    <x v="33"/>
    <s v="Johnny Depp, Margot Robbie, Matt Damon, Al Pacino"/>
    <n v="101722"/>
    <n v="126.87"/>
    <n v="126.87"/>
    <s v="Hit"/>
  </r>
  <r>
    <s v="tt1000443"/>
    <s v="Secret Kingdom 336"/>
    <x v="18"/>
    <x v="2"/>
    <x v="0"/>
    <x v="23"/>
    <s v="Long"/>
    <x v="86"/>
    <n v="8.1999999999999993"/>
    <x v="0"/>
    <s v="An epic crime tale directed by Christopher Nolan."/>
    <x v="21"/>
    <s v="Cate Blanchett, Robert De Niro, Scarlett Johansson, Jack Nicholson"/>
    <n v="745112"/>
    <n v="287.20999999999998"/>
    <n v="287.20999999999998"/>
    <s v="Blockbuster"/>
  </r>
  <r>
    <s v="tt1000462"/>
    <s v="Last Kingdom 355"/>
    <x v="24"/>
    <x v="0"/>
    <x v="1"/>
    <x v="58"/>
    <s v="Long"/>
    <x v="87"/>
    <n v="8.1999999999999993"/>
    <x v="27"/>
    <s v="A musical film set in 2003."/>
    <x v="20"/>
    <s v="Denzel Washington, Will Smith, Leonardo DiCaprio"/>
    <n v="125636"/>
    <n v="177.65"/>
    <n v="177.65"/>
    <s v="Hit"/>
  </r>
  <r>
    <s v="tt1000359"/>
    <s v="An Legend 252"/>
    <x v="4"/>
    <x v="0"/>
    <x v="0"/>
    <x v="59"/>
    <s v="Medium"/>
    <x v="3"/>
    <n v="8.1999999999999993"/>
    <x v="28"/>
    <s v="A thrilling biography adventure."/>
    <x v="20"/>
    <s v="Johnny Depp, Tom Hanks, Al Pacino, Emma Stone"/>
    <n v="428684"/>
    <n v="294.49"/>
    <n v="294.49"/>
    <s v="Blockbuster"/>
  </r>
  <r>
    <s v="tt1000275"/>
    <s v="A Mystery 168"/>
    <x v="35"/>
    <x v="2"/>
    <x v="5"/>
    <x v="60"/>
    <s v="Long"/>
    <x v="88"/>
    <n v="8.1999999999999993"/>
    <x v="19"/>
    <s v="A thrilling crime adventure."/>
    <x v="24"/>
    <s v="Meryl Streep, Robert De Niro, Samuel L. Jackson"/>
    <n v="54658"/>
    <n v="186.68"/>
    <n v="186.68"/>
    <s v="Hit"/>
  </r>
  <r>
    <s v="tt1000632"/>
    <s v="Final Story 525"/>
    <x v="24"/>
    <x v="0"/>
    <x v="1"/>
    <x v="34"/>
    <s v="Medium"/>
    <x v="34"/>
    <n v="8.1999999999999993"/>
    <x v="28"/>
    <s v="An epic documentary tale directed by Hayao Miyazaki."/>
    <x v="28"/>
    <s v="Robert Downey Jr., Margot Robbie, Anthony Hopkins, Matt Damon"/>
    <n v="277762"/>
    <n v="251.71"/>
    <n v="251.71"/>
    <s v="Blockbuster"/>
  </r>
  <r>
    <s v="tt1000712"/>
    <s v="A Quest 605"/>
    <x v="18"/>
    <x v="2"/>
    <x v="1"/>
    <x v="15"/>
    <s v="Long"/>
    <x v="21"/>
    <n v="8.1999999999999993"/>
    <x v="22"/>
    <s v="A action film set in 2024."/>
    <x v="9"/>
    <s v="Amy Adams, Morgan Freeman, Kate Winslet"/>
    <n v="18666"/>
    <n v="491.06"/>
    <n v="491.06"/>
    <s v="Blockbuster"/>
  </r>
  <r>
    <s v="tt1000519"/>
    <s v="The Kingdom 412"/>
    <x v="12"/>
    <x v="1"/>
    <x v="0"/>
    <x v="0"/>
    <s v="Medium"/>
    <x v="8"/>
    <n v="8.1"/>
    <x v="0"/>
    <s v="An epic war tale directed by Ryan Coogler."/>
    <x v="31"/>
    <s v="Robert Downey Jr., Scarlett Johansson, Anthony Hopkins, Morgan Freeman, Viola Davis"/>
    <n v="79734"/>
    <n v="916.56"/>
    <n v="916.56"/>
    <s v="Blockbuster"/>
  </r>
  <r>
    <s v="tt1000444"/>
    <s v="Lost Secrets 337"/>
    <x v="45"/>
    <x v="0"/>
    <x v="0"/>
    <x v="48"/>
    <s v="Medium"/>
    <x v="65"/>
    <n v="8.1"/>
    <x v="21"/>
    <s v="A family film set in 2001."/>
    <x v="14"/>
    <s v="Edward Norton, Morgan Freeman, Scarlett Johansson, Natalie Portman"/>
    <n v="149664"/>
    <n v="62.77"/>
    <n v="62.77"/>
    <s v="Average"/>
  </r>
  <r>
    <s v="tt1000014"/>
    <s v="The Green Mile"/>
    <x v="43"/>
    <x v="3"/>
    <x v="0"/>
    <x v="53"/>
    <s v="Medium"/>
    <x v="89"/>
    <n v="8.1"/>
    <x v="22"/>
    <s v="A crime film set in 1940."/>
    <x v="4"/>
    <s v="Keanu Reeves, Margot Robbie, Al Pacino, Daniel Day-Lewis"/>
    <n v="7820"/>
    <m/>
    <n v="0"/>
    <s v="Average"/>
  </r>
  <r>
    <s v="tt1000349"/>
    <s v="Final Kingdom 242"/>
    <x v="1"/>
    <x v="1"/>
    <x v="5"/>
    <x v="61"/>
    <s v="Short"/>
    <x v="90"/>
    <n v="8.1"/>
    <x v="17"/>
    <s v="An epic fantasy tale directed by Wes Anderson."/>
    <x v="34"/>
    <s v="Emma Stone, Cate Blanchett, Samuel L. Jackson"/>
    <n v="949114"/>
    <m/>
    <n v="0"/>
    <s v="Average"/>
  </r>
  <r>
    <s v="tt1000947"/>
    <s v="Last Mystery 840"/>
    <x v="18"/>
    <x v="2"/>
    <x v="0"/>
    <x v="52"/>
    <s v="Short"/>
    <x v="22"/>
    <n v="8.1"/>
    <x v="0"/>
    <s v="A animation film set in 2024."/>
    <x v="28"/>
    <s v="Emma Stone, Tom Hanks, Meryl Streep, Denzel Washington"/>
    <n v="20774"/>
    <n v="640.57000000000005"/>
    <n v="640.57000000000005"/>
    <s v="Blockbuster"/>
  </r>
  <r>
    <s v="tt1000000"/>
    <s v="The Shawshank Redemption"/>
    <x v="56"/>
    <x v="8"/>
    <x v="3"/>
    <x v="29"/>
    <s v="Long"/>
    <x v="91"/>
    <n v="8.1"/>
    <x v="17"/>
    <s v="A romance film set in 1950."/>
    <x v="4"/>
    <s v="Emma Stone, Jennifer Lawrence, Natalie Portman, Zendaya, Denzel Washington"/>
    <n v="189823"/>
    <n v="156.84"/>
    <n v="156.84"/>
    <s v="Hit"/>
  </r>
  <r>
    <s v="tt1000001"/>
    <s v="The Godfather"/>
    <x v="38"/>
    <x v="4"/>
    <x v="1"/>
    <x v="25"/>
    <s v="Long"/>
    <x v="92"/>
    <n v="8.1"/>
    <x v="6"/>
    <s v="An epic sci-fi tale directed by Taika Waititi."/>
    <x v="35"/>
    <s v="Florence Pugh, Meryl Streep, Daniel Day-Lewis, Denzel Washington"/>
    <n v="50569"/>
    <n v="7.41"/>
    <n v="7.41"/>
    <s v="Average"/>
  </r>
  <r>
    <s v="tt1000978"/>
    <s v="First Mystery 871"/>
    <x v="60"/>
    <x v="1"/>
    <x v="1"/>
    <x v="62"/>
    <s v="Long"/>
    <x v="93"/>
    <n v="8.1"/>
    <x v="0"/>
    <s v="A comedy film set in 2016."/>
    <x v="26"/>
    <s v="Cate Blanchett, Robert De Niro, Al Pacino, TimothÃ©e Chalamet, Tom Hanks"/>
    <n v="48396"/>
    <n v="421.14"/>
    <n v="421.14"/>
    <s v="Blockbuster"/>
  </r>
  <r>
    <s v="tt1000020"/>
    <s v="The Lion King"/>
    <x v="36"/>
    <x v="3"/>
    <x v="2"/>
    <x v="24"/>
    <s v="Medium"/>
    <x v="94"/>
    <n v="8.1"/>
    <x v="0"/>
    <s v="An epic romance tale directed by Ridley Scott."/>
    <x v="1"/>
    <s v="Gary Oldman, Florence Pugh, Anthony Hopkins, Kate Winslet, Al Pacino"/>
    <n v="13668"/>
    <m/>
    <n v="0"/>
    <s v="Average"/>
  </r>
  <r>
    <s v="tt1000333"/>
    <s v="Dark Legend 226"/>
    <x v="51"/>
    <x v="1"/>
    <x v="0"/>
    <x v="23"/>
    <s v="Long"/>
    <x v="47"/>
    <n v="8.1"/>
    <x v="6"/>
    <s v="A critically acclaimed animation masterpiece."/>
    <x v="12"/>
    <s v="Natalie Portman, TimothÃ©e Chalamet, Viola Davis"/>
    <n v="479306"/>
    <n v="986.48"/>
    <n v="986.48"/>
    <s v="Blockbuster"/>
  </r>
  <r>
    <s v="tt1000898"/>
    <s v="Lost Awakening 791"/>
    <x v="45"/>
    <x v="0"/>
    <x v="4"/>
    <x v="4"/>
    <s v="Long"/>
    <x v="42"/>
    <n v="8.1"/>
    <x v="5"/>
    <s v="A critically acclaimed thriller masterpiece."/>
    <x v="1"/>
    <s v="Robert De Niro, Robert Downey Jr., TimothÃ©e Chalamet"/>
    <n v="606704"/>
    <n v="297.95999999999998"/>
    <n v="297.95999999999998"/>
    <s v="Blockbuster"/>
  </r>
  <r>
    <s v="tt1000061"/>
    <s v="Mad Max: Fury Road"/>
    <x v="30"/>
    <x v="7"/>
    <x v="0"/>
    <x v="29"/>
    <s v="Long"/>
    <x v="95"/>
    <n v="8.1"/>
    <x v="29"/>
    <s v="A thrilling animation adventure."/>
    <x v="2"/>
    <s v="Gary Oldman, Anthony Hopkins, Kate Winslet, Robert De Niro, Al Pacino"/>
    <n v="209676"/>
    <n v="214.86"/>
    <n v="214.86"/>
    <s v="Blockbuster"/>
  </r>
  <r>
    <s v="tt1000874"/>
    <s v="An Secrets 767"/>
    <x v="2"/>
    <x v="0"/>
    <x v="0"/>
    <x v="7"/>
    <s v="Long"/>
    <x v="96"/>
    <n v="8.1"/>
    <x v="7"/>
    <s v="A critically acclaimed horror masterpiece."/>
    <x v="25"/>
    <s v="Robert De Niro, Scarlett Johansson, Al Pacino, Denzel Washington, Matt Damon"/>
    <n v="221414"/>
    <n v="153.63999999999999"/>
    <n v="153.63999999999999"/>
    <s v="Hit"/>
  </r>
  <r>
    <s v="tt1000875"/>
    <s v="Final Journey 768"/>
    <x v="12"/>
    <x v="1"/>
    <x v="0"/>
    <x v="28"/>
    <s v="Medium"/>
    <x v="5"/>
    <n v="8.1"/>
    <x v="0"/>
    <s v="A crime film set in 2013."/>
    <x v="9"/>
    <s v="Jack Nicholson, Will Smith, Matt Damon"/>
    <n v="341124"/>
    <m/>
    <n v="0"/>
    <s v="Average"/>
  </r>
  <r>
    <s v="tt1000735"/>
    <s v="A Love 628"/>
    <x v="60"/>
    <x v="1"/>
    <x v="1"/>
    <x v="29"/>
    <s v="Long"/>
    <x v="97"/>
    <n v="8.1"/>
    <x v="12"/>
    <s v="A critically acclaimed adventure masterpiece."/>
    <x v="32"/>
    <s v="Tom Hanks, Viola Davis, Natalie Portman"/>
    <n v="204140"/>
    <m/>
    <n v="0"/>
    <s v="Average"/>
  </r>
  <r>
    <s v="tt1000696"/>
    <s v="An Revolution 589"/>
    <x v="0"/>
    <x v="0"/>
    <x v="2"/>
    <x v="24"/>
    <s v="Medium"/>
    <x v="22"/>
    <n v="8.1"/>
    <x v="10"/>
    <s v="A thrilling animation adventure."/>
    <x v="32"/>
    <s v="Robert Downey Jr., Matt Damon, Christian Bale, Daniel Day-Lewis, Mark Ruffalo"/>
    <n v="195488"/>
    <n v="474.92"/>
    <n v="474.92"/>
    <s v="Blockbuster"/>
  </r>
  <r>
    <s v="tt1000095"/>
    <s v="Ordinary People"/>
    <x v="61"/>
    <x v="5"/>
    <x v="2"/>
    <x v="21"/>
    <s v="Short"/>
    <x v="98"/>
    <n v="8.1"/>
    <x v="0"/>
    <s v="A mystery film set in 1993."/>
    <x v="29"/>
    <s v="Chris Hemsworth, Robert Downey Jr., Brad Pitt, Matt Damon"/>
    <n v="289416"/>
    <m/>
    <n v="0"/>
    <s v="Average"/>
  </r>
  <r>
    <s v="tt1000059"/>
    <s v="Thor: Ragnarok"/>
    <x v="21"/>
    <x v="7"/>
    <x v="0"/>
    <x v="60"/>
    <s v="Long"/>
    <x v="12"/>
    <n v="8.1"/>
    <x v="21"/>
    <s v="A critically acclaimed war masterpiece."/>
    <x v="7"/>
    <s v="Denzel Washington, Zendaya, Harrison Ford"/>
    <n v="2500000"/>
    <n v="222.6"/>
    <n v="222.6"/>
    <s v="Blockbuster"/>
  </r>
  <r>
    <s v="tt1000072"/>
    <s v="Million Dollar Baby"/>
    <x v="61"/>
    <x v="5"/>
    <x v="2"/>
    <x v="55"/>
    <s v="Medium"/>
    <x v="58"/>
    <n v="8.1"/>
    <x v="11"/>
    <s v="A critically acclaimed family masterpiece."/>
    <x v="19"/>
    <s v="Keanu Reeves, Natalie Portman, Johnny Depp"/>
    <n v="57820"/>
    <n v="123.67"/>
    <n v="123.67"/>
    <s v="Hit"/>
  </r>
  <r>
    <s v="tt1000818"/>
    <s v="An Adventures 711"/>
    <x v="5"/>
    <x v="2"/>
    <x v="0"/>
    <x v="63"/>
    <s v="Long"/>
    <x v="99"/>
    <n v="8.1"/>
    <x v="0"/>
    <s v="A critically acclaimed horror masterpiece."/>
    <x v="15"/>
    <s v="Jennifer Lawrence, Scarlett Johansson, Leonardo DiCaprio, Margot Robbie"/>
    <n v="50164"/>
    <n v="477.01"/>
    <n v="477.01"/>
    <s v="Blockbuster"/>
  </r>
  <r>
    <s v="tt1000437"/>
    <s v="Dark Destiny 330"/>
    <x v="40"/>
    <x v="0"/>
    <x v="0"/>
    <x v="51"/>
    <s v="Long"/>
    <x v="100"/>
    <n v="8.1"/>
    <x v="0"/>
    <s v="A critically acclaimed war masterpiece."/>
    <x v="29"/>
    <s v="Jack Nicholson, Daniel Day-Lewis, Meryl Streep, Jennifer Lawrence, Christian Bale"/>
    <n v="276470"/>
    <n v="97.99"/>
    <n v="97.99"/>
    <s v="Average"/>
  </r>
  <r>
    <s v="tt1000689"/>
    <s v="Final Kingdom 582"/>
    <x v="35"/>
    <x v="2"/>
    <x v="4"/>
    <x v="53"/>
    <s v="Medium"/>
    <x v="34"/>
    <n v="8.1"/>
    <x v="0"/>
    <s v="An epic documentary tale directed by Stanley Kubrick."/>
    <x v="10"/>
    <s v="Chris Hemsworth, Edward Norton, Daniel Day-Lewis, Tom Hanks"/>
    <n v="480446"/>
    <m/>
    <n v="0"/>
    <s v="Average"/>
  </r>
  <r>
    <s v="tt1000071"/>
    <s v="Crash"/>
    <x v="62"/>
    <x v="5"/>
    <x v="3"/>
    <x v="63"/>
    <s v="Long"/>
    <x v="101"/>
    <n v="8.1"/>
    <x v="19"/>
    <s v="A critically acclaimed drama masterpiece."/>
    <x v="7"/>
    <s v="Denzel Washington, Daniel Day-Lewis, Keanu Reeves"/>
    <n v="373846"/>
    <m/>
    <n v="0"/>
    <s v="Average"/>
  </r>
  <r>
    <s v="tt1000962"/>
    <s v="A Legend 855"/>
    <x v="3"/>
    <x v="1"/>
    <x v="1"/>
    <x v="50"/>
    <s v="Medium"/>
    <x v="102"/>
    <n v="8"/>
    <x v="10"/>
    <s v="A biography film set in 2019."/>
    <x v="9"/>
    <s v="Robert De Niro, Morgan Freeman, Tom Cruise, Robert Downey Jr."/>
    <n v="33606"/>
    <n v="422.17"/>
    <n v="422.17"/>
    <s v="Blockbuster"/>
  </r>
  <r>
    <s v="tt1000042"/>
    <s v="The Grand Budapest Hotel"/>
    <x v="63"/>
    <x v="4"/>
    <x v="0"/>
    <x v="64"/>
    <s v="Medium"/>
    <x v="103"/>
    <n v="8"/>
    <x v="29"/>
    <s v="An epic drama tale directed by Stanley Kubrick."/>
    <x v="10"/>
    <s v="Mark Ruffalo, Jennifer Lawrence, Tom Cruise, Christian Bale, Anthony Hopkins"/>
    <n v="41716"/>
    <m/>
    <n v="0"/>
    <s v="Average"/>
  </r>
  <r>
    <s v="tt1000029"/>
    <s v="Django Unchained"/>
    <x v="55"/>
    <x v="6"/>
    <x v="1"/>
    <x v="4"/>
    <s v="Long"/>
    <x v="104"/>
    <n v="8"/>
    <x v="30"/>
    <s v="A critically acclaimed biography masterpiece."/>
    <x v="0"/>
    <s v="Amy Adams, Margot Robbie, Natalie Portman"/>
    <n v="77580"/>
    <n v="196.37"/>
    <n v="196.37"/>
    <s v="Hit"/>
  </r>
  <r>
    <s v="tt1000003"/>
    <s v="Pulp Fiction"/>
    <x v="29"/>
    <x v="4"/>
    <x v="0"/>
    <x v="41"/>
    <s v="Long"/>
    <x v="80"/>
    <n v="8"/>
    <x v="20"/>
    <s v="A critically acclaimed musical masterpiece."/>
    <x v="28"/>
    <s v="Margot Robbie, Christian Bale, Daniel Day-Lewis"/>
    <n v="17864"/>
    <n v="16.48"/>
    <n v="16.48"/>
    <s v="Average"/>
  </r>
  <r>
    <s v="tt1000028"/>
    <s v="Back to the Future"/>
    <x v="17"/>
    <x v="6"/>
    <x v="4"/>
    <x v="0"/>
    <s v="Medium"/>
    <x v="5"/>
    <n v="8"/>
    <x v="0"/>
    <s v="A critically acclaimed crime masterpiece."/>
    <x v="32"/>
    <s v="Amy Adams, Jennifer Lawrence, Natalie Portman, Daniel Day-Lewis, Mark Ruffalo"/>
    <n v="141814"/>
    <n v="273.14999999999998"/>
    <n v="273.14999999999998"/>
    <s v="Blockbuster"/>
  </r>
  <r>
    <s v="tt1000031"/>
    <s v="Toy Story"/>
    <x v="64"/>
    <x v="4"/>
    <x v="0"/>
    <x v="43"/>
    <s v="Medium"/>
    <x v="87"/>
    <n v="8"/>
    <x v="0"/>
    <s v="An epic musical tale directed by Ryan Coogler."/>
    <x v="31"/>
    <s v="Brad Pitt, Harrison Ford, Viola Davis"/>
    <n v="3999"/>
    <n v="283.32"/>
    <n v="283.32"/>
    <s v="Blockbuster"/>
  </r>
  <r>
    <s v="tt1000063"/>
    <s v="Birdman"/>
    <x v="62"/>
    <x v="5"/>
    <x v="1"/>
    <x v="52"/>
    <s v="Short"/>
    <x v="105"/>
    <n v="8"/>
    <x v="0"/>
    <s v="A sci-fi film set in 1995."/>
    <x v="15"/>
    <s v="Jack Nicholson, Emma Stone, Tom Hanks"/>
    <n v="216338"/>
    <n v="249.36"/>
    <n v="249.36"/>
    <s v="Blockbuster"/>
  </r>
  <r>
    <s v="tt1000596"/>
    <s v="Last Story 489"/>
    <x v="1"/>
    <x v="1"/>
    <x v="5"/>
    <x v="4"/>
    <s v="Long"/>
    <x v="106"/>
    <n v="8"/>
    <x v="14"/>
    <s v="An epic western tale directed by Ryan Coogler."/>
    <x v="31"/>
    <s v="Emma Stone, Will Smith, Leonardo DiCaprio"/>
    <n v="3594"/>
    <n v="337.62"/>
    <n v="337.62"/>
    <s v="Blockbuster"/>
  </r>
  <r>
    <s v="tt1000621"/>
    <s v="First Love 514"/>
    <x v="23"/>
    <x v="1"/>
    <x v="4"/>
    <x v="65"/>
    <s v="Short"/>
    <x v="18"/>
    <n v="8"/>
    <x v="25"/>
    <s v="A horror film set in 2017."/>
    <x v="27"/>
    <s v="Zendaya, Harrison Ford, Meryl Streep, Jennifer Lawrence, Jack Nicholson"/>
    <n v="4945"/>
    <m/>
    <n v="0"/>
    <s v="Average"/>
  </r>
  <r>
    <s v="tt1000719"/>
    <s v="An Legend 612"/>
    <x v="4"/>
    <x v="0"/>
    <x v="2"/>
    <x v="43"/>
    <s v="Medium"/>
    <x v="18"/>
    <n v="8"/>
    <x v="5"/>
    <s v="A critically acclaimed horror masterpiece."/>
    <x v="35"/>
    <s v="Margot Robbie, Edward Norton, Anthony Hopkins"/>
    <n v="138210"/>
    <m/>
    <n v="0"/>
    <s v="Average"/>
  </r>
  <r>
    <s v="tt1000089"/>
    <s v="Platoon"/>
    <x v="62"/>
    <x v="5"/>
    <x v="0"/>
    <x v="39"/>
    <s v="Medium"/>
    <x v="5"/>
    <n v="8"/>
    <x v="9"/>
    <s v="A critically acclaimed crime masterpiece."/>
    <x v="36"/>
    <s v="Harrison Ford, Tom Hanks, Anthony Hopkins"/>
    <n v="72846"/>
    <n v="87.53"/>
    <n v="87.53"/>
    <s v="Average"/>
  </r>
  <r>
    <s v="tt1000097"/>
    <s v="The Deer Hunter"/>
    <x v="58"/>
    <x v="7"/>
    <x v="2"/>
    <x v="24"/>
    <s v="Medium"/>
    <x v="107"/>
    <n v="8"/>
    <x v="5"/>
    <s v="A mystery film set in 1985."/>
    <x v="5"/>
    <s v="Robert De Niro, Zendaya, Samuel L. Jackson, Jack Nicholson, Leonardo DiCaprio"/>
    <n v="128485"/>
    <n v="289.11"/>
    <n v="289.11"/>
    <s v="Blockbuster"/>
  </r>
  <r>
    <s v="tt1000096"/>
    <s v="Kramer vs. Kramer"/>
    <x v="32"/>
    <x v="5"/>
    <x v="5"/>
    <x v="10"/>
    <s v="Long"/>
    <x v="108"/>
    <n v="8"/>
    <x v="6"/>
    <s v="An epic action tale directed by Wes Anderson."/>
    <x v="34"/>
    <s v="Jack Nicholson, Viola Davis, Johnny Depp, TimothÃ©e Chalamet, Robert De Niro"/>
    <n v="43818"/>
    <n v="298.31"/>
    <n v="298.31"/>
    <s v="Blockbuster"/>
  </r>
  <r>
    <s v="tt1000092"/>
    <s v="Terms of Endearment"/>
    <x v="59"/>
    <x v="5"/>
    <x v="5"/>
    <x v="5"/>
    <s v="Long"/>
    <x v="3"/>
    <n v="8"/>
    <x v="30"/>
    <s v="A critically acclaimed biography masterpiece."/>
    <x v="33"/>
    <s v="Cate Blanchett, Viola Davis, Harrison Ford"/>
    <n v="66483"/>
    <m/>
    <n v="0"/>
    <s v="Average"/>
  </r>
  <r>
    <s v="tt1000552"/>
    <s v="Dark Mission 445"/>
    <x v="12"/>
    <x v="1"/>
    <x v="1"/>
    <x v="5"/>
    <s v="Long"/>
    <x v="22"/>
    <n v="8"/>
    <x v="15"/>
    <s v="A critically acclaimed animation masterpiece."/>
    <x v="33"/>
    <s v="Brad Pitt, Anthony Hopkins, Matt Damon, Daniel Day-Lewis"/>
    <n v="13229"/>
    <n v="974.82"/>
    <n v="974.82"/>
    <s v="Blockbuster"/>
  </r>
  <r>
    <s v="tt1000380"/>
    <s v="A Empire 273"/>
    <x v="12"/>
    <x v="1"/>
    <x v="0"/>
    <x v="34"/>
    <s v="Medium"/>
    <x v="109"/>
    <n v="8"/>
    <x v="0"/>
    <s v="A thrilling documentary adventure."/>
    <x v="21"/>
    <s v="Tom Cruise, Robert De Niro, Al Pacino, TimothÃ©e Chalamet, Margot Robbie"/>
    <n v="47806"/>
    <m/>
    <n v="0"/>
    <s v="Average"/>
  </r>
  <r>
    <s v="tt1000542"/>
    <s v="A Quest 435"/>
    <x v="19"/>
    <x v="1"/>
    <x v="1"/>
    <x v="59"/>
    <s v="Medium"/>
    <x v="110"/>
    <n v="8"/>
    <x v="31"/>
    <s v="A crime film set in 2011."/>
    <x v="6"/>
    <s v="Samuel L. Jackson, Matt Damon, Al Pacino, Johnny Depp"/>
    <n v="66289"/>
    <m/>
    <n v="0"/>
    <s v="Average"/>
  </r>
  <r>
    <s v="tt1000553"/>
    <s v="Final Mission 446"/>
    <x v="44"/>
    <x v="0"/>
    <x v="1"/>
    <x v="57"/>
    <s v="Long"/>
    <x v="111"/>
    <n v="8"/>
    <x v="27"/>
    <s v="A animation film set in 2007."/>
    <x v="25"/>
    <s v="Natalie Portman, Al Pacino, Tom Hanks, Edward Norton"/>
    <n v="50156"/>
    <n v="402.57"/>
    <n v="402.57"/>
    <s v="Blockbuster"/>
  </r>
  <r>
    <s v="tt1000132"/>
    <s v="A Dreams 25"/>
    <x v="59"/>
    <x v="5"/>
    <x v="2"/>
    <x v="65"/>
    <s v="Short"/>
    <x v="112"/>
    <n v="8"/>
    <x v="0"/>
    <s v="A sci-fi film set in 1991."/>
    <x v="22"/>
    <s v="Meryl Streep, Robert De Niro, Samuel L. Jackson, Margot Robbie"/>
    <n v="50422"/>
    <n v="259.45999999999998"/>
    <n v="259.45999999999998"/>
    <s v="Blockbuster"/>
  </r>
  <r>
    <s v="tt1000586"/>
    <s v="An Mission 479"/>
    <x v="4"/>
    <x v="0"/>
    <x v="1"/>
    <x v="66"/>
    <s v="Long"/>
    <x v="113"/>
    <n v="8"/>
    <x v="13"/>
    <s v="A documentary film set in 2000."/>
    <x v="8"/>
    <s v="Cate Blanchett, Edward Norton, Al Pacino, Robert Downey Jr., Scarlett Johansson"/>
    <n v="700778"/>
    <n v="45.63"/>
    <n v="45.63"/>
    <s v="Average"/>
  </r>
  <r>
    <s v="tt1000320"/>
    <s v="Final Chronicles 213"/>
    <x v="2"/>
    <x v="0"/>
    <x v="1"/>
    <x v="17"/>
    <s v="Long"/>
    <x v="114"/>
    <n v="8"/>
    <x v="0"/>
    <s v="An epic adventure tale directed by Coen Brothers."/>
    <x v="5"/>
    <s v="Robert De Niro, Jack Nicholson, Leonardo DiCaprio, Tom Cruise, Natalie Portman"/>
    <n v="80400"/>
    <m/>
    <n v="0"/>
    <s v="Average"/>
  </r>
  <r>
    <s v="tt1000015"/>
    <s v="Parasite"/>
    <x v="38"/>
    <x v="4"/>
    <x v="0"/>
    <x v="31"/>
    <s v="Medium"/>
    <x v="115"/>
    <n v="8"/>
    <x v="25"/>
    <s v="An epic fantasy tale directed by Spike Lee."/>
    <x v="2"/>
    <s v="Chris Hemsworth, Leonardo DiCaprio, Samuel L. Jackson, Florence Pugh"/>
    <n v="175405"/>
    <n v="78.17"/>
    <n v="78.17"/>
    <s v="Average"/>
  </r>
  <r>
    <s v="tt1000009"/>
    <s v="The Matrix"/>
    <x v="25"/>
    <x v="3"/>
    <x v="1"/>
    <x v="12"/>
    <s v="Long"/>
    <x v="116"/>
    <n v="8"/>
    <x v="8"/>
    <s v="A critically acclaimed biography masterpiece."/>
    <x v="30"/>
    <s v="Cate Blanchett, Harrison Ford, Will Smith"/>
    <n v="23193"/>
    <n v="89.85"/>
    <n v="89.85"/>
    <s v="Average"/>
  </r>
  <r>
    <s v="tt1000956"/>
    <s v="Secret Love 849"/>
    <x v="60"/>
    <x v="1"/>
    <x v="1"/>
    <x v="41"/>
    <s v="Long"/>
    <x v="117"/>
    <n v="7.9"/>
    <x v="0"/>
    <s v="An epic drama tale directed by Taika Waititi."/>
    <x v="35"/>
    <s v="Mark Ruffalo, Keanu Reeves, Tom Cruise"/>
    <n v="23018"/>
    <n v="823.99"/>
    <n v="823.99"/>
    <s v="Blockbuster"/>
  </r>
  <r>
    <s v="tt1000951"/>
    <s v="An Love 844"/>
    <x v="24"/>
    <x v="0"/>
    <x v="2"/>
    <x v="8"/>
    <s v="Long"/>
    <x v="34"/>
    <n v="7.9"/>
    <x v="0"/>
    <s v="A thrilling documentary adventure."/>
    <x v="11"/>
    <s v="Leonardo DiCaprio, Samuel L. Jackson, Matt Damon, Mark Ruffalo, Amy Adams"/>
    <n v="27728"/>
    <m/>
    <n v="0"/>
    <s v="Average"/>
  </r>
  <r>
    <s v="tt1000045"/>
    <s v="Get Out"/>
    <x v="15"/>
    <x v="6"/>
    <x v="0"/>
    <x v="25"/>
    <s v="Long"/>
    <x v="118"/>
    <n v="7.9"/>
    <x v="0"/>
    <s v="A fantasy film set in 1960."/>
    <x v="4"/>
    <s v="Morgan Freeman, Cate Blanchett, Harrison Ford, Matt Damon"/>
    <n v="22160"/>
    <n v="210.01"/>
    <n v="210.01"/>
    <s v="Blockbuster"/>
  </r>
  <r>
    <s v="tt1000863"/>
    <s v="A Journey 756"/>
    <x v="2"/>
    <x v="0"/>
    <x v="2"/>
    <x v="22"/>
    <s v="Medium"/>
    <x v="119"/>
    <n v="7.9"/>
    <x v="32"/>
    <s v="A thrilling family adventure."/>
    <x v="24"/>
    <s v="Emma Stone, Mark Ruffalo, Will Smith, Keanu Reeves"/>
    <n v="30153"/>
    <n v="133.74"/>
    <n v="133.74"/>
    <s v="Hit"/>
  </r>
  <r>
    <s v="tt1000054"/>
    <s v="Spider-Man: No Way Home"/>
    <x v="65"/>
    <x v="7"/>
    <x v="2"/>
    <x v="9"/>
    <s v="Long"/>
    <x v="120"/>
    <n v="7.9"/>
    <x v="25"/>
    <s v="A thrilling sci-fi adventure."/>
    <x v="19"/>
    <s v="Matt Damon, Florence Pugh, Johnny Depp"/>
    <n v="152395"/>
    <m/>
    <n v="0"/>
    <s v="Average"/>
  </r>
  <r>
    <s v="tt1000056"/>
    <s v="The Batman"/>
    <x v="62"/>
    <x v="5"/>
    <x v="1"/>
    <x v="48"/>
    <s v="Medium"/>
    <x v="121"/>
    <n v="7.9"/>
    <x v="10"/>
    <s v="An epic documentary tale directed by Danny Boyle."/>
    <x v="22"/>
    <s v="Kate Winslet, Viola Davis, Christian Bale, Al Pacino, Tom Hanks"/>
    <n v="15767"/>
    <n v="245.49"/>
    <n v="245.49"/>
    <s v="Blockbuster"/>
  </r>
  <r>
    <s v="tt1000060"/>
    <s v="Wonder Woman"/>
    <x v="27"/>
    <x v="5"/>
    <x v="4"/>
    <x v="17"/>
    <s v="Long"/>
    <x v="18"/>
    <n v="7.9"/>
    <x v="0"/>
    <s v="An epic horror tale directed by Hayao Miyazaki."/>
    <x v="28"/>
    <s v="Jack Nicholson, Brad Pitt, Gary Oldman, Denzel Washington, Will Smith"/>
    <n v="12011"/>
    <m/>
    <n v="0"/>
    <s v="Average"/>
  </r>
  <r>
    <s v="tt1000082"/>
    <s v="Schindler's List"/>
    <x v="48"/>
    <x v="7"/>
    <x v="2"/>
    <x v="24"/>
    <s v="Medium"/>
    <x v="48"/>
    <n v="7.9"/>
    <x v="0"/>
    <s v="A sci-fi film set in 1982."/>
    <x v="3"/>
    <s v="Margot Robbie, Kate Winslet, Will Smith, Scarlett Johansson"/>
    <n v="507552"/>
    <n v="23.37"/>
    <n v="23.37"/>
    <s v="Average"/>
  </r>
  <r>
    <s v="tt1000226"/>
    <s v="Final Journey 119"/>
    <x v="35"/>
    <x v="2"/>
    <x v="2"/>
    <x v="67"/>
    <s v="Long"/>
    <x v="122"/>
    <n v="7.9"/>
    <x v="25"/>
    <s v="A thrilling drama adventure."/>
    <x v="4"/>
    <s v="Brad Pitt, Al Pacino, Anthony Hopkins, Tom Cruise, Scarlett Johansson"/>
    <n v="176752"/>
    <n v="417.81"/>
    <n v="417.81"/>
    <s v="Blockbuster"/>
  </r>
  <r>
    <s v="tt1000223"/>
    <s v="Last Revolution 116"/>
    <x v="10"/>
    <x v="2"/>
    <x v="0"/>
    <x v="6"/>
    <s v="Long"/>
    <x v="101"/>
    <n v="7.9"/>
    <x v="0"/>
    <s v="An epic drama tale directed by Spike Lee."/>
    <x v="2"/>
    <s v="Florence Pugh, Jack Nicholson, Tom Hanks, Robert Downey Jr., Anthony Hopkins"/>
    <n v="2670"/>
    <n v="100.43"/>
    <n v="100.43"/>
    <s v="Hit"/>
  </r>
  <r>
    <s v="tt1000615"/>
    <s v="Lost Chronicles 508"/>
    <x v="1"/>
    <x v="1"/>
    <x v="2"/>
    <x v="33"/>
    <s v="Medium"/>
    <x v="123"/>
    <n v="7.9"/>
    <x v="0"/>
    <s v="A critically acclaimed action masterpiece."/>
    <x v="29"/>
    <s v="Edward Norton, Harrison Ford, Denzel Washington, Chris Hemsworth, Meryl Streep"/>
    <n v="16329"/>
    <n v="869.63"/>
    <n v="869.63"/>
    <s v="Blockbuster"/>
  </r>
  <r>
    <s v="tt1000034"/>
    <s v="Jurassic Park"/>
    <x v="53"/>
    <x v="8"/>
    <x v="2"/>
    <x v="43"/>
    <s v="Medium"/>
    <x v="12"/>
    <n v="7.9"/>
    <x v="13"/>
    <s v="A critically acclaimed war masterpiece."/>
    <x v="20"/>
    <s v="Johnny Depp, Jennifer Lawrence, Cate Blanchett, Tom Cruise, Samuel L. Jackson"/>
    <n v="28204"/>
    <n v="89.57"/>
    <n v="89.57"/>
    <s v="Average"/>
  </r>
  <r>
    <s v="tt1000983"/>
    <s v="The Quest 876"/>
    <x v="52"/>
    <x v="1"/>
    <x v="2"/>
    <x v="37"/>
    <s v="Short"/>
    <x v="22"/>
    <n v="7.9"/>
    <x v="0"/>
    <s v="An epic animation tale directed by Frank Darabont."/>
    <x v="14"/>
    <s v="Emma Stone, Leonardo DiCaprio, Natalie Portman"/>
    <n v="192165"/>
    <n v="466"/>
    <n v="466"/>
    <s v="Blockbuster"/>
  </r>
  <r>
    <s v="tt1000017"/>
    <s v="The Departed"/>
    <x v="63"/>
    <x v="4"/>
    <x v="1"/>
    <x v="54"/>
    <s v="Medium"/>
    <x v="124"/>
    <n v="7.9"/>
    <x v="0"/>
    <s v="A family film set in 1978."/>
    <x v="10"/>
    <s v="Kate Winslet, Tom Cruise, Florence Pugh, Robert De Niro, Morgan Freeman"/>
    <n v="89920"/>
    <n v="212.07"/>
    <n v="212.07"/>
    <s v="Blockbuster"/>
  </r>
  <r>
    <s v="tt1000139"/>
    <s v="Dark Quest 32"/>
    <x v="66"/>
    <x v="7"/>
    <x v="3"/>
    <x v="15"/>
    <s v="Long"/>
    <x v="8"/>
    <n v="7.9"/>
    <x v="32"/>
    <s v="A war film set in 1986."/>
    <x v="32"/>
    <s v="Emma Stone, Keanu Reeves, Brad Pitt, Viola Davis"/>
    <n v="39753"/>
    <m/>
    <n v="0"/>
    <s v="Average"/>
  </r>
  <r>
    <s v="tt1000549"/>
    <s v="Secret War 442"/>
    <x v="3"/>
    <x v="1"/>
    <x v="2"/>
    <x v="68"/>
    <s v="Long"/>
    <x v="57"/>
    <n v="7.9"/>
    <x v="31"/>
    <s v="A thrilling family adventure."/>
    <x v="17"/>
    <s v="Meryl Streep, Robert Downey Jr., Gary Oldman, Natalie Portman, Scarlett Johansson"/>
    <n v="2500000"/>
    <m/>
    <n v="0"/>
    <s v="Average"/>
  </r>
  <r>
    <s v="tt1000131"/>
    <s v="Secret Adventures 24"/>
    <x v="62"/>
    <x v="5"/>
    <x v="2"/>
    <x v="69"/>
    <s v="Long"/>
    <x v="125"/>
    <n v="7.9"/>
    <x v="13"/>
    <s v="A thrilling adventure adventure."/>
    <x v="15"/>
    <s v="Jack Nicholson, Gary Oldman, Amy Adams"/>
    <n v="29620"/>
    <m/>
    <n v="0"/>
    <s v="Average"/>
  </r>
  <r>
    <s v="tt1000516"/>
    <s v="Secret Quest 409"/>
    <x v="1"/>
    <x v="1"/>
    <x v="0"/>
    <x v="70"/>
    <s v="Long"/>
    <x v="126"/>
    <n v="7.9"/>
    <x v="0"/>
    <s v="An epic drama tale directed by Steven Spielberg."/>
    <x v="27"/>
    <s v="Leonardo DiCaprio, Meryl Streep, Brad Pitt"/>
    <n v="51522"/>
    <n v="550.44000000000005"/>
    <n v="550.44000000000005"/>
    <s v="Blockbuster"/>
  </r>
  <r>
    <s v="tt1000496"/>
    <s v="Final Quest 389"/>
    <x v="4"/>
    <x v="0"/>
    <x v="0"/>
    <x v="52"/>
    <s v="Short"/>
    <x v="126"/>
    <n v="7.9"/>
    <x v="33"/>
    <s v="A thrilling drama adventure."/>
    <x v="18"/>
    <s v="Tom Cruise, Keanu Reeves, Johnny Depp"/>
    <n v="26165"/>
    <n v="218.12"/>
    <n v="218.12"/>
    <s v="Blockbuster"/>
  </r>
  <r>
    <s v="tt1000480"/>
    <s v="An Mystery 373"/>
    <x v="40"/>
    <x v="0"/>
    <x v="2"/>
    <x v="63"/>
    <s v="Long"/>
    <x v="127"/>
    <n v="7.9"/>
    <x v="9"/>
    <s v="A thrilling romance adventure."/>
    <x v="9"/>
    <s v="Harrison Ford, Matt Damon, Daniel Day-Lewis, Tom Hanks, Mark Ruffalo"/>
    <n v="78553"/>
    <n v="499.98"/>
    <n v="499.98"/>
    <s v="Blockbuster"/>
  </r>
  <r>
    <s v="tt1000467"/>
    <s v="Last Mystery 360"/>
    <x v="11"/>
    <x v="0"/>
    <x v="1"/>
    <x v="41"/>
    <s v="Long"/>
    <x v="128"/>
    <n v="7.9"/>
    <x v="11"/>
    <s v="A western film set in 2002."/>
    <x v="32"/>
    <s v="Harrison Ford, Jennifer Lawrence, Natalie Portman, Christian Bale"/>
    <n v="176033"/>
    <n v="339.8"/>
    <n v="339.8"/>
    <s v="Blockbuster"/>
  </r>
  <r>
    <s v="tt1000352"/>
    <s v="Dark Quest 245"/>
    <x v="44"/>
    <x v="0"/>
    <x v="3"/>
    <x v="18"/>
    <s v="Medium"/>
    <x v="129"/>
    <n v="7.9"/>
    <x v="20"/>
    <s v="A critically acclaimed western masterpiece."/>
    <x v="1"/>
    <s v="Daniel Day-Lewis, Natalie Portman, Anthony Hopkins, Edward Norton"/>
    <n v="135320"/>
    <n v="454.59"/>
    <n v="454.59"/>
    <s v="Blockbuster"/>
  </r>
  <r>
    <s v="tt1000284"/>
    <s v="An Mission 177"/>
    <x v="0"/>
    <x v="0"/>
    <x v="0"/>
    <x v="16"/>
    <s v="Medium"/>
    <x v="3"/>
    <n v="7.9"/>
    <x v="0"/>
    <s v="A thrilling biography adventure."/>
    <x v="17"/>
    <s v="Meryl Streep, Brad Pitt, Jack Nicholson"/>
    <n v="504214"/>
    <m/>
    <n v="0"/>
    <s v="Average"/>
  </r>
  <r>
    <s v="tt1000269"/>
    <s v="Lost Dreams 162"/>
    <x v="18"/>
    <x v="2"/>
    <x v="0"/>
    <x v="24"/>
    <s v="Medium"/>
    <x v="130"/>
    <n v="7.9"/>
    <x v="34"/>
    <s v="A critically acclaimed western masterpiece."/>
    <x v="19"/>
    <s v="Harrison Ford, Scarlett Johansson, Anthony Hopkins, Amy Adams"/>
    <n v="15647"/>
    <m/>
    <n v="0"/>
    <s v="Average"/>
  </r>
  <r>
    <s v="tt1000650"/>
    <s v="A Kingdom 543"/>
    <x v="5"/>
    <x v="2"/>
    <x v="2"/>
    <x v="71"/>
    <s v="Short"/>
    <x v="131"/>
    <n v="7.9"/>
    <x v="29"/>
    <s v="A thriller film set in 2023."/>
    <x v="27"/>
    <s v="Scarlett Johansson, Kate Winslet, Florence Pugh, Amy Adams"/>
    <n v="15388"/>
    <n v="404.1"/>
    <n v="404.1"/>
    <s v="Blockbuster"/>
  </r>
  <r>
    <s v="tt1000299"/>
    <s v="Secret Awakening 192"/>
    <x v="6"/>
    <x v="2"/>
    <x v="2"/>
    <x v="15"/>
    <s v="Long"/>
    <x v="132"/>
    <n v="7.9"/>
    <x v="0"/>
    <s v="A critically acclaimed western masterpiece."/>
    <x v="0"/>
    <s v="Al Pacino, Daniel Day-Lewis, Matt Damon"/>
    <n v="17581"/>
    <m/>
    <n v="0"/>
    <s v="Average"/>
  </r>
  <r>
    <s v="tt1000079"/>
    <s v="The English Patient"/>
    <x v="65"/>
    <x v="7"/>
    <x v="0"/>
    <x v="5"/>
    <s v="Long"/>
    <x v="3"/>
    <n v="7.9"/>
    <x v="0"/>
    <s v="A biography film set in 1989."/>
    <x v="12"/>
    <s v="Harrison Ford, Jennifer Lawrence, Johnny Depp"/>
    <n v="129033"/>
    <m/>
    <n v="0"/>
    <s v="Average"/>
  </r>
  <r>
    <s v="tt1000690"/>
    <s v="Dark Empire 583"/>
    <x v="2"/>
    <x v="0"/>
    <x v="4"/>
    <x v="68"/>
    <s v="Long"/>
    <x v="133"/>
    <n v="7.9"/>
    <x v="33"/>
    <s v="A comedy film set in 2008."/>
    <x v="18"/>
    <s v="Samuel L. Jackson, Chris Hemsworth, Keanu Reeves, Harrison Ford, Jennifer Lawrence"/>
    <n v="68390"/>
    <m/>
    <n v="0"/>
    <s v="Average"/>
  </r>
  <r>
    <s v="tt1000692"/>
    <s v="Final Empire 585"/>
    <x v="12"/>
    <x v="1"/>
    <x v="2"/>
    <x v="17"/>
    <s v="Long"/>
    <x v="36"/>
    <n v="7.9"/>
    <x v="29"/>
    <s v="A thrilling mystery adventure."/>
    <x v="27"/>
    <s v="Margot Robbie, Scarlett Johansson, Robert De Niro, Robert Downey Jr., Emma Stone"/>
    <n v="48573"/>
    <n v="311.02999999999997"/>
    <n v="311.02999999999997"/>
    <s v="Blockbuster"/>
  </r>
  <r>
    <s v="tt1000098"/>
    <s v="Annie Hall"/>
    <x v="61"/>
    <x v="5"/>
    <x v="0"/>
    <x v="12"/>
    <s v="Long"/>
    <x v="134"/>
    <n v="7.9"/>
    <x v="29"/>
    <s v="A musical film set in 1993."/>
    <x v="20"/>
    <s v="Scarlett Johansson, Christian Bale, Kate Winslet, Robert De Niro"/>
    <n v="230821"/>
    <m/>
    <n v="0"/>
    <s v="Average"/>
  </r>
  <r>
    <s v="tt1000878"/>
    <s v="A Awakening 771"/>
    <x v="18"/>
    <x v="2"/>
    <x v="0"/>
    <x v="72"/>
    <s v="Long"/>
    <x v="6"/>
    <n v="7.8"/>
    <x v="0"/>
    <s v="A critically acclaimed romance masterpiece."/>
    <x v="12"/>
    <s v="Daniel Day-Lewis, Mark Ruffalo, Harrison Ford, Tom Cruise, Emma Stone"/>
    <n v="79694"/>
    <n v="983.71"/>
    <n v="983.71"/>
    <s v="Blockbuster"/>
  </r>
  <r>
    <s v="tt1000297"/>
    <s v="Secret Quest 190"/>
    <x v="45"/>
    <x v="0"/>
    <x v="2"/>
    <x v="41"/>
    <s v="Long"/>
    <x v="135"/>
    <n v="7.8"/>
    <x v="0"/>
    <s v="An epic comedy tale directed by Ava DuVernay."/>
    <x v="13"/>
    <s v="Harrison Ford, Morgan Freeman, Amy Adams"/>
    <n v="345913"/>
    <n v="95.88"/>
    <n v="95.88"/>
    <s v="Average"/>
  </r>
  <r>
    <s v="tt1000296"/>
    <s v="Dark Destiny 189"/>
    <x v="52"/>
    <x v="1"/>
    <x v="1"/>
    <x v="23"/>
    <s v="Long"/>
    <x v="65"/>
    <n v="7.8"/>
    <x v="19"/>
    <s v="A thrilling family adventure."/>
    <x v="10"/>
    <s v="TimothÃ©e Chalamet, Denzel Washington, Keanu Reeves, Florence Pugh, Morgan Freeman"/>
    <n v="204991"/>
    <n v="155.33000000000001"/>
    <n v="155.33000000000001"/>
    <s v="Hit"/>
  </r>
  <r>
    <s v="tt1000238"/>
    <s v="An Mystery 131"/>
    <x v="11"/>
    <x v="0"/>
    <x v="2"/>
    <x v="18"/>
    <s v="Medium"/>
    <x v="136"/>
    <n v="7.8"/>
    <x v="13"/>
    <s v="A horror film set in 2002."/>
    <x v="15"/>
    <s v="Zendaya, Meryl Streep, Johnny Depp, Chris Hemsworth, TimothÃ©e Chalamet"/>
    <n v="71064"/>
    <n v="13.22"/>
    <n v="13.22"/>
    <s v="Average"/>
  </r>
  <r>
    <s v="tt1000091"/>
    <s v="Amadeus"/>
    <x v="21"/>
    <x v="7"/>
    <x v="2"/>
    <x v="46"/>
    <s v="Medium"/>
    <x v="115"/>
    <n v="7.8"/>
    <x v="18"/>
    <s v="An epic fantasy tale directed by Quentin Tarantino."/>
    <x v="15"/>
    <s v="Anthony Hopkins, Zendaya, Matt Damon"/>
    <n v="71849"/>
    <m/>
    <n v="0"/>
    <s v="Average"/>
  </r>
  <r>
    <s v="tt1000649"/>
    <s v="Lost Adventures 542"/>
    <x v="2"/>
    <x v="0"/>
    <x v="0"/>
    <x v="18"/>
    <s v="Medium"/>
    <x v="137"/>
    <n v="7.8"/>
    <x v="15"/>
    <s v="An epic animation tale directed by Wes Anderson."/>
    <x v="34"/>
    <s v="Mark Ruffalo, Will Smith, Amy Adams, Robert Downey Jr."/>
    <n v="55431"/>
    <m/>
    <n v="0"/>
    <s v="Average"/>
  </r>
  <r>
    <s v="tt1000622"/>
    <s v="A Destiny 515"/>
    <x v="60"/>
    <x v="1"/>
    <x v="0"/>
    <x v="13"/>
    <s v="Long"/>
    <x v="138"/>
    <n v="7.8"/>
    <x v="0"/>
    <s v="A critically acclaimed war masterpiece."/>
    <x v="23"/>
    <s v="Tom Hanks, Margot Robbie, Florence Pugh"/>
    <n v="11655"/>
    <n v="243.84"/>
    <n v="243.84"/>
    <s v="Blockbuster"/>
  </r>
  <r>
    <s v="tt1000656"/>
    <s v="Dark Mission 549"/>
    <x v="51"/>
    <x v="1"/>
    <x v="3"/>
    <x v="3"/>
    <s v="Medium"/>
    <x v="139"/>
    <n v="7.8"/>
    <x v="24"/>
    <s v="A sci-fi film set in 2015."/>
    <x v="22"/>
    <s v="Johnny Depp, Amy Adams, Robert De Niro"/>
    <n v="145850"/>
    <n v="939.39"/>
    <n v="939.39"/>
    <s v="Blockbuster"/>
  </r>
  <r>
    <s v="tt1000599"/>
    <s v="Lost Journey 492"/>
    <x v="1"/>
    <x v="1"/>
    <x v="1"/>
    <x v="55"/>
    <s v="Medium"/>
    <x v="45"/>
    <n v="7.8"/>
    <x v="0"/>
    <s v="An epic fantasy tale directed by Akira Kurosawa."/>
    <x v="12"/>
    <s v="Amy Adams, Margot Robbie, Scarlett Johansson, Jennifer Lawrence, Jack Nicholson"/>
    <n v="61819"/>
    <n v="78.05"/>
    <n v="78.05"/>
    <s v="Average"/>
  </r>
  <r>
    <s v="tt1000423"/>
    <s v="Final War 316"/>
    <x v="60"/>
    <x v="1"/>
    <x v="1"/>
    <x v="47"/>
    <s v="Long"/>
    <x v="140"/>
    <n v="7.8"/>
    <x v="25"/>
    <s v="A thrilling crime adventure."/>
    <x v="9"/>
    <s v="Keanu Reeves, Anthony Hopkins, Florence Pugh"/>
    <n v="149299"/>
    <m/>
    <n v="0"/>
    <s v="Average"/>
  </r>
  <r>
    <s v="tt1000373"/>
    <s v="Lost Empire 266"/>
    <x v="44"/>
    <x v="0"/>
    <x v="1"/>
    <x v="6"/>
    <s v="Long"/>
    <x v="141"/>
    <n v="7.8"/>
    <x v="0"/>
    <s v="A critically acclaimed western masterpiece."/>
    <x v="26"/>
    <s v="Florence Pugh, Amy Adams, Christian Bale, Natalie Portman"/>
    <n v="355238"/>
    <n v="297.95"/>
    <n v="297.95"/>
    <s v="Blockbuster"/>
  </r>
  <r>
    <s v="tt1000508"/>
    <s v="A Revolution 401"/>
    <x v="60"/>
    <x v="1"/>
    <x v="1"/>
    <x v="54"/>
    <s v="Medium"/>
    <x v="18"/>
    <n v="7.8"/>
    <x v="0"/>
    <s v="A thrilling horror adventure."/>
    <x v="1"/>
    <s v="Meryl Streep, Denzel Washington, Cate Blanchett, Daniel Day-Lewis"/>
    <n v="1011433"/>
    <m/>
    <n v="0"/>
    <s v="Average"/>
  </r>
  <r>
    <s v="tt1000005"/>
    <s v="The Lord of the Rings: The Return of the King"/>
    <x v="13"/>
    <x v="4"/>
    <x v="1"/>
    <x v="30"/>
    <s v="Medium"/>
    <x v="142"/>
    <n v="7.8"/>
    <x v="31"/>
    <s v="A thrilling animation adventure."/>
    <x v="5"/>
    <s v="Morgan Freeman, Cate Blanchett, Tom Hanks"/>
    <n v="57557"/>
    <n v="159.65"/>
    <n v="159.65"/>
    <s v="Hit"/>
  </r>
  <r>
    <s v="tt1000040"/>
    <s v="Alien"/>
    <x v="55"/>
    <x v="6"/>
    <x v="2"/>
    <x v="70"/>
    <s v="Long"/>
    <x v="33"/>
    <n v="7.8"/>
    <x v="10"/>
    <s v="A comedy film set in 1964."/>
    <x v="26"/>
    <s v="Johnny Depp, Anthony Hopkins, Margot Robbie, Florence Pugh, Jack Nicholson"/>
    <n v="294597"/>
    <n v="187.49"/>
    <n v="187.49"/>
    <s v="Hit"/>
  </r>
  <r>
    <s v="tt1000900"/>
    <s v="Lost Dreams 793"/>
    <x v="45"/>
    <x v="0"/>
    <x v="0"/>
    <x v="12"/>
    <s v="Long"/>
    <x v="143"/>
    <n v="7.8"/>
    <x v="0"/>
    <s v="A animation film set in 2001."/>
    <x v="4"/>
    <s v="Margot Robbie, Kate Winslet, Brad Pitt, Edward Norton, Matt Damon"/>
    <n v="1224943"/>
    <m/>
    <n v="0"/>
    <s v="Average"/>
  </r>
  <r>
    <s v="tt1000065"/>
    <s v="Argo"/>
    <x v="4"/>
    <x v="0"/>
    <x v="1"/>
    <x v="12"/>
    <s v="Long"/>
    <x v="144"/>
    <n v="7.8"/>
    <x v="33"/>
    <s v="An epic fantasy tale directed by Alfred Hitchcock."/>
    <x v="20"/>
    <s v="Natalie Portman, Amy Adams, Robert De Niro"/>
    <n v="75401"/>
    <n v="121.92"/>
    <n v="121.92"/>
    <s v="Hit"/>
  </r>
  <r>
    <s v="tt1000068"/>
    <s v="Slumdog Millionaire"/>
    <x v="48"/>
    <x v="7"/>
    <x v="0"/>
    <x v="73"/>
    <s v="Medium"/>
    <x v="42"/>
    <n v="7.8"/>
    <x v="22"/>
    <s v="A critically acclaimed thriller masterpiece."/>
    <x v="26"/>
    <s v="Edward Norton, Margot Robbie, Brad Pitt, Jennifer Lawrence"/>
    <n v="77786"/>
    <m/>
    <n v="0"/>
    <s v="Average"/>
  </r>
  <r>
    <s v="tt1000053"/>
    <s v="No Time to Die"/>
    <x v="14"/>
    <x v="5"/>
    <x v="0"/>
    <x v="63"/>
    <s v="Long"/>
    <x v="145"/>
    <n v="7.8"/>
    <x v="0"/>
    <s v="An epic horror tale directed by Jordan Peele."/>
    <x v="3"/>
    <s v="Anthony Hopkins, Daniel Day-Lewis, Morgan Freeman, Zendaya, Emma Stone"/>
    <n v="194975"/>
    <n v="101.17"/>
    <n v="101.17"/>
    <s v="Hit"/>
  </r>
  <r>
    <s v="tt1000783"/>
    <s v="A Secrets 676"/>
    <x v="34"/>
    <x v="0"/>
    <x v="2"/>
    <x v="54"/>
    <s v="Medium"/>
    <x v="146"/>
    <n v="7.8"/>
    <x v="12"/>
    <s v="A thrilling thriller adventure."/>
    <x v="26"/>
    <s v="Al Pacino, Robert De Niro, Jennifer Lawrence"/>
    <n v="151071"/>
    <n v="497.82"/>
    <n v="497.82"/>
    <s v="Blockbuster"/>
  </r>
  <r>
    <s v="tt1000861"/>
    <s v="An Revolution 754"/>
    <x v="6"/>
    <x v="2"/>
    <x v="1"/>
    <x v="47"/>
    <s v="Long"/>
    <x v="147"/>
    <n v="7.8"/>
    <x v="11"/>
    <s v="An epic sci-fi tale directed by Taika Waititi."/>
    <x v="35"/>
    <s v="Harrison Ford, Mark Ruffalo, Margot Robbie, Natalie Portman, Emma Stone"/>
    <n v="23423"/>
    <n v="779.9"/>
    <n v="779.9"/>
    <s v="Blockbuster"/>
  </r>
  <r>
    <s v="tt1000823"/>
    <s v="A Awakening 716"/>
    <x v="45"/>
    <x v="0"/>
    <x v="2"/>
    <x v="48"/>
    <s v="Medium"/>
    <x v="148"/>
    <n v="7.8"/>
    <x v="0"/>
    <s v="An epic action tale directed by Ridley Scott."/>
    <x v="1"/>
    <s v="Robert De Niro, Brad Pitt, Johnny Depp, Jack Nicholson"/>
    <n v="2075699"/>
    <n v="168.77"/>
    <n v="168.77"/>
    <s v="Hit"/>
  </r>
  <r>
    <s v="tt1000791"/>
    <s v="Secret Revolution 684"/>
    <x v="9"/>
    <x v="1"/>
    <x v="2"/>
    <x v="41"/>
    <s v="Long"/>
    <x v="149"/>
    <n v="7.8"/>
    <x v="24"/>
    <s v="A critically acclaimed documentary masterpiece."/>
    <x v="18"/>
    <s v="Cate Blanchett, Florence Pugh, Emma Stone, Mark Ruffalo, Gary Oldman"/>
    <n v="525838"/>
    <n v="359.71"/>
    <n v="359.71"/>
    <s v="Blockbuster"/>
  </r>
  <r>
    <s v="tt1000809"/>
    <s v="Secret Secrets 702"/>
    <x v="45"/>
    <x v="0"/>
    <x v="3"/>
    <x v="22"/>
    <s v="Medium"/>
    <x v="130"/>
    <n v="7.8"/>
    <x v="5"/>
    <s v="A thrilling western adventure."/>
    <x v="10"/>
    <s v="Florence Pugh, Robert De Niro, Samuel L. Jackson, Margot Robbie"/>
    <n v="36275"/>
    <n v="410.67"/>
    <n v="410.67"/>
    <s v="Blockbuster"/>
  </r>
  <r>
    <s v="tt1000230"/>
    <s v="An Adventures 123"/>
    <x v="19"/>
    <x v="1"/>
    <x v="2"/>
    <x v="54"/>
    <s v="Medium"/>
    <x v="150"/>
    <n v="7.8"/>
    <x v="0"/>
    <s v="An epic adventure tale directed by Danny Boyle."/>
    <x v="22"/>
    <s v="Will Smith, Gary Oldman, Scarlett Johansson"/>
    <n v="11830"/>
    <n v="418.09"/>
    <n v="418.09"/>
    <s v="Blockbuster"/>
  </r>
  <r>
    <s v="tt1000318"/>
    <s v="Lost Legend 211"/>
    <x v="12"/>
    <x v="1"/>
    <x v="1"/>
    <x v="22"/>
    <s v="Medium"/>
    <x v="70"/>
    <n v="7.8"/>
    <x v="14"/>
    <s v="A musical film set in 2013."/>
    <x v="16"/>
    <s v="Jack Nicholson, Meryl Streep, Keanu Reeves"/>
    <n v="100116"/>
    <n v="794.83"/>
    <n v="794.83"/>
    <s v="Blockbuster"/>
  </r>
  <r>
    <s v="tt1000347"/>
    <s v="First War 240"/>
    <x v="5"/>
    <x v="2"/>
    <x v="1"/>
    <x v="24"/>
    <s v="Medium"/>
    <x v="151"/>
    <n v="7.8"/>
    <x v="32"/>
    <s v="A critically acclaimed western masterpiece."/>
    <x v="29"/>
    <s v="Kate Winslet, Brad Pitt, Leonardo DiCaprio, Daniel Day-Lewis, Cate Blanchett"/>
    <n v="56513"/>
    <m/>
    <n v="0"/>
    <s v="Average"/>
  </r>
  <r>
    <s v="tt1000884"/>
    <s v="Secret Quest 777"/>
    <x v="40"/>
    <x v="0"/>
    <x v="2"/>
    <x v="41"/>
    <s v="Long"/>
    <x v="152"/>
    <n v="7.7"/>
    <x v="35"/>
    <s v="A thrilling family adventure."/>
    <x v="28"/>
    <s v="Tom Cruise, Florence Pugh, Tom Hanks"/>
    <n v="22320"/>
    <n v="59.64"/>
    <n v="59.64"/>
    <s v="Average"/>
  </r>
  <r>
    <s v="tt1000849"/>
    <s v="A Mission 742"/>
    <x v="12"/>
    <x v="1"/>
    <x v="2"/>
    <x v="30"/>
    <s v="Medium"/>
    <x v="153"/>
    <n v="7.7"/>
    <x v="0"/>
    <s v="A critically acclaimed crime masterpiece."/>
    <x v="26"/>
    <s v="Matt Damon, Anthony Hopkins, Meryl Streep, Chris Hemsworth, Scarlett Johansson"/>
    <n v="1373213"/>
    <n v="197.06"/>
    <n v="197.06"/>
    <s v="Hit"/>
  </r>
  <r>
    <s v="tt1000179"/>
    <s v="Lost Mission 72"/>
    <x v="33"/>
    <x v="5"/>
    <x v="0"/>
    <x v="54"/>
    <s v="Medium"/>
    <x v="154"/>
    <n v="7.7"/>
    <x v="19"/>
    <s v="A critically acclaimed horror masterpiece."/>
    <x v="5"/>
    <s v="Emma Stone, Tom Hanks, Amy Adams, Morgan Freeman"/>
    <n v="25201"/>
    <m/>
    <n v="0"/>
    <s v="Average"/>
  </r>
  <r>
    <s v="tt1000046"/>
    <s v="Black Panther"/>
    <x v="46"/>
    <x v="6"/>
    <x v="1"/>
    <x v="51"/>
    <s v="Long"/>
    <x v="6"/>
    <n v="7.7"/>
    <x v="0"/>
    <s v="A critically acclaimed romance masterpiece."/>
    <x v="9"/>
    <s v="Viola Davis, Brad Pitt, Chris Hemsworth, Jennifer Lawrence"/>
    <n v="50532"/>
    <m/>
    <n v="0"/>
    <s v="Average"/>
  </r>
  <r>
    <s v="tt1000064"/>
    <s v="12 Years a Slave"/>
    <x v="58"/>
    <x v="7"/>
    <x v="2"/>
    <x v="8"/>
    <s v="Long"/>
    <x v="155"/>
    <n v="7.7"/>
    <x v="0"/>
    <s v="A critically acclaimed crime masterpiece."/>
    <x v="2"/>
    <s v="Florence Pugh, Samuel L. Jackson, Al Pacino"/>
    <n v="46580"/>
    <n v="5.2"/>
    <n v="5.2"/>
    <s v="Average"/>
  </r>
  <r>
    <s v="tt1000066"/>
    <s v="The Artist"/>
    <x v="67"/>
    <x v="5"/>
    <x v="2"/>
    <x v="7"/>
    <s v="Long"/>
    <x v="156"/>
    <n v="7.7"/>
    <x v="11"/>
    <s v="A critically acclaimed war masterpiece."/>
    <x v="26"/>
    <s v="Jack Nicholson, Margot Robbie, Florence Pugh"/>
    <n v="102403"/>
    <n v="210.2"/>
    <n v="210.2"/>
    <s v="Blockbuster"/>
  </r>
  <r>
    <s v="tt1000845"/>
    <s v="Lost Mystery 738"/>
    <x v="45"/>
    <x v="0"/>
    <x v="1"/>
    <x v="34"/>
    <s v="Medium"/>
    <x v="70"/>
    <n v="7.7"/>
    <x v="12"/>
    <s v="A thrilling musical adventure."/>
    <x v="26"/>
    <s v="Jack Nicholson, Edward Norton, Zendaya, Viola Davis, Tom Hanks"/>
    <n v="237442"/>
    <n v="182.23"/>
    <n v="182.23"/>
    <s v="Hit"/>
  </r>
  <r>
    <s v="tt1000083"/>
    <s v="Unforgiven"/>
    <x v="30"/>
    <x v="7"/>
    <x v="2"/>
    <x v="11"/>
    <s v="Long"/>
    <x v="157"/>
    <n v="7.7"/>
    <x v="13"/>
    <s v="An epic sci-fi tale directed by Park Chan-wook."/>
    <x v="0"/>
    <s v="Gary Oldman, Morgan Freeman, Harrison Ford, Zendaya"/>
    <n v="142338"/>
    <m/>
    <n v="0"/>
    <s v="Average"/>
  </r>
  <r>
    <s v="tt1000976"/>
    <s v="First Quest 869"/>
    <x v="24"/>
    <x v="0"/>
    <x v="1"/>
    <x v="35"/>
    <s v="Long"/>
    <x v="5"/>
    <n v="7.7"/>
    <x v="24"/>
    <s v="A thrilling crime adventure."/>
    <x v="3"/>
    <s v="TimothÃ©e Chalamet, Morgan Freeman, Samuel L. Jackson, Cate Blanchett, Will Smith"/>
    <n v="220517"/>
    <n v="345.98"/>
    <n v="345.98"/>
    <s v="Blockbuster"/>
  </r>
  <r>
    <s v="tt1000279"/>
    <s v="The Secrets 172"/>
    <x v="35"/>
    <x v="2"/>
    <x v="1"/>
    <x v="64"/>
    <s v="Medium"/>
    <x v="35"/>
    <n v="7.7"/>
    <x v="5"/>
    <s v="A thrilling drama adventure."/>
    <x v="5"/>
    <s v="Anthony Hopkins, Robert De Niro, Harrison Ford, Chris Hemsworth"/>
    <n v="43434"/>
    <n v="229.99"/>
    <n v="229.99"/>
    <s v="Blockbuster"/>
  </r>
  <r>
    <s v="tt1000579"/>
    <s v="Secret Love 472"/>
    <x v="12"/>
    <x v="1"/>
    <x v="2"/>
    <x v="36"/>
    <s v="Medium"/>
    <x v="158"/>
    <n v="7.7"/>
    <x v="5"/>
    <s v="A thrilling comedy adventure."/>
    <x v="21"/>
    <s v="Zendaya, Amy Adams, Leonardo DiCaprio, Viola Davis, Jennifer Lawrence"/>
    <n v="779119"/>
    <n v="218.64"/>
    <n v="218.64"/>
    <s v="Blockbuster"/>
  </r>
  <r>
    <s v="tt1000294"/>
    <s v="Lost Mission 187"/>
    <x v="51"/>
    <x v="1"/>
    <x v="0"/>
    <x v="24"/>
    <s v="Medium"/>
    <x v="131"/>
    <n v="7.7"/>
    <x v="36"/>
    <s v="A critically acclaimed thriller masterpiece."/>
    <x v="10"/>
    <s v="Leonardo DiCaprio, Gary Oldman, Natalie Portman, Brad Pitt, Zendaya"/>
    <n v="166514"/>
    <m/>
    <n v="0"/>
    <s v="Average"/>
  </r>
  <r>
    <s v="tt1000271"/>
    <s v="An Quest 164"/>
    <x v="24"/>
    <x v="0"/>
    <x v="0"/>
    <x v="5"/>
    <s v="Long"/>
    <x v="49"/>
    <n v="7.7"/>
    <x v="27"/>
    <s v="A fantasy film set in 2003."/>
    <x v="29"/>
    <s v="Mark Ruffalo, Leonardo DiCaprio, Robert De Niro, Gary Oldman"/>
    <n v="6448"/>
    <n v="296.25"/>
    <n v="296.25"/>
    <s v="Blockbuster"/>
  </r>
  <r>
    <s v="tt1000129"/>
    <s v="Final Mystery 22"/>
    <x v="31"/>
    <x v="7"/>
    <x v="0"/>
    <x v="40"/>
    <s v="Long"/>
    <x v="159"/>
    <n v="7.7"/>
    <x v="9"/>
    <s v="An epic romance tale directed by James Cameron."/>
    <x v="32"/>
    <s v="Meryl Streep, Leonardo DiCaprio, Brad Pitt"/>
    <n v="15120"/>
    <m/>
    <n v="0"/>
    <s v="Average"/>
  </r>
  <r>
    <s v="tt1000559"/>
    <s v="First War 452"/>
    <x v="5"/>
    <x v="2"/>
    <x v="4"/>
    <x v="25"/>
    <s v="Long"/>
    <x v="5"/>
    <n v="7.7"/>
    <x v="0"/>
    <s v="A thrilling crime adventure."/>
    <x v="31"/>
    <s v="Mark Ruffalo, Robert Downey Jr., Emma Stone, Viola Davis, Edward Norton"/>
    <n v="31337"/>
    <n v="170.25"/>
    <n v="170.25"/>
    <s v="Hit"/>
  </r>
  <r>
    <s v="tt1000378"/>
    <s v="First Journey 271"/>
    <x v="51"/>
    <x v="1"/>
    <x v="0"/>
    <x v="48"/>
    <s v="Medium"/>
    <x v="3"/>
    <n v="7.7"/>
    <x v="35"/>
    <s v="A biography film set in 2015."/>
    <x v="1"/>
    <s v="Cate Blanchett, Kate Winslet, Gary Oldman"/>
    <n v="356541"/>
    <m/>
    <n v="0"/>
    <s v="Average"/>
  </r>
  <r>
    <s v="tt1000409"/>
    <s v="Secret Mystery 302"/>
    <x v="4"/>
    <x v="0"/>
    <x v="4"/>
    <x v="53"/>
    <s v="Medium"/>
    <x v="8"/>
    <n v="7.7"/>
    <x v="32"/>
    <s v="A war film set in 2000."/>
    <x v="5"/>
    <s v="Christian Bale, TimothÃ©e Chalamet, Chris Hemsworth"/>
    <n v="1649172"/>
    <m/>
    <n v="0"/>
    <s v="Average"/>
  </r>
  <r>
    <s v="tt1000346"/>
    <s v="An Kingdom 239"/>
    <x v="2"/>
    <x v="0"/>
    <x v="5"/>
    <x v="8"/>
    <s v="Long"/>
    <x v="160"/>
    <n v="7.7"/>
    <x v="20"/>
    <s v="A musical film set in 2008."/>
    <x v="13"/>
    <s v="Edward Norton, Jack Nicholson, Christian Bale, Samuel L. Jackson, Keanu Reeves"/>
    <n v="748548"/>
    <m/>
    <n v="0"/>
    <s v="Average"/>
  </r>
  <r>
    <s v="tt1000150"/>
    <s v="Dark Revolution 43"/>
    <x v="65"/>
    <x v="7"/>
    <x v="0"/>
    <x v="22"/>
    <s v="Medium"/>
    <x v="161"/>
    <n v="7.7"/>
    <x v="14"/>
    <s v="A documentary film set in 1989."/>
    <x v="16"/>
    <s v="Cate Blanchett, Margot Robbie, Keanu Reeves, Al Pacino"/>
    <n v="8188"/>
    <n v="157.47999999999999"/>
    <n v="157.47999999999999"/>
    <s v="Hit"/>
  </r>
  <r>
    <s v="tt1000544"/>
    <s v="First Quest 437"/>
    <x v="7"/>
    <x v="0"/>
    <x v="4"/>
    <x v="16"/>
    <s v="Medium"/>
    <x v="162"/>
    <n v="7.7"/>
    <x v="0"/>
    <s v="A musical film set in 2009."/>
    <x v="6"/>
    <s v="Anthony Hopkins, Leonardo DiCaprio, Mark Ruffalo, Cate Blanchett"/>
    <n v="36237"/>
    <n v="181.15"/>
    <n v="181.15"/>
    <s v="Hit"/>
  </r>
  <r>
    <s v="tt1000502"/>
    <s v="Dark Journey 395"/>
    <x v="20"/>
    <x v="1"/>
    <x v="3"/>
    <x v="63"/>
    <s v="Long"/>
    <x v="22"/>
    <n v="7.7"/>
    <x v="0"/>
    <s v="A animation film set in 2018."/>
    <x v="18"/>
    <s v="Edward Norton, Tom Hanks, Cate Blanchett"/>
    <n v="68364"/>
    <n v="191.29"/>
    <n v="191.29"/>
    <s v="Hit"/>
  </r>
  <r>
    <s v="tt1000499"/>
    <s v="The Empire 392"/>
    <x v="40"/>
    <x v="0"/>
    <x v="0"/>
    <x v="47"/>
    <s v="Long"/>
    <x v="163"/>
    <n v="7.7"/>
    <x v="32"/>
    <s v="An epic horror tale directed by Akira Kurosawa."/>
    <x v="12"/>
    <s v="Brad Pitt, Margot Robbie, Daniel Day-Lewis, Keanu Reeves, Anthony Hopkins"/>
    <n v="145625"/>
    <n v="474.7"/>
    <n v="474.7"/>
    <s v="Blockbuster"/>
  </r>
  <r>
    <s v="tt1000124"/>
    <s v="A Destiny 17"/>
    <x v="30"/>
    <x v="7"/>
    <x v="5"/>
    <x v="60"/>
    <s v="Long"/>
    <x v="89"/>
    <n v="7.7"/>
    <x v="31"/>
    <s v="A crime film set in 1984."/>
    <x v="4"/>
    <s v="Scarlett Johansson, Brad Pitt, Natalie Portman"/>
    <n v="907953"/>
    <n v="270.91000000000003"/>
    <n v="270.91000000000003"/>
    <s v="Blockbuster"/>
  </r>
  <r>
    <s v="tt1000723"/>
    <s v="Dark Destiny 616"/>
    <x v="18"/>
    <x v="2"/>
    <x v="1"/>
    <x v="29"/>
    <s v="Long"/>
    <x v="164"/>
    <n v="7.7"/>
    <x v="18"/>
    <s v="A thrilling drama adventure."/>
    <x v="3"/>
    <s v="Kate Winslet, Natalie Portman, Matt Damon, Margot Robbie"/>
    <n v="53427"/>
    <n v="578.84"/>
    <n v="578.84"/>
    <s v="Blockbuster"/>
  </r>
  <r>
    <s v="tt1000111"/>
    <s v="A Mystery 4"/>
    <x v="22"/>
    <x v="5"/>
    <x v="1"/>
    <x v="32"/>
    <s v="Medium"/>
    <x v="165"/>
    <n v="7.7"/>
    <x v="0"/>
    <s v="A drama film set in 1992."/>
    <x v="18"/>
    <s v="Jennifer Lawrence, Meryl Streep, Emma Stone"/>
    <n v="48021"/>
    <n v="256.13"/>
    <n v="256.13"/>
    <s v="Blockbuster"/>
  </r>
  <r>
    <s v="tt1000246"/>
    <s v="Lost Destiny 139"/>
    <x v="40"/>
    <x v="0"/>
    <x v="2"/>
    <x v="72"/>
    <s v="Long"/>
    <x v="60"/>
    <n v="7.7"/>
    <x v="31"/>
    <s v="An epic mystery tale directed by Stanley Kubrick."/>
    <x v="10"/>
    <s v="Jennifer Lawrence, Florence Pugh, Kate Winslet, Chris Hemsworth"/>
    <n v="3784"/>
    <n v="433.65"/>
    <n v="433.65"/>
    <s v="Blockbuster"/>
  </r>
  <r>
    <s v="tt1000081"/>
    <s v="Forrest Gump"/>
    <x v="30"/>
    <x v="7"/>
    <x v="1"/>
    <x v="62"/>
    <s v="Long"/>
    <x v="115"/>
    <n v="7.7"/>
    <x v="29"/>
    <s v="An epic fantasy tale directed by George Lucas."/>
    <x v="36"/>
    <s v="Florence Pugh, Emma Stone, Al Pacino, Jack Nicholson"/>
    <n v="21750"/>
    <m/>
    <n v="0"/>
    <s v="Average"/>
  </r>
  <r>
    <s v="tt1000661"/>
    <s v="An Story 554"/>
    <x v="1"/>
    <x v="1"/>
    <x v="1"/>
    <x v="62"/>
    <s v="Long"/>
    <x v="166"/>
    <n v="7.7"/>
    <x v="12"/>
    <s v="A thrilling biography adventure."/>
    <x v="3"/>
    <s v="Al Pacino, Natalie Portman, Christian Bale, Will Smith, Johnny Depp"/>
    <n v="129266"/>
    <m/>
    <n v="0"/>
    <s v="Average"/>
  </r>
  <r>
    <s v="tt1000094"/>
    <s v="Chariots of Fire"/>
    <x v="30"/>
    <x v="7"/>
    <x v="1"/>
    <x v="35"/>
    <s v="Long"/>
    <x v="167"/>
    <n v="7.7"/>
    <x v="0"/>
    <s v="An epic biography tale directed by Sam Mendes."/>
    <x v="4"/>
    <s v="Jack Nicholson, TimothÃ©e Chalamet, Chris Hemsworth, Margot Robbie, Brad Pitt"/>
    <n v="880921"/>
    <m/>
    <n v="0"/>
    <s v="Average"/>
  </r>
  <r>
    <s v="tt1000088"/>
    <s v="The Last Emperor"/>
    <x v="61"/>
    <x v="5"/>
    <x v="0"/>
    <x v="34"/>
    <s v="Medium"/>
    <x v="18"/>
    <n v="7.7"/>
    <x v="0"/>
    <s v="A thrilling horror adventure."/>
    <x v="8"/>
    <s v="Jennifer Lawrence, Robert Downey Jr., Viola Davis"/>
    <n v="692883"/>
    <n v="68.34"/>
    <n v="68.34"/>
    <s v="Average"/>
  </r>
  <r>
    <s v="tt1000796"/>
    <s v="An Dreams 689"/>
    <x v="23"/>
    <x v="1"/>
    <x v="0"/>
    <x v="62"/>
    <s v="Long"/>
    <x v="42"/>
    <n v="7.7"/>
    <x v="0"/>
    <s v="An epic thriller tale directed by Danny Boyle."/>
    <x v="22"/>
    <s v="Mark Ruffalo, Amy Adams, Will Smith"/>
    <n v="3754"/>
    <n v="886.53"/>
    <n v="886.53"/>
    <s v="Blockbuster"/>
  </r>
  <r>
    <s v="tt1000869"/>
    <s v="The Mission 762"/>
    <x v="12"/>
    <x v="1"/>
    <x v="3"/>
    <x v="56"/>
    <s v="Short"/>
    <x v="168"/>
    <n v="7.6"/>
    <x v="13"/>
    <s v="A critically acclaimed animation masterpiece."/>
    <x v="2"/>
    <s v="Viola Davis, Edward Norton, Tom Cruise"/>
    <n v="405271"/>
    <m/>
    <n v="0"/>
    <s v="Average"/>
  </r>
  <r>
    <s v="tt1000950"/>
    <s v="Lost Chronicles 843"/>
    <x v="3"/>
    <x v="1"/>
    <x v="1"/>
    <x v="50"/>
    <s v="Medium"/>
    <x v="169"/>
    <n v="7.6"/>
    <x v="0"/>
    <s v="A critically acclaimed biography masterpiece."/>
    <x v="36"/>
    <s v="Brad Pitt, Robert De Niro, Denzel Washington"/>
    <n v="11415"/>
    <m/>
    <n v="0"/>
    <s v="Average"/>
  </r>
  <r>
    <s v="tt1000828"/>
    <s v="An Chronicles 721"/>
    <x v="23"/>
    <x v="1"/>
    <x v="0"/>
    <x v="50"/>
    <s v="Medium"/>
    <x v="170"/>
    <n v="7.6"/>
    <x v="0"/>
    <s v="A critically acclaimed horror masterpiece."/>
    <x v="25"/>
    <s v="Samuel L. Jackson, TimothÃ©e Chalamet, Cate Blanchett"/>
    <n v="33500"/>
    <n v="646.29999999999995"/>
    <n v="646.29999999999995"/>
    <s v="Blockbuster"/>
  </r>
  <r>
    <s v="tt1000841"/>
    <s v="Lost Dreams 734"/>
    <x v="4"/>
    <x v="0"/>
    <x v="2"/>
    <x v="43"/>
    <s v="Medium"/>
    <x v="171"/>
    <n v="7.6"/>
    <x v="20"/>
    <s v="A fantasy film set in 2000."/>
    <x v="35"/>
    <s v="Daniel Day-Lewis, Tom Cruise, Scarlett Johansson, Zendaya, Gary Oldman"/>
    <n v="123504"/>
    <n v="167.38"/>
    <n v="167.38"/>
    <s v="Hit"/>
  </r>
  <r>
    <s v="tt1000776"/>
    <s v="Last Kingdom 669"/>
    <x v="18"/>
    <x v="2"/>
    <x v="2"/>
    <x v="63"/>
    <s v="Long"/>
    <x v="31"/>
    <n v="7.6"/>
    <x v="22"/>
    <s v="A action film set in 2024."/>
    <x v="10"/>
    <s v="Harrison Ford, Matt Damon, Margot Robbie, Denzel Washington"/>
    <n v="38524"/>
    <n v="699.85"/>
    <n v="699.85"/>
    <s v="Blockbuster"/>
  </r>
  <r>
    <s v="tt1000821"/>
    <s v="An Legend 714"/>
    <x v="0"/>
    <x v="0"/>
    <x v="1"/>
    <x v="74"/>
    <s v="Medium"/>
    <x v="130"/>
    <n v="7.6"/>
    <x v="21"/>
    <s v="An epic western tale directed by Alfred Hitchcock."/>
    <x v="20"/>
    <s v="Emma Stone, Will Smith, Cate Blanchett, Robert Downey Jr."/>
    <n v="226598"/>
    <n v="197.19"/>
    <n v="197.19"/>
    <s v="Hit"/>
  </r>
  <r>
    <s v="tt1000043"/>
    <s v="Moonlight"/>
    <x v="53"/>
    <x v="8"/>
    <x v="0"/>
    <x v="50"/>
    <s v="Medium"/>
    <x v="172"/>
    <n v="7.6"/>
    <x v="22"/>
    <s v="A thrilling war adventure."/>
    <x v="9"/>
    <s v="Samuel L. Jackson, Jennifer Lawrence, Viola Davis, Cate Blanchett"/>
    <n v="39815"/>
    <n v="23.66"/>
    <n v="23.66"/>
    <s v="Average"/>
  </r>
  <r>
    <s v="tt1000187"/>
    <s v="Final Adventures 80"/>
    <x v="30"/>
    <x v="7"/>
    <x v="0"/>
    <x v="42"/>
    <s v="Long"/>
    <x v="173"/>
    <n v="7.6"/>
    <x v="20"/>
    <s v="A critically acclaimed documentary masterpiece."/>
    <x v="11"/>
    <s v="Denzel Washington, Daniel Day-Lewis, Jack Nicholson, Christian Bale, Natalie Portman"/>
    <n v="22029"/>
    <m/>
    <n v="0"/>
    <s v="Average"/>
  </r>
  <r>
    <s v="tt1000006"/>
    <s v="Fight Club"/>
    <x v="68"/>
    <x v="6"/>
    <x v="1"/>
    <x v="75"/>
    <s v="Medium"/>
    <x v="174"/>
    <n v="7.6"/>
    <x v="30"/>
    <s v="A thrilling musical adventure."/>
    <x v="36"/>
    <s v="Mark Ruffalo, Margot Robbie, Amy Adams"/>
    <n v="323724"/>
    <n v="126.06"/>
    <n v="126.06"/>
    <s v="Hit"/>
  </r>
  <r>
    <s v="tt1000033"/>
    <s v="Titanic"/>
    <x v="43"/>
    <x v="3"/>
    <x v="1"/>
    <x v="48"/>
    <s v="Medium"/>
    <x v="70"/>
    <n v="7.6"/>
    <x v="8"/>
    <s v="A musical film set in 1940."/>
    <x v="27"/>
    <s v="Harrison Ford, Mark Ruffalo, Gary Oldman"/>
    <n v="19114"/>
    <n v="139.52000000000001"/>
    <n v="139.52000000000001"/>
    <s v="Hit"/>
  </r>
  <r>
    <s v="tt1000335"/>
    <s v="Dark Revolution 228"/>
    <x v="1"/>
    <x v="1"/>
    <x v="0"/>
    <x v="12"/>
    <s v="Long"/>
    <x v="175"/>
    <n v="7.6"/>
    <x v="37"/>
    <s v="An epic comedy tale directed by Spike Lee."/>
    <x v="2"/>
    <s v="Tom Cruise, Amy Adams, Edward Norton"/>
    <n v="155244"/>
    <m/>
    <n v="0"/>
    <s v="Average"/>
  </r>
  <r>
    <s v="tt1000348"/>
    <s v="Last Awakening 241"/>
    <x v="24"/>
    <x v="0"/>
    <x v="0"/>
    <x v="3"/>
    <s v="Medium"/>
    <x v="176"/>
    <n v="7.6"/>
    <x v="30"/>
    <s v="A sci-fi film set in 2003."/>
    <x v="1"/>
    <s v="Matt Damon, Margot Robbie, Robert Downey Jr., Cate Blanchett"/>
    <n v="159290"/>
    <n v="263.02"/>
    <n v="263.02"/>
    <s v="Blockbuster"/>
  </r>
  <r>
    <s v="tt1000991"/>
    <s v="An Kingdom 884"/>
    <x v="40"/>
    <x v="0"/>
    <x v="4"/>
    <x v="1"/>
    <s v="Long"/>
    <x v="177"/>
    <n v="7.6"/>
    <x v="0"/>
    <s v="A adventure film set in 2005."/>
    <x v="35"/>
    <s v="TimothÃ©e Chalamet, Harrison Ford, Kate Winslet"/>
    <n v="70166"/>
    <n v="318.3"/>
    <n v="318.3"/>
    <s v="Blockbuster"/>
  </r>
  <r>
    <s v="tt1000117"/>
    <s v="First Empire 10"/>
    <x v="65"/>
    <x v="7"/>
    <x v="0"/>
    <x v="60"/>
    <s v="Long"/>
    <x v="178"/>
    <n v="7.6"/>
    <x v="0"/>
    <s v="An epic action tale directed by Wes Anderson."/>
    <x v="34"/>
    <s v="Harrison Ford, Amy Adams, Zendaya, Keanu Reeves, Chris Hemsworth"/>
    <n v="28261"/>
    <n v="128.47999999999999"/>
    <n v="128.47999999999999"/>
    <s v="Hit"/>
  </r>
  <r>
    <s v="tt1000125"/>
    <s v="A Love 18"/>
    <x v="31"/>
    <x v="7"/>
    <x v="1"/>
    <x v="55"/>
    <s v="Medium"/>
    <x v="18"/>
    <n v="7.6"/>
    <x v="15"/>
    <s v="A thrilling horror adventure."/>
    <x v="15"/>
    <s v="Denzel Washington, Jack Nicholson, Tom Hanks, Morgan Freeman, Gary Oldman"/>
    <n v="47296"/>
    <n v="196.91"/>
    <n v="196.91"/>
    <s v="Hit"/>
  </r>
  <r>
    <s v="tt1000537"/>
    <s v="Final Revolution 430"/>
    <x v="11"/>
    <x v="0"/>
    <x v="1"/>
    <x v="61"/>
    <s v="Short"/>
    <x v="179"/>
    <n v="7.6"/>
    <x v="5"/>
    <s v="A critically acclaimed musical masterpiece."/>
    <x v="17"/>
    <s v="Brad Pitt, Morgan Freeman, Viola Davis, Meryl Streep, Florence Pugh"/>
    <n v="53276"/>
    <n v="358.22"/>
    <n v="358.22"/>
    <s v="Blockbuster"/>
  </r>
  <r>
    <s v="tt1000272"/>
    <s v="An Kingdom 165"/>
    <x v="9"/>
    <x v="1"/>
    <x v="3"/>
    <x v="10"/>
    <s v="Long"/>
    <x v="31"/>
    <n v="7.6"/>
    <x v="17"/>
    <s v="An epic action tale directed by Stanley Kubrick."/>
    <x v="10"/>
    <s v="Natalie Portman, Morgan Freeman, Al Pacino"/>
    <n v="67739"/>
    <n v="738.99"/>
    <n v="738.99"/>
    <s v="Blockbuster"/>
  </r>
  <r>
    <s v="tt1000604"/>
    <s v="Dark Adventures 497"/>
    <x v="20"/>
    <x v="1"/>
    <x v="0"/>
    <x v="66"/>
    <s v="Long"/>
    <x v="42"/>
    <n v="7.6"/>
    <x v="10"/>
    <s v="A critically acclaimed thriller masterpiece."/>
    <x v="15"/>
    <s v="Harrison Ford, TimothÃ©e Chalamet, Tom Hanks, Scarlett Johansson, Robert Downey Jr."/>
    <n v="40022"/>
    <n v="793.27"/>
    <n v="793.27"/>
    <s v="Blockbuster"/>
  </r>
  <r>
    <s v="tt1000737"/>
    <s v="Lost Revolution 630"/>
    <x v="19"/>
    <x v="1"/>
    <x v="2"/>
    <x v="17"/>
    <s v="Long"/>
    <x v="158"/>
    <n v="7.6"/>
    <x v="13"/>
    <s v="A comedy film set in 2011."/>
    <x v="30"/>
    <s v="Gary Oldman, Harrison Ford, Kate Winslet, Brad Pitt"/>
    <n v="30389"/>
    <m/>
    <n v="0"/>
    <s v="Average"/>
  </r>
  <r>
    <s v="tt1000985"/>
    <s v="The Revolution 878"/>
    <x v="34"/>
    <x v="0"/>
    <x v="0"/>
    <x v="26"/>
    <s v="Long"/>
    <x v="67"/>
    <n v="7.6"/>
    <x v="0"/>
    <s v="A romance film set in 2006."/>
    <x v="25"/>
    <s v="Margot Robbie, Denzel Washington, Johnny Depp, Daniel Day-Lewis, Robert Downey Jr."/>
    <n v="41989"/>
    <n v="446.79"/>
    <n v="446.79"/>
    <s v="Blockbuster"/>
  </r>
  <r>
    <s v="tt1000404"/>
    <s v="Dark Mystery 297"/>
    <x v="34"/>
    <x v="0"/>
    <x v="1"/>
    <x v="31"/>
    <s v="Medium"/>
    <x v="18"/>
    <n v="7.6"/>
    <x v="0"/>
    <s v="An epic horror tale directed by Ryan Coogler."/>
    <x v="31"/>
    <s v="Al Pacino, Chris Hemsworth, Scarlett Johansson"/>
    <n v="38467"/>
    <n v="118.55"/>
    <n v="118.55"/>
    <s v="Hit"/>
  </r>
  <r>
    <s v="tt1000744"/>
    <s v="Lost War 637"/>
    <x v="23"/>
    <x v="1"/>
    <x v="2"/>
    <x v="21"/>
    <s v="Short"/>
    <x v="34"/>
    <n v="7.6"/>
    <x v="0"/>
    <s v="An epic documentary tale directed by Hayao Miyazaki."/>
    <x v="28"/>
    <s v="Johnny Depp, Scarlett Johansson, Tom Hanks"/>
    <n v="9732"/>
    <m/>
    <n v="0"/>
    <s v="Average"/>
  </r>
  <r>
    <s v="tt1000090"/>
    <s v="Out of Africa"/>
    <x v="62"/>
    <x v="5"/>
    <x v="3"/>
    <x v="44"/>
    <s v="Long"/>
    <x v="180"/>
    <n v="7.6"/>
    <x v="0"/>
    <s v="A critically acclaimed horror masterpiece."/>
    <x v="34"/>
    <s v="Will Smith, Denzel Washington, Amy Adams"/>
    <n v="342746"/>
    <n v="171.87"/>
    <n v="171.87"/>
    <s v="Hit"/>
  </r>
  <r>
    <s v="tt1000074"/>
    <s v="A Beautiful Mind"/>
    <x v="30"/>
    <x v="7"/>
    <x v="0"/>
    <x v="63"/>
    <s v="Long"/>
    <x v="3"/>
    <n v="7.6"/>
    <x v="0"/>
    <s v="A biography film set in 1984."/>
    <x v="24"/>
    <s v="Florence Pugh, Brad Pitt, Will Smith"/>
    <n v="17698"/>
    <m/>
    <n v="0"/>
    <s v="Average"/>
  </r>
  <r>
    <s v="tt1000047"/>
    <s v="Joker"/>
    <x v="69"/>
    <x v="6"/>
    <x v="0"/>
    <x v="58"/>
    <s v="Long"/>
    <x v="70"/>
    <n v="7.6"/>
    <x v="0"/>
    <s v="A musical film set in 1967."/>
    <x v="14"/>
    <s v="Gary Oldman, Harrison Ford, Meryl Streep, Florence Pugh, Al Pacino"/>
    <n v="47388"/>
    <m/>
    <n v="0"/>
    <s v="Average"/>
  </r>
  <r>
    <s v="tt1000940"/>
    <s v="First Story 833"/>
    <x v="40"/>
    <x v="0"/>
    <x v="0"/>
    <x v="34"/>
    <s v="Medium"/>
    <x v="181"/>
    <n v="7.6"/>
    <x v="18"/>
    <s v="An epic crime tale directed by Wong Kar-wai."/>
    <x v="17"/>
    <s v="Margot Robbie, Samuel L. Jackson, Natalie Portman, Tom Hanks"/>
    <n v="55639"/>
    <m/>
    <n v="0"/>
    <s v="Average"/>
  </r>
  <r>
    <s v="tt1000477"/>
    <s v="Dark Adventures 370"/>
    <x v="20"/>
    <x v="1"/>
    <x v="5"/>
    <x v="51"/>
    <s v="Long"/>
    <x v="182"/>
    <n v="7.6"/>
    <x v="32"/>
    <s v="A critically acclaimed animation masterpiece."/>
    <x v="20"/>
    <s v="Amy Adams, Matt Damon, Denzel Washington, Morgan Freeman"/>
    <n v="24968"/>
    <n v="796.22"/>
    <n v="796.22"/>
    <s v="Blockbuster"/>
  </r>
  <r>
    <s v="tt1000191"/>
    <s v="First Kingdom 84"/>
    <x v="30"/>
    <x v="7"/>
    <x v="2"/>
    <x v="48"/>
    <s v="Medium"/>
    <x v="135"/>
    <n v="7.5"/>
    <x v="10"/>
    <s v="A comedy film set in 1984."/>
    <x v="20"/>
    <s v="Robert De Niro, Amy Adams, Mark Ruffalo"/>
    <n v="1302"/>
    <m/>
    <n v="0"/>
    <s v="Average"/>
  </r>
  <r>
    <s v="tt1000894"/>
    <s v="Last Dreams 787"/>
    <x v="10"/>
    <x v="2"/>
    <x v="3"/>
    <x v="43"/>
    <s v="Medium"/>
    <x v="9"/>
    <n v="7.5"/>
    <x v="38"/>
    <s v="A critically acclaimed adventure masterpiece."/>
    <x v="23"/>
    <s v="Zendaya, Al Pacino, Meryl Streep, Christian Bale"/>
    <n v="98971"/>
    <n v="496"/>
    <n v="496"/>
    <s v="Blockbuster"/>
  </r>
  <r>
    <s v="tt1000812"/>
    <s v="First Destiny 705"/>
    <x v="6"/>
    <x v="2"/>
    <x v="2"/>
    <x v="53"/>
    <s v="Medium"/>
    <x v="9"/>
    <n v="7.5"/>
    <x v="10"/>
    <s v="An epic adventure tale directed by Steven Spielberg."/>
    <x v="27"/>
    <s v="Amy Adams, Johnny Depp, Will Smith, TimothÃ©e Chalamet"/>
    <n v="31096"/>
    <m/>
    <n v="0"/>
    <s v="Average"/>
  </r>
  <r>
    <s v="tt1000192"/>
    <s v="A Mission 85"/>
    <x v="33"/>
    <x v="5"/>
    <x v="0"/>
    <x v="8"/>
    <s v="Long"/>
    <x v="18"/>
    <n v="7.5"/>
    <x v="36"/>
    <s v="A thrilling horror adventure."/>
    <x v="10"/>
    <s v="Anthony Hopkins, Chris Hemsworth, Scarlett Johansson, Jennifer Lawrence, Robert Downey Jr."/>
    <n v="6516"/>
    <m/>
    <n v="0"/>
    <s v="Average"/>
  </r>
  <r>
    <s v="tt1000938"/>
    <s v="An Revolution 831"/>
    <x v="18"/>
    <x v="2"/>
    <x v="1"/>
    <x v="69"/>
    <s v="Long"/>
    <x v="158"/>
    <n v="7.5"/>
    <x v="20"/>
    <s v="A comedy film set in 2024."/>
    <x v="25"/>
    <s v="Anthony Hopkins, Leonardo DiCaprio, Christian Bale, Florence Pugh"/>
    <n v="123389"/>
    <n v="346.51"/>
    <n v="346.51"/>
    <s v="Blockbuster"/>
  </r>
  <r>
    <s v="tt1000523"/>
    <s v="Last Dreams 416"/>
    <x v="19"/>
    <x v="1"/>
    <x v="2"/>
    <x v="50"/>
    <s v="Medium"/>
    <x v="183"/>
    <n v="7.5"/>
    <x v="11"/>
    <s v="A thrilling war adventure."/>
    <x v="5"/>
    <s v="Gary Oldman, Mark Ruffalo, Viola Davis, Harrison Ford"/>
    <n v="9123"/>
    <n v="217.68"/>
    <n v="217.68"/>
    <s v="Blockbuster"/>
  </r>
  <r>
    <s v="tt1000493"/>
    <s v="Lost Secrets 386"/>
    <x v="10"/>
    <x v="2"/>
    <x v="4"/>
    <x v="59"/>
    <s v="Medium"/>
    <x v="184"/>
    <n v="7.5"/>
    <x v="9"/>
    <s v="An epic documentary tale directed by George Lucas."/>
    <x v="36"/>
    <s v="Matt Damon, Robert De Niro, Florence Pugh"/>
    <n v="34226"/>
    <n v="179.08"/>
    <n v="179.08"/>
    <s v="Hit"/>
  </r>
  <r>
    <s v="tt1000521"/>
    <s v="Dark Awakening 414"/>
    <x v="12"/>
    <x v="1"/>
    <x v="1"/>
    <x v="62"/>
    <s v="Long"/>
    <x v="185"/>
    <n v="7.5"/>
    <x v="0"/>
    <s v="An epic romance tale directed by Spike Lee."/>
    <x v="2"/>
    <s v="Florence Pugh, Samuel L. Jackson, Robert De Niro, Leonardo DiCaprio"/>
    <n v="39261"/>
    <n v="336.96"/>
    <n v="336.96"/>
    <s v="Blockbuster"/>
  </r>
  <r>
    <s v="tt1000302"/>
    <s v="Lost Chronicles 195"/>
    <x v="0"/>
    <x v="0"/>
    <x v="0"/>
    <x v="73"/>
    <s v="Medium"/>
    <x v="186"/>
    <n v="7.5"/>
    <x v="0"/>
    <s v="A thrilling horror adventure."/>
    <x v="23"/>
    <s v="Johnny Depp, Zendaya, Robert Downey Jr."/>
    <n v="157664"/>
    <m/>
    <n v="0"/>
    <s v="Average"/>
  </r>
  <r>
    <s v="tt1000485"/>
    <s v="Lost Secrets 378"/>
    <x v="12"/>
    <x v="1"/>
    <x v="0"/>
    <x v="71"/>
    <s v="Short"/>
    <x v="187"/>
    <n v="7.5"/>
    <x v="0"/>
    <s v="A critically acclaimed adventure masterpiece."/>
    <x v="24"/>
    <s v="Edward Norton, Johnny Depp, Harrison Ford, Natalie Portman, Robert De Niro"/>
    <n v="106057"/>
    <n v="134.93"/>
    <n v="134.93"/>
    <s v="Hit"/>
  </r>
  <r>
    <s v="tt1000820"/>
    <s v="Dark Mission 713"/>
    <x v="12"/>
    <x v="1"/>
    <x v="2"/>
    <x v="7"/>
    <s v="Long"/>
    <x v="188"/>
    <n v="7.5"/>
    <x v="0"/>
    <s v="A thrilling romance adventure."/>
    <x v="27"/>
    <s v="Gary Oldman, Al Pacino, Florence Pugh"/>
    <n v="123423"/>
    <m/>
    <n v="0"/>
    <s v="Average"/>
  </r>
  <r>
    <s v="tt1000803"/>
    <s v="The War 696"/>
    <x v="11"/>
    <x v="0"/>
    <x v="3"/>
    <x v="14"/>
    <s v="Medium"/>
    <x v="189"/>
    <n v="7.5"/>
    <x v="15"/>
    <s v="A critically acclaimed comedy masterpiece."/>
    <x v="1"/>
    <s v="Jennifer Lawrence, Robert De Niro, Matt Damon"/>
    <n v="601329"/>
    <m/>
    <n v="0"/>
    <s v="Average"/>
  </r>
  <r>
    <s v="tt1000802"/>
    <s v="Final War 695"/>
    <x v="6"/>
    <x v="2"/>
    <x v="0"/>
    <x v="76"/>
    <s v="Medium"/>
    <x v="190"/>
    <n v="7.5"/>
    <x v="25"/>
    <s v="An epic documentary tale directed by Ava DuVernay."/>
    <x v="13"/>
    <s v="Zendaya, Samuel L. Jackson, Mark Ruffalo"/>
    <n v="202216"/>
    <n v="193.82"/>
    <n v="193.82"/>
    <s v="Hit"/>
  </r>
  <r>
    <s v="tt1000620"/>
    <s v="Dark Destiny 513"/>
    <x v="2"/>
    <x v="0"/>
    <x v="2"/>
    <x v="53"/>
    <s v="Medium"/>
    <x v="9"/>
    <n v="7.5"/>
    <x v="38"/>
    <s v="A thrilling adventure adventure."/>
    <x v="15"/>
    <s v="Morgan Freeman, Meryl Streep, Matt Damon"/>
    <n v="196857"/>
    <n v="252.52"/>
    <n v="252.52"/>
    <s v="Blockbuster"/>
  </r>
  <r>
    <s v="tt1000683"/>
    <s v="First War 576"/>
    <x v="24"/>
    <x v="0"/>
    <x v="1"/>
    <x v="5"/>
    <s v="Long"/>
    <x v="191"/>
    <n v="7.5"/>
    <x v="0"/>
    <s v="A thrilling thriller adventure."/>
    <x v="21"/>
    <s v="Margot Robbie, Brad Pitt, Keanu Reeves"/>
    <n v="16306"/>
    <n v="50.49"/>
    <n v="50.49"/>
    <s v="Average"/>
  </r>
  <r>
    <s v="tt1000640"/>
    <s v="An Empire 533"/>
    <x v="45"/>
    <x v="0"/>
    <x v="0"/>
    <x v="21"/>
    <s v="Short"/>
    <x v="192"/>
    <n v="7.5"/>
    <x v="24"/>
    <s v="A critically acclaimed fantasy masterpiece."/>
    <x v="29"/>
    <s v="Scarlett Johansson, Robert Downey Jr., Viola Davis, Daniel Day-Lewis"/>
    <n v="11978"/>
    <n v="138.91"/>
    <n v="138.91"/>
    <s v="Hit"/>
  </r>
  <r>
    <s v="tt1000624"/>
    <s v="First Story 517"/>
    <x v="5"/>
    <x v="2"/>
    <x v="1"/>
    <x v="43"/>
    <s v="Medium"/>
    <x v="193"/>
    <n v="7.5"/>
    <x v="37"/>
    <s v="A thrilling crime adventure."/>
    <x v="16"/>
    <s v="Johnny Depp, Anthony Hopkins, Al Pacino, Robert De Niro, Scarlett Johansson"/>
    <n v="427394"/>
    <n v="294.93"/>
    <n v="294.93"/>
    <s v="Blockbuster"/>
  </r>
  <r>
    <s v="tt1000594"/>
    <s v="Last Secrets 487"/>
    <x v="44"/>
    <x v="0"/>
    <x v="0"/>
    <x v="52"/>
    <s v="Short"/>
    <x v="54"/>
    <n v="7.5"/>
    <x v="24"/>
    <s v="An epic western tale directed by Steven Spielberg."/>
    <x v="27"/>
    <s v="Johnny Depp, Jennifer Lawrence, Christian Bale"/>
    <n v="67755"/>
    <m/>
    <n v="0"/>
    <s v="Average"/>
  </r>
  <r>
    <s v="tt1000671"/>
    <s v="First Story 564"/>
    <x v="52"/>
    <x v="1"/>
    <x v="2"/>
    <x v="75"/>
    <s v="Medium"/>
    <x v="5"/>
    <n v="7.5"/>
    <x v="21"/>
    <s v="A critically acclaimed crime masterpiece."/>
    <x v="23"/>
    <s v="Kate Winslet, Samuel L. Jackson, Al Pacino, Viola Davis"/>
    <n v="44768"/>
    <n v="419.28"/>
    <n v="419.28"/>
    <s v="Blockbuster"/>
  </r>
  <r>
    <s v="tt1000663"/>
    <s v="The Love 556"/>
    <x v="34"/>
    <x v="0"/>
    <x v="0"/>
    <x v="11"/>
    <s v="Long"/>
    <x v="51"/>
    <n v="7.5"/>
    <x v="0"/>
    <s v="A drama film set in 2006."/>
    <x v="36"/>
    <s v="Leonardo DiCaprio, Chris Hemsworth, TimothÃ©e Chalamet"/>
    <n v="185616"/>
    <n v="97.71"/>
    <n v="97.71"/>
    <s v="Average"/>
  </r>
  <r>
    <s v="tt1000104"/>
    <s v="Patton"/>
    <x v="61"/>
    <x v="5"/>
    <x v="1"/>
    <x v="51"/>
    <s v="Long"/>
    <x v="194"/>
    <n v="7.5"/>
    <x v="35"/>
    <s v="A family film set in 1993."/>
    <x v="36"/>
    <s v="Harrison Ford, Amy Adams, Jennifer Lawrence, Chris Hemsworth"/>
    <n v="424309"/>
    <m/>
    <n v="0"/>
    <s v="Average"/>
  </r>
  <r>
    <s v="tt1000461"/>
    <s v="Lost Revolution 354"/>
    <x v="24"/>
    <x v="0"/>
    <x v="1"/>
    <x v="16"/>
    <s v="Medium"/>
    <x v="31"/>
    <n v="7.5"/>
    <x v="10"/>
    <s v="A action film set in 2003."/>
    <x v="18"/>
    <s v="Gary Oldman, Kate Winslet, Jack Nicholson, Christian Bale"/>
    <n v="93801"/>
    <n v="409.04"/>
    <n v="409.04"/>
    <s v="Blockbuster"/>
  </r>
  <r>
    <s v="tt1000353"/>
    <s v="First Revolution 246"/>
    <x v="45"/>
    <x v="0"/>
    <x v="3"/>
    <x v="54"/>
    <s v="Medium"/>
    <x v="195"/>
    <n v="7.5"/>
    <x v="25"/>
    <s v="A biography film set in 2001."/>
    <x v="28"/>
    <s v="Anthony Hopkins, Chris Hemsworth, Daniel Day-Lewis, Florence Pugh, Brad Pitt"/>
    <n v="1000"/>
    <n v="466.22"/>
    <n v="466.22"/>
    <s v="Blockbuster"/>
  </r>
  <r>
    <s v="tt1000968"/>
    <s v="First Dreams 861"/>
    <x v="23"/>
    <x v="1"/>
    <x v="2"/>
    <x v="52"/>
    <s v="Short"/>
    <x v="196"/>
    <n v="7.5"/>
    <x v="21"/>
    <s v="An epic crime tale directed by Pedro AlmodÃ³var."/>
    <x v="30"/>
    <s v="Mark Ruffalo, Tom Cruise, Brad Pitt, Gary Oldman, Meryl Streep"/>
    <n v="32071"/>
    <n v="268.63"/>
    <n v="268.63"/>
    <s v="Blockbuster"/>
  </r>
  <r>
    <s v="tt1000016"/>
    <s v="Gladiator"/>
    <x v="46"/>
    <x v="6"/>
    <x v="0"/>
    <x v="4"/>
    <s v="Long"/>
    <x v="197"/>
    <n v="7.5"/>
    <x v="0"/>
    <s v="A thrilling romance adventure."/>
    <x v="23"/>
    <s v="Scarlett Johansson, Brad Pitt, Amy Adams, Johnny Depp"/>
    <n v="58413"/>
    <n v="124.6"/>
    <n v="124.6"/>
    <s v="Hit"/>
  </r>
  <r>
    <s v="tt1000326"/>
    <s v="Last Kingdom 219"/>
    <x v="24"/>
    <x v="0"/>
    <x v="3"/>
    <x v="61"/>
    <s v="Short"/>
    <x v="92"/>
    <n v="7.5"/>
    <x v="22"/>
    <s v="A thrilling sci-fi adventure."/>
    <x v="15"/>
    <s v="Viola Davis, Tom Hanks, Matt Damon"/>
    <n v="194599"/>
    <n v="249.78"/>
    <n v="249.78"/>
    <s v="Blockbuster"/>
  </r>
  <r>
    <s v="tt1000899"/>
    <s v="Final Revolution 792"/>
    <x v="51"/>
    <x v="1"/>
    <x v="5"/>
    <x v="38"/>
    <s v="Medium"/>
    <x v="198"/>
    <n v="7.4"/>
    <x v="39"/>
    <s v="An epic family tale directed by Guillermo del Toro."/>
    <x v="7"/>
    <s v="Meryl Streep, Florence Pugh, Christian Bale, Daniel Day-Lewis"/>
    <n v="439503"/>
    <n v="70.08"/>
    <n v="70.08"/>
    <s v="Average"/>
  </r>
  <r>
    <s v="tt1000954"/>
    <s v="An Mission 847"/>
    <x v="18"/>
    <x v="2"/>
    <x v="2"/>
    <x v="14"/>
    <s v="Medium"/>
    <x v="22"/>
    <n v="7.4"/>
    <x v="8"/>
    <s v="A animation film set in 2024."/>
    <x v="26"/>
    <s v="Zendaya, Florence Pugh, Robert Downey Jr."/>
    <n v="110515"/>
    <n v="236.36"/>
    <n v="236.36"/>
    <s v="Blockbuster"/>
  </r>
  <r>
    <s v="tt1000004"/>
    <s v="Schindler's List"/>
    <x v="29"/>
    <x v="4"/>
    <x v="0"/>
    <x v="8"/>
    <s v="Long"/>
    <x v="35"/>
    <n v="7.4"/>
    <x v="0"/>
    <s v="An epic drama tale directed by James Cameron."/>
    <x v="32"/>
    <s v="Chris Hemsworth, Tom Hanks, Amy Adams, Samuel L. Jackson"/>
    <n v="2701"/>
    <n v="214.08"/>
    <n v="214.08"/>
    <s v="Blockbuster"/>
  </r>
  <r>
    <s v="tt1000216"/>
    <s v="An Quest 109"/>
    <x v="18"/>
    <x v="2"/>
    <x v="1"/>
    <x v="48"/>
    <s v="Medium"/>
    <x v="199"/>
    <n v="7.4"/>
    <x v="37"/>
    <s v="A critically acclaimed thriller masterpiece."/>
    <x v="21"/>
    <s v="Anthony Hopkins, Denzel Washington, Chris Hemsworth, Tom Cruise, Meryl Streep"/>
    <n v="958796"/>
    <n v="441.1"/>
    <n v="441.1"/>
    <s v="Blockbuster"/>
  </r>
  <r>
    <s v="tt1000229"/>
    <s v="Final Revolution 122"/>
    <x v="24"/>
    <x v="0"/>
    <x v="2"/>
    <x v="54"/>
    <s v="Medium"/>
    <x v="200"/>
    <n v="7.4"/>
    <x v="0"/>
    <s v="A thrilling horror adventure."/>
    <x v="27"/>
    <s v="Al Pacino, Amy Adams, Brad Pitt, Keanu Reeves"/>
    <n v="116587"/>
    <n v="22.84"/>
    <n v="22.84"/>
    <s v="Average"/>
  </r>
  <r>
    <s v="tt1000228"/>
    <s v="Last Secrets 121"/>
    <x v="18"/>
    <x v="2"/>
    <x v="2"/>
    <x v="74"/>
    <s v="Medium"/>
    <x v="201"/>
    <n v="7.4"/>
    <x v="32"/>
    <s v="A critically acclaimed mystery masterpiece."/>
    <x v="8"/>
    <s v="Tom Hanks, Margot Robbie, Gary Oldman, Chris Hemsworth, Kate Winslet"/>
    <n v="41752"/>
    <n v="467.18"/>
    <n v="467.18"/>
    <s v="Blockbuster"/>
  </r>
  <r>
    <s v="tt1000814"/>
    <s v="First Mystery 707"/>
    <x v="11"/>
    <x v="0"/>
    <x v="2"/>
    <x v="76"/>
    <s v="Medium"/>
    <x v="127"/>
    <n v="7.4"/>
    <x v="24"/>
    <s v="A critically acclaimed romance masterpiece."/>
    <x v="12"/>
    <s v="Gary Oldman, Viola Davis, Leonardo DiCaprio"/>
    <n v="28156"/>
    <m/>
    <n v="0"/>
    <s v="Average"/>
  </r>
  <r>
    <s v="tt1000826"/>
    <s v="An Destiny 719"/>
    <x v="10"/>
    <x v="2"/>
    <x v="5"/>
    <x v="38"/>
    <s v="Medium"/>
    <x v="115"/>
    <n v="7.4"/>
    <x v="23"/>
    <s v="A critically acclaimed fantasy masterpiece."/>
    <x v="1"/>
    <s v="Margot Robbie, Anthony Hopkins, Daniel Day-Lewis, Tom Hanks, Keanu Reeves"/>
    <n v="24129"/>
    <n v="30.77"/>
    <n v="30.77"/>
    <s v="Average"/>
  </r>
  <r>
    <s v="tt1000203"/>
    <s v="First Legend 96"/>
    <x v="3"/>
    <x v="1"/>
    <x v="0"/>
    <x v="60"/>
    <s v="Long"/>
    <x v="202"/>
    <n v="7.4"/>
    <x v="0"/>
    <s v="A critically acclaimed action masterpiece."/>
    <x v="8"/>
    <s v="Harrison Ford, Jack Nicholson, Brad Pitt, Viola Davis, Scarlett Johansson"/>
    <n v="55084"/>
    <n v="485.13"/>
    <n v="485.13"/>
    <s v="Blockbuster"/>
  </r>
  <r>
    <s v="tt1000893"/>
    <s v="An Mystery 786"/>
    <x v="40"/>
    <x v="0"/>
    <x v="2"/>
    <x v="34"/>
    <s v="Medium"/>
    <x v="175"/>
    <n v="7.4"/>
    <x v="0"/>
    <s v="A comedy film set in 2005."/>
    <x v="21"/>
    <s v="Harrison Ford, Edward Norton, Viola Davis"/>
    <n v="38060"/>
    <n v="303.01"/>
    <n v="303.01"/>
    <s v="Blockbuster"/>
  </r>
  <r>
    <s v="tt1000873"/>
    <s v="First Mission 766"/>
    <x v="20"/>
    <x v="1"/>
    <x v="3"/>
    <x v="60"/>
    <s v="Long"/>
    <x v="203"/>
    <n v="7.4"/>
    <x v="6"/>
    <s v="A action film set in 2018."/>
    <x v="34"/>
    <s v="Christian Bale, Al Pacino, Mark Ruffalo"/>
    <n v="195552"/>
    <n v="303.56"/>
    <n v="303.56"/>
    <s v="Blockbuster"/>
  </r>
  <r>
    <s v="tt1000896"/>
    <s v="The Adventures 789"/>
    <x v="7"/>
    <x v="0"/>
    <x v="0"/>
    <x v="70"/>
    <s v="Long"/>
    <x v="204"/>
    <n v="7.4"/>
    <x v="0"/>
    <s v="A thrilling adventure adventure."/>
    <x v="34"/>
    <s v="Robert Downey Jr., Meryl Streep, Daniel Day-Lewis, TimothÃ©e Chalamet, Christian Bale"/>
    <n v="13029"/>
    <n v="236.54"/>
    <n v="236.54"/>
    <s v="Blockbuster"/>
  </r>
  <r>
    <s v="tt1000905"/>
    <s v="Final Destiny 798"/>
    <x v="45"/>
    <x v="0"/>
    <x v="2"/>
    <x v="2"/>
    <s v="Short"/>
    <x v="205"/>
    <n v="7.4"/>
    <x v="10"/>
    <s v="An epic horror tale directed by George Lucas."/>
    <x v="36"/>
    <s v="Meryl Streep, Scarlett Johansson, Kate Winslet"/>
    <n v="225899"/>
    <m/>
    <n v="0"/>
    <s v="Average"/>
  </r>
  <r>
    <s v="tt1000697"/>
    <s v="A Mystery 590"/>
    <x v="12"/>
    <x v="1"/>
    <x v="0"/>
    <x v="4"/>
    <s v="Long"/>
    <x v="3"/>
    <n v="7.4"/>
    <x v="0"/>
    <s v="A critically acclaimed biography masterpiece."/>
    <x v="3"/>
    <s v="Harrison Ford, Daniel Day-Lewis, Scarlett Johansson, Viola Davis, Emma Stone"/>
    <n v="10848"/>
    <m/>
    <n v="0"/>
    <s v="Average"/>
  </r>
  <r>
    <s v="tt1000771"/>
    <s v="Dark Story 664"/>
    <x v="40"/>
    <x v="0"/>
    <x v="4"/>
    <x v="29"/>
    <s v="Long"/>
    <x v="5"/>
    <n v="7.4"/>
    <x v="0"/>
    <s v="An epic crime tale directed by Alfred Hitchcock."/>
    <x v="20"/>
    <s v="Johnny Depp, Florence Pugh, Matt Damon, Kate Winslet, Keanu Reeves"/>
    <n v="112688"/>
    <n v="314.23"/>
    <n v="314.23"/>
    <s v="Blockbuster"/>
  </r>
  <r>
    <s v="tt1000759"/>
    <s v="Secret Mystery 652"/>
    <x v="10"/>
    <x v="2"/>
    <x v="1"/>
    <x v="14"/>
    <s v="Medium"/>
    <x v="99"/>
    <n v="7.4"/>
    <x v="38"/>
    <s v="A critically acclaimed horror masterpiece."/>
    <x v="14"/>
    <s v="Daniel Day-Lewis, Brad Pitt, Anthony Hopkins, Jack Nicholson"/>
    <n v="119836"/>
    <n v="439.7"/>
    <n v="439.7"/>
    <s v="Blockbuster"/>
  </r>
  <r>
    <s v="tt1000702"/>
    <s v="First War 595"/>
    <x v="11"/>
    <x v="0"/>
    <x v="1"/>
    <x v="75"/>
    <s v="Medium"/>
    <x v="206"/>
    <n v="7.4"/>
    <x v="19"/>
    <s v="A thrilling documentary adventure."/>
    <x v="9"/>
    <s v="Samuel L. Jackson, Harrison Ford, Morgan Freeman, Tom Hanks"/>
    <n v="36573"/>
    <n v="25.84"/>
    <n v="25.84"/>
    <s v="Average"/>
  </r>
  <r>
    <s v="tt1000746"/>
    <s v="Last Empire 639"/>
    <x v="40"/>
    <x v="0"/>
    <x v="0"/>
    <x v="59"/>
    <s v="Medium"/>
    <x v="92"/>
    <n v="7.4"/>
    <x v="6"/>
    <s v="A critically acclaimed sci-fi masterpiece."/>
    <x v="6"/>
    <s v="Will Smith, Denzel Washington, Daniel Day-Lewis"/>
    <n v="70181"/>
    <n v="430.88"/>
    <n v="430.88"/>
    <s v="Blockbuster"/>
  </r>
  <r>
    <s v="tt1000669"/>
    <s v="A Revolution 562"/>
    <x v="4"/>
    <x v="0"/>
    <x v="0"/>
    <x v="0"/>
    <s v="Medium"/>
    <x v="130"/>
    <n v="7.4"/>
    <x v="0"/>
    <s v="A western film set in 2000."/>
    <x v="10"/>
    <s v="Emma Stone, Al Pacino, Morgan Freeman, Matt Damon, Margot Robbie"/>
    <n v="244349"/>
    <n v="170.37"/>
    <n v="170.37"/>
    <s v="Hit"/>
  </r>
  <r>
    <s v="tt1000567"/>
    <s v="A War 460"/>
    <x v="52"/>
    <x v="1"/>
    <x v="0"/>
    <x v="29"/>
    <s v="Long"/>
    <x v="130"/>
    <n v="7.4"/>
    <x v="24"/>
    <s v="A western film set in 2010."/>
    <x v="32"/>
    <s v="Jack Nicholson, Tom Hanks, Scarlett Johansson, Denzel Washington"/>
    <n v="316332"/>
    <n v="33.07"/>
    <n v="33.07"/>
    <s v="Average"/>
  </r>
  <r>
    <s v="tt1000574"/>
    <s v="A Story 467"/>
    <x v="40"/>
    <x v="0"/>
    <x v="2"/>
    <x v="77"/>
    <s v="Long"/>
    <x v="14"/>
    <n v="7.4"/>
    <x v="10"/>
    <s v="An epic biography tale directed by Robert Zemeckis."/>
    <x v="11"/>
    <s v="Zendaya, Edward Norton, Natalie Portman"/>
    <n v="14718"/>
    <n v="243.36"/>
    <n v="243.36"/>
    <s v="Blockbuster"/>
  </r>
  <r>
    <s v="tt1000289"/>
    <s v="Lost Chronicles 182"/>
    <x v="40"/>
    <x v="0"/>
    <x v="1"/>
    <x v="4"/>
    <s v="Long"/>
    <x v="207"/>
    <n v="7.4"/>
    <x v="30"/>
    <s v="A critically acclaimed comedy masterpiece."/>
    <x v="3"/>
    <s v="Cate Blanchett, Margot Robbie, Scarlett Johansson, Morgan Freeman"/>
    <n v="1221153"/>
    <n v="24.24"/>
    <n v="24.24"/>
    <s v="Average"/>
  </r>
  <r>
    <s v="tt1000286"/>
    <s v="Final Journey 179"/>
    <x v="9"/>
    <x v="1"/>
    <x v="1"/>
    <x v="30"/>
    <s v="Medium"/>
    <x v="69"/>
    <n v="7.4"/>
    <x v="6"/>
    <s v="An epic action tale directed by Stanley Kubrick."/>
    <x v="10"/>
    <s v="Chris Hemsworth, Zendaya, Gary Oldman, Leonardo DiCaprio, Mark Ruffalo"/>
    <n v="81176"/>
    <n v="469.66"/>
    <n v="469.66"/>
    <s v="Blockbuster"/>
  </r>
  <r>
    <s v="tt1000298"/>
    <s v="A Quest 191"/>
    <x v="18"/>
    <x v="2"/>
    <x v="2"/>
    <x v="78"/>
    <s v="Long"/>
    <x v="8"/>
    <n v="7.4"/>
    <x v="13"/>
    <s v="A war film set in 2024."/>
    <x v="9"/>
    <s v="Zendaya, Kate Winslet, Viola Davis, Keanu Reeves"/>
    <n v="46598"/>
    <n v="182.83"/>
    <n v="182.83"/>
    <s v="Hit"/>
  </r>
  <r>
    <s v="tt1000657"/>
    <s v="Secret Legend 550"/>
    <x v="34"/>
    <x v="0"/>
    <x v="0"/>
    <x v="20"/>
    <s v="Short"/>
    <x v="208"/>
    <n v="7.4"/>
    <x v="17"/>
    <s v="An epic action tale directed by Francis Ford Coppola."/>
    <x v="9"/>
    <s v="Mark Ruffalo, Scarlett Johansson, Zendaya, Leonardo DiCaprio"/>
    <n v="80186"/>
    <n v="273.49"/>
    <n v="273.49"/>
    <s v="Blockbuster"/>
  </r>
  <r>
    <s v="tt1000637"/>
    <s v="First Legend 530"/>
    <x v="5"/>
    <x v="2"/>
    <x v="0"/>
    <x v="79"/>
    <s v="Long"/>
    <x v="209"/>
    <n v="7.4"/>
    <x v="20"/>
    <s v="A thrilling mystery adventure."/>
    <x v="2"/>
    <s v="Keanu Reeves, Robert De Niro, Margot Robbie, Meryl Streep"/>
    <n v="126914"/>
    <m/>
    <n v="0"/>
    <s v="Average"/>
  </r>
  <r>
    <s v="tt1000633"/>
    <s v="An Dreams 526"/>
    <x v="5"/>
    <x v="2"/>
    <x v="2"/>
    <x v="34"/>
    <s v="Medium"/>
    <x v="16"/>
    <n v="7.4"/>
    <x v="29"/>
    <s v="A war film set in 2023."/>
    <x v="3"/>
    <s v="Zendaya, Robert Downey Jr., Christian Bale"/>
    <n v="36289"/>
    <m/>
    <n v="0"/>
    <s v="Average"/>
  </r>
  <r>
    <s v="tt1000654"/>
    <s v="An Adventures 547"/>
    <x v="24"/>
    <x v="0"/>
    <x v="0"/>
    <x v="41"/>
    <s v="Long"/>
    <x v="34"/>
    <n v="7.4"/>
    <x v="0"/>
    <s v="A thrilling documentary adventure."/>
    <x v="11"/>
    <s v="Daniel Day-Lewis, Leonardo DiCaprio, Robert Downey Jr., Morgan Freeman"/>
    <n v="137779"/>
    <n v="217.85"/>
    <n v="217.85"/>
    <s v="Blockbuster"/>
  </r>
  <r>
    <s v="tt1000280"/>
    <s v="Secret Dreams 173"/>
    <x v="9"/>
    <x v="1"/>
    <x v="2"/>
    <x v="18"/>
    <s v="Medium"/>
    <x v="4"/>
    <n v="7.4"/>
    <x v="0"/>
    <s v="An epic mystery tale directed by Martin Scorsese."/>
    <x v="16"/>
    <s v="Morgan Freeman, Natalie Portman, Tom Cruise, Emma Stone"/>
    <n v="11113"/>
    <m/>
    <n v="0"/>
    <s v="Average"/>
  </r>
  <r>
    <s v="tt1000257"/>
    <s v="First Secrets 150"/>
    <x v="3"/>
    <x v="1"/>
    <x v="2"/>
    <x v="30"/>
    <s v="Medium"/>
    <x v="174"/>
    <n v="7.4"/>
    <x v="18"/>
    <s v="A thrilling musical adventure."/>
    <x v="1"/>
    <s v="Leonardo DiCaprio, Johnny Depp, Kate Winslet, Harrison Ford, Robert Downey Jr."/>
    <n v="257514"/>
    <m/>
    <n v="0"/>
    <s v="Average"/>
  </r>
  <r>
    <s v="tt1000105"/>
    <s v="Midnight Cowboy"/>
    <x v="47"/>
    <x v="7"/>
    <x v="2"/>
    <x v="46"/>
    <s v="Medium"/>
    <x v="210"/>
    <n v="7.4"/>
    <x v="23"/>
    <s v="A thrilling sci-fi adventure."/>
    <x v="25"/>
    <s v="Cate Blanchett, Brad Pitt, Meryl Streep"/>
    <n v="22556"/>
    <n v="270.63"/>
    <n v="270.63"/>
    <s v="Blockbuster"/>
  </r>
  <r>
    <s v="tt1000709"/>
    <s v="Last Mission 602"/>
    <x v="2"/>
    <x v="0"/>
    <x v="0"/>
    <x v="57"/>
    <s v="Long"/>
    <x v="5"/>
    <n v="7.4"/>
    <x v="40"/>
    <s v="A crime film set in 2008."/>
    <x v="0"/>
    <s v="Leonardo DiCaprio, Tom Cruise, Scarlett Johansson, Cate Blanchett, Florence Pugh"/>
    <n v="175831"/>
    <n v="367.09"/>
    <n v="367.09"/>
    <s v="Blockbuster"/>
  </r>
  <r>
    <s v="tt1000109"/>
    <s v="Lost Mission 2"/>
    <x v="59"/>
    <x v="5"/>
    <x v="1"/>
    <x v="70"/>
    <s v="Long"/>
    <x v="145"/>
    <n v="7.4"/>
    <x v="10"/>
    <s v="A critically acclaimed horror masterpiece."/>
    <x v="20"/>
    <s v="Brad Pitt, Chris Hemsworth, Kate Winslet"/>
    <n v="153663"/>
    <n v="246.13"/>
    <n v="246.13"/>
    <s v="Blockbuster"/>
  </r>
  <r>
    <s v="tt1000664"/>
    <s v="Dark War 557"/>
    <x v="2"/>
    <x v="0"/>
    <x v="0"/>
    <x v="9"/>
    <s v="Long"/>
    <x v="18"/>
    <n v="7.4"/>
    <x v="0"/>
    <s v="A horror film set in 2008."/>
    <x v="4"/>
    <s v="Samuel L. Jackson, Will Smith, Denzel Washington"/>
    <n v="101434"/>
    <n v="16.37"/>
    <n v="16.37"/>
    <s v="Average"/>
  </r>
  <r>
    <s v="tt1000528"/>
    <s v="The Mission 421"/>
    <x v="45"/>
    <x v="0"/>
    <x v="0"/>
    <x v="11"/>
    <s v="Long"/>
    <x v="9"/>
    <n v="7.4"/>
    <x v="0"/>
    <s v="A critically acclaimed adventure masterpiece."/>
    <x v="21"/>
    <s v="Edward Norton, Emma Stone, Mark Ruffalo, Samuel L. Jackson"/>
    <n v="78015"/>
    <m/>
    <n v="0"/>
    <s v="Average"/>
  </r>
  <r>
    <s v="tt1000148"/>
    <s v="Lost Mystery 41"/>
    <x v="33"/>
    <x v="5"/>
    <x v="2"/>
    <x v="38"/>
    <s v="Medium"/>
    <x v="211"/>
    <n v="7.4"/>
    <x v="0"/>
    <s v="An epic family tale directed by Wes Anderson."/>
    <x v="34"/>
    <s v="TimothÃ©e Chalamet, Florence Pugh, Robert Downey Jr."/>
    <n v="103766"/>
    <n v="154.02000000000001"/>
    <n v="154.02000000000001"/>
    <s v="Hit"/>
  </r>
  <r>
    <s v="tt1000427"/>
    <s v="Secret Quest 320"/>
    <x v="11"/>
    <x v="0"/>
    <x v="5"/>
    <x v="3"/>
    <s v="Medium"/>
    <x v="212"/>
    <n v="7.4"/>
    <x v="23"/>
    <s v="An epic documentary tale directed by Alfred Hitchcock."/>
    <x v="20"/>
    <s v="Robert De Niro, Florence Pugh, Meryl Streep"/>
    <n v="251463"/>
    <n v="50.39"/>
    <n v="50.39"/>
    <s v="Average"/>
  </r>
  <r>
    <s v="tt1000312"/>
    <s v="Secret Empire 205"/>
    <x v="35"/>
    <x v="2"/>
    <x v="0"/>
    <x v="33"/>
    <s v="Medium"/>
    <x v="158"/>
    <n v="7.4"/>
    <x v="0"/>
    <s v="A comedy film set in 2020."/>
    <x v="35"/>
    <s v="Amy Adams, Edward Norton, Samuel L. Jackson, Morgan Freeman, Florence Pugh"/>
    <n v="86310"/>
    <n v="68.48"/>
    <n v="68.48"/>
    <s v="Average"/>
  </r>
  <r>
    <s v="tt1000486"/>
    <s v="Last Mystery 379"/>
    <x v="10"/>
    <x v="2"/>
    <x v="0"/>
    <x v="80"/>
    <s v="Long"/>
    <x v="213"/>
    <n v="7.4"/>
    <x v="13"/>
    <s v="A documentary film set in 2022."/>
    <x v="8"/>
    <s v="Edward Norton, Anthony Hopkins, Tom Hanks, Jennifer Lawrence"/>
    <n v="48645"/>
    <n v="360.08"/>
    <n v="360.08"/>
    <s v="Blockbuster"/>
  </r>
  <r>
    <s v="tt1000121"/>
    <s v="Secret Quest 14"/>
    <x v="27"/>
    <x v="5"/>
    <x v="0"/>
    <x v="11"/>
    <s v="Long"/>
    <x v="9"/>
    <n v="7.4"/>
    <x v="0"/>
    <s v="A thrilling adventure adventure."/>
    <x v="25"/>
    <s v="Al Pacino, Brad Pitt, Edward Norton, Daniel Day-Lewis"/>
    <n v="32799"/>
    <n v="6.39"/>
    <n v="6.39"/>
    <s v="Average"/>
  </r>
  <r>
    <s v="tt1000155"/>
    <s v="Final Destiny 48"/>
    <x v="57"/>
    <x v="7"/>
    <x v="0"/>
    <x v="48"/>
    <s v="Medium"/>
    <x v="35"/>
    <n v="7.4"/>
    <x v="33"/>
    <s v="An epic drama tale directed by Sam Mendes."/>
    <x v="4"/>
    <s v="Mark Ruffalo, Al Pacino, Chris Hemsworth, Natalie Portman, Zendaya"/>
    <n v="111907"/>
    <n v="168.75"/>
    <n v="168.75"/>
    <s v="Hit"/>
  </r>
  <r>
    <s v="tt1000141"/>
    <s v="First Mission 34"/>
    <x v="21"/>
    <x v="7"/>
    <x v="0"/>
    <x v="68"/>
    <s v="Long"/>
    <x v="214"/>
    <n v="7.4"/>
    <x v="25"/>
    <s v="An epic western tale directed by Hayao Miyazaki."/>
    <x v="28"/>
    <s v="Mark Ruffalo, Margot Robbie, Natalie Portman, Cate Blanchett"/>
    <n v="279881"/>
    <n v="289.26"/>
    <n v="289.26"/>
    <s v="Blockbuster"/>
  </r>
  <r>
    <s v="tt1000332"/>
    <s v="Lost Mission 225"/>
    <x v="11"/>
    <x v="0"/>
    <x v="3"/>
    <x v="81"/>
    <s v="Long"/>
    <x v="9"/>
    <n v="7.4"/>
    <x v="20"/>
    <s v="A thrilling adventure adventure."/>
    <x v="3"/>
    <s v="Emma Stone, Edward Norton, Keanu Reeves"/>
    <n v="25418"/>
    <m/>
    <n v="0"/>
    <s v="Average"/>
  </r>
  <r>
    <s v="tt1000407"/>
    <s v="The Love 300"/>
    <x v="10"/>
    <x v="2"/>
    <x v="5"/>
    <x v="4"/>
    <s v="Long"/>
    <x v="151"/>
    <n v="7.4"/>
    <x v="6"/>
    <s v="A thrilling western adventure."/>
    <x v="15"/>
    <s v="Edward Norton, Gary Oldman, Will Smith, Morgan Freeman"/>
    <n v="111379"/>
    <n v="311.08"/>
    <n v="311.08"/>
    <s v="Blockbuster"/>
  </r>
  <r>
    <s v="tt1000142"/>
    <s v="An Kingdom 35"/>
    <x v="59"/>
    <x v="5"/>
    <x v="0"/>
    <x v="64"/>
    <s v="Medium"/>
    <x v="9"/>
    <n v="7.4"/>
    <x v="0"/>
    <s v="A critically acclaimed adventure masterpiece."/>
    <x v="3"/>
    <s v="Morgan Freeman, Zendaya, Mark Ruffalo, Amy Adams, Gary Oldman"/>
    <n v="292914"/>
    <m/>
    <n v="0"/>
    <s v="Average"/>
  </r>
  <r>
    <s v="tt1000144"/>
    <s v="First Mission 37"/>
    <x v="65"/>
    <x v="7"/>
    <x v="0"/>
    <x v="34"/>
    <s v="Medium"/>
    <x v="54"/>
    <n v="7.4"/>
    <x v="0"/>
    <s v="A critically acclaimed western masterpiece."/>
    <x v="11"/>
    <s v="Mark Ruffalo, Anthony Hopkins, Jennifer Lawrence"/>
    <n v="342049"/>
    <n v="164.65"/>
    <n v="164.65"/>
    <s v="Hit"/>
  </r>
  <r>
    <s v="tt1000344"/>
    <s v="The Mission 237"/>
    <x v="4"/>
    <x v="0"/>
    <x v="1"/>
    <x v="12"/>
    <s v="Long"/>
    <x v="31"/>
    <n v="7.4"/>
    <x v="30"/>
    <s v="A action film set in 2000."/>
    <x v="5"/>
    <s v="Mark Ruffalo, Anthony Hopkins, Chris Hemsworth, Florence Pugh"/>
    <n v="29004"/>
    <n v="272.04000000000002"/>
    <n v="272.04000000000002"/>
    <s v="Blockbuster"/>
  </r>
  <r>
    <s v="tt1000971"/>
    <s v="An Chronicles 864"/>
    <x v="7"/>
    <x v="0"/>
    <x v="0"/>
    <x v="70"/>
    <s v="Long"/>
    <x v="39"/>
    <n v="7.4"/>
    <x v="0"/>
    <s v="An epic fantasy tale directed by Alfred Hitchcock."/>
    <x v="20"/>
    <s v="Tom Hanks, Keanu Reeves, Chris Hemsworth, Cate Blanchett"/>
    <n v="958297"/>
    <n v="393.93"/>
    <n v="393.93"/>
    <s v="Blockbuster"/>
  </r>
  <r>
    <s v="tt1000972"/>
    <s v="Secret Mission 865"/>
    <x v="24"/>
    <x v="0"/>
    <x v="0"/>
    <x v="3"/>
    <s v="Medium"/>
    <x v="215"/>
    <n v="7.4"/>
    <x v="33"/>
    <s v="A thrilling romance adventure."/>
    <x v="11"/>
    <s v="Gary Oldman, Tom Hanks, Mark Ruffalo"/>
    <n v="69362"/>
    <n v="392.36"/>
    <n v="392.36"/>
    <s v="Blockbuster"/>
  </r>
  <r>
    <s v="tt1000026"/>
    <s v="The Pianist"/>
    <x v="25"/>
    <x v="3"/>
    <x v="0"/>
    <x v="7"/>
    <s v="Long"/>
    <x v="216"/>
    <n v="7.4"/>
    <x v="0"/>
    <s v="A family film set in 1949."/>
    <x v="1"/>
    <s v="Jennifer Lawrence, Samuel L. Jackson, Natalie Portman, TimothÃ©e Chalamet"/>
    <n v="25839"/>
    <m/>
    <n v="0"/>
    <s v="Average"/>
  </r>
  <r>
    <s v="tt1000012"/>
    <s v="Saving Private Ryan"/>
    <x v="70"/>
    <x v="3"/>
    <x v="5"/>
    <x v="8"/>
    <s v="Long"/>
    <x v="162"/>
    <n v="7.4"/>
    <x v="33"/>
    <s v="A critically acclaimed musical masterpiece."/>
    <x v="23"/>
    <s v="Leonardo DiCaprio, Chris Hemsworth, Jack Nicholson"/>
    <n v="4899"/>
    <m/>
    <n v="0"/>
    <s v="Average"/>
  </r>
  <r>
    <s v="tt1000582"/>
    <s v="Final Chronicles 475"/>
    <x v="44"/>
    <x v="0"/>
    <x v="0"/>
    <x v="68"/>
    <s v="Long"/>
    <x v="144"/>
    <n v="7.3"/>
    <x v="0"/>
    <s v="A thrilling fantasy adventure."/>
    <x v="10"/>
    <s v="Anthony Hopkins, Jack Nicholson, Will Smith"/>
    <n v="79568"/>
    <n v="79.400000000000006"/>
    <n v="79.400000000000006"/>
    <s v="Average"/>
  </r>
  <r>
    <s v="tt1000379"/>
    <s v="Final Journey 272"/>
    <x v="51"/>
    <x v="1"/>
    <x v="1"/>
    <x v="74"/>
    <s v="Medium"/>
    <x v="3"/>
    <n v="7.3"/>
    <x v="21"/>
    <s v="An epic biography tale directed by Danny Boyle."/>
    <x v="22"/>
    <s v="Jennifer Lawrence, Johnny Depp, Tom Cruise, Gary Oldman"/>
    <n v="171400"/>
    <n v="257.45999999999998"/>
    <n v="257.45999999999998"/>
    <s v="Blockbuster"/>
  </r>
  <r>
    <s v="tt1000389"/>
    <s v="Last Journey 282"/>
    <x v="9"/>
    <x v="1"/>
    <x v="2"/>
    <x v="23"/>
    <s v="Long"/>
    <x v="217"/>
    <n v="7.3"/>
    <x v="24"/>
    <s v="A critically acclaimed biography masterpiece."/>
    <x v="35"/>
    <s v="Robert Downey Jr., Meryl Streep, Tom Cruise, Johnny Depp, Morgan Freeman"/>
    <n v="215372"/>
    <n v="375.78"/>
    <n v="375.78"/>
    <s v="Blockbuster"/>
  </r>
  <r>
    <s v="tt1000295"/>
    <s v="Dark Journey 188"/>
    <x v="4"/>
    <x v="0"/>
    <x v="0"/>
    <x v="69"/>
    <s v="Long"/>
    <x v="218"/>
    <n v="7.3"/>
    <x v="23"/>
    <s v="A drama film set in 2000."/>
    <x v="1"/>
    <s v="Daniel Day-Lewis, Matt Damon, Florence Pugh, Emma Stone, Leonardo DiCaprio"/>
    <n v="34928"/>
    <n v="94.93"/>
    <n v="94.93"/>
    <s v="Average"/>
  </r>
  <r>
    <s v="tt1000261"/>
    <s v="Lost Story 154"/>
    <x v="0"/>
    <x v="0"/>
    <x v="2"/>
    <x v="17"/>
    <s v="Long"/>
    <x v="35"/>
    <n v="7.3"/>
    <x v="27"/>
    <s v="A drama film set in 2004."/>
    <x v="27"/>
    <s v="Viola Davis, Edward Norton, Brad Pitt"/>
    <n v="302903"/>
    <n v="437.64"/>
    <n v="437.64"/>
    <s v="Blockbuster"/>
  </r>
  <r>
    <s v="tt1000573"/>
    <s v="A Empire 466"/>
    <x v="60"/>
    <x v="1"/>
    <x v="2"/>
    <x v="59"/>
    <s v="Medium"/>
    <x v="8"/>
    <n v="7.3"/>
    <x v="0"/>
    <s v="A war film set in 2016."/>
    <x v="19"/>
    <s v="Jack Nicholson, Johnny Depp, Emma Stone, Morgan Freeman, Jennifer Lawrence"/>
    <n v="40565"/>
    <n v="206.1"/>
    <n v="206.1"/>
    <s v="Blockbuster"/>
  </r>
  <r>
    <s v="tt1000662"/>
    <s v="The Legend 555"/>
    <x v="10"/>
    <x v="2"/>
    <x v="1"/>
    <x v="77"/>
    <s v="Long"/>
    <x v="219"/>
    <n v="7.3"/>
    <x v="6"/>
    <s v="A thrilling family adventure."/>
    <x v="29"/>
    <s v="Florence Pugh, Emma Stone, Zendaya"/>
    <n v="22874"/>
    <m/>
    <n v="0"/>
    <s v="Average"/>
  </r>
  <r>
    <s v="tt1000136"/>
    <s v="Lost Kingdom 29"/>
    <x v="4"/>
    <x v="0"/>
    <x v="3"/>
    <x v="15"/>
    <s v="Long"/>
    <x v="57"/>
    <n v="7.3"/>
    <x v="41"/>
    <s v="A critically acclaimed family masterpiece."/>
    <x v="10"/>
    <s v="Chris Hemsworth, Keanu Reeves, Mark Ruffalo, Natalie Portman, Emma Stone"/>
    <n v="174106"/>
    <n v="124.01"/>
    <n v="124.01"/>
    <s v="Hit"/>
  </r>
  <r>
    <s v="tt1000833"/>
    <s v="Dark Mission 726"/>
    <x v="40"/>
    <x v="0"/>
    <x v="2"/>
    <x v="4"/>
    <s v="Long"/>
    <x v="220"/>
    <n v="7.3"/>
    <x v="35"/>
    <s v="A critically acclaimed war masterpiece."/>
    <x v="22"/>
    <s v="Tom Hanks, Chris Hemsworth, Meryl Streep, Morgan Freeman, Johnny Depp"/>
    <n v="255832"/>
    <n v="190.34"/>
    <n v="190.34"/>
    <s v="Hit"/>
  </r>
  <r>
    <s v="tt1000842"/>
    <s v="Last Love 735"/>
    <x v="9"/>
    <x v="1"/>
    <x v="1"/>
    <x v="11"/>
    <s v="Long"/>
    <x v="221"/>
    <n v="7.3"/>
    <x v="36"/>
    <s v="A thrilling drama adventure."/>
    <x v="12"/>
    <s v="Robert De Niro, Chris Hemsworth, Jennifer Lawrence"/>
    <n v="1309054"/>
    <n v="350.03"/>
    <n v="350.03"/>
    <s v="Blockbuster"/>
  </r>
  <r>
    <s v="tt1000837"/>
    <s v="Lost Destiny 730"/>
    <x v="51"/>
    <x v="1"/>
    <x v="0"/>
    <x v="41"/>
    <s v="Long"/>
    <x v="222"/>
    <n v="7.3"/>
    <x v="0"/>
    <s v="A critically acclaimed action masterpiece."/>
    <x v="35"/>
    <s v="Amy Adams, Harrison Ford, Christian Bale, Florence Pugh"/>
    <n v="40846"/>
    <m/>
    <n v="0"/>
    <s v="Average"/>
  </r>
  <r>
    <s v="tt1000914"/>
    <s v="Secret Story 807"/>
    <x v="3"/>
    <x v="1"/>
    <x v="0"/>
    <x v="46"/>
    <s v="Medium"/>
    <x v="87"/>
    <n v="7.3"/>
    <x v="21"/>
    <s v="A critically acclaimed musical masterpiece."/>
    <x v="11"/>
    <s v="TimothÃ©e Chalamet, Morgan Freeman, Meryl Streep, Margot Robbie, Jennifer Lawrence"/>
    <n v="1347"/>
    <n v="385.4"/>
    <n v="385.4"/>
    <s v="Blockbuster"/>
  </r>
  <r>
    <s v="tt1000708"/>
    <s v="Dark Legend 601"/>
    <x v="52"/>
    <x v="1"/>
    <x v="2"/>
    <x v="46"/>
    <s v="Medium"/>
    <x v="223"/>
    <n v="7.3"/>
    <x v="40"/>
    <s v="A critically acclaimed adventure masterpiece."/>
    <x v="26"/>
    <s v="Robert De Niro, TimothÃ©e Chalamet, Scarlett Johansson"/>
    <n v="10186"/>
    <n v="195.21"/>
    <n v="195.21"/>
    <s v="Hit"/>
  </r>
  <r>
    <s v="tt1000563"/>
    <s v="An Empire 456"/>
    <x v="6"/>
    <x v="2"/>
    <x v="1"/>
    <x v="34"/>
    <s v="Medium"/>
    <x v="224"/>
    <n v="7.3"/>
    <x v="12"/>
    <s v="A drama film set in 2021."/>
    <x v="13"/>
    <s v="Emma Stone, Margot Robbie, Scarlett Johansson"/>
    <n v="29367"/>
    <n v="81.069999999999993"/>
    <n v="81.069999999999993"/>
    <s v="Average"/>
  </r>
  <r>
    <s v="tt1000556"/>
    <s v="Final Destiny 449"/>
    <x v="11"/>
    <x v="0"/>
    <x v="0"/>
    <x v="51"/>
    <s v="Long"/>
    <x v="225"/>
    <n v="7.3"/>
    <x v="0"/>
    <s v="A thrilling crime adventure."/>
    <x v="27"/>
    <s v="Robert De Niro, Viola Davis, Natalie Portman, Gary Oldman"/>
    <n v="41839"/>
    <n v="423.87"/>
    <n v="423.87"/>
    <s v="Blockbuster"/>
  </r>
  <r>
    <s v="tt1000488"/>
    <s v="Dark Empire 381"/>
    <x v="1"/>
    <x v="1"/>
    <x v="0"/>
    <x v="30"/>
    <s v="Medium"/>
    <x v="226"/>
    <n v="7.3"/>
    <x v="11"/>
    <s v="A critically acclaimed thriller masterpiece."/>
    <x v="19"/>
    <s v="Viola Davis, Jack Nicholson, Tom Cruise, Zendaya, Robert Downey Jr."/>
    <n v="732967"/>
    <m/>
    <n v="0"/>
    <s v="Average"/>
  </r>
  <r>
    <s v="tt1000778"/>
    <s v="An Kingdom 671"/>
    <x v="40"/>
    <x v="0"/>
    <x v="0"/>
    <x v="62"/>
    <s v="Long"/>
    <x v="135"/>
    <n v="7.3"/>
    <x v="32"/>
    <s v="A critically acclaimed comedy masterpiece."/>
    <x v="33"/>
    <s v="Leonardo DiCaprio, Meryl Streep, Anthony Hopkins, Natalie Portman, Morgan Freeman"/>
    <n v="126880"/>
    <m/>
    <n v="0"/>
    <s v="Average"/>
  </r>
  <r>
    <s v="tt1000482"/>
    <s v="Final Kingdom 375"/>
    <x v="34"/>
    <x v="0"/>
    <x v="2"/>
    <x v="50"/>
    <s v="Medium"/>
    <x v="31"/>
    <n v="7.3"/>
    <x v="41"/>
    <s v="A action film set in 2006."/>
    <x v="32"/>
    <s v="Chris Hemsworth, Florence Pugh, Harrison Ford, Christian Bale, Edward Norton"/>
    <n v="383626"/>
    <n v="53.03"/>
    <n v="53.03"/>
    <s v="Average"/>
  </r>
  <r>
    <s v="tt1000886"/>
    <s v="A Love 779"/>
    <x v="0"/>
    <x v="0"/>
    <x v="2"/>
    <x v="5"/>
    <s v="Long"/>
    <x v="227"/>
    <n v="7.3"/>
    <x v="31"/>
    <s v="An epic western tale directed by Bong Joon-ho."/>
    <x v="18"/>
    <s v="Anthony Hopkins, Will Smith, Daniel Day-Lewis"/>
    <n v="10266"/>
    <m/>
    <n v="0"/>
    <s v="Average"/>
  </r>
  <r>
    <s v="tt1000231"/>
    <s v="Lost Adventures 124"/>
    <x v="11"/>
    <x v="0"/>
    <x v="1"/>
    <x v="17"/>
    <s v="Long"/>
    <x v="72"/>
    <n v="7.3"/>
    <x v="20"/>
    <s v="A thrilling musical adventure."/>
    <x v="5"/>
    <s v="Daniel Day-Lewis, Meryl Streep, Anthony Hopkins, Margot Robbie"/>
    <n v="37634"/>
    <n v="477.8"/>
    <n v="477.8"/>
    <s v="Blockbuster"/>
  </r>
  <r>
    <s v="tt1000769"/>
    <s v="Dark Love 662"/>
    <x v="2"/>
    <x v="0"/>
    <x v="4"/>
    <x v="3"/>
    <s v="Medium"/>
    <x v="192"/>
    <n v="7.3"/>
    <x v="0"/>
    <s v="A fantasy film set in 2008."/>
    <x v="10"/>
    <s v="Kate Winslet, Jack Nicholson, Tom Cruise, Samuel L. Jackson"/>
    <n v="226722"/>
    <n v="100.44"/>
    <n v="100.44"/>
    <s v="Hit"/>
  </r>
  <r>
    <s v="tt1000522"/>
    <s v="Secret Revolution 415"/>
    <x v="0"/>
    <x v="0"/>
    <x v="2"/>
    <x v="7"/>
    <s v="Long"/>
    <x v="228"/>
    <n v="7.3"/>
    <x v="0"/>
    <s v="An epic musical tale directed by Ang Lee."/>
    <x v="6"/>
    <s v="Will Smith, Johnny Depp, Al Pacino, Margot Robbie, Brad Pitt"/>
    <n v="5745"/>
    <n v="201.39"/>
    <n v="201.39"/>
    <s v="Blockbuster"/>
  </r>
  <r>
    <s v="tt1000305"/>
    <s v="Secret War 198"/>
    <x v="18"/>
    <x v="2"/>
    <x v="0"/>
    <x v="10"/>
    <s v="Long"/>
    <x v="221"/>
    <n v="7.3"/>
    <x v="0"/>
    <s v="A drama film set in 2024."/>
    <x v="23"/>
    <s v="Robert Downey Jr., Johnny Depp, Kate Winslet, TimothÃ©e Chalamet"/>
    <n v="79214"/>
    <n v="234.44"/>
    <n v="234.44"/>
    <s v="Blockbuster"/>
  </r>
  <r>
    <s v="tt1000470"/>
    <s v="A Mission 363"/>
    <x v="52"/>
    <x v="1"/>
    <x v="1"/>
    <x v="58"/>
    <s v="Long"/>
    <x v="229"/>
    <n v="7.3"/>
    <x v="0"/>
    <s v="A thrilling thriller adventure."/>
    <x v="26"/>
    <s v="Leonardo DiCaprio, Chris Hemsworth, Denzel Washington, Harrison Ford, Cate Blanchett"/>
    <n v="118637"/>
    <m/>
    <n v="0"/>
    <s v="Average"/>
  </r>
  <r>
    <s v="tt1000473"/>
    <s v="Final Kingdom 366"/>
    <x v="10"/>
    <x v="2"/>
    <x v="1"/>
    <x v="41"/>
    <s v="Long"/>
    <x v="6"/>
    <n v="7.3"/>
    <x v="0"/>
    <s v="An epic romance tale directed by Edgar Wright."/>
    <x v="26"/>
    <s v="TimothÃ©e Chalamet, Johnny Depp, Natalie Portman"/>
    <n v="299168"/>
    <n v="319.23"/>
    <n v="319.23"/>
    <s v="Blockbuster"/>
  </r>
  <r>
    <s v="tt1000808"/>
    <s v="A Legend 701"/>
    <x v="34"/>
    <x v="0"/>
    <x v="1"/>
    <x v="52"/>
    <s v="Short"/>
    <x v="230"/>
    <n v="7.3"/>
    <x v="0"/>
    <s v="A critically acclaimed documentary masterpiece."/>
    <x v="24"/>
    <s v="Christian Bale, Robert De Niro, Denzel Washington, Viola Davis"/>
    <n v="141221"/>
    <n v="413.99"/>
    <n v="413.99"/>
    <s v="Blockbuster"/>
  </r>
  <r>
    <s v="tt1000805"/>
    <s v="A Destiny 698"/>
    <x v="34"/>
    <x v="0"/>
    <x v="3"/>
    <x v="10"/>
    <s v="Long"/>
    <x v="231"/>
    <n v="7.3"/>
    <x v="36"/>
    <s v="A critically acclaimed adventure masterpiece."/>
    <x v="34"/>
    <s v="Denzel Washington, Al Pacino, Anthony Hopkins"/>
    <n v="99796"/>
    <m/>
    <n v="0"/>
    <s v="Average"/>
  </r>
  <r>
    <s v="tt1000602"/>
    <s v="Last Secrets 495"/>
    <x v="34"/>
    <x v="0"/>
    <x v="1"/>
    <x v="10"/>
    <s v="Long"/>
    <x v="232"/>
    <n v="7.3"/>
    <x v="0"/>
    <s v="An epic thriller tale directed by Christopher Nolan."/>
    <x v="21"/>
    <s v="Gary Oldman, Harrison Ford, Robert De Niro, TimothÃ©e Chalamet"/>
    <n v="5587"/>
    <n v="21.88"/>
    <n v="21.88"/>
    <s v="Average"/>
  </r>
  <r>
    <s v="tt1000174"/>
    <s v="Secret Chronicles 67"/>
    <x v="14"/>
    <x v="5"/>
    <x v="4"/>
    <x v="32"/>
    <s v="Medium"/>
    <x v="22"/>
    <n v="7.3"/>
    <x v="32"/>
    <s v="A animation film set in 1997."/>
    <x v="21"/>
    <s v="Johnny Depp, Amy Adams, Edward Norton"/>
    <n v="19055"/>
    <n v="206.95"/>
    <n v="206.95"/>
    <s v="Blockbuster"/>
  </r>
  <r>
    <s v="tt1000440"/>
    <s v="First Awakening 333"/>
    <x v="0"/>
    <x v="0"/>
    <x v="0"/>
    <x v="7"/>
    <s v="Long"/>
    <x v="33"/>
    <n v="7.3"/>
    <x v="0"/>
    <s v="An epic comedy tale directed by Coen Brothers."/>
    <x v="5"/>
    <s v="Kate Winslet, Brad Pitt, Amy Adams, Will Smith, Christian Bale"/>
    <n v="53865"/>
    <n v="376.85"/>
    <n v="376.85"/>
    <s v="Blockbuster"/>
  </r>
  <r>
    <s v="tt1000871"/>
    <s v="A Story 764"/>
    <x v="10"/>
    <x v="2"/>
    <x v="1"/>
    <x v="18"/>
    <s v="Medium"/>
    <x v="233"/>
    <n v="7.3"/>
    <x v="24"/>
    <s v="A thrilling musical adventure."/>
    <x v="33"/>
    <s v="Robert De Niro, Kate Winslet, Tom Hanks"/>
    <n v="163163"/>
    <n v="123.14"/>
    <n v="123.14"/>
    <s v="Hit"/>
  </r>
  <r>
    <s v="tt1000319"/>
    <s v="Dark Empire 212"/>
    <x v="2"/>
    <x v="0"/>
    <x v="1"/>
    <x v="29"/>
    <s v="Long"/>
    <x v="42"/>
    <n v="7.3"/>
    <x v="0"/>
    <s v="An epic thriller tale directed by Guillermo del Toro."/>
    <x v="7"/>
    <s v="Cate Blanchett, Matt Damon, Zendaya, Tom Hanks, Al Pacino"/>
    <n v="117191"/>
    <n v="157.81"/>
    <n v="157.81"/>
    <s v="Hit"/>
  </r>
  <r>
    <s v="tt1000890"/>
    <s v="First War 783"/>
    <x v="60"/>
    <x v="1"/>
    <x v="2"/>
    <x v="32"/>
    <s v="Medium"/>
    <x v="234"/>
    <n v="7.3"/>
    <x v="22"/>
    <s v="A critically acclaimed action masterpiece."/>
    <x v="8"/>
    <s v="Scarlett Johansson, Jennifer Lawrence, Emma Stone, Johnny Depp, Jack Nicholson"/>
    <n v="88491"/>
    <n v="486.65"/>
    <n v="486.65"/>
    <s v="Blockbuster"/>
  </r>
  <r>
    <s v="tt1000889"/>
    <s v="The Love 782"/>
    <x v="2"/>
    <x v="0"/>
    <x v="1"/>
    <x v="74"/>
    <s v="Medium"/>
    <x v="235"/>
    <n v="7.3"/>
    <x v="5"/>
    <s v="A thrilling mystery adventure."/>
    <x v="36"/>
    <s v="Will Smith, Jennifer Lawrence, Scarlett Johansson, Tom Hanks, Edward Norton"/>
    <n v="153038"/>
    <n v="278.48"/>
    <n v="278.48"/>
    <s v="Blockbuster"/>
  </r>
  <r>
    <s v="tt1000887"/>
    <s v="Dark Story 780"/>
    <x v="4"/>
    <x v="0"/>
    <x v="0"/>
    <x v="28"/>
    <s v="Medium"/>
    <x v="5"/>
    <n v="7.3"/>
    <x v="41"/>
    <s v="A crime film set in 2000."/>
    <x v="8"/>
    <s v="Mark Ruffalo, Samuel L. Jackson, Natalie Portman, Leonardo DiCaprio"/>
    <n v="14435"/>
    <m/>
    <n v="0"/>
    <s v="Average"/>
  </r>
  <r>
    <s v="tt1000350"/>
    <s v="An Revolution 243"/>
    <x v="12"/>
    <x v="1"/>
    <x v="1"/>
    <x v="16"/>
    <s v="Medium"/>
    <x v="236"/>
    <n v="7.2"/>
    <x v="0"/>
    <s v="An epic adventure tale directed by Ang Lee."/>
    <x v="6"/>
    <s v="Viola Davis, Morgan Freeman, Scarlett Johansson, Natalie Portman"/>
    <n v="125623"/>
    <n v="83.13"/>
    <n v="83.13"/>
    <s v="Average"/>
  </r>
  <r>
    <s v="tt1000939"/>
    <s v="First Destiny 832"/>
    <x v="12"/>
    <x v="1"/>
    <x v="0"/>
    <x v="12"/>
    <s v="Long"/>
    <x v="92"/>
    <n v="7.2"/>
    <x v="0"/>
    <s v="A critically acclaimed sci-fi masterpiece."/>
    <x v="6"/>
    <s v="Christian Bale, Will Smith, Tom Cruise"/>
    <n v="3322"/>
    <n v="384.56"/>
    <n v="384.56"/>
    <s v="Blockbuster"/>
  </r>
  <r>
    <s v="tt1000926"/>
    <s v="Last Dreams 819"/>
    <x v="6"/>
    <x v="2"/>
    <x v="2"/>
    <x v="22"/>
    <s v="Medium"/>
    <x v="31"/>
    <n v="7.2"/>
    <x v="39"/>
    <s v="A critically acclaimed action masterpiece."/>
    <x v="6"/>
    <s v="Christian Bale, Denzel Washington, Emma Stone, Tom Cruise"/>
    <n v="222298"/>
    <n v="249.57"/>
    <n v="249.57"/>
    <s v="Blockbuster"/>
  </r>
  <r>
    <s v="tt1000616"/>
    <s v="Lost Revolution 509"/>
    <x v="3"/>
    <x v="1"/>
    <x v="1"/>
    <x v="68"/>
    <s v="Long"/>
    <x v="237"/>
    <n v="7.2"/>
    <x v="0"/>
    <s v="A critically acclaimed horror masterpiece."/>
    <x v="13"/>
    <s v="Edward Norton, Denzel Washington, Jack Nicholson, Mark Ruffalo, Anthony Hopkins"/>
    <n v="22712"/>
    <m/>
    <n v="0"/>
    <s v="Average"/>
  </r>
  <r>
    <s v="tt1000780"/>
    <s v="Last Secrets 673"/>
    <x v="10"/>
    <x v="2"/>
    <x v="0"/>
    <x v="63"/>
    <s v="Long"/>
    <x v="238"/>
    <n v="7.2"/>
    <x v="42"/>
    <s v="A thrilling crime adventure."/>
    <x v="21"/>
    <s v="Gary Oldman, Anthony Hopkins, Will Smith, Cate Blanchett"/>
    <n v="125245"/>
    <m/>
    <n v="0"/>
    <s v="Average"/>
  </r>
  <r>
    <s v="tt1000786"/>
    <s v="Secret Secrets 679"/>
    <x v="9"/>
    <x v="1"/>
    <x v="2"/>
    <x v="71"/>
    <s v="Short"/>
    <x v="239"/>
    <n v="7.2"/>
    <x v="40"/>
    <s v="A documentary film set in 2014."/>
    <x v="3"/>
    <s v="Morgan Freeman, Robert De Niro, Gary Oldman"/>
    <n v="12783"/>
    <n v="225.86"/>
    <n v="225.86"/>
    <s v="Blockbuster"/>
  </r>
  <r>
    <s v="tt1000773"/>
    <s v="Dark Chronicles 666"/>
    <x v="3"/>
    <x v="1"/>
    <x v="5"/>
    <x v="14"/>
    <s v="Medium"/>
    <x v="240"/>
    <n v="7.2"/>
    <x v="27"/>
    <s v="An epic family tale directed by Robert Zemeckis."/>
    <x v="11"/>
    <s v="TimothÃ©e Chalamet, Jennifer Lawrence, Florence Pugh"/>
    <n v="192606"/>
    <m/>
    <n v="0"/>
    <s v="Average"/>
  </r>
  <r>
    <s v="tt1000492"/>
    <s v="The Chronicles 385"/>
    <x v="4"/>
    <x v="0"/>
    <x v="0"/>
    <x v="53"/>
    <s v="Medium"/>
    <x v="241"/>
    <n v="7.2"/>
    <x v="0"/>
    <s v="A documentary film set in 2000."/>
    <x v="28"/>
    <s v="Harrison Ford, Morgan Freeman, Daniel Day-Lewis, Leonardo DiCaprio, Cate Blanchett"/>
    <n v="15815"/>
    <m/>
    <n v="0"/>
    <s v="Average"/>
  </r>
  <r>
    <s v="tt1000730"/>
    <s v="A Quest 623"/>
    <x v="44"/>
    <x v="0"/>
    <x v="3"/>
    <x v="61"/>
    <s v="Short"/>
    <x v="3"/>
    <n v="7.2"/>
    <x v="21"/>
    <s v="An epic biography tale directed by Wong Kar-wai."/>
    <x v="17"/>
    <s v="Anthony Hopkins, Tom Hanks, Kate Winslet"/>
    <n v="1247265"/>
    <m/>
    <n v="0"/>
    <s v="Average"/>
  </r>
  <r>
    <s v="tt1000548"/>
    <s v="First Revolution 441"/>
    <x v="52"/>
    <x v="1"/>
    <x v="0"/>
    <x v="36"/>
    <s v="Medium"/>
    <x v="46"/>
    <n v="7.2"/>
    <x v="42"/>
    <s v="A adventure film set in 2010."/>
    <x v="26"/>
    <s v="Edward Norton, Robert Downey Jr., Jack Nicholson, Al Pacino"/>
    <n v="45219"/>
    <n v="96.15"/>
    <n v="96.15"/>
    <s v="Average"/>
  </r>
  <r>
    <s v="tt1000765"/>
    <s v="Dark War 658"/>
    <x v="23"/>
    <x v="1"/>
    <x v="1"/>
    <x v="41"/>
    <s v="Long"/>
    <x v="242"/>
    <n v="7.2"/>
    <x v="0"/>
    <s v="An epic sci-fi tale directed by Francis Ford Coppola."/>
    <x v="9"/>
    <s v="Will Smith, Samuel L. Jackson, Tom Hanks, Viola Davis, Edward Norton"/>
    <n v="490116"/>
    <n v="448.96"/>
    <n v="448.96"/>
    <s v="Blockbuster"/>
  </r>
  <r>
    <s v="tt1000753"/>
    <s v="A War 646"/>
    <x v="51"/>
    <x v="1"/>
    <x v="4"/>
    <x v="5"/>
    <s v="Long"/>
    <x v="243"/>
    <n v="7.2"/>
    <x v="15"/>
    <s v="An epic horror tale directed by Akira Kurosawa."/>
    <x v="12"/>
    <s v="Anthony Hopkins, Tom Cruise, Meryl Streep, Jack Nicholson, Morgan Freeman"/>
    <n v="109802"/>
    <n v="252.54"/>
    <n v="252.54"/>
    <s v="Blockbuster"/>
  </r>
  <r>
    <s v="tt1000263"/>
    <s v="Lost Secrets 156"/>
    <x v="51"/>
    <x v="1"/>
    <x v="2"/>
    <x v="49"/>
    <s v="Short"/>
    <x v="34"/>
    <n v="7.2"/>
    <x v="0"/>
    <s v="An epic documentary tale directed by Frank Darabont."/>
    <x v="14"/>
    <s v="Florence Pugh, Meryl Streep, Amy Adams, Morgan Freeman, Al Pacino"/>
    <n v="81759"/>
    <m/>
    <n v="0"/>
    <s v="Average"/>
  </r>
  <r>
    <s v="tt1000262"/>
    <s v="A Legend 155"/>
    <x v="12"/>
    <x v="1"/>
    <x v="0"/>
    <x v="51"/>
    <s v="Long"/>
    <x v="244"/>
    <n v="7.2"/>
    <x v="6"/>
    <s v="A thrilling war adventure."/>
    <x v="11"/>
    <s v="Anthony Hopkins, Zendaya, Scarlett Johansson, Matt Damon"/>
    <n v="53892"/>
    <m/>
    <n v="0"/>
    <s v="Average"/>
  </r>
  <r>
    <s v="tt1000677"/>
    <s v="Final Empire 570"/>
    <x v="3"/>
    <x v="1"/>
    <x v="1"/>
    <x v="64"/>
    <s v="Medium"/>
    <x v="245"/>
    <n v="7.2"/>
    <x v="21"/>
    <s v="A thrilling crime adventure."/>
    <x v="15"/>
    <s v="Chris Hemsworth, Johnny Depp, Zendaya"/>
    <n v="127797"/>
    <m/>
    <n v="0"/>
    <s v="Average"/>
  </r>
  <r>
    <s v="tt1000687"/>
    <s v="A Story 580"/>
    <x v="9"/>
    <x v="1"/>
    <x v="0"/>
    <x v="53"/>
    <s v="Medium"/>
    <x v="195"/>
    <n v="7.2"/>
    <x v="38"/>
    <s v="A biography film set in 2014."/>
    <x v="4"/>
    <s v="Matt Damon, Al Pacino, Harrison Ford"/>
    <n v="51285"/>
    <n v="321.63"/>
    <n v="321.63"/>
    <s v="Blockbuster"/>
  </r>
  <r>
    <s v="tt1000922"/>
    <s v="The Mystery 815"/>
    <x v="12"/>
    <x v="1"/>
    <x v="0"/>
    <x v="18"/>
    <s v="Medium"/>
    <x v="115"/>
    <n v="7.2"/>
    <x v="23"/>
    <s v="A thrilling fantasy adventure."/>
    <x v="32"/>
    <s v="Gary Oldman, Samuel L. Jackson, Viola Davis, Leonardo DiCaprio, Morgan Freeman"/>
    <n v="27594"/>
    <m/>
    <n v="0"/>
    <s v="Average"/>
  </r>
  <r>
    <s v="tt1000398"/>
    <s v="Last Quest 291"/>
    <x v="51"/>
    <x v="1"/>
    <x v="2"/>
    <x v="61"/>
    <s v="Short"/>
    <x v="246"/>
    <n v="7.2"/>
    <x v="0"/>
    <s v="An epic drama tale directed by Robert Zemeckis."/>
    <x v="11"/>
    <s v="Brad Pitt, Chris Hemsworth, Gary Oldman, Kate Winslet, Al Pacino"/>
    <n v="58136"/>
    <n v="320.44"/>
    <n v="320.44"/>
    <s v="Blockbuster"/>
  </r>
  <r>
    <s v="tt1000130"/>
    <s v="First Secrets 23"/>
    <x v="67"/>
    <x v="5"/>
    <x v="0"/>
    <x v="28"/>
    <s v="Medium"/>
    <x v="158"/>
    <n v="7.2"/>
    <x v="0"/>
    <s v="A critically acclaimed comedy masterpiece."/>
    <x v="13"/>
    <s v="Morgan Freeman, Daniel Day-Lewis, Emma Stone"/>
    <n v="8263"/>
    <m/>
    <n v="0"/>
    <s v="Average"/>
  </r>
  <r>
    <s v="tt1000543"/>
    <s v="Final War 436"/>
    <x v="7"/>
    <x v="0"/>
    <x v="2"/>
    <x v="62"/>
    <s v="Long"/>
    <x v="16"/>
    <n v="7.2"/>
    <x v="0"/>
    <s v="A critically acclaimed war masterpiece."/>
    <x v="24"/>
    <s v="Denzel Washington, Al Pacino, Edward Norton"/>
    <n v="16822"/>
    <m/>
    <n v="0"/>
    <s v="Average"/>
  </r>
  <r>
    <s v="tt1000819"/>
    <s v="Secret Revolution 712"/>
    <x v="51"/>
    <x v="1"/>
    <x v="1"/>
    <x v="8"/>
    <s v="Long"/>
    <x v="247"/>
    <n v="7.2"/>
    <x v="24"/>
    <s v="A critically acclaimed musical masterpiece."/>
    <x v="18"/>
    <s v="Morgan Freeman, Robert Downey Jr., Denzel Washington, Cate Blanchett, Tom Cruise"/>
    <n v="121540"/>
    <n v="394.01"/>
    <n v="394.01"/>
    <s v="Blockbuster"/>
  </r>
  <r>
    <s v="tt1000481"/>
    <s v="An Journey 374"/>
    <x v="20"/>
    <x v="1"/>
    <x v="2"/>
    <x v="76"/>
    <s v="Medium"/>
    <x v="88"/>
    <n v="7.2"/>
    <x v="6"/>
    <s v="A crime film set in 2018."/>
    <x v="29"/>
    <s v="Mark Ruffalo, Kate Winslet, Margot Robbie"/>
    <n v="22538"/>
    <n v="411.23"/>
    <n v="411.23"/>
    <s v="Blockbuster"/>
  </r>
  <r>
    <s v="tt1000479"/>
    <s v="An Mission 372"/>
    <x v="9"/>
    <x v="1"/>
    <x v="0"/>
    <x v="66"/>
    <s v="Long"/>
    <x v="70"/>
    <n v="7.2"/>
    <x v="0"/>
    <s v="A musical film set in 2014."/>
    <x v="28"/>
    <s v="Tom Hanks, Amy Adams, Will Smith"/>
    <n v="180289"/>
    <n v="68.8"/>
    <n v="68.8"/>
    <s v="Average"/>
  </r>
  <r>
    <s v="tt1000463"/>
    <s v="Secret Chronicles 356"/>
    <x v="4"/>
    <x v="0"/>
    <x v="1"/>
    <x v="55"/>
    <s v="Medium"/>
    <x v="248"/>
    <n v="7.2"/>
    <x v="0"/>
    <s v="A critically acclaimed horror masterpiece."/>
    <x v="6"/>
    <s v="Florence Pugh, TimothÃ©e Chalamet, Margot Robbie, Jennifer Lawrence"/>
    <n v="21664"/>
    <n v="158.41999999999999"/>
    <n v="158.41999999999999"/>
    <s v="Hit"/>
  </r>
  <r>
    <s v="tt1000895"/>
    <s v="Lost Adventures 788"/>
    <x v="20"/>
    <x v="1"/>
    <x v="1"/>
    <x v="4"/>
    <s v="Long"/>
    <x v="5"/>
    <n v="7.2"/>
    <x v="0"/>
    <s v="A crime film set in 2018."/>
    <x v="4"/>
    <s v="Jack Nicholson, Will Smith, Robert Downey Jr., Tom Cruise"/>
    <n v="5982"/>
    <n v="29.36"/>
    <n v="29.36"/>
    <s v="Average"/>
  </r>
  <r>
    <s v="tt1000913"/>
    <s v="First Secrets 806"/>
    <x v="19"/>
    <x v="1"/>
    <x v="3"/>
    <x v="62"/>
    <s v="Long"/>
    <x v="249"/>
    <n v="7.2"/>
    <x v="39"/>
    <s v="A drama film set in 2011."/>
    <x v="35"/>
    <s v="TimothÃ©e Chalamet, Gary Oldman, Leonardo DiCaprio, Margot Robbie, Emma Stone"/>
    <n v="119962"/>
    <n v="30.56"/>
    <n v="30.56"/>
    <s v="Average"/>
  </r>
  <r>
    <s v="tt1000311"/>
    <s v="First Adventures 204"/>
    <x v="9"/>
    <x v="1"/>
    <x v="4"/>
    <x v="82"/>
    <s v="Short"/>
    <x v="6"/>
    <n v="7.2"/>
    <x v="0"/>
    <s v="A thrilling romance adventure."/>
    <x v="30"/>
    <s v="Robert Downey Jr., Gary Oldman, Matt Damon"/>
    <n v="28195"/>
    <n v="397.7"/>
    <n v="397.7"/>
    <s v="Blockbuster"/>
  </r>
  <r>
    <s v="tt1000452"/>
    <s v="A Adventures 345"/>
    <x v="7"/>
    <x v="0"/>
    <x v="2"/>
    <x v="50"/>
    <s v="Medium"/>
    <x v="10"/>
    <n v="7.2"/>
    <x v="10"/>
    <s v="A thrilling fantasy adventure."/>
    <x v="17"/>
    <s v="Cate Blanchett, Will Smith, Amy Adams, Al Pacino, Florence Pugh"/>
    <n v="6513"/>
    <n v="106.79"/>
    <n v="106.79"/>
    <s v="Hit"/>
  </r>
  <r>
    <s v="tt1000848"/>
    <s v="An Empire 741"/>
    <x v="1"/>
    <x v="1"/>
    <x v="0"/>
    <x v="83"/>
    <s v="Long"/>
    <x v="250"/>
    <n v="7.2"/>
    <x v="31"/>
    <s v="A action film set in 2012."/>
    <x v="36"/>
    <s v="Matt Damon, Kate Winslet, Robert Downey Jr., Christian Bale"/>
    <n v="7582"/>
    <m/>
    <n v="0"/>
    <s v="Average"/>
  </r>
  <r>
    <s v="tt1000843"/>
    <s v="First Story 736"/>
    <x v="23"/>
    <x v="1"/>
    <x v="3"/>
    <x v="14"/>
    <s v="Medium"/>
    <x v="35"/>
    <n v="7.2"/>
    <x v="0"/>
    <s v="A thrilling drama adventure."/>
    <x v="32"/>
    <s v="Matt Damon, Robert De Niro, Samuel L. Jackson"/>
    <n v="14919"/>
    <n v="476.26"/>
    <n v="476.26"/>
    <s v="Blockbuster"/>
  </r>
  <r>
    <s v="tt1000447"/>
    <s v="Secret Story 340"/>
    <x v="18"/>
    <x v="2"/>
    <x v="2"/>
    <x v="46"/>
    <s v="Medium"/>
    <x v="251"/>
    <n v="7.2"/>
    <x v="20"/>
    <s v="An epic mystery tale directed by Steven Spielberg."/>
    <x v="27"/>
    <s v="Kate Winslet, Anthony Hopkins, Keanu Reeves, Scarlett Johansson, Leonardo DiCaprio"/>
    <n v="357170"/>
    <n v="172.7"/>
    <n v="172.7"/>
    <s v="Hit"/>
  </r>
  <r>
    <s v="tt1000436"/>
    <s v="A Secrets 329"/>
    <x v="3"/>
    <x v="1"/>
    <x v="0"/>
    <x v="6"/>
    <s v="Long"/>
    <x v="252"/>
    <n v="7.2"/>
    <x v="19"/>
    <s v="A thrilling musical adventure."/>
    <x v="16"/>
    <s v="Al Pacino, Robert Downey Jr., Emma Stone, Zendaya, Chris Hemsworth"/>
    <n v="57668"/>
    <m/>
    <n v="0"/>
    <s v="Average"/>
  </r>
  <r>
    <s v="tt1000201"/>
    <s v="Dark Quest 94"/>
    <x v="51"/>
    <x v="1"/>
    <x v="2"/>
    <x v="78"/>
    <s v="Long"/>
    <x v="253"/>
    <n v="7.2"/>
    <x v="22"/>
    <s v="A adventure film set in 2015."/>
    <x v="19"/>
    <s v="Florence Pugh, Denzel Washington, Natalie Portman"/>
    <n v="999683"/>
    <n v="480.99"/>
    <n v="480.99"/>
    <s v="Blockbuster"/>
  </r>
  <r>
    <s v="tt1000197"/>
    <s v="A Dreams 90"/>
    <x v="71"/>
    <x v="5"/>
    <x v="0"/>
    <x v="24"/>
    <s v="Medium"/>
    <x v="67"/>
    <n v="7.2"/>
    <x v="32"/>
    <s v="A thrilling romance adventure."/>
    <x v="9"/>
    <s v="Brad Pitt, Robert Downey Jr., Morgan Freeman"/>
    <n v="98764"/>
    <m/>
    <n v="0"/>
    <s v="Average"/>
  </r>
  <r>
    <s v="tt1000860"/>
    <s v="Lost Revolution 753"/>
    <x v="7"/>
    <x v="0"/>
    <x v="0"/>
    <x v="12"/>
    <s v="Long"/>
    <x v="254"/>
    <n v="7.2"/>
    <x v="22"/>
    <s v="A critically acclaimed mystery masterpiece."/>
    <x v="19"/>
    <s v="TimothÃ©e Chalamet, Tom Cruise, Gary Oldman"/>
    <n v="55288"/>
    <n v="121.64"/>
    <n v="121.64"/>
    <s v="Hit"/>
  </r>
  <r>
    <s v="tt1000608"/>
    <s v="The Love 501"/>
    <x v="2"/>
    <x v="0"/>
    <x v="0"/>
    <x v="5"/>
    <s v="Long"/>
    <x v="70"/>
    <n v="7.2"/>
    <x v="19"/>
    <s v="A musical film set in 2008."/>
    <x v="31"/>
    <s v="Amy Adams, Chris Hemsworth, Scarlett Johansson, Tom Hanks"/>
    <n v="11665"/>
    <m/>
    <n v="0"/>
    <s v="Average"/>
  </r>
  <r>
    <s v="tt1000999"/>
    <s v="Secret Mission 892"/>
    <x v="40"/>
    <x v="0"/>
    <x v="2"/>
    <x v="74"/>
    <s v="Medium"/>
    <x v="74"/>
    <n v="7.1"/>
    <x v="37"/>
    <s v="A critically acclaimed mystery masterpiece."/>
    <x v="29"/>
    <s v="Daniel Day-Lewis, Emma Stone, Cate Blanchett, Brad Pitt, Zendaya"/>
    <n v="47434"/>
    <n v="275.47000000000003"/>
    <n v="275.47000000000003"/>
    <s v="Blockbuster"/>
  </r>
  <r>
    <s v="tt1000981"/>
    <s v="Secret Dreams 874"/>
    <x v="9"/>
    <x v="1"/>
    <x v="0"/>
    <x v="3"/>
    <s v="Medium"/>
    <x v="255"/>
    <n v="7.1"/>
    <x v="0"/>
    <s v="A thrilling war adventure."/>
    <x v="31"/>
    <s v="Mark Ruffalo, Al Pacino, Viola Davis"/>
    <n v="10704"/>
    <m/>
    <n v="0"/>
    <s v="Average"/>
  </r>
  <r>
    <s v="tt1000994"/>
    <s v="Secret Legend 887"/>
    <x v="3"/>
    <x v="1"/>
    <x v="2"/>
    <x v="77"/>
    <s v="Long"/>
    <x v="33"/>
    <n v="7.1"/>
    <x v="38"/>
    <s v="A comedy film set in 2019."/>
    <x v="17"/>
    <s v="Harrison Ford, Keanu Reeves, Emma Stone, Meryl Streep, Kate Winslet"/>
    <n v="5002"/>
    <n v="370.36"/>
    <n v="370.36"/>
    <s v="Blockbuster"/>
  </r>
  <r>
    <s v="tt1000366"/>
    <s v="Dark Empire 259"/>
    <x v="11"/>
    <x v="0"/>
    <x v="2"/>
    <x v="67"/>
    <s v="Long"/>
    <x v="130"/>
    <n v="7.1"/>
    <x v="22"/>
    <s v="A critically acclaimed western masterpiece."/>
    <x v="29"/>
    <s v="Meryl Streep, Al Pacino, Gary Oldman, Chris Hemsworth"/>
    <n v="267537"/>
    <m/>
    <n v="0"/>
    <s v="Average"/>
  </r>
  <r>
    <s v="tt1000634"/>
    <s v="The Secrets 527"/>
    <x v="9"/>
    <x v="1"/>
    <x v="1"/>
    <x v="9"/>
    <s v="Long"/>
    <x v="256"/>
    <n v="7.1"/>
    <x v="8"/>
    <s v="An epic horror tale directed by Peter Jackson."/>
    <x v="8"/>
    <s v="Natalie Portman, Mark Ruffalo, Keanu Reeves"/>
    <n v="50972"/>
    <n v="92.97"/>
    <n v="92.97"/>
    <s v="Average"/>
  </r>
  <r>
    <s v="tt1000859"/>
    <s v="An Dreams 752"/>
    <x v="51"/>
    <x v="1"/>
    <x v="0"/>
    <x v="68"/>
    <s v="Long"/>
    <x v="257"/>
    <n v="7.1"/>
    <x v="0"/>
    <s v="A critically acclaimed family masterpiece."/>
    <x v="12"/>
    <s v="Harrison Ford, Tom Cruise, Robert De Niro, Samuel L. Jackson"/>
    <n v="837294"/>
    <n v="199.19"/>
    <n v="199.19"/>
    <s v="Hit"/>
  </r>
  <r>
    <s v="tt1000959"/>
    <s v="Lost Destiny 852"/>
    <x v="6"/>
    <x v="2"/>
    <x v="3"/>
    <x v="32"/>
    <s v="Medium"/>
    <x v="258"/>
    <n v="7.1"/>
    <x v="0"/>
    <s v="A thrilling mystery adventure."/>
    <x v="22"/>
    <s v="Robert De Niro, Al Pacino, Keanu Reeves"/>
    <n v="45206"/>
    <n v="116.22"/>
    <n v="116.22"/>
    <s v="Hit"/>
  </r>
  <r>
    <s v="tt1000628"/>
    <s v="Dark Revolution 521"/>
    <x v="60"/>
    <x v="1"/>
    <x v="1"/>
    <x v="18"/>
    <s v="Medium"/>
    <x v="89"/>
    <n v="7.1"/>
    <x v="0"/>
    <s v="A thrilling crime adventure."/>
    <x v="21"/>
    <s v="Morgan Freeman, Gary Oldman, Samuel L. Jackson"/>
    <n v="17775"/>
    <m/>
    <n v="0"/>
    <s v="Average"/>
  </r>
  <r>
    <s v="tt1000838"/>
    <s v="First Awakening 731"/>
    <x v="23"/>
    <x v="1"/>
    <x v="0"/>
    <x v="53"/>
    <s v="Medium"/>
    <x v="187"/>
    <n v="7.1"/>
    <x v="0"/>
    <s v="A critically acclaimed adventure masterpiece."/>
    <x v="31"/>
    <s v="Johnny Depp, Viola Davis, Harrison Ford, Gary Oldman"/>
    <n v="68107"/>
    <n v="370.25"/>
    <n v="370.25"/>
    <s v="Blockbuster"/>
  </r>
  <r>
    <s v="tt1000193"/>
    <s v="Dark Mystery 86"/>
    <x v="33"/>
    <x v="5"/>
    <x v="1"/>
    <x v="57"/>
    <s v="Long"/>
    <x v="3"/>
    <n v="7.1"/>
    <x v="11"/>
    <s v="A thrilling biography adventure."/>
    <x v="3"/>
    <s v="Emma Stone, Harrison Ford, Will Smith, Mark Ruffalo"/>
    <n v="32114"/>
    <m/>
    <n v="0"/>
    <s v="Average"/>
  </r>
  <r>
    <s v="tt1000478"/>
    <s v="Lost Mystery 371"/>
    <x v="35"/>
    <x v="2"/>
    <x v="2"/>
    <x v="3"/>
    <s v="Medium"/>
    <x v="42"/>
    <n v="7.1"/>
    <x v="13"/>
    <s v="A thrilling thriller adventure."/>
    <x v="12"/>
    <s v="Matt Damon, Anthony Hopkins, Al Pacino, Emma Stone"/>
    <n v="41231"/>
    <m/>
    <n v="0"/>
    <s v="Average"/>
  </r>
  <r>
    <s v="tt1000815"/>
    <s v="Final Awakening 708"/>
    <x v="35"/>
    <x v="2"/>
    <x v="2"/>
    <x v="10"/>
    <s v="Long"/>
    <x v="259"/>
    <n v="7.1"/>
    <x v="37"/>
    <s v="A thrilling sci-fi adventure."/>
    <x v="35"/>
    <s v="Brad Pitt, Florence Pugh, Amy Adams, Robert De Niro, Tom Hanks"/>
    <n v="42124"/>
    <n v="313.06"/>
    <n v="313.06"/>
    <s v="Blockbuster"/>
  </r>
  <r>
    <s v="tt1000912"/>
    <s v="Final Chronicles 805"/>
    <x v="18"/>
    <x v="2"/>
    <x v="2"/>
    <x v="43"/>
    <s v="Medium"/>
    <x v="260"/>
    <n v="7.1"/>
    <x v="13"/>
    <s v="A thrilling war adventure."/>
    <x v="18"/>
    <s v="Amy Adams, Robert De Niro, Scarlett Johansson, Viola Davis, Mark Ruffalo"/>
    <n v="616146"/>
    <n v="24.6"/>
    <n v="24.6"/>
    <s v="Average"/>
  </r>
  <r>
    <s v="tt1000483"/>
    <s v="Last Secrets 376"/>
    <x v="60"/>
    <x v="1"/>
    <x v="0"/>
    <x v="46"/>
    <s v="Medium"/>
    <x v="57"/>
    <n v="7.1"/>
    <x v="0"/>
    <s v="An epic family tale directed by Ron Howard."/>
    <x v="33"/>
    <s v="Margot Robbie, Tom Cruise, Zendaya, Harrison Ford"/>
    <n v="769366"/>
    <m/>
    <n v="0"/>
    <s v="Average"/>
  </r>
  <r>
    <s v="tt1000375"/>
    <s v="Final War 268"/>
    <x v="19"/>
    <x v="1"/>
    <x v="1"/>
    <x v="14"/>
    <s v="Medium"/>
    <x v="46"/>
    <n v="7.1"/>
    <x v="41"/>
    <s v="A adventure film set in 2011."/>
    <x v="28"/>
    <s v="Robert De Niro, TimothÃ©e Chalamet, Edward Norton"/>
    <n v="19314"/>
    <m/>
    <n v="0"/>
    <s v="Average"/>
  </r>
  <r>
    <s v="tt1000518"/>
    <s v="Final Awakening 411"/>
    <x v="7"/>
    <x v="0"/>
    <x v="0"/>
    <x v="48"/>
    <s v="Medium"/>
    <x v="18"/>
    <n v="7.1"/>
    <x v="8"/>
    <s v="A critically acclaimed horror masterpiece."/>
    <x v="32"/>
    <s v="Meryl Streep, Jack Nicholson, Harrison Ford"/>
    <n v="235714"/>
    <n v="85.71"/>
    <n v="85.71"/>
    <s v="Average"/>
  </r>
  <r>
    <s v="tt1000242"/>
    <s v="A Empire 135"/>
    <x v="3"/>
    <x v="1"/>
    <x v="3"/>
    <x v="46"/>
    <s v="Medium"/>
    <x v="42"/>
    <n v="7.1"/>
    <x v="40"/>
    <s v="An epic thriller tale directed by James Cameron."/>
    <x v="32"/>
    <s v="Natalie Portman, Gary Oldman, Meryl Streep, TimothÃ©e Chalamet, Zendaya"/>
    <n v="26645"/>
    <n v="152.34"/>
    <n v="152.34"/>
    <s v="Hit"/>
  </r>
  <r>
    <s v="tt1000551"/>
    <s v="Last War 444"/>
    <x v="2"/>
    <x v="0"/>
    <x v="3"/>
    <x v="54"/>
    <s v="Medium"/>
    <x v="261"/>
    <n v="7.1"/>
    <x v="29"/>
    <s v="A critically acclaimed fantasy masterpiece."/>
    <x v="27"/>
    <s v="Florence Pugh, Tom Cruise, Margot Robbie"/>
    <n v="38441"/>
    <n v="452.31"/>
    <n v="452.31"/>
    <s v="Blockbuster"/>
  </r>
  <r>
    <s v="tt1000550"/>
    <s v="First Destiny 443"/>
    <x v="34"/>
    <x v="0"/>
    <x v="5"/>
    <x v="23"/>
    <s v="Long"/>
    <x v="262"/>
    <n v="7.1"/>
    <x v="12"/>
    <s v="A critically acclaimed biography masterpiece."/>
    <x v="4"/>
    <s v="Florence Pugh, Scarlett Johansson, Keanu Reeves"/>
    <n v="80143"/>
    <m/>
    <n v="0"/>
    <s v="Average"/>
  </r>
  <r>
    <s v="tt1000361"/>
    <s v="An Adventures 254"/>
    <x v="40"/>
    <x v="0"/>
    <x v="2"/>
    <x v="42"/>
    <s v="Long"/>
    <x v="51"/>
    <n v="7.1"/>
    <x v="0"/>
    <s v="A thrilling drama adventure."/>
    <x v="4"/>
    <s v="Johnny Depp, Morgan Freeman, Chris Hemsworth, Viola Davis"/>
    <n v="114126"/>
    <n v="387.73"/>
    <n v="387.73"/>
    <s v="Blockbuster"/>
  </r>
  <r>
    <s v="tt1000970"/>
    <s v="An Secrets 863"/>
    <x v="4"/>
    <x v="0"/>
    <x v="0"/>
    <x v="50"/>
    <s v="Medium"/>
    <x v="180"/>
    <n v="7.1"/>
    <x v="0"/>
    <s v="A horror film set in 2000."/>
    <x v="33"/>
    <s v="Gary Oldman, Anthony Hopkins, Robert Downey Jr., Mark Ruffalo, Emma Stone"/>
    <n v="20001"/>
    <m/>
    <n v="0"/>
    <s v="Average"/>
  </r>
  <r>
    <s v="tt1000619"/>
    <s v="A Legend 512"/>
    <x v="9"/>
    <x v="1"/>
    <x v="0"/>
    <x v="34"/>
    <s v="Medium"/>
    <x v="65"/>
    <n v="7.1"/>
    <x v="20"/>
    <s v="An epic family tale directed by Stanley Kubrick."/>
    <x v="10"/>
    <s v="Mark Ruffalo, Margot Robbie, Robert De Niro, Kate Winslet"/>
    <n v="88475"/>
    <n v="28.13"/>
    <n v="28.13"/>
    <s v="Average"/>
  </r>
  <r>
    <s v="tt1000966"/>
    <s v="An Chronicles 859"/>
    <x v="3"/>
    <x v="1"/>
    <x v="1"/>
    <x v="34"/>
    <s v="Medium"/>
    <x v="92"/>
    <n v="7.1"/>
    <x v="19"/>
    <s v="A critically acclaimed sci-fi masterpiece."/>
    <x v="9"/>
    <s v="Natalie Portman, Jack Nicholson, Matt Damon, Samuel L. Jackson"/>
    <n v="55923"/>
    <n v="436.91"/>
    <n v="436.91"/>
    <s v="Blockbuster"/>
  </r>
  <r>
    <s v="tt1000390"/>
    <s v="First Dreams 283"/>
    <x v="7"/>
    <x v="0"/>
    <x v="3"/>
    <x v="70"/>
    <s v="Long"/>
    <x v="8"/>
    <n v="7.1"/>
    <x v="43"/>
    <s v="A war film set in 2009."/>
    <x v="19"/>
    <s v="Natalie Portman, Matt Damon, Viola Davis, Leonardo DiCaprio"/>
    <n v="70003"/>
    <n v="23.71"/>
    <n v="23.71"/>
    <s v="Average"/>
  </r>
  <r>
    <s v="tt1000356"/>
    <s v="Lost Mission 249"/>
    <x v="51"/>
    <x v="1"/>
    <x v="2"/>
    <x v="24"/>
    <s v="Medium"/>
    <x v="130"/>
    <n v="7.1"/>
    <x v="15"/>
    <s v="A thrilling western adventure."/>
    <x v="8"/>
    <s v="Scarlett Johansson, Matt Damon, Meryl Streep"/>
    <n v="55805"/>
    <m/>
    <n v="0"/>
    <s v="Average"/>
  </r>
  <r>
    <s v="tt1000119"/>
    <s v="Lost Journey 12"/>
    <x v="65"/>
    <x v="7"/>
    <x v="1"/>
    <x v="34"/>
    <s v="Medium"/>
    <x v="263"/>
    <n v="7.1"/>
    <x v="0"/>
    <s v="A romance film set in 1989."/>
    <x v="30"/>
    <s v="Robert De Niro, Amy Adams, Cate Blanchett"/>
    <n v="10386"/>
    <n v="266.62"/>
    <n v="266.62"/>
    <s v="Blockbuster"/>
  </r>
  <r>
    <s v="tt1000376"/>
    <s v="Final Chronicles 269"/>
    <x v="23"/>
    <x v="1"/>
    <x v="1"/>
    <x v="22"/>
    <s v="Medium"/>
    <x v="195"/>
    <n v="7.1"/>
    <x v="0"/>
    <s v="A thrilling biography adventure."/>
    <x v="11"/>
    <s v="Johnny Depp, Keanu Reeves, Jack Nicholson, Denzel Washington"/>
    <n v="96958"/>
    <n v="136.33000000000001"/>
    <n v="136.33000000000001"/>
    <s v="Hit"/>
  </r>
  <r>
    <s v="tt1000184"/>
    <s v="An Revolution 77"/>
    <x v="47"/>
    <x v="7"/>
    <x v="4"/>
    <x v="9"/>
    <s v="Long"/>
    <x v="264"/>
    <n v="7"/>
    <x v="29"/>
    <s v="A adventure film set in 1981."/>
    <x v="36"/>
    <s v="Margot Robbie, Leonardo DiCaprio, Natalie Portman, Anthony Hopkins"/>
    <n v="59609"/>
    <n v="121.15"/>
    <n v="121.15"/>
    <s v="Hit"/>
  </r>
  <r>
    <s v="tt1000877"/>
    <s v="Final Chronicles 770"/>
    <x v="45"/>
    <x v="0"/>
    <x v="0"/>
    <x v="29"/>
    <s v="Long"/>
    <x v="3"/>
    <n v="7"/>
    <x v="29"/>
    <s v="An epic biography tale directed by Spike Lee."/>
    <x v="2"/>
    <s v="Jennifer Lawrence, Emma Stone, Matt Damon, Morgan Freeman"/>
    <n v="95507"/>
    <n v="424.8"/>
    <n v="424.8"/>
    <s v="Blockbuster"/>
  </r>
  <r>
    <s v="tt1000316"/>
    <s v="Lost Empire 209"/>
    <x v="23"/>
    <x v="1"/>
    <x v="0"/>
    <x v="18"/>
    <s v="Medium"/>
    <x v="265"/>
    <n v="7"/>
    <x v="30"/>
    <s v="A critically acclaimed family masterpiece."/>
    <x v="9"/>
    <s v="Brad Pitt, Tom Hanks, Amy Adams"/>
    <n v="41695"/>
    <n v="417.39"/>
    <n v="417.39"/>
    <s v="Blockbuster"/>
  </r>
  <r>
    <s v="tt1000421"/>
    <s v="Lost Kingdom 314"/>
    <x v="7"/>
    <x v="0"/>
    <x v="4"/>
    <x v="75"/>
    <s v="Medium"/>
    <x v="114"/>
    <n v="7"/>
    <x v="12"/>
    <s v="An epic adventure tale directed by Ang Lee."/>
    <x v="6"/>
    <s v="Robert De Niro, Morgan Freeman, Johnny Depp, Brad Pitt, Cate Blanchett"/>
    <n v="7182"/>
    <n v="191.12"/>
    <n v="191.12"/>
    <s v="Hit"/>
  </r>
  <r>
    <s v="tt1000206"/>
    <s v="Dark Story 99"/>
    <x v="23"/>
    <x v="1"/>
    <x v="1"/>
    <x v="29"/>
    <s v="Long"/>
    <x v="266"/>
    <n v="7"/>
    <x v="22"/>
    <s v="An epic animation tale directed by Taika Waititi."/>
    <x v="35"/>
    <s v="Jennifer Lawrence, Margot Robbie, Robert De Niro, Harrison Ford, Anthony Hopkins"/>
    <n v="18293"/>
    <n v="10.35"/>
    <n v="10.35"/>
    <s v="Average"/>
  </r>
  <r>
    <s v="tt1000362"/>
    <s v="A Empire 255"/>
    <x v="7"/>
    <x v="0"/>
    <x v="1"/>
    <x v="13"/>
    <s v="Long"/>
    <x v="267"/>
    <n v="7"/>
    <x v="29"/>
    <s v="A thrilling biography adventure."/>
    <x v="28"/>
    <s v="Viola Davis, Kate Winslet, Anthony Hopkins"/>
    <n v="40596"/>
    <m/>
    <n v="0"/>
    <s v="Average"/>
  </r>
  <r>
    <s v="tt1000738"/>
    <s v="First Secrets 631"/>
    <x v="2"/>
    <x v="0"/>
    <x v="0"/>
    <x v="24"/>
    <s v="Medium"/>
    <x v="268"/>
    <n v="7"/>
    <x v="0"/>
    <s v="An epic thriller tale directed by Ron Howard."/>
    <x v="33"/>
    <s v="Brad Pitt, Scarlett Johansson, Keanu Reeves"/>
    <n v="31098"/>
    <n v="331.62"/>
    <n v="331.62"/>
    <s v="Blockbuster"/>
  </r>
  <r>
    <s v="tt1000731"/>
    <s v="Last Empire 624"/>
    <x v="9"/>
    <x v="1"/>
    <x v="4"/>
    <x v="73"/>
    <s v="Medium"/>
    <x v="269"/>
    <n v="7"/>
    <x v="0"/>
    <s v="A critically acclaimed thriller masterpiece."/>
    <x v="28"/>
    <s v="Tom Cruise, Morgan Freeman, Christian Bale, Natalie Portman, Viola Davis"/>
    <n v="22181"/>
    <n v="110.76"/>
    <n v="110.76"/>
    <s v="Hit"/>
  </r>
  <r>
    <s v="tt1000714"/>
    <s v="First Journey 607"/>
    <x v="35"/>
    <x v="2"/>
    <x v="1"/>
    <x v="5"/>
    <s v="Long"/>
    <x v="67"/>
    <n v="7"/>
    <x v="33"/>
    <s v="A thrilling romance adventure."/>
    <x v="5"/>
    <s v="Will Smith, Mark Ruffalo, Keanu Reeves, Chris Hemsworth"/>
    <n v="42838"/>
    <n v="258.57"/>
    <n v="258.57"/>
    <s v="Blockbuster"/>
  </r>
  <r>
    <s v="tt1000306"/>
    <s v="Final Awakening 199"/>
    <x v="45"/>
    <x v="0"/>
    <x v="0"/>
    <x v="59"/>
    <s v="Medium"/>
    <x v="270"/>
    <n v="7"/>
    <x v="42"/>
    <s v="A critically acclaimed animation masterpiece."/>
    <x v="10"/>
    <s v="Denzel Washington, Cate Blanchett, Tom Cruise, Scarlett Johansson"/>
    <n v="299673"/>
    <n v="279.97000000000003"/>
    <n v="279.97000000000003"/>
    <s v="Blockbuster"/>
  </r>
  <r>
    <s v="tt1000301"/>
    <s v="The Story 194"/>
    <x v="5"/>
    <x v="2"/>
    <x v="1"/>
    <x v="80"/>
    <s v="Long"/>
    <x v="115"/>
    <n v="7"/>
    <x v="18"/>
    <s v="A thrilling fantasy adventure."/>
    <x v="36"/>
    <s v="TimothÃ©e Chalamet, Gary Oldman, Margot Robbie, Viola Davis, Tom Cruise"/>
    <n v="64193"/>
    <n v="152.84"/>
    <n v="152.84"/>
    <s v="Hit"/>
  </r>
  <r>
    <s v="tt1000393"/>
    <s v="The Mission 286"/>
    <x v="18"/>
    <x v="2"/>
    <x v="2"/>
    <x v="14"/>
    <s v="Medium"/>
    <x v="269"/>
    <n v="7"/>
    <x v="8"/>
    <s v="A thriller film set in 2024."/>
    <x v="14"/>
    <s v="Denzel Washington, Tom Cruise, Cate Blanchett, Amy Adams, Keanu Reeves"/>
    <n v="483111"/>
    <m/>
    <n v="0"/>
    <s v="Average"/>
  </r>
  <r>
    <s v="tt1000154"/>
    <s v="First Quest 47"/>
    <x v="67"/>
    <x v="5"/>
    <x v="0"/>
    <x v="32"/>
    <s v="Medium"/>
    <x v="9"/>
    <n v="7"/>
    <x v="0"/>
    <s v="A critically acclaimed adventure masterpiece."/>
    <x v="1"/>
    <s v="Daniel Day-Lewis, Harrison Ford, Robert Downey Jr., Johnny Depp, Chris Hemsworth"/>
    <n v="50589"/>
    <n v="247.53"/>
    <n v="247.53"/>
    <s v="Blockbuster"/>
  </r>
  <r>
    <s v="tt1000720"/>
    <s v="Final Mystery 613"/>
    <x v="34"/>
    <x v="0"/>
    <x v="2"/>
    <x v="14"/>
    <s v="Medium"/>
    <x v="227"/>
    <n v="7"/>
    <x v="0"/>
    <s v="A thrilling western adventure."/>
    <x v="5"/>
    <s v="Margot Robbie, Amy Adams, Meryl Streep"/>
    <n v="126415"/>
    <m/>
    <n v="0"/>
    <s v="Average"/>
  </r>
  <r>
    <s v="tt1000686"/>
    <s v="First Empire 579"/>
    <x v="24"/>
    <x v="0"/>
    <x v="2"/>
    <x v="10"/>
    <s v="Long"/>
    <x v="271"/>
    <n v="7"/>
    <x v="44"/>
    <s v="A critically acclaimed action masterpiece."/>
    <x v="13"/>
    <s v="Robert Downey Jr., Tom Hanks, Harrison Ford, Will Smith, Matt Damon"/>
    <n v="214560"/>
    <m/>
    <n v="0"/>
    <s v="Average"/>
  </r>
  <r>
    <s v="tt1000668"/>
    <s v="First Story 561"/>
    <x v="6"/>
    <x v="2"/>
    <x v="2"/>
    <x v="84"/>
    <s v="Short"/>
    <x v="272"/>
    <n v="7"/>
    <x v="15"/>
    <s v="A thrilling sci-fi adventure."/>
    <x v="17"/>
    <s v="Will Smith, Cate Blanchett, Keanu Reeves"/>
    <n v="59982"/>
    <n v="104.54"/>
    <n v="104.54"/>
    <s v="Hit"/>
  </r>
  <r>
    <s v="tt1000647"/>
    <s v="Secret Love 540"/>
    <x v="10"/>
    <x v="2"/>
    <x v="1"/>
    <x v="54"/>
    <s v="Medium"/>
    <x v="22"/>
    <n v="7"/>
    <x v="20"/>
    <s v="A animation film set in 2022."/>
    <x v="1"/>
    <s v="Will Smith, Al Pacino, Robert De Niro, Keanu Reeves, Gary Oldman"/>
    <n v="35782"/>
    <n v="143.5"/>
    <n v="143.5"/>
    <s v="Hit"/>
  </r>
  <r>
    <s v="tt1000562"/>
    <s v="Last Journey 455"/>
    <x v="3"/>
    <x v="1"/>
    <x v="0"/>
    <x v="24"/>
    <s v="Medium"/>
    <x v="62"/>
    <n v="7"/>
    <x v="38"/>
    <s v="A critically acclaimed documentary masterpiece."/>
    <x v="32"/>
    <s v="Margot Robbie, Edward Norton, Matt Damon"/>
    <n v="91576"/>
    <m/>
    <n v="0"/>
    <s v="Average"/>
  </r>
  <r>
    <s v="tt1000399"/>
    <s v="Secret Chronicles 292"/>
    <x v="0"/>
    <x v="0"/>
    <x v="4"/>
    <x v="23"/>
    <s v="Long"/>
    <x v="219"/>
    <n v="7"/>
    <x v="8"/>
    <s v="An epic family tale directed by Robert Zemeckis."/>
    <x v="11"/>
    <s v="Meryl Streep, Leonardo DiCaprio, Emma Stone, Robert Downey Jr."/>
    <n v="463337"/>
    <n v="492.8"/>
    <n v="492.8"/>
    <s v="Blockbuster"/>
  </r>
  <r>
    <s v="tt1000915"/>
    <s v="A War 808"/>
    <x v="7"/>
    <x v="0"/>
    <x v="4"/>
    <x v="34"/>
    <s v="Medium"/>
    <x v="273"/>
    <n v="7"/>
    <x v="15"/>
    <s v="A sci-fi film set in 2009."/>
    <x v="2"/>
    <s v="Gary Oldman, Robert De Niro, Tom Cruise, Florence Pugh"/>
    <n v="10651"/>
    <n v="62.22"/>
    <n v="62.22"/>
    <s v="Average"/>
  </r>
  <r>
    <s v="tt1000921"/>
    <s v="Final Quest 814"/>
    <x v="2"/>
    <x v="0"/>
    <x v="0"/>
    <x v="16"/>
    <s v="Medium"/>
    <x v="274"/>
    <n v="7"/>
    <x v="18"/>
    <s v="An epic musical tale directed by Edgar Wright."/>
    <x v="26"/>
    <s v="Tom Cruise, Robert Downey Jr., Zendaya"/>
    <n v="204948"/>
    <n v="367.63"/>
    <n v="367.63"/>
    <s v="Blockbuster"/>
  </r>
  <r>
    <s v="tt1000370"/>
    <s v="Lost Destiny 263"/>
    <x v="24"/>
    <x v="0"/>
    <x v="3"/>
    <x v="3"/>
    <s v="Medium"/>
    <x v="87"/>
    <n v="7"/>
    <x v="6"/>
    <s v="A critically acclaimed musical masterpiece."/>
    <x v="17"/>
    <s v="Jennifer Lawrence, Cate Blanchett, Robert Downey Jr., Daniel Day-Lewis, Denzel Washington"/>
    <n v="220819"/>
    <n v="84.69"/>
    <n v="84.69"/>
    <s v="Average"/>
  </r>
  <r>
    <s v="tt1000245"/>
    <s v="Secret Mission 138"/>
    <x v="52"/>
    <x v="1"/>
    <x v="2"/>
    <x v="29"/>
    <s v="Long"/>
    <x v="74"/>
    <n v="7"/>
    <x v="31"/>
    <s v="An epic mystery tale directed by Peter Jackson."/>
    <x v="8"/>
    <s v="Tom Hanks, TimothÃ©e Chalamet, Anthony Hopkins, Harrison Ford"/>
    <n v="261459"/>
    <n v="19.170000000000002"/>
    <n v="19.170000000000002"/>
    <s v="Average"/>
  </r>
  <r>
    <s v="tt1000243"/>
    <s v="First War 136"/>
    <x v="10"/>
    <x v="2"/>
    <x v="1"/>
    <x v="55"/>
    <s v="Medium"/>
    <x v="275"/>
    <n v="7"/>
    <x v="0"/>
    <s v="A critically acclaimed documentary masterpiece."/>
    <x v="32"/>
    <s v="TimothÃ©e Chalamet, Daniel Day-Lewis, Tom Hanks, Matt Damon, Cate Blanchett"/>
    <n v="13800"/>
    <n v="397.2"/>
    <n v="397.2"/>
    <s v="Blockbuster"/>
  </r>
  <r>
    <s v="tt1000241"/>
    <s v="Dark Dreams 134"/>
    <x v="60"/>
    <x v="1"/>
    <x v="0"/>
    <x v="77"/>
    <s v="Long"/>
    <x v="94"/>
    <n v="7"/>
    <x v="39"/>
    <s v="A thrilling romance adventure."/>
    <x v="3"/>
    <s v="Tom Cruise, Zendaya, Brad Pitt, Viola Davis"/>
    <n v="45434"/>
    <m/>
    <n v="0"/>
    <s v="Average"/>
  </r>
  <r>
    <s v="tt1000446"/>
    <s v="A Adventures 339"/>
    <x v="51"/>
    <x v="1"/>
    <x v="1"/>
    <x v="54"/>
    <s v="Medium"/>
    <x v="57"/>
    <n v="7"/>
    <x v="0"/>
    <s v="A thrilling family adventure."/>
    <x v="33"/>
    <s v="Samuel L. Jackson, Jack Nicholson, Margot Robbie"/>
    <n v="76180"/>
    <m/>
    <n v="0"/>
    <s v="Average"/>
  </r>
  <r>
    <s v="tt1000854"/>
    <s v="Dark Destiny 747"/>
    <x v="60"/>
    <x v="1"/>
    <x v="0"/>
    <x v="75"/>
    <s v="Medium"/>
    <x v="18"/>
    <n v="7"/>
    <x v="22"/>
    <s v="An epic horror tale directed by Christopher Nolan."/>
    <x v="21"/>
    <s v="Brad Pitt, Margot Robbie, Jennifer Lawrence, Amy Adams"/>
    <n v="15630"/>
    <m/>
    <n v="0"/>
    <s v="Average"/>
  </r>
  <r>
    <s v="tt1000800"/>
    <s v="Secret Love 693"/>
    <x v="60"/>
    <x v="1"/>
    <x v="5"/>
    <x v="31"/>
    <s v="Medium"/>
    <x v="4"/>
    <n v="7"/>
    <x v="15"/>
    <s v="A critically acclaimed mystery masterpiece."/>
    <x v="15"/>
    <s v="Jennifer Lawrence, Chris Hemsworth, Samuel L. Jackson, Kate Winslet, Edward Norton"/>
    <n v="26369"/>
    <m/>
    <n v="0"/>
    <s v="Average"/>
  </r>
  <r>
    <s v="tt1000964"/>
    <s v="Last Kingdom 857"/>
    <x v="52"/>
    <x v="1"/>
    <x v="5"/>
    <x v="70"/>
    <s v="Long"/>
    <x v="215"/>
    <n v="7"/>
    <x v="17"/>
    <s v="A thrilling romance adventure."/>
    <x v="16"/>
    <s v="Tom Hanks, TimothÃ©e Chalamet, Jennifer Lawrence, Viola Davis"/>
    <n v="128335"/>
    <n v="55.19"/>
    <n v="55.19"/>
    <s v="Average"/>
  </r>
  <r>
    <s v="tt1000993"/>
    <s v="Last Adventures 886"/>
    <x v="3"/>
    <x v="1"/>
    <x v="1"/>
    <x v="5"/>
    <s v="Long"/>
    <x v="276"/>
    <n v="7"/>
    <x v="36"/>
    <s v="A critically acclaimed adventure masterpiece."/>
    <x v="16"/>
    <s v="Scarlett Johansson, Harrison Ford, Edward Norton, Samuel L. Jackson, Keanu Reeves"/>
    <n v="403741"/>
    <n v="393.84"/>
    <n v="393.84"/>
    <s v="Blockbuster"/>
  </r>
  <r>
    <s v="tt1000933"/>
    <s v="A Legend 826"/>
    <x v="34"/>
    <x v="0"/>
    <x v="1"/>
    <x v="4"/>
    <s v="Long"/>
    <x v="131"/>
    <n v="7"/>
    <x v="0"/>
    <s v="A thriller film set in 2006."/>
    <x v="34"/>
    <s v="Natalie Portman, Florence Pugh, Jack Nicholson, Meryl Streep, Samuel L. Jackson"/>
    <n v="2500000"/>
    <n v="272.14"/>
    <n v="272.14"/>
    <s v="Blockbuster"/>
  </r>
  <r>
    <s v="tt1000278"/>
    <s v="Final Legend 171"/>
    <x v="35"/>
    <x v="2"/>
    <x v="0"/>
    <x v="18"/>
    <s v="Medium"/>
    <x v="41"/>
    <n v="7"/>
    <x v="27"/>
    <s v="A critically acclaimed comedy masterpiece."/>
    <x v="29"/>
    <s v="Meryl Streep, Anthony Hopkins, Cate Blanchett, Chris Hemsworth, Jack Nicholson"/>
    <n v="612773"/>
    <n v="271.97000000000003"/>
    <n v="271.97000000000003"/>
    <s v="Blockbuster"/>
  </r>
  <r>
    <s v="tt1000610"/>
    <s v="Lost War 503"/>
    <x v="19"/>
    <x v="1"/>
    <x v="0"/>
    <x v="77"/>
    <s v="Long"/>
    <x v="277"/>
    <n v="7"/>
    <x v="41"/>
    <s v="A fantasy film set in 2011."/>
    <x v="34"/>
    <s v="Harrison Ford, Meryl Streep, Leonardo DiCaprio, Jennifer Lawrence"/>
    <n v="250122"/>
    <n v="178.13"/>
    <n v="178.13"/>
    <s v="Hit"/>
  </r>
  <r>
    <s v="tt1000645"/>
    <s v="Last Mission 538"/>
    <x v="60"/>
    <x v="1"/>
    <x v="2"/>
    <x v="52"/>
    <s v="Short"/>
    <x v="278"/>
    <n v="7"/>
    <x v="0"/>
    <s v="An epic family tale directed by David Fincher."/>
    <x v="25"/>
    <s v="TimothÃ©e Chalamet, Gary Oldman, Natalie Portman, Mark Ruffalo"/>
    <n v="120757"/>
    <n v="272.38"/>
    <n v="272.38"/>
    <s v="Blockbuster"/>
  </r>
  <r>
    <s v="tt1000292"/>
    <s v="Dark Adventures 185"/>
    <x v="18"/>
    <x v="2"/>
    <x v="2"/>
    <x v="50"/>
    <s v="Medium"/>
    <x v="279"/>
    <n v="7"/>
    <x v="0"/>
    <s v="A adventure film set in 2024."/>
    <x v="36"/>
    <s v="Natalie Portman, Amy Adams, Emma Stone, Will Smith"/>
    <n v="58417"/>
    <n v="444.34"/>
    <n v="444.34"/>
    <s v="Blockbuster"/>
  </r>
  <r>
    <s v="tt1000572"/>
    <s v="Lost Mission 465"/>
    <x v="52"/>
    <x v="1"/>
    <x v="1"/>
    <x v="4"/>
    <s v="Long"/>
    <x v="280"/>
    <n v="7"/>
    <x v="0"/>
    <s v="A thrilling mystery adventure."/>
    <x v="8"/>
    <s v="Jack Nicholson, Brad Pitt, Scarlett Johansson, Florence Pugh, Anthony Hopkins"/>
    <n v="173542"/>
    <n v="299.36"/>
    <n v="299.36"/>
    <s v="Blockbuster"/>
  </r>
  <r>
    <s v="tt1000252"/>
    <s v="First Quest 145"/>
    <x v="11"/>
    <x v="0"/>
    <x v="0"/>
    <x v="29"/>
    <s v="Long"/>
    <x v="281"/>
    <n v="7"/>
    <x v="6"/>
    <s v="A thrilling western adventure."/>
    <x v="18"/>
    <s v="Harrison Ford, Al Pacino, Emma Stone, Brad Pitt, Jack Nicholson"/>
    <n v="16522"/>
    <n v="97.7"/>
    <n v="97.7"/>
    <s v="Average"/>
  </r>
  <r>
    <s v="tt1000566"/>
    <s v="Secret Destiny 459"/>
    <x v="1"/>
    <x v="1"/>
    <x v="2"/>
    <x v="41"/>
    <s v="Long"/>
    <x v="19"/>
    <n v="7"/>
    <x v="33"/>
    <s v="A thrilling mystery adventure."/>
    <x v="20"/>
    <s v="Chris Hemsworth, Will Smith, Margot Robbie, Zendaya"/>
    <n v="101310"/>
    <n v="271.39999999999998"/>
    <n v="271.39999999999998"/>
    <s v="Blockbuster"/>
  </r>
  <r>
    <s v="tt1000219"/>
    <s v="First Story 112"/>
    <x v="34"/>
    <x v="0"/>
    <x v="2"/>
    <x v="18"/>
    <s v="Medium"/>
    <x v="282"/>
    <n v="7"/>
    <x v="32"/>
    <s v="A critically acclaimed fantasy masterpiece."/>
    <x v="6"/>
    <s v="Al Pacino, Morgan Freeman, Gary Oldman, Edward Norton"/>
    <n v="48216"/>
    <n v="498.57"/>
    <n v="498.57"/>
    <s v="Blockbuster"/>
  </r>
  <r>
    <s v="tt1000799"/>
    <s v="First Chronicles 692"/>
    <x v="6"/>
    <x v="2"/>
    <x v="0"/>
    <x v="33"/>
    <s v="Medium"/>
    <x v="158"/>
    <n v="7"/>
    <x v="37"/>
    <s v="A critically acclaimed comedy masterpiece."/>
    <x v="12"/>
    <s v="Gary Oldman, Christian Bale, Florence Pugh"/>
    <n v="66437"/>
    <n v="320.77"/>
    <n v="320.77"/>
    <s v="Blockbuster"/>
  </r>
  <r>
    <s v="tt1000901"/>
    <s v="Dark Secrets 794"/>
    <x v="40"/>
    <x v="0"/>
    <x v="2"/>
    <x v="13"/>
    <s v="Long"/>
    <x v="72"/>
    <n v="7"/>
    <x v="0"/>
    <s v="An epic musical tale directed by Ridley Scott."/>
    <x v="1"/>
    <s v="Keanu Reeves, Viola Davis, Will Smith"/>
    <n v="287113"/>
    <m/>
    <n v="0"/>
    <s v="Average"/>
  </r>
  <r>
    <s v="tt1000338"/>
    <s v="Final Revolution 231"/>
    <x v="44"/>
    <x v="0"/>
    <x v="0"/>
    <x v="26"/>
    <s v="Long"/>
    <x v="73"/>
    <n v="7"/>
    <x v="0"/>
    <s v="A critically acclaimed war masterpiece."/>
    <x v="9"/>
    <s v="Natalie Portman, Gary Oldman, Will Smith, Robert Downey Jr., Christian Bale"/>
    <n v="22536"/>
    <n v="345.8"/>
    <n v="345.8"/>
    <s v="Blockbuster"/>
  </r>
  <r>
    <s v="tt1000811"/>
    <s v="A Secrets 704"/>
    <x v="1"/>
    <x v="1"/>
    <x v="0"/>
    <x v="3"/>
    <s v="Medium"/>
    <x v="283"/>
    <n v="7"/>
    <x v="25"/>
    <s v="A thrilling sci-fi adventure."/>
    <x v="27"/>
    <s v="Margot Robbie, Anthony Hopkins, Johnny Depp"/>
    <n v="34396"/>
    <n v="450.55"/>
    <n v="450.55"/>
    <s v="Blockbuster"/>
  </r>
  <r>
    <s v="tt1000472"/>
    <s v="Dark Awakening 365"/>
    <x v="7"/>
    <x v="0"/>
    <x v="0"/>
    <x v="7"/>
    <s v="Long"/>
    <x v="141"/>
    <n v="7"/>
    <x v="0"/>
    <s v="A critically acclaimed western masterpiece."/>
    <x v="8"/>
    <s v="Meryl Streep, Margot Robbie, Chris Hemsworth, Keanu Reeves, Morgan Freeman"/>
    <n v="592853"/>
    <m/>
    <n v="0"/>
    <s v="Average"/>
  </r>
  <r>
    <s v="tt1000218"/>
    <s v="A Kingdom 111"/>
    <x v="51"/>
    <x v="1"/>
    <x v="0"/>
    <x v="85"/>
    <s v="Long"/>
    <x v="52"/>
    <n v="6.9"/>
    <x v="10"/>
    <s v="A thrilling comedy adventure."/>
    <x v="1"/>
    <s v="Amy Adams, Mark Ruffalo, Cate Blanchett"/>
    <n v="61138"/>
    <n v="34.159999999999997"/>
    <n v="34.159999999999997"/>
    <s v="Average"/>
  </r>
  <r>
    <s v="tt1000464"/>
    <s v="The Quest 357"/>
    <x v="1"/>
    <x v="1"/>
    <x v="1"/>
    <x v="86"/>
    <s v="Long"/>
    <x v="284"/>
    <n v="6.9"/>
    <x v="18"/>
    <s v="An epic thriller tale directed by Sam Mendes."/>
    <x v="4"/>
    <s v="Brad Pitt, Tom Hanks, Morgan Freeman, Tom Cruise, Will Smith"/>
    <n v="34614"/>
    <n v="487.9"/>
    <n v="487.9"/>
    <s v="Blockbuster"/>
  </r>
  <r>
    <s v="tt1000420"/>
    <s v="Dark Mystery 313"/>
    <x v="52"/>
    <x v="1"/>
    <x v="3"/>
    <x v="23"/>
    <s v="Long"/>
    <x v="5"/>
    <n v="6.9"/>
    <x v="39"/>
    <s v="A crime film set in 2010."/>
    <x v="24"/>
    <s v="Tom Hanks, Brad Pitt, Anthony Hopkins"/>
    <n v="134340"/>
    <m/>
    <n v="0"/>
    <s v="Average"/>
  </r>
  <r>
    <s v="tt1000998"/>
    <s v="First Story 891"/>
    <x v="35"/>
    <x v="2"/>
    <x v="1"/>
    <x v="64"/>
    <s v="Medium"/>
    <x v="285"/>
    <n v="6.9"/>
    <x v="0"/>
    <s v="A horror film set in 2020."/>
    <x v="35"/>
    <s v="Anthony Hopkins, TimothÃ©e Chalamet, Emma Stone, Meryl Streep"/>
    <n v="88135"/>
    <m/>
    <n v="0"/>
    <s v="Average"/>
  </r>
  <r>
    <s v="tt1000365"/>
    <s v="Final Dreams 258"/>
    <x v="7"/>
    <x v="0"/>
    <x v="0"/>
    <x v="22"/>
    <s v="Medium"/>
    <x v="286"/>
    <n v="6.9"/>
    <x v="10"/>
    <s v="A critically acclaimed romance masterpiece."/>
    <x v="16"/>
    <s v="Jack Nicholson, Keanu Reeves, Edward Norton, Gary Oldman, Emma Stone"/>
    <n v="2989"/>
    <m/>
    <n v="0"/>
    <s v="Average"/>
  </r>
  <r>
    <s v="tt1000997"/>
    <s v="An Love 890"/>
    <x v="0"/>
    <x v="0"/>
    <x v="0"/>
    <x v="17"/>
    <s v="Long"/>
    <x v="34"/>
    <n v="6.9"/>
    <x v="6"/>
    <s v="A thrilling documentary adventure."/>
    <x v="12"/>
    <s v="Meryl Streep, Harrison Ford, Margot Robbie, Tom Cruise, Leonardo DiCaprio"/>
    <n v="43550"/>
    <m/>
    <n v="0"/>
    <s v="Average"/>
  </r>
  <r>
    <s v="tt1000342"/>
    <s v="Dark Chronicles 235"/>
    <x v="44"/>
    <x v="0"/>
    <x v="5"/>
    <x v="46"/>
    <s v="Medium"/>
    <x v="270"/>
    <n v="6.9"/>
    <x v="40"/>
    <s v="A critically acclaimed animation masterpiece."/>
    <x v="7"/>
    <s v="Jack Nicholson, Matt Damon, Natalie Portman"/>
    <n v="150283"/>
    <n v="388.86"/>
    <n v="388.86"/>
    <s v="Blockbuster"/>
  </r>
  <r>
    <s v="tt1000205"/>
    <s v="Last Empire 98"/>
    <x v="34"/>
    <x v="0"/>
    <x v="1"/>
    <x v="15"/>
    <s v="Long"/>
    <x v="227"/>
    <n v="6.9"/>
    <x v="40"/>
    <s v="A thrilling western adventure."/>
    <x v="11"/>
    <s v="Robert De Niro, Tom Cruise, Johnny Depp"/>
    <n v="177841"/>
    <n v="276.37"/>
    <n v="276.37"/>
    <s v="Blockbuster"/>
  </r>
  <r>
    <s v="tt1000614"/>
    <s v="First Awakening 507"/>
    <x v="0"/>
    <x v="0"/>
    <x v="3"/>
    <x v="50"/>
    <s v="Medium"/>
    <x v="54"/>
    <n v="6.9"/>
    <x v="18"/>
    <s v="A western film set in 2004."/>
    <x v="16"/>
    <s v="Will Smith, Anthony Hopkins, Chris Hemsworth, Al Pacino"/>
    <n v="76098"/>
    <n v="125.2"/>
    <n v="125.2"/>
    <s v="Hit"/>
  </r>
  <r>
    <s v="tt1000087"/>
    <s v="Rain Man"/>
    <x v="67"/>
    <x v="5"/>
    <x v="2"/>
    <x v="22"/>
    <s v="Medium"/>
    <x v="4"/>
    <n v="6.9"/>
    <x v="6"/>
    <s v="A thrilling mystery adventure."/>
    <x v="0"/>
    <s v="Christian Bale, Edward Norton, Daniel Day-Lewis"/>
    <n v="12879"/>
    <m/>
    <n v="0"/>
    <s v="Average"/>
  </r>
  <r>
    <s v="tt1000267"/>
    <s v="Lost Dreams 160"/>
    <x v="2"/>
    <x v="0"/>
    <x v="0"/>
    <x v="50"/>
    <s v="Medium"/>
    <x v="42"/>
    <n v="6.9"/>
    <x v="22"/>
    <s v="A thrilling thriller adventure."/>
    <x v="8"/>
    <s v="Kate Winslet, Florence Pugh, Matt Damon, Samuel L. Jackson, Jennifer Lawrence"/>
    <n v="29929"/>
    <m/>
    <n v="0"/>
    <s v="Average"/>
  </r>
  <r>
    <s v="tt1000357"/>
    <s v="Lost War 250"/>
    <x v="9"/>
    <x v="1"/>
    <x v="4"/>
    <x v="29"/>
    <s v="Long"/>
    <x v="287"/>
    <n v="6.9"/>
    <x v="39"/>
    <s v="A action film set in 2014."/>
    <x v="11"/>
    <s v="Emma Stone, Viola Davis, Morgan Freeman, Johnny Depp"/>
    <n v="8738"/>
    <n v="497.65"/>
    <n v="497.65"/>
    <s v="Blockbuster"/>
  </r>
  <r>
    <s v="tt1000673"/>
    <s v="Dark Dreams 566"/>
    <x v="7"/>
    <x v="0"/>
    <x v="0"/>
    <x v="74"/>
    <s v="Medium"/>
    <x v="76"/>
    <n v="6.9"/>
    <x v="29"/>
    <s v="A horror film set in 2009."/>
    <x v="7"/>
    <s v="Natalie Portman, Emma Stone, Samuel L. Jackson, Meryl Streep"/>
    <n v="90768"/>
    <n v="352.83"/>
    <n v="352.83"/>
    <s v="Blockbuster"/>
  </r>
  <r>
    <s v="tt1000589"/>
    <s v="The Kingdom 482"/>
    <x v="10"/>
    <x v="2"/>
    <x v="0"/>
    <x v="3"/>
    <s v="Medium"/>
    <x v="281"/>
    <n v="6.9"/>
    <x v="0"/>
    <s v="A western film set in 2022."/>
    <x v="22"/>
    <s v="Emma Stone, Tom Hanks, Mark Ruffalo, Gary Oldman"/>
    <n v="136930"/>
    <n v="468.09"/>
    <n v="468.09"/>
    <s v="Blockbuster"/>
  </r>
  <r>
    <s v="tt1000281"/>
    <s v="Secret Adventures 174"/>
    <x v="44"/>
    <x v="0"/>
    <x v="0"/>
    <x v="12"/>
    <s v="Long"/>
    <x v="92"/>
    <n v="6.9"/>
    <x v="19"/>
    <s v="An epic sci-fi tale directed by Steven Spielberg."/>
    <x v="27"/>
    <s v="Meryl Streep, Jennifer Lawrence, Brad Pitt, Leonardo DiCaprio"/>
    <n v="125326"/>
    <m/>
    <n v="0"/>
    <s v="Average"/>
  </r>
  <r>
    <s v="tt1000646"/>
    <s v="Secret Story 539"/>
    <x v="45"/>
    <x v="0"/>
    <x v="0"/>
    <x v="6"/>
    <s v="Long"/>
    <x v="288"/>
    <n v="6.9"/>
    <x v="15"/>
    <s v="A documentary film set in 2001."/>
    <x v="12"/>
    <s v="Christian Bale, Robert Downey Jr., Chris Hemsworth"/>
    <n v="95042"/>
    <m/>
    <n v="0"/>
    <s v="Average"/>
  </r>
  <r>
    <s v="tt1000906"/>
    <s v="Last Destiny 799"/>
    <x v="45"/>
    <x v="0"/>
    <x v="0"/>
    <x v="30"/>
    <s v="Medium"/>
    <x v="289"/>
    <n v="6.9"/>
    <x v="0"/>
    <s v="A critically acclaimed horror masterpiece."/>
    <x v="19"/>
    <s v="Denzel Washington, Viola Davis, Natalie Portman, Harrison Ford, Mark Ruffalo"/>
    <n v="1122687"/>
    <m/>
    <n v="0"/>
    <s v="Average"/>
  </r>
  <r>
    <s v="tt1000431"/>
    <s v="A Mission 324"/>
    <x v="19"/>
    <x v="1"/>
    <x v="0"/>
    <x v="51"/>
    <s v="Long"/>
    <x v="137"/>
    <n v="6.9"/>
    <x v="30"/>
    <s v="A thrilling animation adventure."/>
    <x v="27"/>
    <s v="Meryl Streep, Brad Pitt, Johnny Depp, TimothÃ©e Chalamet, Daniel Day-Lewis"/>
    <n v="51620"/>
    <n v="215.38"/>
    <n v="215.38"/>
    <s v="Blockbuster"/>
  </r>
  <r>
    <s v="tt1000441"/>
    <s v="Secret Empire 334"/>
    <x v="3"/>
    <x v="1"/>
    <x v="2"/>
    <x v="29"/>
    <s v="Long"/>
    <x v="266"/>
    <n v="6.9"/>
    <x v="0"/>
    <s v="An epic animation tale directed by Christopher Nolan."/>
    <x v="21"/>
    <s v="Will Smith, Johnny Depp, Kate Winslet, Zendaya, Matt Damon"/>
    <n v="3092"/>
    <n v="154.13"/>
    <n v="154.13"/>
    <s v="Hit"/>
  </r>
  <r>
    <s v="tt1000183"/>
    <s v="First Legend 76"/>
    <x v="32"/>
    <x v="5"/>
    <x v="0"/>
    <x v="16"/>
    <s v="Medium"/>
    <x v="290"/>
    <n v="6.9"/>
    <x v="0"/>
    <s v="A thrilling documentary adventure."/>
    <x v="33"/>
    <s v="Denzel Washington, Tom Cruise, Edward Norton"/>
    <n v="47405"/>
    <m/>
    <n v="0"/>
    <s v="Average"/>
  </r>
  <r>
    <s v="tt1000864"/>
    <s v="Lost Adventures 757"/>
    <x v="12"/>
    <x v="1"/>
    <x v="0"/>
    <x v="18"/>
    <s v="Medium"/>
    <x v="8"/>
    <n v="6.9"/>
    <x v="45"/>
    <s v="A war film set in 2013."/>
    <x v="32"/>
    <s v="Matt Damon, Morgan Freeman, Florence Pugh"/>
    <n v="213767"/>
    <n v="249.88"/>
    <n v="249.88"/>
    <s v="Blockbuster"/>
  </r>
  <r>
    <s v="tt1000872"/>
    <s v="Last Journey 765"/>
    <x v="1"/>
    <x v="1"/>
    <x v="0"/>
    <x v="31"/>
    <s v="Medium"/>
    <x v="138"/>
    <n v="6.9"/>
    <x v="38"/>
    <s v="A thrilling war adventure."/>
    <x v="31"/>
    <s v="Will Smith, Florence Pugh, Samuel L. Jackson"/>
    <n v="118886"/>
    <n v="223.78"/>
    <n v="223.78"/>
    <s v="Blockbuster"/>
  </r>
  <r>
    <s v="tt1000636"/>
    <s v="A Mission 529"/>
    <x v="7"/>
    <x v="0"/>
    <x v="1"/>
    <x v="19"/>
    <s v="Medium"/>
    <x v="131"/>
    <n v="6.9"/>
    <x v="0"/>
    <s v="A critically acclaimed thriller masterpiece."/>
    <x v="12"/>
    <s v="Al Pacino, Brad Pitt, Will Smith, Morgan Freeman"/>
    <n v="805140"/>
    <m/>
    <n v="0"/>
    <s v="Average"/>
  </r>
  <r>
    <s v="tt1000212"/>
    <s v="Secret Story 105"/>
    <x v="52"/>
    <x v="1"/>
    <x v="0"/>
    <x v="51"/>
    <s v="Long"/>
    <x v="291"/>
    <n v="6.9"/>
    <x v="30"/>
    <s v="A thrilling war adventure."/>
    <x v="33"/>
    <s v="Natalie Portman, Anthony Hopkins, Mark Ruffalo, Samuel L. Jackson, Florence Pugh"/>
    <n v="8647"/>
    <n v="498.46"/>
    <n v="498.46"/>
    <s v="Blockbuster"/>
  </r>
  <r>
    <s v="tt1000209"/>
    <s v="Final Kingdom 102"/>
    <x v="34"/>
    <x v="0"/>
    <x v="0"/>
    <x v="53"/>
    <s v="Medium"/>
    <x v="292"/>
    <n v="6.9"/>
    <x v="0"/>
    <s v="A western film set in 2006."/>
    <x v="22"/>
    <s v="Denzel Washington, Will Smith, Tom Cruise, Meryl Streep"/>
    <n v="309058"/>
    <n v="464.92"/>
    <n v="464.92"/>
    <s v="Blockbuster"/>
  </r>
  <r>
    <s v="tt1000963"/>
    <s v="Secret Mystery 856"/>
    <x v="44"/>
    <x v="0"/>
    <x v="2"/>
    <x v="12"/>
    <s v="Long"/>
    <x v="293"/>
    <n v="6.9"/>
    <x v="36"/>
    <s v="An epic sci-fi tale directed by David Fincher."/>
    <x v="25"/>
    <s v="Keanu Reeves, Johnny Depp, Robert De Niro"/>
    <n v="2450"/>
    <n v="243.9"/>
    <n v="243.9"/>
    <s v="Blockbuster"/>
  </r>
  <r>
    <s v="tt1000307"/>
    <s v="A Destiny 200"/>
    <x v="23"/>
    <x v="1"/>
    <x v="0"/>
    <x v="33"/>
    <s v="Medium"/>
    <x v="23"/>
    <n v="6.9"/>
    <x v="0"/>
    <s v="An epic comedy tale directed by Akira Kurosawa."/>
    <x v="12"/>
    <s v="Keanu Reeves, Denzel Washington, Florence Pugh, Daniel Day-Lewis"/>
    <n v="20948"/>
    <m/>
    <n v="0"/>
    <s v="Average"/>
  </r>
  <r>
    <s v="tt1000748"/>
    <s v="Final Mission 641"/>
    <x v="40"/>
    <x v="0"/>
    <x v="0"/>
    <x v="66"/>
    <s v="Long"/>
    <x v="294"/>
    <n v="6.9"/>
    <x v="30"/>
    <s v="A critically acclaimed fantasy masterpiece."/>
    <x v="4"/>
    <s v="Cate Blanchett, Jennifer Lawrence, Zendaya, Robert De Niro, Scarlett Johansson"/>
    <n v="15550"/>
    <m/>
    <n v="0"/>
    <s v="Average"/>
  </r>
  <r>
    <s v="tt1000612"/>
    <s v="Dark Legend 505"/>
    <x v="19"/>
    <x v="1"/>
    <x v="1"/>
    <x v="14"/>
    <s v="Medium"/>
    <x v="295"/>
    <n v="6.9"/>
    <x v="19"/>
    <s v="A western film set in 2011."/>
    <x v="23"/>
    <s v="Jennifer Lawrence, Tom Cruise, Will Smith, Margot Robbie, Harrison Ford"/>
    <n v="56962"/>
    <m/>
    <n v="0"/>
    <s v="Average"/>
  </r>
  <r>
    <s v="tt1000587"/>
    <s v="Last Quest 480"/>
    <x v="44"/>
    <x v="0"/>
    <x v="4"/>
    <x v="77"/>
    <s v="Long"/>
    <x v="1"/>
    <n v="6.9"/>
    <x v="0"/>
    <s v="An epic war tale directed by Alfred Hitchcock."/>
    <x v="20"/>
    <s v="Chris Hemsworth, Matt Damon, Edward Norton, Margot Robbie"/>
    <n v="5415"/>
    <m/>
    <n v="0"/>
    <s v="Average"/>
  </r>
  <r>
    <s v="tt1000128"/>
    <s v="First Story 21"/>
    <x v="62"/>
    <x v="5"/>
    <x v="2"/>
    <x v="55"/>
    <s v="Medium"/>
    <x v="268"/>
    <n v="6.9"/>
    <x v="44"/>
    <s v="A critically acclaimed thriller masterpiece."/>
    <x v="10"/>
    <s v="Robert De Niro, Jack Nicholson, Samuel L. Jackson, Scarlett Johansson, Emma Stone"/>
    <n v="99970"/>
    <n v="5.81"/>
    <n v="5.81"/>
    <s v="Average"/>
  </r>
  <r>
    <s v="tt1000371"/>
    <s v="Final Mission 264"/>
    <x v="10"/>
    <x v="2"/>
    <x v="3"/>
    <x v="29"/>
    <s v="Long"/>
    <x v="198"/>
    <n v="6.9"/>
    <x v="36"/>
    <s v="A family film set in 2022."/>
    <x v="4"/>
    <s v="Keanu Reeves, Viola Davis, Scarlett Johansson, Denzel Washington"/>
    <n v="103511"/>
    <n v="213.69"/>
    <n v="213.69"/>
    <s v="Blockbuster"/>
  </r>
  <r>
    <s v="tt1000713"/>
    <s v="Dark Empire 606"/>
    <x v="23"/>
    <x v="1"/>
    <x v="0"/>
    <x v="87"/>
    <s v="Medium"/>
    <x v="35"/>
    <n v="6.9"/>
    <x v="24"/>
    <s v="A thrilling drama adventure."/>
    <x v="32"/>
    <s v="Kate Winslet, Cate Blanchett, Emma Stone, Leonardo DiCaprio, Samuel L. Jackson"/>
    <n v="64623"/>
    <n v="303.16000000000003"/>
    <n v="303.16000000000003"/>
    <s v="Blockbuster"/>
  </r>
  <r>
    <s v="tt1000535"/>
    <s v="Last Secrets 428"/>
    <x v="3"/>
    <x v="1"/>
    <x v="2"/>
    <x v="64"/>
    <s v="Medium"/>
    <x v="270"/>
    <n v="6.9"/>
    <x v="0"/>
    <s v="An epic animation tale directed by Francis Ford Coppola."/>
    <x v="9"/>
    <s v="Viola Davis, Jack Nicholson, Leonardo DiCaprio"/>
    <n v="684892"/>
    <m/>
    <n v="0"/>
    <s v="Average"/>
  </r>
  <r>
    <s v="tt1000323"/>
    <s v="Lost Secrets 216"/>
    <x v="7"/>
    <x v="0"/>
    <x v="0"/>
    <x v="39"/>
    <s v="Medium"/>
    <x v="296"/>
    <n v="6.9"/>
    <x v="6"/>
    <s v="An epic western tale directed by Kathryn Bigelow."/>
    <x v="23"/>
    <s v="Cate Blanchett, Robert De Niro, Amy Adams, Florence Pugh"/>
    <n v="21556"/>
    <n v="370.73"/>
    <n v="370.73"/>
    <s v="Blockbuster"/>
  </r>
  <r>
    <s v="tt1000724"/>
    <s v="Final Kingdom 617"/>
    <x v="52"/>
    <x v="1"/>
    <x v="2"/>
    <x v="43"/>
    <s v="Medium"/>
    <x v="35"/>
    <n v="6.9"/>
    <x v="0"/>
    <s v="A drama film set in 2010."/>
    <x v="22"/>
    <s v="Daniel Day-Lewis, Viola Davis, Denzel Washington, Tom Cruise"/>
    <n v="17107"/>
    <n v="486"/>
    <n v="486"/>
    <s v="Blockbuster"/>
  </r>
  <r>
    <s v="tt1000560"/>
    <s v="A Kingdom 453"/>
    <x v="2"/>
    <x v="0"/>
    <x v="0"/>
    <x v="11"/>
    <s v="Long"/>
    <x v="297"/>
    <n v="6.8"/>
    <x v="13"/>
    <s v="A thrilling horror adventure."/>
    <x v="19"/>
    <s v="Natalie Portman, Viola Davis, Edward Norton"/>
    <n v="15435"/>
    <n v="346.66"/>
    <n v="346.66"/>
    <s v="Blockbuster"/>
  </r>
  <r>
    <s v="tt1000577"/>
    <s v="The War 470"/>
    <x v="3"/>
    <x v="1"/>
    <x v="0"/>
    <x v="43"/>
    <s v="Medium"/>
    <x v="298"/>
    <n v="6.8"/>
    <x v="19"/>
    <s v="A fantasy film set in 2019."/>
    <x v="25"/>
    <s v="Zendaya, Robert Downey Jr., Leonardo DiCaprio"/>
    <n v="37995"/>
    <n v="208.23"/>
    <n v="208.23"/>
    <s v="Blockbuster"/>
  </r>
  <r>
    <s v="tt1000682"/>
    <s v="An Quest 575"/>
    <x v="12"/>
    <x v="1"/>
    <x v="2"/>
    <x v="46"/>
    <s v="Medium"/>
    <x v="92"/>
    <n v="6.8"/>
    <x v="24"/>
    <s v="An epic sci-fi tale directed by Edgar Wright."/>
    <x v="26"/>
    <s v="Amy Adams, Meryl Streep, Samuel L. Jackson, Gary Oldman, Matt Damon"/>
    <n v="36612"/>
    <n v="198.19"/>
    <n v="198.19"/>
    <s v="Hit"/>
  </r>
  <r>
    <s v="tt1000794"/>
    <s v="A War 687"/>
    <x v="0"/>
    <x v="0"/>
    <x v="1"/>
    <x v="4"/>
    <s v="Long"/>
    <x v="299"/>
    <n v="6.8"/>
    <x v="0"/>
    <s v="A critically acclaimed documentary masterpiece."/>
    <x v="9"/>
    <s v="Tom Hanks, Leonardo DiCaprio, Denzel Washington"/>
    <n v="62893"/>
    <m/>
    <n v="0"/>
    <s v="Average"/>
  </r>
  <r>
    <s v="tt1000401"/>
    <s v="Lost Story 294"/>
    <x v="24"/>
    <x v="0"/>
    <x v="2"/>
    <x v="41"/>
    <s v="Long"/>
    <x v="300"/>
    <n v="6.8"/>
    <x v="0"/>
    <s v="An epic horror tale directed by Hayao Miyazaki."/>
    <x v="28"/>
    <s v="TimothÃ©e Chalamet, Samuel L. Jackson, Kate Winslet, Will Smith"/>
    <n v="63633"/>
    <m/>
    <n v="0"/>
    <s v="Average"/>
  </r>
  <r>
    <s v="tt1000291"/>
    <s v="The Revolution 184"/>
    <x v="5"/>
    <x v="2"/>
    <x v="2"/>
    <x v="31"/>
    <s v="Medium"/>
    <x v="4"/>
    <n v="6.8"/>
    <x v="43"/>
    <s v="A thrilling mystery adventure."/>
    <x v="33"/>
    <s v="Will Smith, Brad Pitt, Morgan Freeman"/>
    <n v="883668"/>
    <n v="185.71"/>
    <n v="185.71"/>
    <s v="Hit"/>
  </r>
  <r>
    <s v="tt1000717"/>
    <s v="Lost War 610"/>
    <x v="40"/>
    <x v="0"/>
    <x v="2"/>
    <x v="72"/>
    <s v="Long"/>
    <x v="301"/>
    <n v="6.8"/>
    <x v="0"/>
    <s v="A critically acclaimed musical masterpiece."/>
    <x v="24"/>
    <s v="Chris Hemsworth, Florence Pugh, Johnny Depp, TimothÃ©e Chalamet"/>
    <n v="84630"/>
    <n v="87"/>
    <n v="87"/>
    <s v="Average"/>
  </r>
  <r>
    <s v="tt1000123"/>
    <s v="Secret Story 16"/>
    <x v="59"/>
    <x v="5"/>
    <x v="2"/>
    <x v="55"/>
    <s v="Medium"/>
    <x v="302"/>
    <n v="6.8"/>
    <x v="0"/>
    <s v="A thrilling romance adventure."/>
    <x v="16"/>
    <s v="Robert Downey Jr., Emma Stone, Tom Cruise, TimothÃ©e Chalamet"/>
    <n v="126373"/>
    <n v="35.299999999999997"/>
    <n v="35.299999999999997"/>
    <s v="Average"/>
  </r>
  <r>
    <s v="tt1000266"/>
    <s v="First Revolution 159"/>
    <x v="40"/>
    <x v="0"/>
    <x v="2"/>
    <x v="46"/>
    <s v="Medium"/>
    <x v="35"/>
    <n v="6.8"/>
    <x v="38"/>
    <s v="A critically acclaimed drama masterpiece."/>
    <x v="10"/>
    <s v="Keanu Reeves, Robert De Niro, Will Smith"/>
    <n v="244611"/>
    <n v="331.6"/>
    <n v="331.6"/>
    <s v="Blockbuster"/>
  </r>
  <r>
    <s v="tt1000941"/>
    <s v="Lost Quest 834"/>
    <x v="18"/>
    <x v="2"/>
    <x v="2"/>
    <x v="39"/>
    <s v="Medium"/>
    <x v="303"/>
    <n v="6.8"/>
    <x v="43"/>
    <s v="An epic thriller tale directed by Frank Darabont."/>
    <x v="14"/>
    <s v="Mark Ruffalo, Amy Adams, Daniel Day-Lewis"/>
    <n v="771551"/>
    <n v="464.35"/>
    <n v="464.35"/>
    <s v="Blockbuster"/>
  </r>
  <r>
    <s v="tt1000931"/>
    <s v="Last Love 824"/>
    <x v="51"/>
    <x v="1"/>
    <x v="1"/>
    <x v="75"/>
    <s v="Medium"/>
    <x v="304"/>
    <n v="6.8"/>
    <x v="20"/>
    <s v="A thrilling war adventure."/>
    <x v="2"/>
    <s v="Cate Blanchett, Daniel Day-Lewis, Zendaya, Jack Nicholson, Anthony Hopkins"/>
    <n v="16770"/>
    <n v="63.15"/>
    <n v="63.15"/>
    <s v="Average"/>
  </r>
  <r>
    <s v="tt1000265"/>
    <s v="Dark Quest 158"/>
    <x v="52"/>
    <x v="1"/>
    <x v="0"/>
    <x v="6"/>
    <s v="Long"/>
    <x v="72"/>
    <n v="6.8"/>
    <x v="21"/>
    <s v="A musical film set in 2010."/>
    <x v="23"/>
    <s v="Christian Bale, Meryl Streep, Chris Hemsworth, Samuel L. Jackson"/>
    <n v="166416"/>
    <n v="15.28"/>
    <n v="15.28"/>
    <s v="Average"/>
  </r>
  <r>
    <s v="tt1000665"/>
    <s v="The Chronicles 558"/>
    <x v="51"/>
    <x v="1"/>
    <x v="0"/>
    <x v="6"/>
    <s v="Long"/>
    <x v="162"/>
    <n v="6.8"/>
    <x v="0"/>
    <s v="An epic musical tale directed by Frank Darabont."/>
    <x v="14"/>
    <s v="Meryl Streep, Florence Pugh, Tom Hanks"/>
    <n v="15949"/>
    <m/>
    <n v="0"/>
    <s v="Average"/>
  </r>
  <r>
    <s v="tt1000592"/>
    <s v="Secret Secrets 485"/>
    <x v="60"/>
    <x v="1"/>
    <x v="0"/>
    <x v="16"/>
    <s v="Medium"/>
    <x v="39"/>
    <n v="6.8"/>
    <x v="20"/>
    <s v="A fantasy film set in 2016."/>
    <x v="19"/>
    <s v="Leonardo DiCaprio, Viola Davis, Cate Blanchett, Morgan Freeman, Robert De Niro"/>
    <n v="31446"/>
    <n v="372.81"/>
    <n v="372.81"/>
    <s v="Blockbuster"/>
  </r>
  <r>
    <s v="tt1000653"/>
    <s v="Secret Mission 546"/>
    <x v="51"/>
    <x v="1"/>
    <x v="1"/>
    <x v="8"/>
    <s v="Long"/>
    <x v="305"/>
    <n v="6.8"/>
    <x v="31"/>
    <s v="A comedy film set in 2015."/>
    <x v="26"/>
    <s v="Leonardo DiCaprio, Christian Bale, Tom Cruise"/>
    <n v="91888"/>
    <n v="430.74"/>
    <n v="430.74"/>
    <s v="Blockbuster"/>
  </r>
  <r>
    <s v="tt1000693"/>
    <s v="A War 586"/>
    <x v="23"/>
    <x v="1"/>
    <x v="0"/>
    <x v="24"/>
    <s v="Medium"/>
    <x v="4"/>
    <n v="6.8"/>
    <x v="0"/>
    <s v="An epic mystery tale directed by Wong Kar-wai."/>
    <x v="17"/>
    <s v="Emma Stone, Viola Davis, Natalie Portman"/>
    <n v="147533"/>
    <n v="465.64"/>
    <n v="465.64"/>
    <s v="Blockbuster"/>
  </r>
  <r>
    <s v="tt1000255"/>
    <s v="Secret Secrets 148"/>
    <x v="44"/>
    <x v="0"/>
    <x v="2"/>
    <x v="31"/>
    <s v="Medium"/>
    <x v="306"/>
    <n v="6.8"/>
    <x v="0"/>
    <s v="A animation film set in 2007."/>
    <x v="6"/>
    <s v="TimothÃ©e Chalamet, Harrison Ford, Jennifer Lawrence, Matt Damon"/>
    <n v="852732"/>
    <n v="278.5"/>
    <n v="278.5"/>
    <s v="Blockbuster"/>
  </r>
  <r>
    <s v="tt1000679"/>
    <s v="Last Mystery 572"/>
    <x v="18"/>
    <x v="2"/>
    <x v="1"/>
    <x v="50"/>
    <s v="Medium"/>
    <x v="77"/>
    <n v="6.8"/>
    <x v="0"/>
    <s v="A critically acclaimed musical masterpiece."/>
    <x v="30"/>
    <s v="Anthony Hopkins, Emma Stone, Jennifer Lawrence, Jack Nicholson, Brad Pitt"/>
    <n v="4214"/>
    <n v="243.9"/>
    <n v="243.9"/>
    <s v="Blockbuster"/>
  </r>
  <r>
    <s v="tt1000707"/>
    <s v="A Awakening 600"/>
    <x v="1"/>
    <x v="1"/>
    <x v="2"/>
    <x v="70"/>
    <s v="Long"/>
    <x v="307"/>
    <n v="6.8"/>
    <x v="24"/>
    <s v="An epic romance tale directed by Hayao Miyazaki."/>
    <x v="28"/>
    <s v="Tom Cruise, Daniel Day-Lewis, Amy Adams, Christian Bale, Zendaya"/>
    <n v="40362"/>
    <n v="121.68"/>
    <n v="121.68"/>
    <s v="Hit"/>
  </r>
  <r>
    <s v="tt1000779"/>
    <s v="A Revolution 672"/>
    <x v="6"/>
    <x v="2"/>
    <x v="0"/>
    <x v="46"/>
    <s v="Medium"/>
    <x v="308"/>
    <n v="6.8"/>
    <x v="0"/>
    <s v="A thrilling adventure adventure."/>
    <x v="4"/>
    <s v="Johnny Depp, Jennifer Lawrence, Samuel L. Jackson"/>
    <n v="22237"/>
    <m/>
    <n v="0"/>
    <s v="Average"/>
  </r>
  <r>
    <s v="tt1000736"/>
    <s v="Final Story 629"/>
    <x v="2"/>
    <x v="0"/>
    <x v="1"/>
    <x v="43"/>
    <s v="Medium"/>
    <x v="35"/>
    <n v="6.8"/>
    <x v="46"/>
    <s v="An epic drama tale directed by Martin Scorsese."/>
    <x v="16"/>
    <s v="Johnny Depp, Gary Oldman, Meryl Streep, Harrison Ford, Anthony Hopkins"/>
    <n v="9176"/>
    <n v="23.95"/>
    <n v="23.95"/>
    <s v="Average"/>
  </r>
  <r>
    <s v="tt1000146"/>
    <s v="Dark Dreams 39"/>
    <x v="66"/>
    <x v="7"/>
    <x v="1"/>
    <x v="65"/>
    <s v="Short"/>
    <x v="46"/>
    <n v="6.8"/>
    <x v="21"/>
    <s v="A critically acclaimed adventure masterpiece."/>
    <x v="32"/>
    <s v="Meryl Streep, Edward Norton, Will Smith, Mark Ruffalo"/>
    <n v="63912"/>
    <n v="57.34"/>
    <n v="57.34"/>
    <s v="Average"/>
  </r>
  <r>
    <s v="tt1000852"/>
    <s v="The Destiny 745"/>
    <x v="6"/>
    <x v="2"/>
    <x v="2"/>
    <x v="20"/>
    <s v="Short"/>
    <x v="309"/>
    <n v="6.8"/>
    <x v="25"/>
    <s v="A critically acclaimed sci-fi masterpiece."/>
    <x v="33"/>
    <s v="Cate Blanchett, Kate Winslet, Harrison Ford"/>
    <n v="97902"/>
    <n v="206.65"/>
    <n v="206.65"/>
    <s v="Blockbuster"/>
  </r>
  <r>
    <s v="tt1000169"/>
    <s v="The Quest 62"/>
    <x v="33"/>
    <x v="5"/>
    <x v="5"/>
    <x v="28"/>
    <s v="Medium"/>
    <x v="24"/>
    <n v="6.8"/>
    <x v="0"/>
    <s v="A adventure film set in 1996."/>
    <x v="16"/>
    <s v="Keanu Reeves, Morgan Freeman, Al Pacino, Amy Adams, Brad Pitt"/>
    <n v="17215"/>
    <n v="248.82"/>
    <n v="248.82"/>
    <s v="Blockbuster"/>
  </r>
  <r>
    <s v="tt1000364"/>
    <s v="First Kingdom 257"/>
    <x v="0"/>
    <x v="0"/>
    <x v="2"/>
    <x v="77"/>
    <s v="Long"/>
    <x v="310"/>
    <n v="6.8"/>
    <x v="0"/>
    <s v="An epic documentary tale directed by Ang Lee."/>
    <x v="6"/>
    <s v="Amy Adams, Chris Hemsworth, Johnny Depp"/>
    <n v="179684"/>
    <m/>
    <n v="0"/>
    <s v="Average"/>
  </r>
  <r>
    <s v="tt1000453"/>
    <s v="Lost Mission 346"/>
    <x v="9"/>
    <x v="1"/>
    <x v="3"/>
    <x v="5"/>
    <s v="Long"/>
    <x v="105"/>
    <n v="6.8"/>
    <x v="31"/>
    <s v="An epic sci-fi tale directed by Edgar Wright."/>
    <x v="26"/>
    <s v="Al Pacino, Chris Hemsworth, Harrison Ford, Johnny Depp"/>
    <n v="142762"/>
    <n v="308.60000000000002"/>
    <n v="308.60000000000002"/>
    <s v="Blockbuster"/>
  </r>
  <r>
    <s v="tt1000846"/>
    <s v="An Quest 739"/>
    <x v="18"/>
    <x v="2"/>
    <x v="2"/>
    <x v="74"/>
    <s v="Medium"/>
    <x v="311"/>
    <n v="6.8"/>
    <x v="22"/>
    <s v="A family film set in 2024."/>
    <x v="20"/>
    <s v="Anthony Hopkins, TimothÃ©e Chalamet, Jennifer Lawrence, Amy Adams"/>
    <n v="20653"/>
    <m/>
    <n v="0"/>
    <s v="Average"/>
  </r>
  <r>
    <s v="tt1000455"/>
    <s v="Lost Journey 348"/>
    <x v="5"/>
    <x v="2"/>
    <x v="4"/>
    <x v="3"/>
    <s v="Medium"/>
    <x v="1"/>
    <n v="6.8"/>
    <x v="0"/>
    <s v="A war film set in 2023."/>
    <x v="35"/>
    <s v="Viola Davis, Chris Hemsworth, Robert De Niro, Gary Oldman"/>
    <n v="14766"/>
    <m/>
    <n v="0"/>
    <s v="Average"/>
  </r>
  <r>
    <s v="tt1000134"/>
    <s v="A Mission 27"/>
    <x v="14"/>
    <x v="5"/>
    <x v="0"/>
    <x v="46"/>
    <s v="Medium"/>
    <x v="312"/>
    <n v="6.8"/>
    <x v="38"/>
    <s v="An epic drama tale directed by Pedro AlmodÃ³var."/>
    <x v="30"/>
    <s v="Christian Bale, Robert De Niro, Viola Davis, Margot Robbie"/>
    <n v="30482"/>
    <m/>
    <n v="0"/>
    <s v="Average"/>
  </r>
  <r>
    <s v="tt1000178"/>
    <s v="A Love 71"/>
    <x v="28"/>
    <x v="7"/>
    <x v="2"/>
    <x v="32"/>
    <s v="Medium"/>
    <x v="313"/>
    <n v="6.8"/>
    <x v="0"/>
    <s v="A critically acclaimed animation masterpiece."/>
    <x v="22"/>
    <s v="Jack Nicholson, Mark Ruffalo, Robert De Niro, Keanu Reeves, Robert Downey Jr."/>
    <n v="9882"/>
    <n v="289.10000000000002"/>
    <n v="289.10000000000002"/>
    <s v="Blockbuster"/>
  </r>
  <r>
    <s v="tt1000829"/>
    <s v="Last Dreams 722"/>
    <x v="1"/>
    <x v="1"/>
    <x v="1"/>
    <x v="18"/>
    <s v="Medium"/>
    <x v="34"/>
    <n v="6.8"/>
    <x v="0"/>
    <s v="A documentary film set in 2012."/>
    <x v="7"/>
    <s v="Morgan Freeman, Meryl Streep, Anthony Hopkins"/>
    <n v="3362"/>
    <n v="149.84"/>
    <n v="149.84"/>
    <s v="Hit"/>
  </r>
  <r>
    <s v="tt1000415"/>
    <s v="Final Chronicles 308"/>
    <x v="12"/>
    <x v="1"/>
    <x v="2"/>
    <x v="74"/>
    <s v="Medium"/>
    <x v="58"/>
    <n v="6.8"/>
    <x v="24"/>
    <s v="An epic family tale directed by Greta Gerwig."/>
    <x v="19"/>
    <s v="TimothÃ©e Chalamet, Robert Downey Jr., Florence Pugh, Leonardo DiCaprio, Tom Cruise"/>
    <n v="18864"/>
    <n v="329.34"/>
    <n v="329.34"/>
    <s v="Blockbuster"/>
  </r>
  <r>
    <s v="tt1000908"/>
    <s v="Last Revolution 801"/>
    <x v="4"/>
    <x v="0"/>
    <x v="1"/>
    <x v="1"/>
    <s v="Long"/>
    <x v="314"/>
    <n v="6.8"/>
    <x v="19"/>
    <s v="A critically acclaimed adventure masterpiece."/>
    <x v="22"/>
    <s v="Edward Norton, Natalie Portman, Christian Bale"/>
    <n v="272991"/>
    <n v="279.67"/>
    <n v="279.67"/>
    <s v="Blockbuster"/>
  </r>
  <r>
    <s v="tt1000822"/>
    <s v="A Secrets 715"/>
    <x v="4"/>
    <x v="0"/>
    <x v="0"/>
    <x v="55"/>
    <s v="Medium"/>
    <x v="102"/>
    <n v="6.8"/>
    <x v="12"/>
    <s v="A critically acclaimed biography masterpiece."/>
    <x v="26"/>
    <s v="Tom Hanks, Edward Norton, Margot Robbie, Daniel Day-Lewis, Matt Damon"/>
    <n v="166873"/>
    <n v="260.98"/>
    <n v="260.98"/>
    <s v="Blockbuster"/>
  </r>
  <r>
    <s v="tt1000897"/>
    <s v="The War 790"/>
    <x v="19"/>
    <x v="1"/>
    <x v="1"/>
    <x v="48"/>
    <s v="Medium"/>
    <x v="315"/>
    <n v="6.8"/>
    <x v="0"/>
    <s v="An epic animation tale directed by Coen Brothers."/>
    <x v="5"/>
    <s v="Margot Robbie, Natalie Portman, Jennifer Lawrence, Emma Stone"/>
    <n v="48935"/>
    <m/>
    <n v="0"/>
    <s v="Average"/>
  </r>
  <r>
    <s v="tt1000902"/>
    <s v="Secret Dreams 795"/>
    <x v="12"/>
    <x v="1"/>
    <x v="0"/>
    <x v="15"/>
    <s v="Long"/>
    <x v="74"/>
    <n v="6.8"/>
    <x v="0"/>
    <s v="A critically acclaimed mystery masterpiece."/>
    <x v="20"/>
    <s v="Keanu Reeves, Cate Blanchett, Natalie Portman, Johnny Depp"/>
    <n v="35343"/>
    <n v="14.52"/>
    <n v="14.52"/>
    <s v="Average"/>
  </r>
  <r>
    <s v="tt1000163"/>
    <s v="Last Awakening 56"/>
    <x v="59"/>
    <x v="5"/>
    <x v="0"/>
    <x v="62"/>
    <s v="Long"/>
    <x v="316"/>
    <n v="6.8"/>
    <x v="0"/>
    <s v="A critically acclaimed biography masterpiece."/>
    <x v="0"/>
    <s v="Meryl Streep, Margot Robbie, Jack Nicholson"/>
    <n v="551234"/>
    <n v="202.23"/>
    <n v="202.23"/>
    <s v="Blockbuster"/>
  </r>
  <r>
    <s v="tt1000170"/>
    <s v="First Chronicles 63"/>
    <x v="4"/>
    <x v="0"/>
    <x v="5"/>
    <x v="10"/>
    <s v="Long"/>
    <x v="317"/>
    <n v="6.8"/>
    <x v="39"/>
    <s v="A critically acclaimed documentary masterpiece."/>
    <x v="30"/>
    <s v="Zendaya, Jack Nicholson, Edward Norton, Brad Pitt"/>
    <n v="41838"/>
    <n v="129.1"/>
    <n v="129.1"/>
    <s v="Hit"/>
  </r>
  <r>
    <s v="tt1000630"/>
    <s v="Dark Mystery 523"/>
    <x v="24"/>
    <x v="0"/>
    <x v="2"/>
    <x v="41"/>
    <s v="Long"/>
    <x v="27"/>
    <n v="6.8"/>
    <x v="0"/>
    <s v="A thrilling thriller adventure."/>
    <x v="31"/>
    <s v="Gary Oldman, Kate Winslet, Edward Norton, Robert Downey Jr."/>
    <n v="31114"/>
    <n v="414.11"/>
    <n v="414.11"/>
    <s v="Blockbuster"/>
  </r>
  <r>
    <s v="tt1000435"/>
    <s v="Last Journey 328"/>
    <x v="10"/>
    <x v="2"/>
    <x v="0"/>
    <x v="28"/>
    <s v="Medium"/>
    <x v="318"/>
    <n v="6.8"/>
    <x v="0"/>
    <s v="A romance film set in 2022."/>
    <x v="0"/>
    <s v="Cate Blanchett, Leonardo DiCaprio, Johnny Depp, Kate Winslet"/>
    <n v="59060"/>
    <n v="87.8"/>
    <n v="87.8"/>
    <s v="Average"/>
  </r>
  <r>
    <s v="tt1000101"/>
    <s v="The Godfather Part II"/>
    <x v="22"/>
    <x v="5"/>
    <x v="3"/>
    <x v="17"/>
    <s v="Long"/>
    <x v="3"/>
    <n v="6.8"/>
    <x v="40"/>
    <s v="An epic biography tale directed by Stanley Kubrick."/>
    <x v="10"/>
    <s v="Amy Adams, Cate Blanchett, Jack Nicholson, Tom Hanks"/>
    <n v="71395"/>
    <n v="252.76"/>
    <n v="252.76"/>
    <s v="Blockbuster"/>
  </r>
  <r>
    <s v="tt1000732"/>
    <s v="Last Kingdom 625"/>
    <x v="52"/>
    <x v="1"/>
    <x v="0"/>
    <x v="11"/>
    <s v="Long"/>
    <x v="34"/>
    <n v="6.8"/>
    <x v="23"/>
    <s v="A thrilling documentary adventure."/>
    <x v="24"/>
    <s v="Morgan Freeman, Emma Stone, Tom Hanks, Leonardo DiCaprio, Anthony Hopkins"/>
    <n v="22874"/>
    <n v="113.06"/>
    <n v="113.06"/>
    <s v="Hit"/>
  </r>
  <r>
    <s v="tt1000710"/>
    <s v="A Love 603"/>
    <x v="52"/>
    <x v="1"/>
    <x v="0"/>
    <x v="11"/>
    <s v="Long"/>
    <x v="319"/>
    <n v="6.8"/>
    <x v="6"/>
    <s v="An epic family tale directed by George Lucas."/>
    <x v="36"/>
    <s v="Jennifer Lawrence, Samuel L. Jackson, Matt Damon"/>
    <n v="164274"/>
    <n v="143.02000000000001"/>
    <n v="143.02000000000001"/>
    <s v="Hit"/>
  </r>
  <r>
    <s v="tt1000122"/>
    <s v="An Adventures 15"/>
    <x v="22"/>
    <x v="5"/>
    <x v="1"/>
    <x v="8"/>
    <s v="Long"/>
    <x v="224"/>
    <n v="6.8"/>
    <x v="0"/>
    <s v="An epic drama tale directed by George Lucas."/>
    <x v="36"/>
    <s v="Tom Hanks, Leonardo DiCaprio, Jennifer Lawrence"/>
    <n v="69321"/>
    <n v="162.47"/>
    <n v="162.47"/>
    <s v="Hit"/>
  </r>
  <r>
    <s v="tt1000513"/>
    <s v="Last Secrets 406"/>
    <x v="23"/>
    <x v="1"/>
    <x v="1"/>
    <x v="20"/>
    <s v="Short"/>
    <x v="320"/>
    <n v="6.8"/>
    <x v="18"/>
    <s v="A critically acclaimed thriller masterpiece."/>
    <x v="11"/>
    <s v="Kate Winslet, Scarlett Johansson, Margot Robbie"/>
    <n v="854590"/>
    <n v="435.31"/>
    <n v="435.31"/>
    <s v="Blockbuster"/>
  </r>
  <r>
    <s v="tt1000745"/>
    <s v="A Journey 638"/>
    <x v="19"/>
    <x v="1"/>
    <x v="3"/>
    <x v="77"/>
    <s v="Long"/>
    <x v="161"/>
    <n v="6.8"/>
    <x v="29"/>
    <s v="A critically acclaimed documentary masterpiece."/>
    <x v="14"/>
    <s v="Harrison Ford, Scarlett Johansson, Tom Cruise, Christian Bale"/>
    <n v="14315"/>
    <n v="392.17"/>
    <n v="392.17"/>
    <s v="Blockbuster"/>
  </r>
  <r>
    <s v="tt1000726"/>
    <s v="Secret Secrets 619"/>
    <x v="11"/>
    <x v="0"/>
    <x v="1"/>
    <x v="86"/>
    <s v="Long"/>
    <x v="321"/>
    <n v="6.8"/>
    <x v="21"/>
    <s v="A crime film set in 2002."/>
    <x v="6"/>
    <s v="Emma Stone, Kate Winslet, Johnny Depp, TimothÃ©e Chalamet"/>
    <n v="45023"/>
    <n v="239.54"/>
    <n v="239.54"/>
    <s v="Blockbuster"/>
  </r>
  <r>
    <s v="tt1000177"/>
    <s v="Last Journey 70"/>
    <x v="59"/>
    <x v="5"/>
    <x v="1"/>
    <x v="49"/>
    <s v="Short"/>
    <x v="35"/>
    <n v="6.7"/>
    <x v="0"/>
    <s v="A critically acclaimed drama masterpiece."/>
    <x v="9"/>
    <s v="Mark Ruffalo, Robert Downey Jr., Zendaya"/>
    <n v="9734"/>
    <n v="124.61"/>
    <n v="124.61"/>
    <s v="Hit"/>
  </r>
  <r>
    <s v="tt1000817"/>
    <s v="Secret Secrets 710"/>
    <x v="3"/>
    <x v="1"/>
    <x v="0"/>
    <x v="0"/>
    <s v="Medium"/>
    <x v="233"/>
    <n v="6.7"/>
    <x v="23"/>
    <s v="A thrilling musical adventure."/>
    <x v="20"/>
    <s v="Johnny Depp, Margot Robbie, Al Pacino, Tom Cruise"/>
    <n v="20462"/>
    <n v="411.63"/>
    <n v="411.63"/>
    <s v="Blockbuster"/>
  </r>
  <r>
    <s v="tt1000946"/>
    <s v="Last Chronicles 839"/>
    <x v="60"/>
    <x v="1"/>
    <x v="0"/>
    <x v="79"/>
    <s v="Long"/>
    <x v="158"/>
    <n v="6.7"/>
    <x v="15"/>
    <s v="A comedy film set in 2016."/>
    <x v="8"/>
    <s v="Harrison Ford, Amy Adams, Robert Downey Jr., Viola Davis, Tom Cruise"/>
    <n v="93287"/>
    <n v="378.74"/>
    <n v="378.74"/>
    <s v="Blockbuster"/>
  </r>
  <r>
    <s v="tt1000995"/>
    <s v="Secret War 888"/>
    <x v="44"/>
    <x v="0"/>
    <x v="2"/>
    <x v="64"/>
    <s v="Medium"/>
    <x v="322"/>
    <n v="6.7"/>
    <x v="0"/>
    <s v="A animation film set in 2007."/>
    <x v="29"/>
    <s v="Kate Winslet, Will Smith, Anthony Hopkins"/>
    <n v="68875"/>
    <m/>
    <n v="0"/>
    <s v="Average"/>
  </r>
  <r>
    <s v="tt1000942"/>
    <s v="Last Adventures 835"/>
    <x v="23"/>
    <x v="1"/>
    <x v="0"/>
    <x v="47"/>
    <s v="Long"/>
    <x v="7"/>
    <n v="6.7"/>
    <x v="24"/>
    <s v="A fantasy film set in 2017."/>
    <x v="14"/>
    <s v="Jennifer Lawrence, Harrison Ford, Mark Ruffalo"/>
    <n v="249489"/>
    <m/>
    <n v="0"/>
    <s v="Average"/>
  </r>
  <r>
    <s v="tt1000314"/>
    <s v="Secret Story 207"/>
    <x v="11"/>
    <x v="0"/>
    <x v="0"/>
    <x v="63"/>
    <s v="Long"/>
    <x v="42"/>
    <n v="6.7"/>
    <x v="0"/>
    <s v="A critically acclaimed thriller masterpiece."/>
    <x v="25"/>
    <s v="Margot Robbie, Chris Hemsworth, Will Smith, Florence Pugh, Jack Nicholson"/>
    <n v="955466"/>
    <n v="385.56"/>
    <n v="385.56"/>
    <s v="Blockbuster"/>
  </r>
  <r>
    <s v="tt1000631"/>
    <s v="Last Secrets 524"/>
    <x v="5"/>
    <x v="2"/>
    <x v="1"/>
    <x v="53"/>
    <s v="Medium"/>
    <x v="323"/>
    <n v="6.7"/>
    <x v="0"/>
    <s v="A critically acclaimed documentary masterpiece."/>
    <x v="35"/>
    <s v="Emma Stone, Anthony Hopkins, Margot Robbie, Kate Winslet, Matt Damon"/>
    <n v="34371"/>
    <n v="385.32"/>
    <n v="385.32"/>
    <s v="Blockbuster"/>
  </r>
  <r>
    <s v="tt1000975"/>
    <s v="Lost Adventures 868"/>
    <x v="19"/>
    <x v="1"/>
    <x v="0"/>
    <x v="10"/>
    <s v="Long"/>
    <x v="52"/>
    <n v="6.7"/>
    <x v="0"/>
    <s v="A thrilling comedy adventure."/>
    <x v="31"/>
    <s v="Robert De Niro, Natalie Portman, Leonardo DiCaprio, Mark Ruffalo"/>
    <n v="82625"/>
    <n v="81.84"/>
    <n v="81.84"/>
    <s v="Average"/>
  </r>
  <r>
    <s v="tt1000974"/>
    <s v="Lost Mystery 867"/>
    <x v="23"/>
    <x v="1"/>
    <x v="4"/>
    <x v="3"/>
    <s v="Medium"/>
    <x v="324"/>
    <n v="6.7"/>
    <x v="13"/>
    <s v="An epic romance tale directed by James Cameron."/>
    <x v="32"/>
    <s v="Edward Norton, TimothÃ©e Chalamet, Tom Hanks"/>
    <n v="68708"/>
    <m/>
    <n v="0"/>
    <s v="Average"/>
  </r>
  <r>
    <s v="tt1000600"/>
    <s v="Final Quest 493"/>
    <x v="1"/>
    <x v="1"/>
    <x v="0"/>
    <x v="88"/>
    <s v="Long"/>
    <x v="30"/>
    <n v="6.7"/>
    <x v="0"/>
    <s v="A comedy film set in 2012."/>
    <x v="32"/>
    <s v="Robert De Niro, Kate Winslet, Florence Pugh"/>
    <n v="20689"/>
    <m/>
    <n v="0"/>
    <s v="Average"/>
  </r>
  <r>
    <s v="tt1000585"/>
    <s v="Dark Revolution 478"/>
    <x v="11"/>
    <x v="0"/>
    <x v="2"/>
    <x v="78"/>
    <s v="Long"/>
    <x v="31"/>
    <n v="6.7"/>
    <x v="15"/>
    <s v="A thrilling action adventure."/>
    <x v="32"/>
    <s v="Viola Davis, Chris Hemsworth, Leonardo DiCaprio"/>
    <n v="250023"/>
    <m/>
    <n v="0"/>
    <s v="Average"/>
  </r>
  <r>
    <s v="tt1000254"/>
    <s v="A Mission 147"/>
    <x v="51"/>
    <x v="1"/>
    <x v="0"/>
    <x v="85"/>
    <s v="Long"/>
    <x v="325"/>
    <n v="6.7"/>
    <x v="32"/>
    <s v="A thrilling romance adventure."/>
    <x v="4"/>
    <s v="Jack Nicholson, Margot Robbie, Mark Ruffalo, Robert De Niro, Chris Hemsworth"/>
    <n v="335678"/>
    <n v="244.54"/>
    <n v="244.54"/>
    <s v="Blockbuster"/>
  </r>
  <r>
    <s v="tt1000570"/>
    <s v="First Dreams 463"/>
    <x v="24"/>
    <x v="0"/>
    <x v="0"/>
    <x v="57"/>
    <s v="Long"/>
    <x v="179"/>
    <n v="6.7"/>
    <x v="15"/>
    <s v="A musical film set in 2003."/>
    <x v="30"/>
    <s v="Al Pacino, Samuel L. Jackson, Robert Downey Jr."/>
    <n v="2300"/>
    <n v="127.86"/>
    <n v="127.86"/>
    <s v="Hit"/>
  </r>
  <r>
    <s v="tt1000609"/>
    <s v="An Mystery 502"/>
    <x v="34"/>
    <x v="0"/>
    <x v="2"/>
    <x v="44"/>
    <s v="Long"/>
    <x v="326"/>
    <n v="6.7"/>
    <x v="0"/>
    <s v="A drama film set in 2006."/>
    <x v="26"/>
    <s v="Brad Pitt, Edward Norton, Mark Ruffalo, Morgan Freeman, Kate Winslet"/>
    <n v="61591"/>
    <n v="431.54"/>
    <n v="431.54"/>
    <s v="Blockbuster"/>
  </r>
  <r>
    <s v="tt1000935"/>
    <s v="Final War 828"/>
    <x v="23"/>
    <x v="1"/>
    <x v="1"/>
    <x v="71"/>
    <s v="Short"/>
    <x v="327"/>
    <n v="6.7"/>
    <x v="29"/>
    <s v="A critically acclaimed musical masterpiece."/>
    <x v="13"/>
    <s v="Al Pacino, Keanu Reeves, Scarlett Johansson"/>
    <n v="17161"/>
    <n v="381.09"/>
    <n v="381.09"/>
    <s v="Blockbuster"/>
  </r>
  <r>
    <s v="tt1000990"/>
    <s v="A Dreams 883"/>
    <x v="45"/>
    <x v="0"/>
    <x v="0"/>
    <x v="89"/>
    <s v="Short"/>
    <x v="22"/>
    <n v="6.7"/>
    <x v="15"/>
    <s v="An epic animation tale directed by Peter Jackson."/>
    <x v="8"/>
    <s v="Florence Pugh, Leonardo DiCaprio, Anthony Hopkins"/>
    <n v="7688"/>
    <n v="469.72"/>
    <n v="469.72"/>
    <s v="Blockbuster"/>
  </r>
  <r>
    <s v="tt1000613"/>
    <s v="First Love 506"/>
    <x v="12"/>
    <x v="1"/>
    <x v="2"/>
    <x v="48"/>
    <s v="Medium"/>
    <x v="76"/>
    <n v="6.7"/>
    <x v="0"/>
    <s v="A critically acclaimed horror masterpiece."/>
    <x v="1"/>
    <s v="Scarlett Johansson, Chris Hemsworth, Mark Ruffalo, Natalie Portman, Morgan Freeman"/>
    <n v="3558"/>
    <m/>
    <n v="0"/>
    <s v="Average"/>
  </r>
  <r>
    <s v="tt1000698"/>
    <s v="A Mystery 591"/>
    <x v="9"/>
    <x v="1"/>
    <x v="1"/>
    <x v="13"/>
    <s v="Long"/>
    <x v="224"/>
    <n v="6.7"/>
    <x v="21"/>
    <s v="An epic drama tale directed by Denis Villeneuve."/>
    <x v="29"/>
    <s v="Jack Nicholson, Anthony Hopkins, Gary Oldman, Cate Blanchett, Tom Hanks"/>
    <n v="163688"/>
    <n v="437.94"/>
    <n v="437.94"/>
    <s v="Blockbuster"/>
  </r>
  <r>
    <s v="tt1000597"/>
    <s v="Dark Destiny 490"/>
    <x v="60"/>
    <x v="1"/>
    <x v="2"/>
    <x v="15"/>
    <s v="Long"/>
    <x v="310"/>
    <n v="6.7"/>
    <x v="0"/>
    <s v="A critically acclaimed documentary masterpiece."/>
    <x v="8"/>
    <s v="TimothÃ©e Chalamet, Emma Stone, Brad Pitt, Will Smith"/>
    <n v="163899"/>
    <n v="452.25"/>
    <n v="452.25"/>
    <s v="Blockbuster"/>
  </r>
  <r>
    <s v="tt1000392"/>
    <s v="A Dreams 285"/>
    <x v="52"/>
    <x v="1"/>
    <x v="5"/>
    <x v="49"/>
    <s v="Short"/>
    <x v="270"/>
    <n v="6.7"/>
    <x v="12"/>
    <s v="A animation film set in 2010."/>
    <x v="13"/>
    <s v="Meryl Streep, Kate Winslet, Will Smith, Al Pacino, Christian Bale"/>
    <n v="13590"/>
    <n v="316.14"/>
    <n v="316.14"/>
    <s v="Blockbuster"/>
  </r>
  <r>
    <s v="tt1000259"/>
    <s v="First Secrets 152"/>
    <x v="45"/>
    <x v="0"/>
    <x v="1"/>
    <x v="48"/>
    <s v="Medium"/>
    <x v="57"/>
    <n v="6.7"/>
    <x v="0"/>
    <s v="A thrilling family adventure."/>
    <x v="31"/>
    <s v="Robert Downey Jr., Tom Hanks, Jennifer Lawrence"/>
    <n v="151904"/>
    <n v="278.95"/>
    <n v="278.95"/>
    <s v="Blockbuster"/>
  </r>
  <r>
    <s v="tt1000569"/>
    <s v="Secret Revolution 462"/>
    <x v="11"/>
    <x v="0"/>
    <x v="1"/>
    <x v="40"/>
    <s v="Long"/>
    <x v="111"/>
    <n v="6.7"/>
    <x v="18"/>
    <s v="A thrilling animation adventure."/>
    <x v="1"/>
    <s v="Emma Stone, Morgan Freeman, Brad Pitt, Margot Robbie, Johnny Depp"/>
    <n v="13880"/>
    <n v="347.08"/>
    <n v="347.08"/>
    <s v="Blockbuster"/>
  </r>
  <r>
    <s v="tt1000547"/>
    <s v="An Kingdom 440"/>
    <x v="6"/>
    <x v="2"/>
    <x v="0"/>
    <x v="44"/>
    <s v="Long"/>
    <x v="328"/>
    <n v="6.7"/>
    <x v="13"/>
    <s v="A thrilling drama adventure."/>
    <x v="32"/>
    <s v="Viola Davis, Emma Stone, Gary Oldman, Zendaya, Harrison Ford"/>
    <n v="118013"/>
    <n v="17.04"/>
    <n v="17.04"/>
    <s v="Average"/>
  </r>
  <r>
    <s v="tt1000408"/>
    <s v="First Empire 301"/>
    <x v="18"/>
    <x v="2"/>
    <x v="0"/>
    <x v="3"/>
    <s v="Medium"/>
    <x v="8"/>
    <n v="6.7"/>
    <x v="0"/>
    <s v="A war film set in 2024."/>
    <x v="3"/>
    <s v="Daniel Day-Lewis, Cate Blanchett, TimothÃ©e Chalamet"/>
    <n v="63941"/>
    <n v="363.4"/>
    <n v="363.4"/>
    <s v="Blockbuster"/>
  </r>
  <r>
    <s v="tt1000756"/>
    <s v="A Destiny 649"/>
    <x v="35"/>
    <x v="2"/>
    <x v="0"/>
    <x v="50"/>
    <s v="Medium"/>
    <x v="57"/>
    <n v="6.7"/>
    <x v="6"/>
    <s v="A critically acclaimed family masterpiece."/>
    <x v="4"/>
    <s v="Matt Damon, Viola Davis, Al Pacino, TimothÃ©e Chalamet"/>
    <n v="100862"/>
    <n v="398.88"/>
    <n v="398.88"/>
    <s v="Blockbuster"/>
  </r>
  <r>
    <s v="tt1000372"/>
    <s v="Last Mission 265"/>
    <x v="23"/>
    <x v="1"/>
    <x v="0"/>
    <x v="83"/>
    <s v="Long"/>
    <x v="40"/>
    <n v="6.7"/>
    <x v="30"/>
    <s v="An epic musical tale directed by Ryan Coogler."/>
    <x v="31"/>
    <s v="Edward Norton, Tom Hanks, Christian Bale, Robert Downey Jr."/>
    <n v="80954"/>
    <n v="447.51"/>
    <n v="447.51"/>
    <s v="Blockbuster"/>
  </r>
  <r>
    <s v="tt1000106"/>
    <s v="Oliver!"/>
    <x v="61"/>
    <x v="5"/>
    <x v="0"/>
    <x v="4"/>
    <s v="Long"/>
    <x v="18"/>
    <n v="6.7"/>
    <x v="0"/>
    <s v="A critically acclaimed horror masterpiece."/>
    <x v="9"/>
    <s v="Anthony Hopkins, Mark Ruffalo, Daniel Day-Lewis"/>
    <n v="69251"/>
    <n v="247.66"/>
    <n v="247.66"/>
    <s v="Blockbuster"/>
  </r>
  <r>
    <s v="tt1000442"/>
    <s v="First War 335"/>
    <x v="6"/>
    <x v="2"/>
    <x v="0"/>
    <x v="75"/>
    <s v="Medium"/>
    <x v="34"/>
    <n v="6.7"/>
    <x v="0"/>
    <s v="A documentary film set in 2021."/>
    <x v="20"/>
    <s v="Chris Hemsworth, Kate Winslet, Denzel Washington, Leonardo DiCaprio"/>
    <n v="9754"/>
    <n v="226.61"/>
    <n v="226.61"/>
    <s v="Blockbuster"/>
  </r>
  <r>
    <s v="tt1000321"/>
    <s v="Lost Destiny 214"/>
    <x v="40"/>
    <x v="0"/>
    <x v="5"/>
    <x v="77"/>
    <s v="Long"/>
    <x v="329"/>
    <n v="6.7"/>
    <x v="25"/>
    <s v="A thrilling thriller adventure."/>
    <x v="30"/>
    <s v="Matt Damon, Kate Winslet, Jack Nicholson, Zendaya"/>
    <n v="519268"/>
    <m/>
    <n v="0"/>
    <s v="Average"/>
  </r>
  <r>
    <s v="tt1000363"/>
    <s v="Final War 256"/>
    <x v="12"/>
    <x v="1"/>
    <x v="0"/>
    <x v="3"/>
    <s v="Medium"/>
    <x v="330"/>
    <n v="6.7"/>
    <x v="29"/>
    <s v="An epic adventure tale directed by Stanley Kubrick."/>
    <x v="10"/>
    <s v="Keanu Reeves, TimothÃ©e Chalamet, Emma Stone"/>
    <n v="56622"/>
    <n v="217.04"/>
    <n v="217.04"/>
    <s v="Blockbuster"/>
  </r>
  <r>
    <s v="tt1000644"/>
    <s v="Dark Kingdom 537"/>
    <x v="23"/>
    <x v="1"/>
    <x v="4"/>
    <x v="24"/>
    <s v="Medium"/>
    <x v="331"/>
    <n v="6.7"/>
    <x v="0"/>
    <s v="A mystery film set in 2017."/>
    <x v="27"/>
    <s v="Al Pacino, TimothÃ©e Chalamet, Zendaya, Mark Ruffalo"/>
    <n v="2500000"/>
    <n v="316.39"/>
    <n v="316.39"/>
    <s v="Blockbuster"/>
  </r>
  <r>
    <s v="tt1000639"/>
    <s v="Secret Empire 532"/>
    <x v="5"/>
    <x v="2"/>
    <x v="1"/>
    <x v="16"/>
    <s v="Medium"/>
    <x v="23"/>
    <n v="6.6"/>
    <x v="0"/>
    <s v="An epic comedy tale directed by Guillermo del Toro."/>
    <x v="7"/>
    <s v="Edward Norton, Robert De Niro, Viola Davis"/>
    <n v="29491"/>
    <n v="74.58"/>
    <n v="74.58"/>
    <s v="Average"/>
  </r>
  <r>
    <s v="tt1000952"/>
    <s v="First Mission 845"/>
    <x v="44"/>
    <x v="0"/>
    <x v="0"/>
    <x v="31"/>
    <s v="Medium"/>
    <x v="310"/>
    <n v="6.6"/>
    <x v="0"/>
    <s v="A critically acclaimed documentary masterpiece."/>
    <x v="5"/>
    <s v="Robert De Niro, Johnny Depp, Daniel Day-Lewis"/>
    <n v="351367"/>
    <n v="195.26"/>
    <n v="195.26"/>
    <s v="Hit"/>
  </r>
  <r>
    <s v="tt1000607"/>
    <s v="Lost Kingdom 500"/>
    <x v="52"/>
    <x v="1"/>
    <x v="0"/>
    <x v="7"/>
    <s v="Long"/>
    <x v="123"/>
    <n v="6.6"/>
    <x v="0"/>
    <s v="A thrilling action adventure."/>
    <x v="33"/>
    <s v="Meryl Streep, Zendaya, Robert De Niro, Gary Oldman, Al Pacino"/>
    <n v="22583"/>
    <m/>
    <n v="0"/>
    <s v="Average"/>
  </r>
  <r>
    <s v="tt1000944"/>
    <s v="Dark Story 837"/>
    <x v="12"/>
    <x v="1"/>
    <x v="2"/>
    <x v="35"/>
    <s v="Long"/>
    <x v="82"/>
    <n v="6.6"/>
    <x v="29"/>
    <s v="A critically acclaimed mystery masterpiece."/>
    <x v="2"/>
    <s v="Tom Hanks, Meryl Streep, Leonardo DiCaprio, Al Pacino"/>
    <n v="41561"/>
    <m/>
    <n v="0"/>
    <s v="Average"/>
  </r>
  <r>
    <s v="tt1000868"/>
    <s v="Lost Story 761"/>
    <x v="40"/>
    <x v="0"/>
    <x v="2"/>
    <x v="16"/>
    <s v="Medium"/>
    <x v="332"/>
    <n v="6.6"/>
    <x v="0"/>
    <s v="A horror film set in 2005."/>
    <x v="19"/>
    <s v="Anthony Hopkins, Kate Winslet, Natalie Portman, Scarlett Johansson"/>
    <n v="24170"/>
    <m/>
    <n v="0"/>
    <s v="Average"/>
  </r>
  <r>
    <s v="tt1000182"/>
    <s v="Last Mystery 75"/>
    <x v="71"/>
    <x v="5"/>
    <x v="1"/>
    <x v="23"/>
    <s v="Long"/>
    <x v="158"/>
    <n v="6.6"/>
    <x v="33"/>
    <s v="A critically acclaimed comedy masterpiece."/>
    <x v="12"/>
    <s v="Leonardo DiCaprio, Harrison Ford, Meryl Streep, Amy Adams, Florence Pugh"/>
    <n v="104476"/>
    <n v="234.79"/>
    <n v="234.79"/>
    <s v="Blockbuster"/>
  </r>
  <r>
    <s v="tt1000343"/>
    <s v="First Kingdom 236"/>
    <x v="20"/>
    <x v="1"/>
    <x v="0"/>
    <x v="33"/>
    <s v="Medium"/>
    <x v="333"/>
    <n v="6.6"/>
    <x v="0"/>
    <s v="A critically acclaimed thriller masterpiece."/>
    <x v="30"/>
    <s v="Jennifer Lawrence, Will Smith, Johnny Depp, Florence Pugh, Amy Adams"/>
    <n v="4900"/>
    <n v="271.39999999999998"/>
    <n v="271.39999999999998"/>
    <s v="Blockbuster"/>
  </r>
  <r>
    <s v="tt1000856"/>
    <s v="Dark Journey 749"/>
    <x v="35"/>
    <x v="2"/>
    <x v="1"/>
    <x v="62"/>
    <s v="Long"/>
    <x v="31"/>
    <n v="6.6"/>
    <x v="12"/>
    <s v="A thrilling action adventure."/>
    <x v="16"/>
    <s v="Daniel Day-Lewis, Tom Hanks, Cate Blanchett, Florence Pugh"/>
    <n v="63408"/>
    <n v="120.42"/>
    <n v="120.42"/>
    <s v="Hit"/>
  </r>
  <r>
    <s v="tt1000487"/>
    <s v="Dark Quest 380"/>
    <x v="24"/>
    <x v="0"/>
    <x v="5"/>
    <x v="74"/>
    <s v="Medium"/>
    <x v="334"/>
    <n v="6.6"/>
    <x v="43"/>
    <s v="A comedy film set in 2003."/>
    <x v="2"/>
    <s v="Scarlett Johansson, Will Smith, Leonardo DiCaprio"/>
    <n v="16717"/>
    <n v="209.32"/>
    <n v="209.32"/>
    <s v="Blockbuster"/>
  </r>
  <r>
    <s v="tt1000329"/>
    <s v="A Secrets 222"/>
    <x v="6"/>
    <x v="2"/>
    <x v="0"/>
    <x v="62"/>
    <s v="Long"/>
    <x v="24"/>
    <n v="6.6"/>
    <x v="15"/>
    <s v="A thrilling adventure adventure."/>
    <x v="19"/>
    <s v="Anthony Hopkins, Viola Davis, Morgan Freeman, Mark Ruffalo, Harrison Ford"/>
    <n v="62338"/>
    <m/>
    <n v="0"/>
    <s v="Average"/>
  </r>
  <r>
    <s v="tt1000217"/>
    <s v="Last Mission 110"/>
    <x v="52"/>
    <x v="1"/>
    <x v="4"/>
    <x v="57"/>
    <s v="Long"/>
    <x v="22"/>
    <n v="6.6"/>
    <x v="46"/>
    <s v="An epic animation tale directed by Ron Howard."/>
    <x v="33"/>
    <s v="Al Pacino, Scarlett Johansson, Edward Norton, Robert Downey Jr., Daniel Day-Lewis"/>
    <n v="11386"/>
    <n v="118.19"/>
    <n v="118.19"/>
    <s v="Hit"/>
  </r>
  <r>
    <s v="tt1000825"/>
    <s v="The War 718"/>
    <x v="10"/>
    <x v="2"/>
    <x v="1"/>
    <x v="77"/>
    <s v="Long"/>
    <x v="335"/>
    <n v="6.6"/>
    <x v="12"/>
    <s v="A western film set in 2022."/>
    <x v="24"/>
    <s v="Jennifer Lawrence, Denzel Washington, Mark Ruffalo"/>
    <n v="529607"/>
    <n v="413.19"/>
    <n v="413.19"/>
    <s v="Blockbuster"/>
  </r>
  <r>
    <s v="tt1000476"/>
    <s v="The Story 369"/>
    <x v="10"/>
    <x v="2"/>
    <x v="2"/>
    <x v="48"/>
    <s v="Medium"/>
    <x v="13"/>
    <n v="6.6"/>
    <x v="0"/>
    <s v="A critically acclaimed western masterpiece."/>
    <x v="8"/>
    <s v="Natalie Portman, Cate Blanchett, Leonardo DiCaprio"/>
    <n v="94950"/>
    <n v="330.77"/>
    <n v="330.77"/>
    <s v="Blockbuster"/>
  </r>
  <r>
    <s v="tt1000807"/>
    <s v="An War 700"/>
    <x v="2"/>
    <x v="0"/>
    <x v="2"/>
    <x v="9"/>
    <s v="Long"/>
    <x v="336"/>
    <n v="6.6"/>
    <x v="39"/>
    <s v="A thrilling thriller adventure."/>
    <x v="3"/>
    <s v="Christian Bale, Daniel Day-Lewis, Robert Downey Jr."/>
    <n v="56094"/>
    <n v="275.58"/>
    <n v="275.58"/>
    <s v="Blockbuster"/>
  </r>
  <r>
    <s v="tt1000795"/>
    <s v="A Awakening 688"/>
    <x v="52"/>
    <x v="1"/>
    <x v="0"/>
    <x v="55"/>
    <s v="Medium"/>
    <x v="37"/>
    <n v="6.6"/>
    <x v="47"/>
    <s v="An epic sci-fi tale directed by Francis Ford Coppola."/>
    <x v="9"/>
    <s v="Margot Robbie, Kate Winslet, Amy Adams, TimothÃ©e Chalamet"/>
    <n v="14967"/>
    <m/>
    <n v="0"/>
    <s v="Average"/>
  </r>
  <r>
    <s v="tt1000862"/>
    <s v="Last Journey 755"/>
    <x v="7"/>
    <x v="0"/>
    <x v="1"/>
    <x v="38"/>
    <s v="Medium"/>
    <x v="209"/>
    <n v="6.6"/>
    <x v="44"/>
    <s v="A thrilling mystery adventure."/>
    <x v="12"/>
    <s v="Jennifer Lawrence, Daniel Day-Lewis, Amy Adams, Will Smith"/>
    <n v="18032"/>
    <n v="110.81"/>
    <n v="110.81"/>
    <s v="Hit"/>
  </r>
  <r>
    <s v="tt1000880"/>
    <s v="First Awakening 773"/>
    <x v="24"/>
    <x v="0"/>
    <x v="0"/>
    <x v="69"/>
    <s v="Long"/>
    <x v="169"/>
    <n v="6.6"/>
    <x v="0"/>
    <s v="A thrilling biography adventure."/>
    <x v="18"/>
    <s v="Natalie Portman, Edward Norton, Johnny Depp"/>
    <n v="16790"/>
    <n v="212.08"/>
    <n v="212.08"/>
    <s v="Blockbuster"/>
  </r>
  <r>
    <s v="tt1000458"/>
    <s v="The Secrets 351"/>
    <x v="1"/>
    <x v="1"/>
    <x v="2"/>
    <x v="60"/>
    <s v="Long"/>
    <x v="337"/>
    <n v="6.6"/>
    <x v="0"/>
    <s v="A critically acclaimed documentary masterpiece."/>
    <x v="6"/>
    <s v="Chris Hemsworth, Keanu Reeves, Harrison Ford, Anthony Hopkins"/>
    <n v="21947"/>
    <n v="297.22000000000003"/>
    <n v="297.22000000000003"/>
    <s v="Blockbuster"/>
  </r>
  <r>
    <s v="tt1000847"/>
    <s v="Last Awakening 740"/>
    <x v="18"/>
    <x v="2"/>
    <x v="3"/>
    <x v="76"/>
    <s v="Medium"/>
    <x v="338"/>
    <n v="6.6"/>
    <x v="24"/>
    <s v="A thrilling war adventure."/>
    <x v="1"/>
    <s v="Tom Hanks, Keanu Reeves, Kate Winslet, Robert De Niro, Matt Damon"/>
    <n v="37694"/>
    <m/>
    <n v="0"/>
    <s v="Average"/>
  </r>
  <r>
    <s v="tt1000839"/>
    <s v="Final Chronicles 732"/>
    <x v="11"/>
    <x v="0"/>
    <x v="0"/>
    <x v="56"/>
    <s v="Short"/>
    <x v="116"/>
    <n v="6.6"/>
    <x v="12"/>
    <s v="A critically acclaimed biography masterpiece."/>
    <x v="14"/>
    <s v="Christian Bale, Meryl Streep, TimothÃ©e Chalamet, Keanu Reeves, Johnny Depp"/>
    <n v="16695"/>
    <n v="443.54"/>
    <n v="443.54"/>
    <s v="Blockbuster"/>
  </r>
  <r>
    <s v="tt1000727"/>
    <s v="Secret Mystery 620"/>
    <x v="52"/>
    <x v="1"/>
    <x v="0"/>
    <x v="54"/>
    <s v="Medium"/>
    <x v="339"/>
    <n v="6.6"/>
    <x v="44"/>
    <s v="An epic war tale directed by Kathryn Bigelow."/>
    <x v="23"/>
    <s v="Anthony Hopkins, Tom Hanks, Leonardo DiCaprio"/>
    <n v="469429"/>
    <n v="392.75"/>
    <n v="392.75"/>
    <s v="Blockbuster"/>
  </r>
  <r>
    <s v="tt1000116"/>
    <s v="First Adventures 9"/>
    <x v="4"/>
    <x v="0"/>
    <x v="2"/>
    <x v="31"/>
    <s v="Medium"/>
    <x v="318"/>
    <n v="6.6"/>
    <x v="0"/>
    <s v="A romance film set in 2000."/>
    <x v="5"/>
    <s v="Daniel Day-Lewis, Margot Robbie, Brad Pitt"/>
    <n v="95450"/>
    <n v="86.68"/>
    <n v="86.68"/>
    <s v="Average"/>
  </r>
  <r>
    <s v="tt1000501"/>
    <s v="The Mystery 394"/>
    <x v="12"/>
    <x v="1"/>
    <x v="1"/>
    <x v="18"/>
    <s v="Medium"/>
    <x v="298"/>
    <n v="6.6"/>
    <x v="15"/>
    <s v="An epic fantasy tale directed by Clint Eastwood."/>
    <x v="24"/>
    <s v="Jennifer Lawrence, Edward Norton, Cate Blanchett, Amy Adams, Jack Nicholson"/>
    <n v="30338"/>
    <n v="84.72"/>
    <n v="84.72"/>
    <s v="Average"/>
  </r>
  <r>
    <s v="tt1000507"/>
    <s v="Final Revolution 400"/>
    <x v="18"/>
    <x v="2"/>
    <x v="0"/>
    <x v="23"/>
    <s v="Long"/>
    <x v="5"/>
    <n v="6.6"/>
    <x v="31"/>
    <s v="A crime film set in 2024."/>
    <x v="24"/>
    <s v="Zendaya, Florence Pugh, Kate Winslet, Morgan Freeman, Edward Norton"/>
    <n v="14197"/>
    <n v="363.18"/>
    <n v="363.18"/>
    <s v="Blockbuster"/>
  </r>
  <r>
    <s v="tt1000568"/>
    <s v="First Destiny 461"/>
    <x v="10"/>
    <x v="2"/>
    <x v="2"/>
    <x v="11"/>
    <s v="Long"/>
    <x v="158"/>
    <n v="6.6"/>
    <x v="0"/>
    <s v="A comedy film set in 2022."/>
    <x v="35"/>
    <s v="Leonardo DiCaprio, Denzel Washington, Samuel L. Jackson, Meryl Streep, Morgan Freeman"/>
    <n v="164203"/>
    <m/>
    <n v="0"/>
    <s v="Average"/>
  </r>
  <r>
    <s v="tt1000705"/>
    <s v="The Secrets 598"/>
    <x v="10"/>
    <x v="2"/>
    <x v="0"/>
    <x v="50"/>
    <s v="Medium"/>
    <x v="298"/>
    <n v="6.6"/>
    <x v="39"/>
    <s v="An epic fantasy tale directed by Wong Kar-wai."/>
    <x v="17"/>
    <s v="Kate Winslet, Samuel L. Jackson, Will Smith, Meryl Streep"/>
    <n v="13473"/>
    <n v="450.61"/>
    <n v="450.61"/>
    <s v="Blockbuster"/>
  </r>
  <r>
    <s v="tt1000706"/>
    <s v="Lost Love 599"/>
    <x v="4"/>
    <x v="0"/>
    <x v="5"/>
    <x v="20"/>
    <s v="Short"/>
    <x v="340"/>
    <n v="6.6"/>
    <x v="39"/>
    <s v="An epic romance tale directed by David Fincher."/>
    <x v="25"/>
    <s v="Chris Hemsworth, Amy Adams, Kate Winslet, Robert Downey Jr., Johnny Depp"/>
    <n v="2233148"/>
    <n v="114.4"/>
    <n v="114.4"/>
    <s v="Hit"/>
  </r>
  <r>
    <s v="tt1000916"/>
    <s v="Lost Secrets 809"/>
    <x v="7"/>
    <x v="0"/>
    <x v="1"/>
    <x v="12"/>
    <s v="Long"/>
    <x v="9"/>
    <n v="6.6"/>
    <x v="0"/>
    <s v="A critically acclaimed adventure masterpiece."/>
    <x v="1"/>
    <s v="Jack Nicholson, Florence Pugh, Morgan Freeman, Samuel L. Jackson, TimothÃ©e Chalamet"/>
    <n v="833353"/>
    <n v="22.81"/>
    <n v="22.81"/>
    <s v="Average"/>
  </r>
  <r>
    <s v="tt1000536"/>
    <s v="First Quest 429"/>
    <x v="7"/>
    <x v="0"/>
    <x v="2"/>
    <x v="4"/>
    <s v="Long"/>
    <x v="341"/>
    <n v="6.6"/>
    <x v="40"/>
    <s v="A critically acclaimed comedy masterpiece."/>
    <x v="3"/>
    <s v="Robert Downey Jr., Christian Bale, Robert De Niro"/>
    <n v="38649"/>
    <n v="484.78"/>
    <n v="484.78"/>
    <s v="Blockbuster"/>
  </r>
  <r>
    <s v="tt1000533"/>
    <s v="A Kingdom 426"/>
    <x v="5"/>
    <x v="2"/>
    <x v="1"/>
    <x v="31"/>
    <s v="Medium"/>
    <x v="342"/>
    <n v="6.6"/>
    <x v="15"/>
    <s v="A thrilling mystery adventure."/>
    <x v="28"/>
    <s v="Keanu Reeves, Johnny Depp, Tom Hanks"/>
    <n v="470859"/>
    <n v="73.459999999999994"/>
    <n v="73.459999999999994"/>
    <s v="Average"/>
  </r>
  <r>
    <s v="tt1000158"/>
    <s v="Last Mystery 51"/>
    <x v="71"/>
    <x v="5"/>
    <x v="1"/>
    <x v="66"/>
    <s v="Long"/>
    <x v="3"/>
    <n v="6.6"/>
    <x v="0"/>
    <s v="An epic biography tale directed by Ang Lee."/>
    <x v="6"/>
    <s v="Leonardo DiCaprio, Margot Robbie, Jennifer Lawrence"/>
    <n v="142178"/>
    <n v="209.57"/>
    <n v="209.57"/>
    <s v="Blockbuster"/>
  </r>
  <r>
    <s v="tt1000103"/>
    <s v="The French Connection"/>
    <x v="59"/>
    <x v="5"/>
    <x v="1"/>
    <x v="48"/>
    <s v="Medium"/>
    <x v="186"/>
    <n v="6.6"/>
    <x v="0"/>
    <s v="A critically acclaimed horror masterpiece."/>
    <x v="33"/>
    <s v="Johnny Depp, Jack Nicholson, Al Pacino"/>
    <n v="311191"/>
    <n v="18.16"/>
    <n v="18.16"/>
    <s v="Average"/>
  </r>
  <r>
    <s v="tt1000749"/>
    <s v="First Love 642"/>
    <x v="24"/>
    <x v="0"/>
    <x v="0"/>
    <x v="38"/>
    <s v="Medium"/>
    <x v="37"/>
    <n v="6.6"/>
    <x v="0"/>
    <s v="A sci-fi film set in 2003."/>
    <x v="2"/>
    <s v="Leonardo DiCaprio, Morgan Freeman, Tom Cruise, Chris Hemsworth"/>
    <n v="238583"/>
    <m/>
    <n v="0"/>
    <s v="Average"/>
  </r>
  <r>
    <s v="tt1000762"/>
    <s v="Final Awakening 655"/>
    <x v="1"/>
    <x v="1"/>
    <x v="0"/>
    <x v="70"/>
    <s v="Long"/>
    <x v="14"/>
    <n v="6.6"/>
    <x v="0"/>
    <s v="A biography film set in 2012."/>
    <x v="35"/>
    <s v="Margot Robbie, Harrison Ford, Zendaya"/>
    <n v="24434"/>
    <m/>
    <n v="0"/>
    <s v="Average"/>
  </r>
  <r>
    <s v="tt1000655"/>
    <s v="A Adventures 548"/>
    <x v="5"/>
    <x v="2"/>
    <x v="0"/>
    <x v="7"/>
    <s v="Long"/>
    <x v="275"/>
    <n v="6.6"/>
    <x v="41"/>
    <s v="A critically acclaimed documentary masterpiece."/>
    <x v="35"/>
    <s v="Christian Bale, Johnny Depp, Robert Downey Jr., Tom Cruise, Natalie Portman"/>
    <n v="47719"/>
    <m/>
    <n v="0"/>
    <s v="Average"/>
  </r>
  <r>
    <s v="tt1000580"/>
    <s v="Final Legend 473"/>
    <x v="4"/>
    <x v="0"/>
    <x v="1"/>
    <x v="53"/>
    <s v="Medium"/>
    <x v="343"/>
    <n v="6.6"/>
    <x v="0"/>
    <s v="A thrilling documentary adventure."/>
    <x v="20"/>
    <s v="Chris Hemsworth, TimothÃ©e Chalamet, Kate Winslet"/>
    <n v="66508"/>
    <n v="297.17"/>
    <n v="297.17"/>
    <s v="Blockbuster"/>
  </r>
  <r>
    <s v="tt1000381"/>
    <s v="An Kingdom 274"/>
    <x v="40"/>
    <x v="0"/>
    <x v="5"/>
    <x v="15"/>
    <s v="Long"/>
    <x v="92"/>
    <n v="6.6"/>
    <x v="0"/>
    <s v="A critically acclaimed sci-fi masterpiece."/>
    <x v="15"/>
    <s v="Tom Cruise, Robert Downey Jr., Gary Oldman, Daniel Day-Lewis, Mark Ruffalo"/>
    <n v="61289"/>
    <n v="202.7"/>
    <n v="202.7"/>
    <s v="Blockbuster"/>
  </r>
  <r>
    <s v="tt1000923"/>
    <s v="Final Love 816"/>
    <x v="2"/>
    <x v="0"/>
    <x v="1"/>
    <x v="3"/>
    <s v="Medium"/>
    <x v="344"/>
    <n v="6.6"/>
    <x v="0"/>
    <s v="An epic thriller tale directed by Wes Anderson."/>
    <x v="34"/>
    <s v="Meryl Streep, Robert De Niro, Daniel Day-Lewis"/>
    <n v="19538"/>
    <n v="292.54000000000002"/>
    <n v="292.54000000000002"/>
    <s v="Blockbuster"/>
  </r>
  <r>
    <s v="tt1000925"/>
    <s v="The Legend 818"/>
    <x v="24"/>
    <x v="0"/>
    <x v="1"/>
    <x v="34"/>
    <s v="Medium"/>
    <x v="1"/>
    <n v="6.6"/>
    <x v="10"/>
    <s v="A critically acclaimed war masterpiece."/>
    <x v="2"/>
    <s v="Cate Blanchett, Johnny Depp, Natalie Portman, Anthony Hopkins"/>
    <n v="41679"/>
    <m/>
    <n v="0"/>
    <s v="Average"/>
  </r>
  <r>
    <s v="tt1000988"/>
    <s v="Dark Destiny 881"/>
    <x v="2"/>
    <x v="0"/>
    <x v="0"/>
    <x v="47"/>
    <s v="Long"/>
    <x v="57"/>
    <n v="6.6"/>
    <x v="0"/>
    <s v="A family film set in 2008."/>
    <x v="12"/>
    <s v="Kate Winslet, Scarlett Johansson, Edward Norton, Harrison Ford, Jennifer Lawrence"/>
    <n v="101595"/>
    <n v="487.1"/>
    <n v="487.1"/>
    <s v="Blockbuster"/>
  </r>
  <r>
    <s v="tt1000268"/>
    <s v="A Empire 161"/>
    <x v="45"/>
    <x v="0"/>
    <x v="1"/>
    <x v="59"/>
    <s v="Medium"/>
    <x v="92"/>
    <n v="6.5"/>
    <x v="43"/>
    <s v="A critically acclaimed sci-fi masterpiece."/>
    <x v="22"/>
    <s v="Jennifer Lawrence, Kate Winslet, Christian Bale, Natalie Portman"/>
    <n v="83550"/>
    <n v="51.36"/>
    <n v="51.36"/>
    <s v="Average"/>
  </r>
  <r>
    <s v="tt1000213"/>
    <s v="Dark Adventures 106"/>
    <x v="4"/>
    <x v="0"/>
    <x v="4"/>
    <x v="76"/>
    <s v="Medium"/>
    <x v="345"/>
    <n v="6.5"/>
    <x v="13"/>
    <s v="A critically acclaimed drama masterpiece."/>
    <x v="19"/>
    <s v="Chris Hemsworth, Scarlett Johansson, Natalie Portman"/>
    <n v="731997"/>
    <m/>
    <n v="0"/>
    <s v="Average"/>
  </r>
  <r>
    <s v="tt1000658"/>
    <s v="The Quest 551"/>
    <x v="12"/>
    <x v="1"/>
    <x v="0"/>
    <x v="18"/>
    <s v="Medium"/>
    <x v="111"/>
    <n v="6.5"/>
    <x v="25"/>
    <s v="A critically acclaimed animation masterpiece."/>
    <x v="18"/>
    <s v="Johnny Depp, Jack Nicholson, Natalie Portman"/>
    <n v="323246"/>
    <n v="159.82"/>
    <n v="159.82"/>
    <s v="Hit"/>
  </r>
  <r>
    <s v="tt1000832"/>
    <s v="Lost Kingdom 725"/>
    <x v="6"/>
    <x v="2"/>
    <x v="1"/>
    <x v="34"/>
    <s v="Medium"/>
    <x v="42"/>
    <n v="6.5"/>
    <x v="0"/>
    <s v="A thrilling thriller adventure."/>
    <x v="27"/>
    <s v="Denzel Washington, Leonardo DiCaprio, Will Smith, Chris Hemsworth, Kate Winslet"/>
    <n v="195938"/>
    <m/>
    <n v="0"/>
    <s v="Average"/>
  </r>
  <r>
    <s v="tt1000424"/>
    <s v="The Revolution 317"/>
    <x v="52"/>
    <x v="1"/>
    <x v="0"/>
    <x v="36"/>
    <s v="Medium"/>
    <x v="87"/>
    <n v="6.5"/>
    <x v="41"/>
    <s v="An epic musical tale directed by Sam Mendes."/>
    <x v="4"/>
    <s v="Meryl Streep, Natalie Portman, Scarlett Johansson, Cate Blanchett, Kate Winslet"/>
    <n v="369404"/>
    <m/>
    <n v="0"/>
    <s v="Average"/>
  </r>
  <r>
    <s v="tt1000426"/>
    <s v="Last Adventures 319"/>
    <x v="9"/>
    <x v="1"/>
    <x v="0"/>
    <x v="5"/>
    <s v="Long"/>
    <x v="73"/>
    <n v="6.5"/>
    <x v="22"/>
    <s v="A thrilling war adventure."/>
    <x v="12"/>
    <s v="Will Smith, Anthony Hopkins, Tom Hanks, Matt Damon"/>
    <n v="73153"/>
    <n v="174.82"/>
    <n v="174.82"/>
    <s v="Hit"/>
  </r>
  <r>
    <s v="tt1000432"/>
    <s v="Final Revolution 325"/>
    <x v="11"/>
    <x v="0"/>
    <x v="0"/>
    <x v="67"/>
    <s v="Long"/>
    <x v="130"/>
    <n v="6.5"/>
    <x v="10"/>
    <s v="An epic western tale directed by Greta Gerwig."/>
    <x v="19"/>
    <s v="Christian Bale, Jack Nicholson, Mark Ruffalo"/>
    <n v="89419"/>
    <n v="102.29"/>
    <n v="102.29"/>
    <s v="Hit"/>
  </r>
  <r>
    <s v="tt1000595"/>
    <s v="Dark Destiny 488"/>
    <x v="7"/>
    <x v="0"/>
    <x v="0"/>
    <x v="87"/>
    <s v="Medium"/>
    <x v="205"/>
    <n v="6.5"/>
    <x v="25"/>
    <s v="A critically acclaimed horror masterpiece."/>
    <x v="20"/>
    <s v="Gary Oldman, Edward Norton, Johnny Depp, Tom Hanks"/>
    <n v="19375"/>
    <n v="479.95"/>
    <n v="479.95"/>
    <s v="Blockbuster"/>
  </r>
  <r>
    <s v="tt1000857"/>
    <s v="Secret Story 750"/>
    <x v="44"/>
    <x v="0"/>
    <x v="1"/>
    <x v="39"/>
    <s v="Medium"/>
    <x v="34"/>
    <n v="6.5"/>
    <x v="48"/>
    <s v="A documentary film set in 2007."/>
    <x v="25"/>
    <s v="Tom Cruise, Robert Downey Jr., Viola Davis"/>
    <n v="55530"/>
    <m/>
    <n v="0"/>
    <s v="Average"/>
  </r>
  <r>
    <s v="tt1000276"/>
    <s v="An Dreams 169"/>
    <x v="0"/>
    <x v="0"/>
    <x v="2"/>
    <x v="59"/>
    <s v="Medium"/>
    <x v="22"/>
    <n v="6.5"/>
    <x v="18"/>
    <s v="A thrilling animation adventure."/>
    <x v="13"/>
    <s v="Leonardo DiCaprio, Keanu Reeves, Viola Davis, Amy Adams"/>
    <n v="7969"/>
    <n v="10.43"/>
    <n v="10.43"/>
    <s v="Average"/>
  </r>
  <r>
    <s v="tt1000274"/>
    <s v="First Journey 167"/>
    <x v="2"/>
    <x v="0"/>
    <x v="2"/>
    <x v="90"/>
    <s v="Long"/>
    <x v="60"/>
    <n v="6.5"/>
    <x v="44"/>
    <s v="An epic mystery tale directed by Clint Eastwood."/>
    <x v="24"/>
    <s v="Kate Winslet, Robert De Niro, Viola Davis"/>
    <n v="30691"/>
    <m/>
    <n v="0"/>
    <s v="Average"/>
  </r>
  <r>
    <s v="tt1000224"/>
    <s v="Dark Destiny 117"/>
    <x v="60"/>
    <x v="1"/>
    <x v="0"/>
    <x v="43"/>
    <s v="Medium"/>
    <x v="4"/>
    <n v="6.5"/>
    <x v="10"/>
    <s v="A thrilling mystery adventure."/>
    <x v="14"/>
    <s v="Matt Damon, Cate Blanchett, Keanu Reeves"/>
    <n v="7249"/>
    <m/>
    <n v="0"/>
    <s v="Average"/>
  </r>
  <r>
    <s v="tt1000469"/>
    <s v="An Secrets 362"/>
    <x v="18"/>
    <x v="2"/>
    <x v="0"/>
    <x v="25"/>
    <s v="Long"/>
    <x v="4"/>
    <n v="6.5"/>
    <x v="49"/>
    <s v="A critically acclaimed mystery masterpiece."/>
    <x v="26"/>
    <s v="Mark Ruffalo, Edward Norton, Scarlett Johansson, Samuel L. Jackson, Morgan Freeman"/>
    <n v="41099"/>
    <m/>
    <n v="0"/>
    <s v="Average"/>
  </r>
  <r>
    <s v="tt1000648"/>
    <s v="The Destiny 541"/>
    <x v="23"/>
    <x v="1"/>
    <x v="1"/>
    <x v="17"/>
    <s v="Long"/>
    <x v="346"/>
    <n v="6.5"/>
    <x v="46"/>
    <s v="A critically acclaimed animation masterpiece."/>
    <x v="19"/>
    <s v="Edward Norton, Keanu Reeves, Tom Hanks, Chris Hemsworth"/>
    <n v="105413"/>
    <n v="84.41"/>
    <n v="84.41"/>
    <s v="Average"/>
  </r>
  <r>
    <s v="tt1000684"/>
    <s v="Final Awakening 577"/>
    <x v="4"/>
    <x v="0"/>
    <x v="0"/>
    <x v="32"/>
    <s v="Medium"/>
    <x v="222"/>
    <n v="6.5"/>
    <x v="44"/>
    <s v="A critically acclaimed action masterpiece."/>
    <x v="32"/>
    <s v="Kate Winslet, Keanu Reeves, Florence Pugh, Amy Adams, TimothÃ©e Chalamet"/>
    <n v="7952"/>
    <n v="288.18"/>
    <n v="288.18"/>
    <s v="Blockbuster"/>
  </r>
  <r>
    <s v="tt1000642"/>
    <s v="Final Quest 535"/>
    <x v="10"/>
    <x v="2"/>
    <x v="3"/>
    <x v="20"/>
    <s v="Short"/>
    <x v="347"/>
    <n v="6.5"/>
    <x v="0"/>
    <s v="A critically acclaimed musical masterpiece."/>
    <x v="2"/>
    <s v="Natalie Portman, Gary Oldman, Denzel Washington, Mark Ruffalo, Margot Robbie"/>
    <n v="312212"/>
    <n v="442.26"/>
    <n v="442.26"/>
    <s v="Blockbuster"/>
  </r>
  <r>
    <s v="tt1000386"/>
    <s v="Secret Destiny 279"/>
    <x v="10"/>
    <x v="2"/>
    <x v="0"/>
    <x v="68"/>
    <s v="Long"/>
    <x v="45"/>
    <n v="6.5"/>
    <x v="50"/>
    <s v="A thrilling fantasy adventure."/>
    <x v="18"/>
    <s v="Emma Stone, Jack Nicholson, Johnny Depp, Edward Norton"/>
    <n v="1409"/>
    <n v="78.59"/>
    <n v="78.59"/>
    <s v="Average"/>
  </r>
  <r>
    <s v="tt1000928"/>
    <s v="Dark Love 821"/>
    <x v="2"/>
    <x v="0"/>
    <x v="2"/>
    <x v="24"/>
    <s v="Medium"/>
    <x v="348"/>
    <n v="6.5"/>
    <x v="0"/>
    <s v="An epic horror tale directed by Ridley Scott."/>
    <x v="1"/>
    <s v="Jennifer Lawrence, Viola Davis, Anthony Hopkins"/>
    <n v="18863"/>
    <m/>
    <n v="0"/>
    <s v="Average"/>
  </r>
  <r>
    <s v="tt1000360"/>
    <s v="Dark Destiny 253"/>
    <x v="2"/>
    <x v="0"/>
    <x v="2"/>
    <x v="43"/>
    <s v="Medium"/>
    <x v="349"/>
    <n v="6.5"/>
    <x v="43"/>
    <s v="A thrilling western adventure."/>
    <x v="15"/>
    <s v="Robert Downey Jr., Margot Robbie, Denzel Washington, Robert De Niro, Mark Ruffalo"/>
    <n v="36958"/>
    <n v="12.84"/>
    <n v="12.84"/>
    <s v="Average"/>
  </r>
  <r>
    <s v="tt1000558"/>
    <s v="The Legend 451"/>
    <x v="2"/>
    <x v="0"/>
    <x v="0"/>
    <x v="66"/>
    <s v="Long"/>
    <x v="35"/>
    <n v="6.5"/>
    <x v="49"/>
    <s v="A critically acclaimed drama masterpiece."/>
    <x v="36"/>
    <s v="Johnny Depp, Natalie Portman, Florence Pugh, Morgan Freeman, Tom Hanks"/>
    <n v="371661"/>
    <m/>
    <n v="0"/>
    <s v="Average"/>
  </r>
  <r>
    <s v="tt1000288"/>
    <s v="Final Mission 181"/>
    <x v="6"/>
    <x v="2"/>
    <x v="2"/>
    <x v="16"/>
    <s v="Medium"/>
    <x v="3"/>
    <n v="6.5"/>
    <x v="0"/>
    <s v="A biography film set in 2021."/>
    <x v="6"/>
    <s v="TimothÃ©e Chalamet, Emma Stone, Meryl Streep, Jack Nicholson"/>
    <n v="91931"/>
    <m/>
    <n v="0"/>
    <s v="Average"/>
  </r>
  <r>
    <s v="tt1000112"/>
    <s v="Final Dreams 5"/>
    <x v="66"/>
    <x v="7"/>
    <x v="2"/>
    <x v="0"/>
    <s v="Medium"/>
    <x v="350"/>
    <n v="6.5"/>
    <x v="15"/>
    <s v="A critically acclaimed thriller masterpiece."/>
    <x v="12"/>
    <s v="Kate Winslet, Matt Damon, Amy Adams, Mark Ruffalo, Zendaya"/>
    <n v="66740"/>
    <n v="247.93"/>
    <n v="247.93"/>
    <s v="Blockbuster"/>
  </r>
  <r>
    <s v="tt1000767"/>
    <s v="First Story 660"/>
    <x v="19"/>
    <x v="1"/>
    <x v="0"/>
    <x v="64"/>
    <s v="Medium"/>
    <x v="158"/>
    <n v="6.5"/>
    <x v="46"/>
    <s v="A comedy film set in 2011."/>
    <x v="25"/>
    <s v="Cate Blanchett, Jennifer Lawrence, Matt Damon, Tom Hanks, Viola Davis"/>
    <n v="87142"/>
    <n v="389.56"/>
    <n v="389.56"/>
    <s v="Blockbuster"/>
  </r>
  <r>
    <s v="tt1000303"/>
    <s v="Lost Dreams 196"/>
    <x v="3"/>
    <x v="1"/>
    <x v="4"/>
    <x v="91"/>
    <s v="Long"/>
    <x v="302"/>
    <n v="6.5"/>
    <x v="36"/>
    <s v="A critically acclaimed romance masterpiece."/>
    <x v="8"/>
    <s v="Jennifer Lawrence, Morgan Freeman, Meryl Streep"/>
    <n v="83176"/>
    <m/>
    <n v="0"/>
    <s v="Average"/>
  </r>
  <r>
    <s v="tt1000239"/>
    <s v="A Mission 132"/>
    <x v="40"/>
    <x v="0"/>
    <x v="4"/>
    <x v="5"/>
    <s v="Long"/>
    <x v="351"/>
    <n v="6.5"/>
    <x v="0"/>
    <s v="A critically acclaimed family masterpiece."/>
    <x v="35"/>
    <s v="Al Pacino, Chris Hemsworth, Margot Robbie"/>
    <n v="54972"/>
    <n v="149.35"/>
    <n v="149.35"/>
    <s v="Hit"/>
  </r>
  <r>
    <s v="tt1000413"/>
    <s v="Final Love 306"/>
    <x v="6"/>
    <x v="2"/>
    <x v="0"/>
    <x v="66"/>
    <s v="Long"/>
    <x v="338"/>
    <n v="6.5"/>
    <x v="10"/>
    <s v="A war film set in 2021."/>
    <x v="27"/>
    <s v="Tom Cruise, TimothÃ©e Chalamet, Cate Blanchett, Jack Nicholson"/>
    <n v="44118"/>
    <n v="232.17"/>
    <n v="232.17"/>
    <s v="Blockbuster"/>
  </r>
  <r>
    <s v="tt1000785"/>
    <s v="The Dreams 678"/>
    <x v="2"/>
    <x v="0"/>
    <x v="0"/>
    <x v="10"/>
    <s v="Long"/>
    <x v="352"/>
    <n v="6.5"/>
    <x v="18"/>
    <s v="An epic crime tale directed by Peter Jackson."/>
    <x v="8"/>
    <s v="Keanu Reeves, Robert De Niro, Scarlett Johansson, Matt Damon"/>
    <n v="74241"/>
    <m/>
    <n v="0"/>
    <s v="Average"/>
  </r>
  <r>
    <s v="tt1000339"/>
    <s v="Final Mission 232"/>
    <x v="44"/>
    <x v="0"/>
    <x v="1"/>
    <x v="24"/>
    <s v="Medium"/>
    <x v="115"/>
    <n v="6.5"/>
    <x v="47"/>
    <s v="An epic fantasy tale directed by Greta Gerwig."/>
    <x v="19"/>
    <s v="Viola Davis, Mark Ruffalo, Edward Norton, Meryl Streep"/>
    <n v="113125"/>
    <n v="65.64"/>
    <n v="65.64"/>
    <s v="Average"/>
  </r>
  <r>
    <s v="tt1000711"/>
    <s v="First Love 604"/>
    <x v="9"/>
    <x v="1"/>
    <x v="2"/>
    <x v="23"/>
    <s v="Long"/>
    <x v="18"/>
    <n v="6.5"/>
    <x v="25"/>
    <s v="An epic horror tale directed by Bong Joon-ho."/>
    <x v="18"/>
    <s v="Robert De Niro, Brad Pitt, Tom Cruise, Chris Hemsworth, Denzel Washington"/>
    <n v="25326"/>
    <n v="489.89"/>
    <n v="489.89"/>
    <s v="Blockbuster"/>
  </r>
  <r>
    <s v="tt1000494"/>
    <s v="Last Story 387"/>
    <x v="45"/>
    <x v="0"/>
    <x v="5"/>
    <x v="26"/>
    <s v="Long"/>
    <x v="333"/>
    <n v="6.4"/>
    <x v="24"/>
    <s v="An epic thriller tale directed by Coen Brothers."/>
    <x v="5"/>
    <s v="Morgan Freeman, Robert Downey Jr., Chris Hemsworth, Amy Adams, Samuel L. Jackson"/>
    <n v="83870"/>
    <n v="195.76"/>
    <n v="195.76"/>
    <s v="Hit"/>
  </r>
  <r>
    <s v="tt1000557"/>
    <s v="An Revolution 450"/>
    <x v="35"/>
    <x v="2"/>
    <x v="5"/>
    <x v="54"/>
    <s v="Medium"/>
    <x v="353"/>
    <n v="6.4"/>
    <x v="10"/>
    <s v="A adventure film set in 2020."/>
    <x v="33"/>
    <s v="Meryl Streep, Morgan Freeman, TimothÃ©e Chalamet, Zendaya, Amy Adams"/>
    <n v="15008"/>
    <m/>
    <n v="0"/>
    <s v="Average"/>
  </r>
  <r>
    <s v="tt1000918"/>
    <s v="An Kingdom 811"/>
    <x v="45"/>
    <x v="0"/>
    <x v="2"/>
    <x v="22"/>
    <s v="Medium"/>
    <x v="4"/>
    <n v="6.4"/>
    <x v="0"/>
    <s v="A mystery film set in 2001."/>
    <x v="15"/>
    <s v="Robert De Niro, Jack Nicholson, Leonardo DiCaprio"/>
    <n v="80220"/>
    <n v="440.2"/>
    <n v="440.2"/>
    <s v="Blockbuster"/>
  </r>
  <r>
    <s v="tt1000270"/>
    <s v="The War 163"/>
    <x v="12"/>
    <x v="1"/>
    <x v="1"/>
    <x v="3"/>
    <s v="Medium"/>
    <x v="354"/>
    <n v="6.4"/>
    <x v="42"/>
    <s v="A critically acclaimed mystery masterpiece."/>
    <x v="16"/>
    <s v="Harrison Ford, Zendaya, Edward Norton"/>
    <n v="524639"/>
    <n v="464.34"/>
    <n v="464.34"/>
    <s v="Blockbuster"/>
  </r>
  <r>
    <s v="tt1000980"/>
    <s v="An Chronicles 873"/>
    <x v="9"/>
    <x v="1"/>
    <x v="2"/>
    <x v="68"/>
    <s v="Long"/>
    <x v="3"/>
    <n v="6.4"/>
    <x v="21"/>
    <s v="A thrilling biography adventure."/>
    <x v="2"/>
    <s v="Tom Hanks, Viola Davis, Kate Winslet, Robert Downey Jr."/>
    <n v="156485"/>
    <n v="317.22000000000003"/>
    <n v="317.22000000000003"/>
    <s v="Blockbuster"/>
  </r>
  <r>
    <s v="tt1000199"/>
    <s v="The War 92"/>
    <x v="62"/>
    <x v="5"/>
    <x v="0"/>
    <x v="64"/>
    <s v="Medium"/>
    <x v="355"/>
    <n v="6.4"/>
    <x v="36"/>
    <s v="A thrilling musical adventure."/>
    <x v="16"/>
    <s v="Al Pacino, Johnny Depp, Denzel Washington, Will Smith"/>
    <n v="105445"/>
    <n v="128.97"/>
    <n v="128.97"/>
    <s v="Hit"/>
  </r>
  <r>
    <s v="tt1000358"/>
    <s v="Secret Mystery 251"/>
    <x v="7"/>
    <x v="0"/>
    <x v="0"/>
    <x v="68"/>
    <s v="Long"/>
    <x v="237"/>
    <n v="6.4"/>
    <x v="0"/>
    <s v="A horror film set in 2009."/>
    <x v="21"/>
    <s v="Matt Damon, Gary Oldman, Robert De Niro, Jennifer Lawrence, Viola Davis"/>
    <n v="5797"/>
    <n v="92.46"/>
    <n v="92.46"/>
    <s v="Average"/>
  </r>
  <r>
    <s v="tt1000300"/>
    <s v="Final War 193"/>
    <x v="11"/>
    <x v="0"/>
    <x v="1"/>
    <x v="12"/>
    <s v="Long"/>
    <x v="356"/>
    <n v="6.4"/>
    <x v="37"/>
    <s v="A thrilling musical adventure."/>
    <x v="36"/>
    <s v="Tom Hanks, Robert Downey Jr., Gary Oldman, Harrison Ford, Brad Pitt"/>
    <n v="62512"/>
    <n v="145.21"/>
    <n v="145.21"/>
    <s v="Hit"/>
  </r>
  <r>
    <s v="tt1000460"/>
    <s v="A Journey 353"/>
    <x v="51"/>
    <x v="1"/>
    <x v="1"/>
    <x v="63"/>
    <s v="Long"/>
    <x v="190"/>
    <n v="6.4"/>
    <x v="32"/>
    <s v="An epic documentary tale directed by Ang Lee."/>
    <x v="6"/>
    <s v="Matt Damon, Florence Pugh, Brad Pitt"/>
    <n v="1522649"/>
    <n v="44.22"/>
    <n v="44.22"/>
    <s v="Average"/>
  </r>
  <r>
    <s v="tt1000680"/>
    <s v="A War 573"/>
    <x v="0"/>
    <x v="0"/>
    <x v="0"/>
    <x v="32"/>
    <s v="Medium"/>
    <x v="8"/>
    <n v="6.4"/>
    <x v="0"/>
    <s v="An epic war tale directed by Frank Darabont."/>
    <x v="14"/>
    <s v="Zendaya, Viola Davis, Tom Hanks"/>
    <n v="27278"/>
    <n v="170.28"/>
    <n v="170.28"/>
    <s v="Hit"/>
  </r>
  <r>
    <s v="tt1000866"/>
    <s v="Final Story 759"/>
    <x v="5"/>
    <x v="2"/>
    <x v="5"/>
    <x v="47"/>
    <s v="Long"/>
    <x v="18"/>
    <n v="6.4"/>
    <x v="0"/>
    <s v="A critically acclaimed horror masterpiece."/>
    <x v="31"/>
    <s v="Johnny Depp, Tom Hanks, Mark Ruffalo"/>
    <n v="3587"/>
    <n v="220.6"/>
    <n v="220.6"/>
    <s v="Blockbuster"/>
  </r>
  <r>
    <s v="tt1000685"/>
    <s v="Lost Kingdom 578"/>
    <x v="12"/>
    <x v="1"/>
    <x v="0"/>
    <x v="0"/>
    <s v="Medium"/>
    <x v="357"/>
    <n v="6.4"/>
    <x v="48"/>
    <s v="A sci-fi film set in 2013."/>
    <x v="24"/>
    <s v="Keanu Reeves, Emma Stone, Edward Norton"/>
    <n v="222255"/>
    <n v="197.9"/>
    <n v="197.9"/>
    <s v="Hit"/>
  </r>
  <r>
    <s v="tt1000676"/>
    <s v="The Revolution 569"/>
    <x v="3"/>
    <x v="1"/>
    <x v="2"/>
    <x v="8"/>
    <s v="Long"/>
    <x v="358"/>
    <n v="6.4"/>
    <x v="0"/>
    <s v="An epic fantasy tale directed by Ang Lee."/>
    <x v="6"/>
    <s v="Daniel Day-Lewis, Tom Hanks, Christian Bale, Keanu Reeves"/>
    <n v="200924"/>
    <n v="342.49"/>
    <n v="342.49"/>
    <s v="Blockbuster"/>
  </r>
  <r>
    <s v="tt1000876"/>
    <s v="Secret Mission 769"/>
    <x v="23"/>
    <x v="1"/>
    <x v="2"/>
    <x v="59"/>
    <s v="Medium"/>
    <x v="359"/>
    <n v="6.4"/>
    <x v="47"/>
    <s v="A sci-fi film set in 2017."/>
    <x v="21"/>
    <s v="Christian Bale, Will Smith, Keanu Reeves, Tom Hanks"/>
    <n v="93420"/>
    <m/>
    <n v="0"/>
    <s v="Average"/>
  </r>
  <r>
    <s v="tt1000195"/>
    <s v="First Mission 88"/>
    <x v="61"/>
    <x v="5"/>
    <x v="0"/>
    <x v="8"/>
    <s v="Long"/>
    <x v="92"/>
    <n v="6.4"/>
    <x v="29"/>
    <s v="A critically acclaimed sci-fi masterpiece."/>
    <x v="30"/>
    <s v="Leonardo DiCaprio, Viola Davis, Amy Adams, Chris Hemsworth, Edward Norton"/>
    <n v="16734"/>
    <n v="94.55"/>
    <n v="94.55"/>
    <s v="Average"/>
  </r>
  <r>
    <s v="tt1000729"/>
    <s v="An Dreams 622"/>
    <x v="3"/>
    <x v="1"/>
    <x v="0"/>
    <x v="34"/>
    <s v="Medium"/>
    <x v="92"/>
    <n v="6.4"/>
    <x v="42"/>
    <s v="A critically acclaimed sci-fi masterpiece."/>
    <x v="9"/>
    <s v="Margot Robbie, Scarlett Johansson, Natalie Portman, Cate Blanchett"/>
    <n v="144759"/>
    <m/>
    <n v="0"/>
    <s v="Average"/>
  </r>
  <r>
    <s v="tt1000929"/>
    <s v="Secret Destiny 822"/>
    <x v="23"/>
    <x v="1"/>
    <x v="0"/>
    <x v="76"/>
    <s v="Medium"/>
    <x v="3"/>
    <n v="6.4"/>
    <x v="12"/>
    <s v="A biography film set in 2017."/>
    <x v="20"/>
    <s v="Tom Cruise, Chris Hemsworth, Daniel Day-Lewis, Tom Hanks"/>
    <n v="78601"/>
    <n v="467.65"/>
    <n v="467.65"/>
    <s v="Blockbuster"/>
  </r>
  <r>
    <s v="tt1000917"/>
    <s v="Last Empire 810"/>
    <x v="40"/>
    <x v="0"/>
    <x v="2"/>
    <x v="35"/>
    <s v="Long"/>
    <x v="31"/>
    <n v="6.4"/>
    <x v="0"/>
    <s v="A thrilling action adventure."/>
    <x v="11"/>
    <s v="Al Pacino, Mark Ruffalo, Harrison Ford, Chris Hemsworth, Jack Nicholson"/>
    <n v="47750"/>
    <n v="295.29000000000002"/>
    <n v="295.29000000000002"/>
    <s v="Blockbuster"/>
  </r>
  <r>
    <s v="tt1000603"/>
    <s v="Dark Love 496"/>
    <x v="5"/>
    <x v="2"/>
    <x v="0"/>
    <x v="62"/>
    <s v="Long"/>
    <x v="360"/>
    <n v="6.4"/>
    <x v="0"/>
    <s v="A thrilling musical adventure."/>
    <x v="11"/>
    <s v="Robert De Niro, Kate Winslet, Edward Norton"/>
    <n v="74621"/>
    <n v="253.13"/>
    <n v="253.13"/>
    <s v="Blockbuster"/>
  </r>
  <r>
    <s v="tt1000969"/>
    <s v="A Awakening 862"/>
    <x v="3"/>
    <x v="1"/>
    <x v="0"/>
    <x v="14"/>
    <s v="Medium"/>
    <x v="3"/>
    <n v="6.4"/>
    <x v="15"/>
    <s v="A critically acclaimed biography masterpiece."/>
    <x v="27"/>
    <s v="Denzel Washington, Keanu Reeves, Florence Pugh, Robert De Niro, Robert Downey Jr."/>
    <n v="394637"/>
    <m/>
    <n v="0"/>
    <s v="Average"/>
  </r>
  <r>
    <s v="tt1000168"/>
    <s v="An Kingdom 61"/>
    <x v="62"/>
    <x v="5"/>
    <x v="2"/>
    <x v="32"/>
    <s v="Medium"/>
    <x v="114"/>
    <n v="6.4"/>
    <x v="32"/>
    <s v="A adventure film set in 1995."/>
    <x v="13"/>
    <s v="Robert De Niro, Scarlett Johansson, Anthony Hopkins, Brad Pitt"/>
    <n v="24622"/>
    <n v="249.96"/>
    <n v="249.96"/>
    <s v="Blockbuster"/>
  </r>
  <r>
    <s v="tt1000629"/>
    <s v="The War 522"/>
    <x v="0"/>
    <x v="0"/>
    <x v="2"/>
    <x v="11"/>
    <s v="Long"/>
    <x v="361"/>
    <n v="6.4"/>
    <x v="0"/>
    <s v="An epic drama tale directed by George Lucas."/>
    <x v="36"/>
    <s v="Edward Norton, Zendaya, Brad Pitt, Daniel Day-Lewis"/>
    <n v="58590"/>
    <m/>
    <n v="0"/>
    <s v="Average"/>
  </r>
  <r>
    <s v="tt1000511"/>
    <s v="A Chronicles 404"/>
    <x v="7"/>
    <x v="0"/>
    <x v="0"/>
    <x v="53"/>
    <s v="Medium"/>
    <x v="362"/>
    <n v="6.4"/>
    <x v="39"/>
    <s v="A critically acclaimed sci-fi masterpiece."/>
    <x v="5"/>
    <s v="Harrison Ford, Morgan Freeman, Leonardo DiCaprio"/>
    <n v="5474"/>
    <n v="82.59"/>
    <n v="82.59"/>
    <s v="Average"/>
  </r>
  <r>
    <s v="tt1000514"/>
    <s v="Final Dreams 407"/>
    <x v="18"/>
    <x v="2"/>
    <x v="2"/>
    <x v="72"/>
    <s v="Long"/>
    <x v="220"/>
    <n v="6.4"/>
    <x v="0"/>
    <s v="An epic war tale directed by Pedro AlmodÃ³var."/>
    <x v="30"/>
    <s v="Viola Davis, Matt Damon, Emma Stone"/>
    <n v="24262"/>
    <n v="228.57"/>
    <n v="228.57"/>
    <s v="Blockbuster"/>
  </r>
  <r>
    <s v="tt1000761"/>
    <s v="Dark Empire 654"/>
    <x v="34"/>
    <x v="0"/>
    <x v="0"/>
    <x v="64"/>
    <s v="Medium"/>
    <x v="363"/>
    <n v="6.4"/>
    <x v="12"/>
    <s v="A thrilling musical adventure."/>
    <x v="33"/>
    <s v="Gary Oldman, Matt Damon, Tom Cruise"/>
    <n v="119741"/>
    <n v="155.43"/>
    <n v="155.43"/>
    <s v="Hit"/>
  </r>
  <r>
    <s v="tt1000185"/>
    <s v="First Chronicles 78"/>
    <x v="28"/>
    <x v="7"/>
    <x v="0"/>
    <x v="59"/>
    <s v="Medium"/>
    <x v="4"/>
    <n v="6.4"/>
    <x v="31"/>
    <s v="A critically acclaimed mystery masterpiece."/>
    <x v="12"/>
    <s v="Natalie Portman, Gary Oldman, Florence Pugh, Daniel Day-Lewis"/>
    <n v="18775"/>
    <n v="82.54"/>
    <n v="82.54"/>
    <s v="Average"/>
  </r>
  <r>
    <s v="tt1000188"/>
    <s v="First Adventures 81"/>
    <x v="31"/>
    <x v="7"/>
    <x v="0"/>
    <x v="47"/>
    <s v="Long"/>
    <x v="152"/>
    <n v="6.4"/>
    <x v="0"/>
    <s v="An epic family tale directed by Danny Boyle."/>
    <x v="22"/>
    <s v="Zendaya, Cate Blanchett, Harrison Ford"/>
    <n v="1689"/>
    <n v="103.72"/>
    <n v="103.72"/>
    <s v="Hit"/>
  </r>
  <r>
    <s v="tt1000186"/>
    <s v="Lost Awakening 79"/>
    <x v="30"/>
    <x v="7"/>
    <x v="1"/>
    <x v="12"/>
    <s v="Long"/>
    <x v="364"/>
    <n v="6.4"/>
    <x v="36"/>
    <s v="A thriller film set in 1984."/>
    <x v="11"/>
    <s v="Anthony Hopkins, Cate Blanchett, Johnny Depp, Amy Adams"/>
    <n v="55483"/>
    <m/>
    <n v="0"/>
    <s v="Average"/>
  </r>
  <r>
    <s v="tt1000325"/>
    <s v="Secret Kingdom 218"/>
    <x v="1"/>
    <x v="1"/>
    <x v="1"/>
    <x v="84"/>
    <s v="Short"/>
    <x v="365"/>
    <n v="6.4"/>
    <x v="37"/>
    <s v="A critically acclaimed horror masterpiece."/>
    <x v="4"/>
    <s v="Amy Adams, Daniel Day-Lewis, Viola Davis, Keanu Reeves"/>
    <n v="1578"/>
    <n v="420.67"/>
    <n v="420.67"/>
    <s v="Blockbuster"/>
  </r>
  <r>
    <s v="tt1000400"/>
    <s v="A Chronicles 293"/>
    <x v="51"/>
    <x v="1"/>
    <x v="0"/>
    <x v="15"/>
    <s v="Long"/>
    <x v="28"/>
    <n v="6.4"/>
    <x v="21"/>
    <s v="A critically acclaimed biography masterpiece."/>
    <x v="28"/>
    <s v="Meryl Streep, Christian Bale, Harrison Ford, Robert De Niro"/>
    <n v="71929"/>
    <n v="132.94"/>
    <n v="132.94"/>
    <s v="Hit"/>
  </r>
  <r>
    <s v="tt1000539"/>
    <s v="Last Legend 432"/>
    <x v="6"/>
    <x v="2"/>
    <x v="1"/>
    <x v="55"/>
    <s v="Medium"/>
    <x v="115"/>
    <n v="6.4"/>
    <x v="38"/>
    <s v="A thrilling fantasy adventure."/>
    <x v="11"/>
    <s v="Johnny Depp, Jack Nicholson, Robert Downey Jr."/>
    <n v="335262"/>
    <n v="488.94"/>
    <n v="488.94"/>
    <s v="Blockbuster"/>
  </r>
  <r>
    <s v="tt1000752"/>
    <s v="The Kingdom 645"/>
    <x v="24"/>
    <x v="0"/>
    <x v="5"/>
    <x v="62"/>
    <s v="Long"/>
    <x v="18"/>
    <n v="6.4"/>
    <x v="29"/>
    <s v="A horror film set in 2003."/>
    <x v="28"/>
    <s v="Gary Oldman, Samuel L. Jackson, Zendaya, Al Pacino"/>
    <n v="1204"/>
    <m/>
    <n v="0"/>
    <s v="Average"/>
  </r>
  <r>
    <s v="tt1000509"/>
    <s v="Secret Empire 402"/>
    <x v="60"/>
    <x v="1"/>
    <x v="0"/>
    <x v="25"/>
    <s v="Long"/>
    <x v="34"/>
    <n v="6.4"/>
    <x v="31"/>
    <s v="An epic documentary tale directed by Edgar Wright."/>
    <x v="26"/>
    <s v="Will Smith, Natalie Portman, Matt Damon, Leonardo DiCaprio"/>
    <n v="11165"/>
    <m/>
    <n v="0"/>
    <s v="Average"/>
  </r>
  <r>
    <s v="tt1000227"/>
    <s v="Final Quest 120"/>
    <x v="12"/>
    <x v="1"/>
    <x v="2"/>
    <x v="14"/>
    <s v="Medium"/>
    <x v="366"/>
    <n v="6.3"/>
    <x v="12"/>
    <s v="An epic mystery tale directed by Ridley Scott."/>
    <x v="1"/>
    <s v="Harrison Ford, Cate Blanchett, Brad Pitt, Chris Hemsworth, Tom Cruise"/>
    <n v="124749"/>
    <m/>
    <n v="0"/>
    <s v="Average"/>
  </r>
  <r>
    <s v="tt1000688"/>
    <s v="First Adventures 581"/>
    <x v="35"/>
    <x v="2"/>
    <x v="5"/>
    <x v="10"/>
    <s v="Long"/>
    <x v="296"/>
    <n v="6.3"/>
    <x v="21"/>
    <s v="A western film set in 2020."/>
    <x v="36"/>
    <s v="Emma Stone, Meryl Streep, Robert De Niro, Margot Robbie, Florence Pugh"/>
    <n v="1543"/>
    <n v="447.43"/>
    <n v="447.43"/>
    <s v="Blockbuster"/>
  </r>
  <r>
    <s v="tt1000451"/>
    <s v="First Secrets 344"/>
    <x v="45"/>
    <x v="0"/>
    <x v="2"/>
    <x v="70"/>
    <s v="Long"/>
    <x v="158"/>
    <n v="6.3"/>
    <x v="0"/>
    <s v="A thrilling comedy adventure."/>
    <x v="11"/>
    <s v="Jennifer Lawrence, Keanu Reeves, Al Pacino"/>
    <n v="1228"/>
    <n v="79.349999999999994"/>
    <n v="79.349999999999994"/>
    <s v="Average"/>
  </r>
  <r>
    <s v="tt1000273"/>
    <s v="First Empire 166"/>
    <x v="35"/>
    <x v="2"/>
    <x v="0"/>
    <x v="6"/>
    <s v="Long"/>
    <x v="367"/>
    <n v="6.3"/>
    <x v="0"/>
    <s v="An epic adventure tale directed by Francis Ford Coppola."/>
    <x v="9"/>
    <s v="Emma Stone, Will Smith, Edward Norton, Margot Robbie, Samuel L. Jackson"/>
    <n v="495846"/>
    <n v="483.91"/>
    <n v="483.91"/>
    <s v="Blockbuster"/>
  </r>
  <r>
    <s v="tt1000459"/>
    <s v="An Revolution 352"/>
    <x v="18"/>
    <x v="2"/>
    <x v="0"/>
    <x v="13"/>
    <s v="Long"/>
    <x v="175"/>
    <n v="6.3"/>
    <x v="46"/>
    <s v="A critically acclaimed comedy masterpiece."/>
    <x v="31"/>
    <s v="Will Smith, Natalie Portman, Daniel Day-Lewis"/>
    <n v="926356"/>
    <m/>
    <n v="0"/>
    <s v="Average"/>
  </r>
  <r>
    <s v="tt1000865"/>
    <s v="An Awakening 758"/>
    <x v="2"/>
    <x v="0"/>
    <x v="5"/>
    <x v="56"/>
    <s v="Short"/>
    <x v="42"/>
    <n v="6.3"/>
    <x v="31"/>
    <s v="A thriller film set in 2008."/>
    <x v="6"/>
    <s v="Meryl Streep, Denzel Washington, Leonardo DiCaprio"/>
    <n v="82201"/>
    <n v="272.26"/>
    <n v="272.26"/>
    <s v="Blockbuster"/>
  </r>
  <r>
    <s v="tt1000625"/>
    <s v="Last Love 518"/>
    <x v="60"/>
    <x v="1"/>
    <x v="0"/>
    <x v="78"/>
    <s v="Long"/>
    <x v="161"/>
    <n v="6.3"/>
    <x v="0"/>
    <s v="An epic documentary tale directed by Spike Lee."/>
    <x v="2"/>
    <s v="Robert Downey Jr., Jennifer Lawrence, TimothÃ©e Chalamet"/>
    <n v="43746"/>
    <m/>
    <n v="0"/>
    <s v="Average"/>
  </r>
  <r>
    <s v="tt1000651"/>
    <s v="A Adventures 544"/>
    <x v="0"/>
    <x v="0"/>
    <x v="1"/>
    <x v="32"/>
    <s v="Medium"/>
    <x v="368"/>
    <n v="6.3"/>
    <x v="37"/>
    <s v="An epic thriller tale directed by Akira Kurosawa."/>
    <x v="12"/>
    <s v="Jennifer Lawrence, Al Pacino, Johnny Depp, Daniel Day-Lewis, Amy Adams"/>
    <n v="470549"/>
    <m/>
    <n v="0"/>
    <s v="Average"/>
  </r>
  <r>
    <s v="tt1000967"/>
    <s v="An Empire 860"/>
    <x v="12"/>
    <x v="1"/>
    <x v="0"/>
    <x v="59"/>
    <s v="Medium"/>
    <x v="87"/>
    <n v="6.3"/>
    <x v="42"/>
    <s v="A musical film set in 2013."/>
    <x v="11"/>
    <s v="Johnny Depp, Natalie Portman, Tom Cruise, Samuel L. Jackson, Robert Downey Jr."/>
    <n v="98151"/>
    <n v="99.87"/>
    <n v="99.87"/>
    <s v="Average"/>
  </r>
  <r>
    <s v="tt1000198"/>
    <s v="Dark Mystery 91"/>
    <x v="71"/>
    <x v="5"/>
    <x v="3"/>
    <x v="13"/>
    <s v="Long"/>
    <x v="57"/>
    <n v="6.3"/>
    <x v="51"/>
    <s v="An epic family tale directed by Alfred Hitchcock."/>
    <x v="20"/>
    <s v="Will Smith, Brad Pitt, Kate Winslet, Leonardo DiCaprio"/>
    <n v="39942"/>
    <n v="99.59"/>
    <n v="99.59"/>
    <s v="Average"/>
  </r>
  <r>
    <s v="tt1000439"/>
    <s v="Secret Revolution 332"/>
    <x v="2"/>
    <x v="0"/>
    <x v="0"/>
    <x v="43"/>
    <s v="Medium"/>
    <x v="130"/>
    <n v="6.3"/>
    <x v="12"/>
    <s v="A critically acclaimed western masterpiece."/>
    <x v="4"/>
    <s v="Daniel Day-Lewis, Meryl Streep, Leonardo DiCaprio"/>
    <n v="45231"/>
    <n v="31.87"/>
    <n v="31.87"/>
    <s v="Average"/>
  </r>
  <r>
    <s v="tt1000987"/>
    <s v="Lost Revolution 880"/>
    <x v="9"/>
    <x v="1"/>
    <x v="5"/>
    <x v="16"/>
    <s v="Medium"/>
    <x v="213"/>
    <n v="6.3"/>
    <x v="47"/>
    <s v="An epic documentary tale directed by Francis Ford Coppola."/>
    <x v="9"/>
    <s v="Christian Bale, Al Pacino, Viola Davis"/>
    <n v="12273"/>
    <m/>
    <n v="0"/>
    <s v="Average"/>
  </r>
  <r>
    <s v="tt1000208"/>
    <s v="Secret Empire 101"/>
    <x v="24"/>
    <x v="0"/>
    <x v="0"/>
    <x v="35"/>
    <s v="Long"/>
    <x v="80"/>
    <n v="6.3"/>
    <x v="0"/>
    <s v="A musical film set in 2003."/>
    <x v="24"/>
    <s v="Florence Pugh, Scarlett Johansson, Robert De Niro"/>
    <n v="13569"/>
    <n v="324.45999999999998"/>
    <n v="324.45999999999998"/>
    <s v="Blockbuster"/>
  </r>
  <r>
    <s v="tt1000397"/>
    <s v="A Adventures 290"/>
    <x v="24"/>
    <x v="0"/>
    <x v="0"/>
    <x v="38"/>
    <s v="Medium"/>
    <x v="369"/>
    <n v="6.3"/>
    <x v="48"/>
    <s v="A thrilling fantasy adventure."/>
    <x v="28"/>
    <s v="Morgan Freeman, Will Smith, Denzel Washington, Margot Robbie"/>
    <n v="96729"/>
    <n v="127.42"/>
    <n v="127.42"/>
    <s v="Hit"/>
  </r>
  <r>
    <s v="tt1000703"/>
    <s v="A Empire 596"/>
    <x v="45"/>
    <x v="0"/>
    <x v="1"/>
    <x v="17"/>
    <s v="Long"/>
    <x v="370"/>
    <n v="6.3"/>
    <x v="0"/>
    <s v="A critically acclaimed action masterpiece."/>
    <x v="28"/>
    <s v="Kate Winslet, Edward Norton, Morgan Freeman, Jack Nicholson, Johnny Depp"/>
    <n v="46901"/>
    <n v="205.21"/>
    <n v="205.21"/>
    <s v="Blockbuster"/>
  </r>
  <r>
    <s v="tt1000220"/>
    <s v="The Journey 113"/>
    <x v="19"/>
    <x v="1"/>
    <x v="0"/>
    <x v="30"/>
    <s v="Medium"/>
    <x v="116"/>
    <n v="6.3"/>
    <x v="0"/>
    <s v="An epic biography tale directed by Wong Kar-wai."/>
    <x v="17"/>
    <s v="Scarlett Johansson, Cate Blanchett, Florence Pugh"/>
    <n v="57003"/>
    <n v="21.86"/>
    <n v="21.86"/>
    <s v="Average"/>
  </r>
  <r>
    <s v="tt1000114"/>
    <s v="Dark Mission 7"/>
    <x v="57"/>
    <x v="7"/>
    <x v="2"/>
    <x v="8"/>
    <s v="Long"/>
    <x v="35"/>
    <n v="6.3"/>
    <x v="42"/>
    <s v="A critically acclaimed drama masterpiece."/>
    <x v="19"/>
    <s v="Will Smith, Edward Norton, Anthony Hopkins, Zendaya, Emma Stone"/>
    <n v="17722"/>
    <n v="44.03"/>
    <n v="44.03"/>
    <s v="Average"/>
  </r>
  <r>
    <s v="tt1000571"/>
    <s v="A Mission 464"/>
    <x v="44"/>
    <x v="0"/>
    <x v="2"/>
    <x v="51"/>
    <s v="Long"/>
    <x v="158"/>
    <n v="6.3"/>
    <x v="50"/>
    <s v="A thrilling comedy adventure."/>
    <x v="12"/>
    <s v="Natalie Portman, Leonardo DiCaprio, Emma Stone"/>
    <n v="52271"/>
    <n v="370.28"/>
    <n v="370.28"/>
    <s v="Blockbuster"/>
  </r>
  <r>
    <s v="tt1000742"/>
    <s v="Lost Adventures 635"/>
    <x v="35"/>
    <x v="2"/>
    <x v="0"/>
    <x v="44"/>
    <s v="Long"/>
    <x v="371"/>
    <n v="6.3"/>
    <x v="0"/>
    <s v="A mystery film set in 2020."/>
    <x v="12"/>
    <s v="Emma Stone, Jack Nicholson, TimothÃ©e Chalamet, Tom Cruise, Samuel L. Jackson"/>
    <n v="3641"/>
    <m/>
    <n v="0"/>
    <s v="Average"/>
  </r>
  <r>
    <s v="tt1000233"/>
    <s v="Secret Dreams 126"/>
    <x v="18"/>
    <x v="2"/>
    <x v="1"/>
    <x v="3"/>
    <s v="Medium"/>
    <x v="22"/>
    <n v="6.3"/>
    <x v="25"/>
    <s v="An epic animation tale directed by Kathryn Bigelow."/>
    <x v="23"/>
    <s v="Christian Bale, Edward Norton, Robert Downey Jr., Denzel Washington"/>
    <n v="288806"/>
    <n v="34.15"/>
    <n v="34.15"/>
    <s v="Average"/>
  </r>
  <r>
    <s v="tt1000575"/>
    <s v="Last Chronicles 468"/>
    <x v="60"/>
    <x v="1"/>
    <x v="1"/>
    <x v="6"/>
    <s v="Long"/>
    <x v="372"/>
    <n v="6.3"/>
    <x v="36"/>
    <s v="An epic action tale directed by Ang Lee."/>
    <x v="6"/>
    <s v="Robert Downey Jr., Cate Blanchett, Daniel Day-Lewis"/>
    <n v="201206"/>
    <n v="226.26"/>
    <n v="226.26"/>
    <s v="Blockbuster"/>
  </r>
  <r>
    <s v="tt1000490"/>
    <s v="An Quest 383"/>
    <x v="2"/>
    <x v="0"/>
    <x v="2"/>
    <x v="9"/>
    <s v="Long"/>
    <x v="373"/>
    <n v="6.3"/>
    <x v="6"/>
    <s v="An epic fantasy tale directed by Ryan Coogler."/>
    <x v="31"/>
    <s v="Keanu Reeves, Robert Downey Jr., Will Smith, Edward Norton"/>
    <n v="48970"/>
    <n v="365.46"/>
    <n v="365.46"/>
    <s v="Blockbuster"/>
  </r>
  <r>
    <s v="tt1000237"/>
    <s v="First Mystery 130"/>
    <x v="34"/>
    <x v="0"/>
    <x v="1"/>
    <x v="22"/>
    <s v="Medium"/>
    <x v="70"/>
    <n v="6.3"/>
    <x v="40"/>
    <s v="A thrilling musical adventure."/>
    <x v="14"/>
    <s v="Viola Davis, Jennifer Lawrence, Natalie Portman"/>
    <n v="108956"/>
    <n v="385.04"/>
    <n v="385.04"/>
    <s v="Blockbuster"/>
  </r>
  <r>
    <s v="tt1000412"/>
    <s v="Last Story 305"/>
    <x v="45"/>
    <x v="0"/>
    <x v="2"/>
    <x v="72"/>
    <s v="Long"/>
    <x v="94"/>
    <n v="6.3"/>
    <x v="31"/>
    <s v="A thrilling romance adventure."/>
    <x v="15"/>
    <s v="Denzel Washington, Robert Downey Jr., Anthony Hopkins, Daniel Day-Lewis, Jack Nicholson"/>
    <n v="140571"/>
    <m/>
    <n v="0"/>
    <s v="Average"/>
  </r>
  <r>
    <s v="tt1000790"/>
    <s v="Last Adventures 683"/>
    <x v="0"/>
    <x v="0"/>
    <x v="1"/>
    <x v="3"/>
    <s v="Medium"/>
    <x v="374"/>
    <n v="6.3"/>
    <x v="39"/>
    <s v="A thrilling fantasy adventure."/>
    <x v="31"/>
    <s v="Daniel Day-Lewis, Gary Oldman, Emma Stone"/>
    <n v="76117"/>
    <n v="211.08"/>
    <n v="211.08"/>
    <s v="Blockbuster"/>
  </r>
  <r>
    <s v="tt1000497"/>
    <s v="First Revolution 390"/>
    <x v="4"/>
    <x v="0"/>
    <x v="0"/>
    <x v="85"/>
    <s v="Long"/>
    <x v="22"/>
    <n v="6.3"/>
    <x v="0"/>
    <s v="A thrilling animation adventure."/>
    <x v="35"/>
    <s v="Matt Damon, Harrison Ford, Will Smith, Jack Nicholson"/>
    <n v="78970"/>
    <n v="198.71"/>
    <n v="198.71"/>
    <s v="Hit"/>
  </r>
  <r>
    <s v="tt1000695"/>
    <s v="Lost Love 588"/>
    <x v="9"/>
    <x v="1"/>
    <x v="0"/>
    <x v="74"/>
    <s v="Medium"/>
    <x v="97"/>
    <n v="6.3"/>
    <x v="32"/>
    <s v="An epic adventure tale directed by Danny Boyle."/>
    <x v="22"/>
    <s v="Robert Downey Jr., Mark Ruffalo, Viola Davis"/>
    <n v="47969"/>
    <n v="24.49"/>
    <n v="24.49"/>
    <s v="Average"/>
  </r>
  <r>
    <s v="tt1000102"/>
    <s v="The Sting"/>
    <x v="48"/>
    <x v="7"/>
    <x v="1"/>
    <x v="80"/>
    <s v="Long"/>
    <x v="87"/>
    <n v="6.3"/>
    <x v="0"/>
    <s v="A critically acclaimed musical masterpiece."/>
    <x v="24"/>
    <s v="Harrison Ford, Anthony Hopkins, Matt Damon"/>
    <n v="81619"/>
    <n v="39.08"/>
    <n v="39.08"/>
    <s v="Average"/>
  </r>
  <r>
    <s v="tt1000500"/>
    <s v="Secret Quest 393"/>
    <x v="4"/>
    <x v="0"/>
    <x v="2"/>
    <x v="70"/>
    <s v="Long"/>
    <x v="115"/>
    <n v="6.3"/>
    <x v="10"/>
    <s v="A critically acclaimed fantasy masterpiece."/>
    <x v="13"/>
    <s v="Leonardo DiCaprio, Edward Norton, Amy Adams, Robert Downey Jr."/>
    <n v="17548"/>
    <n v="106.52"/>
    <n v="106.52"/>
    <s v="Hit"/>
  </r>
  <r>
    <s v="tt1000100"/>
    <s v="One Flew Over the Cuckoo's Nest"/>
    <x v="58"/>
    <x v="7"/>
    <x v="2"/>
    <x v="0"/>
    <s v="Medium"/>
    <x v="4"/>
    <n v="6.3"/>
    <x v="52"/>
    <s v="A critically acclaimed mystery masterpiece."/>
    <x v="18"/>
    <s v="Mark Ruffalo, Harrison Ford, Samuel L. Jackson, Robert Downey Jr."/>
    <n v="110206"/>
    <n v="133.09"/>
    <n v="133.09"/>
    <s v="Hit"/>
  </r>
  <r>
    <s v="tt1000156"/>
    <s v="Secret Mission 49"/>
    <x v="33"/>
    <x v="5"/>
    <x v="2"/>
    <x v="50"/>
    <s v="Medium"/>
    <x v="237"/>
    <n v="6.3"/>
    <x v="0"/>
    <s v="A critically acclaimed horror masterpiece."/>
    <x v="33"/>
    <s v="Mark Ruffalo, Emma Stone, Robert De Niro"/>
    <n v="39633"/>
    <n v="59.28"/>
    <n v="59.28"/>
    <s v="Average"/>
  </r>
  <r>
    <s v="tt1000149"/>
    <s v="Dark War 42"/>
    <x v="71"/>
    <x v="5"/>
    <x v="0"/>
    <x v="75"/>
    <s v="Medium"/>
    <x v="375"/>
    <n v="6.3"/>
    <x v="21"/>
    <s v="A thrilling drama adventure."/>
    <x v="5"/>
    <s v="Margot Robbie, Anthony Hopkins, Morgan Freeman"/>
    <n v="12224"/>
    <n v="299.01"/>
    <n v="299.01"/>
    <s v="Blockbuster"/>
  </r>
  <r>
    <s v="tt1000151"/>
    <s v="Final Kingdom 44"/>
    <x v="14"/>
    <x v="5"/>
    <x v="1"/>
    <x v="41"/>
    <s v="Long"/>
    <x v="5"/>
    <n v="6.3"/>
    <x v="0"/>
    <s v="A crime film set in 1997."/>
    <x v="6"/>
    <s v="Natalie Portman, Harrison Ford, Edward Norton"/>
    <n v="18227"/>
    <n v="189.95"/>
    <n v="189.95"/>
    <s v="Hit"/>
  </r>
  <r>
    <s v="tt1000512"/>
    <s v="Secret Empire 405"/>
    <x v="52"/>
    <x v="1"/>
    <x v="1"/>
    <x v="41"/>
    <s v="Long"/>
    <x v="376"/>
    <n v="6.3"/>
    <x v="51"/>
    <s v="A critically acclaimed sci-fi masterpiece."/>
    <x v="23"/>
    <s v="Denzel Washington, Leonardo DiCaprio, Zendaya, Scarlett Johansson"/>
    <n v="10353"/>
    <n v="355.68"/>
    <n v="355.68"/>
    <s v="Blockbuster"/>
  </r>
  <r>
    <s v="tt1000554"/>
    <s v="Final Dreams 447"/>
    <x v="0"/>
    <x v="0"/>
    <x v="1"/>
    <x v="2"/>
    <s v="Short"/>
    <x v="377"/>
    <n v="6.3"/>
    <x v="29"/>
    <s v="A critically acclaimed comedy masterpiece."/>
    <x v="1"/>
    <s v="Zendaya, Matt Damon, Jennifer Lawrence, Scarlett Johansson"/>
    <n v="418943"/>
    <n v="356.71"/>
    <n v="356.71"/>
    <s v="Blockbuster"/>
  </r>
  <r>
    <s v="tt1000336"/>
    <s v="A Kingdom 229"/>
    <x v="35"/>
    <x v="2"/>
    <x v="1"/>
    <x v="13"/>
    <s v="Long"/>
    <x v="94"/>
    <n v="6.3"/>
    <x v="0"/>
    <s v="A thrilling romance adventure."/>
    <x v="3"/>
    <s v="Gary Oldman, Daniel Day-Lewis, Samuel L. Jackson"/>
    <n v="431961"/>
    <m/>
    <n v="0"/>
    <s v="Average"/>
  </r>
  <r>
    <s v="tt1000340"/>
    <s v="An Journey 233"/>
    <x v="4"/>
    <x v="0"/>
    <x v="4"/>
    <x v="41"/>
    <s v="Long"/>
    <x v="378"/>
    <n v="6.3"/>
    <x v="0"/>
    <s v="A critically acclaimed adventure masterpiece."/>
    <x v="12"/>
    <s v="Denzel Washington, Al Pacino, Margot Robbie"/>
    <n v="57726"/>
    <n v="242.04"/>
    <n v="242.04"/>
    <s v="Blockbuster"/>
  </r>
  <r>
    <s v="tt1000253"/>
    <s v="An Love 146"/>
    <x v="10"/>
    <x v="2"/>
    <x v="1"/>
    <x v="77"/>
    <s v="Long"/>
    <x v="39"/>
    <n v="6.3"/>
    <x v="48"/>
    <s v="A thrilling fantasy adventure."/>
    <x v="24"/>
    <s v="Daniel Day-Lewis, Matt Damon, TimothÃ©e Chalamet, Margot Robbie"/>
    <n v="71898"/>
    <m/>
    <n v="0"/>
    <s v="Average"/>
  </r>
  <r>
    <s v="tt1000351"/>
    <s v="Last Quest 244"/>
    <x v="2"/>
    <x v="0"/>
    <x v="0"/>
    <x v="10"/>
    <s v="Long"/>
    <x v="5"/>
    <n v="6.3"/>
    <x v="0"/>
    <s v="A critically acclaimed crime masterpiece."/>
    <x v="23"/>
    <s v="Cate Blanchett, Gary Oldman, Matt Damon, Johnny Depp, Tom Hanks"/>
    <n v="21863"/>
    <n v="252.14"/>
    <n v="252.14"/>
    <s v="Blockbuster"/>
  </r>
  <r>
    <s v="tt1000949"/>
    <s v="A Secrets 842"/>
    <x v="60"/>
    <x v="1"/>
    <x v="1"/>
    <x v="0"/>
    <s v="Medium"/>
    <x v="166"/>
    <n v="6.3"/>
    <x v="38"/>
    <s v="A thrilling biography adventure."/>
    <x v="33"/>
    <s v="Meryl Streep, Mark Ruffalo, Amy Adams, Denzel Washington"/>
    <n v="26670"/>
    <n v="167.6"/>
    <n v="167.6"/>
    <s v="Hit"/>
  </r>
  <r>
    <s v="tt1000953"/>
    <s v="A Adventures 846"/>
    <x v="60"/>
    <x v="1"/>
    <x v="2"/>
    <x v="5"/>
    <s v="Long"/>
    <x v="172"/>
    <n v="6.3"/>
    <x v="15"/>
    <s v="An epic war tale directed by Coen Brothers."/>
    <x v="5"/>
    <s v="Brad Pitt, Florence Pugh, Tom Cruise, Edward Norton"/>
    <n v="123724"/>
    <n v="338.05"/>
    <n v="338.05"/>
    <s v="Blockbuster"/>
  </r>
  <r>
    <s v="tt1000171"/>
    <s v="First Story 64"/>
    <x v="48"/>
    <x v="7"/>
    <x v="1"/>
    <x v="75"/>
    <s v="Medium"/>
    <x v="379"/>
    <n v="6.3"/>
    <x v="50"/>
    <s v="A critically acclaimed crime masterpiece."/>
    <x v="21"/>
    <s v="Tom Cruise, Morgan Freeman, Leonardo DiCaprio, Anthony Hopkins, Natalie Portman"/>
    <n v="111553"/>
    <n v="263.64999999999998"/>
    <n v="263.64999999999998"/>
    <s v="Blockbuster"/>
  </r>
  <r>
    <s v="tt1000638"/>
    <s v="Final Kingdom 531"/>
    <x v="60"/>
    <x v="1"/>
    <x v="2"/>
    <x v="92"/>
    <s v="Short"/>
    <x v="380"/>
    <n v="6.3"/>
    <x v="46"/>
    <s v="An epic action tale directed by Edgar Wright."/>
    <x v="26"/>
    <s v="Cate Blanchett, Samuel L. Jackson, Amy Adams"/>
    <n v="18367"/>
    <n v="422.3"/>
    <n v="422.3"/>
    <s v="Blockbuster"/>
  </r>
  <r>
    <s v="tt1000930"/>
    <s v="The Legend 823"/>
    <x v="24"/>
    <x v="0"/>
    <x v="0"/>
    <x v="23"/>
    <s v="Long"/>
    <x v="381"/>
    <n v="6.3"/>
    <x v="51"/>
    <s v="A thrilling family adventure."/>
    <x v="36"/>
    <s v="Johnny Depp, Tom Hanks, Margot Robbie"/>
    <n v="32225"/>
    <n v="148.58000000000001"/>
    <n v="148.58000000000001"/>
    <s v="Hit"/>
  </r>
  <r>
    <s v="tt1000936"/>
    <s v="Lost Mission 829"/>
    <x v="19"/>
    <x v="1"/>
    <x v="3"/>
    <x v="67"/>
    <s v="Long"/>
    <x v="351"/>
    <n v="6.3"/>
    <x v="0"/>
    <s v="An epic family tale directed by Alfred Hitchcock."/>
    <x v="20"/>
    <s v="Tom Hanks, Will Smith, Cate Blanchett, Matt Damon, Christian Bale"/>
    <n v="50254"/>
    <m/>
    <n v="0"/>
    <s v="Average"/>
  </r>
  <r>
    <s v="tt1000385"/>
    <s v="Last War 278"/>
    <x v="24"/>
    <x v="0"/>
    <x v="0"/>
    <x v="13"/>
    <s v="Long"/>
    <x v="6"/>
    <n v="6.2"/>
    <x v="25"/>
    <s v="A critically acclaimed romance masterpiece."/>
    <x v="21"/>
    <s v="TimothÃ©e Chalamet, Jennifer Lawrence, Harrison Ford, Scarlett Johansson"/>
    <n v="1756183"/>
    <n v="328.97"/>
    <n v="328.97"/>
    <s v="Blockbuster"/>
  </r>
  <r>
    <s v="tt1000611"/>
    <s v="Final Chronicles 504"/>
    <x v="9"/>
    <x v="1"/>
    <x v="2"/>
    <x v="10"/>
    <s v="Long"/>
    <x v="10"/>
    <n v="6.2"/>
    <x v="22"/>
    <s v="An epic fantasy tale directed by Sam Mendes."/>
    <x v="4"/>
    <s v="Morgan Freeman, Robert De Niro, Samuel L. Jackson, Harrison Ford"/>
    <n v="102976"/>
    <n v="31.42"/>
    <n v="31.42"/>
    <s v="Average"/>
  </r>
  <r>
    <s v="tt1000973"/>
    <s v="Secret Awakening 866"/>
    <x v="24"/>
    <x v="0"/>
    <x v="0"/>
    <x v="80"/>
    <s v="Long"/>
    <x v="382"/>
    <n v="6.2"/>
    <x v="0"/>
    <s v="An epic western tale directed by Wes Anderson."/>
    <x v="34"/>
    <s v="Scarlett Johansson, Margot Robbie, Florence Pugh, Jennifer Lawrence, Tom Cruise"/>
    <n v="183048"/>
    <n v="214.67"/>
    <n v="214.67"/>
    <s v="Blockbuster"/>
  </r>
  <r>
    <s v="tt1000369"/>
    <s v="The Love 262"/>
    <x v="10"/>
    <x v="2"/>
    <x v="0"/>
    <x v="36"/>
    <s v="Medium"/>
    <x v="383"/>
    <n v="6.2"/>
    <x v="53"/>
    <s v="An epic crime tale directed by Ang Lee."/>
    <x v="6"/>
    <s v="Harrison Ford, Cate Blanchett, Al Pacino, Chris Hemsworth, Emma Stone"/>
    <n v="1057107"/>
    <m/>
    <n v="0"/>
    <s v="Average"/>
  </r>
  <r>
    <s v="tt1000740"/>
    <s v="Final Dreams 633"/>
    <x v="6"/>
    <x v="2"/>
    <x v="0"/>
    <x v="54"/>
    <s v="Medium"/>
    <x v="384"/>
    <n v="6.2"/>
    <x v="51"/>
    <s v="A horror film set in 2021."/>
    <x v="8"/>
    <s v="Meryl Streep, Anthony Hopkins, Denzel Washington, Cate Blanchett, Matt Damon"/>
    <n v="182825"/>
    <n v="263.27999999999997"/>
    <n v="263.27999999999997"/>
    <s v="Blockbuster"/>
  </r>
  <r>
    <s v="tt1000718"/>
    <s v="Secret Journey 611"/>
    <x v="52"/>
    <x v="1"/>
    <x v="1"/>
    <x v="76"/>
    <s v="Medium"/>
    <x v="339"/>
    <n v="6.2"/>
    <x v="0"/>
    <s v="A thrilling war adventure."/>
    <x v="4"/>
    <s v="Gary Oldman, Zendaya, Brad Pitt"/>
    <n v="34105"/>
    <n v="218.4"/>
    <n v="218.4"/>
    <s v="Blockbuster"/>
  </r>
  <r>
    <s v="tt1000445"/>
    <s v="Lost Mission 338"/>
    <x v="4"/>
    <x v="0"/>
    <x v="2"/>
    <x v="43"/>
    <s v="Medium"/>
    <x v="296"/>
    <n v="6.2"/>
    <x v="0"/>
    <s v="A critically acclaimed western masterpiece."/>
    <x v="2"/>
    <s v="Florence Pugh, Meryl Streep, Robert De Niro, Natalie Portman, Gary Oldman"/>
    <n v="38036"/>
    <n v="98.29"/>
    <n v="98.29"/>
    <s v="Average"/>
  </r>
  <r>
    <s v="tt1000867"/>
    <s v="Lost Mission 760"/>
    <x v="40"/>
    <x v="0"/>
    <x v="2"/>
    <x v="17"/>
    <s v="Long"/>
    <x v="385"/>
    <n v="6.2"/>
    <x v="30"/>
    <s v="An epic crime tale directed by Spike Lee."/>
    <x v="2"/>
    <s v="Morgan Freeman, Jack Nicholson, Jennifer Lawrence, Gary Oldman"/>
    <n v="10051"/>
    <m/>
    <n v="0"/>
    <s v="Average"/>
  </r>
  <r>
    <s v="tt1000466"/>
    <s v="A Destiny 359"/>
    <x v="1"/>
    <x v="1"/>
    <x v="5"/>
    <x v="47"/>
    <s v="Long"/>
    <x v="386"/>
    <n v="6.2"/>
    <x v="10"/>
    <s v="A biography film set in 2012."/>
    <x v="30"/>
    <s v="Jack Nicholson, Anthony Hopkins, Robert Downey Jr., Cate Blanchett, Johnny Depp"/>
    <n v="12451"/>
    <m/>
    <n v="0"/>
    <s v="Average"/>
  </r>
  <r>
    <s v="tt1000221"/>
    <s v="A Mission 114"/>
    <x v="11"/>
    <x v="0"/>
    <x v="0"/>
    <x v="50"/>
    <s v="Medium"/>
    <x v="387"/>
    <n v="6.2"/>
    <x v="0"/>
    <s v="An epic sci-fi tale directed by James Cameron."/>
    <x v="32"/>
    <s v="Kate Winslet, Amy Adams, Tom Hanks, TimothÃ©e Chalamet"/>
    <n v="70238"/>
    <n v="36.72"/>
    <n v="36.72"/>
    <s v="Average"/>
  </r>
  <r>
    <s v="tt1000419"/>
    <s v="Lost War 312"/>
    <x v="0"/>
    <x v="0"/>
    <x v="4"/>
    <x v="11"/>
    <s v="Long"/>
    <x v="195"/>
    <n v="6.2"/>
    <x v="0"/>
    <s v="A critically acclaimed biography masterpiece."/>
    <x v="18"/>
    <s v="Robert Downey Jr., Matt Damon, Scarlett Johansson"/>
    <n v="55069"/>
    <n v="105.26"/>
    <n v="105.26"/>
    <s v="Hit"/>
  </r>
  <r>
    <s v="tt1000691"/>
    <s v="Secret Kingdom 584"/>
    <x v="34"/>
    <x v="0"/>
    <x v="0"/>
    <x v="5"/>
    <s v="Long"/>
    <x v="388"/>
    <n v="6.2"/>
    <x v="10"/>
    <s v="A thrilling adventure adventure."/>
    <x v="16"/>
    <s v="Daniel Day-Lewis, Matt Damon, Robert Downey Jr., Will Smith, Leonardo DiCaprio"/>
    <n v="37268"/>
    <m/>
    <n v="0"/>
    <s v="Average"/>
  </r>
  <r>
    <s v="tt1000405"/>
    <s v="Dark Story 298"/>
    <x v="19"/>
    <x v="1"/>
    <x v="2"/>
    <x v="47"/>
    <s v="Long"/>
    <x v="379"/>
    <n v="6.2"/>
    <x v="25"/>
    <s v="An epic crime tale directed by Sam Mendes."/>
    <x v="4"/>
    <s v="Will Smith, Keanu Reeves, Viola Davis"/>
    <n v="90988"/>
    <n v="251.49"/>
    <n v="251.49"/>
    <s v="Blockbuster"/>
  </r>
  <r>
    <s v="tt1000247"/>
    <s v="An Secrets 140"/>
    <x v="24"/>
    <x v="0"/>
    <x v="0"/>
    <x v="76"/>
    <s v="Medium"/>
    <x v="158"/>
    <n v="6.2"/>
    <x v="0"/>
    <s v="A thrilling comedy adventure."/>
    <x v="27"/>
    <s v="Keanu Reeves, Johnny Depp, Cate Blanchett, TimothÃ©e Chalamet"/>
    <n v="62263"/>
    <n v="28.32"/>
    <n v="28.32"/>
    <s v="Average"/>
  </r>
  <r>
    <s v="tt1000324"/>
    <s v="Dark Empire 217"/>
    <x v="51"/>
    <x v="1"/>
    <x v="2"/>
    <x v="51"/>
    <s v="Long"/>
    <x v="175"/>
    <n v="6.2"/>
    <x v="29"/>
    <s v="A critically acclaimed comedy masterpiece."/>
    <x v="4"/>
    <s v="Jack Nicholson, Christian Bale, Robert De Niro, Florence Pugh, Cate Blanchett"/>
    <n v="30660"/>
    <n v="204.22"/>
    <n v="204.22"/>
    <s v="Blockbuster"/>
  </r>
  <r>
    <s v="tt1000402"/>
    <s v="The Secrets 295"/>
    <x v="52"/>
    <x v="1"/>
    <x v="0"/>
    <x v="31"/>
    <s v="Medium"/>
    <x v="389"/>
    <n v="6.2"/>
    <x v="0"/>
    <s v="A thrilling drama adventure."/>
    <x v="21"/>
    <s v="Amy Adams, Leonardo DiCaprio, Matt Damon, Gary Oldman, Mark Ruffalo"/>
    <n v="7303"/>
    <n v="235.3"/>
    <n v="235.3"/>
    <s v="Blockbuster"/>
  </r>
  <r>
    <s v="tt1000741"/>
    <s v="The Adventures 634"/>
    <x v="44"/>
    <x v="0"/>
    <x v="2"/>
    <x v="3"/>
    <s v="Medium"/>
    <x v="355"/>
    <n v="6.2"/>
    <x v="44"/>
    <s v="A thrilling musical adventure."/>
    <x v="33"/>
    <s v="Kate Winslet, Natalie Portman, Emma Stone, Samuel L. Jackson"/>
    <n v="434502"/>
    <n v="168.04"/>
    <n v="168.04"/>
    <s v="Hit"/>
  </r>
  <r>
    <s v="tt1000772"/>
    <s v="An Quest 665"/>
    <x v="9"/>
    <x v="1"/>
    <x v="5"/>
    <x v="51"/>
    <s v="Long"/>
    <x v="390"/>
    <n v="6.2"/>
    <x v="50"/>
    <s v="A thrilling thriller adventure."/>
    <x v="20"/>
    <s v="Matt Damon, Tom Cruise, Christian Bale, Jack Nicholson"/>
    <n v="25914"/>
    <n v="29"/>
    <n v="29"/>
    <s v="Average"/>
  </r>
  <r>
    <s v="tt1000743"/>
    <s v="An Quest 636"/>
    <x v="12"/>
    <x v="1"/>
    <x v="4"/>
    <x v="13"/>
    <s v="Long"/>
    <x v="115"/>
    <n v="6.2"/>
    <x v="39"/>
    <s v="A critically acclaimed fantasy masterpiece."/>
    <x v="32"/>
    <s v="Mark Ruffalo, Robert Downey Jr., Brad Pitt"/>
    <n v="196013"/>
    <n v="482.73"/>
    <n v="482.73"/>
    <s v="Blockbuster"/>
  </r>
  <r>
    <s v="tt1000760"/>
    <s v="Final Story 653"/>
    <x v="52"/>
    <x v="1"/>
    <x v="0"/>
    <x v="65"/>
    <s v="Short"/>
    <x v="123"/>
    <n v="6.2"/>
    <x v="10"/>
    <s v="An epic action tale directed by Spike Lee."/>
    <x v="2"/>
    <s v="Viola Davis, Scarlett Johansson, Jennifer Lawrence"/>
    <n v="359031"/>
    <m/>
    <n v="0"/>
    <s v="Average"/>
  </r>
  <r>
    <s v="tt1000757"/>
    <s v="The War 650"/>
    <x v="44"/>
    <x v="0"/>
    <x v="0"/>
    <x v="24"/>
    <s v="Medium"/>
    <x v="391"/>
    <n v="6.2"/>
    <x v="0"/>
    <s v="A critically acclaimed comedy masterpiece."/>
    <x v="29"/>
    <s v="Cate Blanchett, Samuel L. Jackson, Viola Davis, Zendaya"/>
    <n v="63021"/>
    <n v="159.86000000000001"/>
    <n v="159.86000000000001"/>
    <s v="Hit"/>
  </r>
  <r>
    <s v="tt1000283"/>
    <s v="Secret Empire 176"/>
    <x v="12"/>
    <x v="1"/>
    <x v="2"/>
    <x v="50"/>
    <s v="Medium"/>
    <x v="47"/>
    <n v="6.2"/>
    <x v="44"/>
    <s v="A critically acclaimed animation masterpiece."/>
    <x v="33"/>
    <s v="Brad Pitt, Margot Robbie, Natalie Portman, Meryl Streep, Matt Damon"/>
    <n v="26024"/>
    <n v="419.59"/>
    <n v="419.59"/>
    <s v="Blockbuster"/>
  </r>
  <r>
    <s v="tt1000249"/>
    <s v="A Journey 142"/>
    <x v="45"/>
    <x v="0"/>
    <x v="1"/>
    <x v="55"/>
    <s v="Medium"/>
    <x v="130"/>
    <n v="6.2"/>
    <x v="36"/>
    <s v="An epic western tale directed by Alfred Hitchcock."/>
    <x v="20"/>
    <s v="Chris Hemsworth, Tom Hanks, Natalie Portman, Margot Robbie, Cate Blanchett"/>
    <n v="7259"/>
    <n v="301.2"/>
    <n v="301.2"/>
    <s v="Blockbuster"/>
  </r>
  <r>
    <s v="tt1000334"/>
    <s v="The Dreams 227"/>
    <x v="19"/>
    <x v="1"/>
    <x v="1"/>
    <x v="7"/>
    <s v="Long"/>
    <x v="158"/>
    <n v="6.2"/>
    <x v="0"/>
    <s v="A critically acclaimed comedy masterpiece."/>
    <x v="14"/>
    <s v="Robert Downey Jr., Samuel L. Jackson, Denzel Washington"/>
    <n v="170644"/>
    <m/>
    <n v="0"/>
    <s v="Average"/>
  </r>
  <r>
    <s v="tt1000471"/>
    <s v="A Empire 364"/>
    <x v="52"/>
    <x v="1"/>
    <x v="1"/>
    <x v="91"/>
    <s v="Long"/>
    <x v="259"/>
    <n v="6.2"/>
    <x v="18"/>
    <s v="A thrilling sci-fi adventure."/>
    <x v="34"/>
    <s v="Daniel Day-Lewis, Leonardo DiCaprio, Harrison Ford"/>
    <n v="240809"/>
    <m/>
    <n v="0"/>
    <s v="Average"/>
  </r>
  <r>
    <s v="tt1000834"/>
    <s v="Lost Revolution 727"/>
    <x v="34"/>
    <x v="0"/>
    <x v="3"/>
    <x v="43"/>
    <s v="Medium"/>
    <x v="392"/>
    <n v="6.2"/>
    <x v="24"/>
    <s v="A thrilling drama adventure."/>
    <x v="10"/>
    <s v="Jennifer Lawrence, Emma Stone, Mark Ruffalo, Will Smith, Tom Hanks"/>
    <n v="11757"/>
    <n v="321.99"/>
    <n v="321.99"/>
    <s v="Blockbuster"/>
  </r>
  <r>
    <s v="tt1000816"/>
    <s v="Secret Journey 709"/>
    <x v="34"/>
    <x v="0"/>
    <x v="1"/>
    <x v="55"/>
    <s v="Medium"/>
    <x v="251"/>
    <n v="6.2"/>
    <x v="0"/>
    <s v="An epic mystery tale directed by Robert Zemeckis."/>
    <x v="11"/>
    <s v="TimothÃ©e Chalamet, Cate Blanchett, Brad Pitt, Margot Robbie"/>
    <n v="15149"/>
    <m/>
    <n v="0"/>
    <s v="Average"/>
  </r>
  <r>
    <s v="tt1000830"/>
    <s v="Final Love 723"/>
    <x v="34"/>
    <x v="0"/>
    <x v="0"/>
    <x v="18"/>
    <s v="Medium"/>
    <x v="393"/>
    <n v="6.2"/>
    <x v="18"/>
    <s v="A critically acclaimed crime masterpiece."/>
    <x v="15"/>
    <s v="Scarlett Johansson, Samuel L. Jackson, Natalie Portman, Keanu Reeves, Tom Hanks"/>
    <n v="28575"/>
    <n v="289.39999999999998"/>
    <n v="289.39999999999998"/>
    <s v="Blockbuster"/>
  </r>
  <r>
    <s v="tt1000433"/>
    <s v="First Mission 326"/>
    <x v="3"/>
    <x v="1"/>
    <x v="2"/>
    <x v="4"/>
    <s v="Long"/>
    <x v="22"/>
    <n v="6.2"/>
    <x v="49"/>
    <s v="A critically acclaimed animation masterpiece."/>
    <x v="34"/>
    <s v="Tom Cruise, Robert De Niro, Emma Stone, Denzel Washington"/>
    <n v="265153"/>
    <n v="101.48"/>
    <n v="101.48"/>
    <s v="Hit"/>
  </r>
  <r>
    <s v="tt1000618"/>
    <s v="A Kingdom 511"/>
    <x v="18"/>
    <x v="2"/>
    <x v="2"/>
    <x v="13"/>
    <s v="Long"/>
    <x v="170"/>
    <n v="6.2"/>
    <x v="53"/>
    <s v="An epic horror tale directed by Clint Eastwood."/>
    <x v="24"/>
    <s v="Leonardo DiCaprio, Morgan Freeman, Chris Hemsworth, Margot Robbie, Samuel L. Jackson"/>
    <n v="483447"/>
    <n v="175.39"/>
    <n v="175.39"/>
    <s v="Hit"/>
  </r>
  <r>
    <s v="tt1000248"/>
    <s v="Last War 141"/>
    <x v="60"/>
    <x v="1"/>
    <x v="1"/>
    <x v="41"/>
    <s v="Long"/>
    <x v="394"/>
    <n v="6.1"/>
    <x v="6"/>
    <s v="A thriller film set in 2016."/>
    <x v="1"/>
    <s v="Meryl Streep, Emma Stone, Anthony Hopkins"/>
    <n v="79233"/>
    <n v="170.4"/>
    <n v="170.4"/>
    <s v="Hit"/>
  </r>
  <r>
    <s v="tt1000681"/>
    <s v="An Mystery 574"/>
    <x v="40"/>
    <x v="0"/>
    <x v="1"/>
    <x v="5"/>
    <s v="Long"/>
    <x v="354"/>
    <n v="6.1"/>
    <x v="44"/>
    <s v="An epic mystery tale directed by Sam Mendes."/>
    <x v="4"/>
    <s v="Scarlett Johansson, Brad Pitt, Viola Davis"/>
    <n v="321755"/>
    <m/>
    <n v="0"/>
    <s v="Average"/>
  </r>
  <r>
    <s v="tt1000591"/>
    <s v="A Kingdom 484"/>
    <x v="60"/>
    <x v="1"/>
    <x v="0"/>
    <x v="5"/>
    <s v="Long"/>
    <x v="42"/>
    <n v="6.1"/>
    <x v="0"/>
    <s v="A thriller film set in 2016."/>
    <x v="20"/>
    <s v="Amy Adams, TimothÃ©e Chalamet, Denzel Washington, Morgan Freeman"/>
    <n v="8266"/>
    <n v="36.630000000000003"/>
    <n v="36.630000000000003"/>
    <s v="Average"/>
  </r>
  <r>
    <s v="tt1000290"/>
    <s v="A Destiny 183"/>
    <x v="5"/>
    <x v="2"/>
    <x v="2"/>
    <x v="3"/>
    <s v="Medium"/>
    <x v="395"/>
    <n v="6.1"/>
    <x v="39"/>
    <s v="A thrilling comedy adventure."/>
    <x v="6"/>
    <s v="Natalie Portman, Emma Stone, Matt Damon"/>
    <n v="7562"/>
    <n v="107.98"/>
    <n v="107.98"/>
    <s v="Hit"/>
  </r>
  <r>
    <s v="tt1000659"/>
    <s v="An Legend 552"/>
    <x v="24"/>
    <x v="0"/>
    <x v="0"/>
    <x v="67"/>
    <s v="Long"/>
    <x v="47"/>
    <n v="6.1"/>
    <x v="21"/>
    <s v="An epic animation tale directed by Spike Lee."/>
    <x v="2"/>
    <s v="Amy Adams, Natalie Portman, Christian Bale, Leonardo DiCaprio, Scarlett Johansson"/>
    <n v="110258"/>
    <n v="265.94"/>
    <n v="265.94"/>
    <s v="Blockbuster"/>
  </r>
  <r>
    <s v="tt1000667"/>
    <s v="An Empire 560"/>
    <x v="2"/>
    <x v="0"/>
    <x v="0"/>
    <x v="53"/>
    <s v="Medium"/>
    <x v="35"/>
    <n v="6.1"/>
    <x v="0"/>
    <s v="A thrilling drama adventure."/>
    <x v="3"/>
    <s v="Christian Bale, Florence Pugh, Tom Cruise, Leonardo DiCaprio, Daniel Day-Lewis"/>
    <n v="37724"/>
    <m/>
    <n v="0"/>
    <s v="Average"/>
  </r>
  <r>
    <s v="tt1000598"/>
    <s v="Secret Secrets 491"/>
    <x v="11"/>
    <x v="0"/>
    <x v="0"/>
    <x v="8"/>
    <s v="Long"/>
    <x v="322"/>
    <n v="6.1"/>
    <x v="10"/>
    <s v="A critically acclaimed animation masterpiece."/>
    <x v="29"/>
    <s v="Keanu Reeves, Tom Cruise, Samuel L. Jackson, Brad Pitt, Margot Robbie"/>
    <n v="37101"/>
    <m/>
    <n v="0"/>
    <s v="Average"/>
  </r>
  <r>
    <s v="tt1000434"/>
    <s v="Last Revolution 327"/>
    <x v="52"/>
    <x v="1"/>
    <x v="2"/>
    <x v="3"/>
    <s v="Medium"/>
    <x v="125"/>
    <n v="6.1"/>
    <x v="10"/>
    <s v="An epic adventure tale directed by Danny Boyle."/>
    <x v="22"/>
    <s v="Robert De Niro, Anthony Hopkins, Natalie Portman, Brad Pitt"/>
    <n v="133888"/>
    <m/>
    <n v="0"/>
    <s v="Average"/>
  </r>
  <r>
    <s v="tt1000626"/>
    <s v="Lost Destiny 519"/>
    <x v="19"/>
    <x v="1"/>
    <x v="0"/>
    <x v="49"/>
    <s v="Short"/>
    <x v="396"/>
    <n v="6.1"/>
    <x v="0"/>
    <s v="A thrilling fantasy adventure."/>
    <x v="31"/>
    <s v="Keanu Reeves, Robert De Niro, Florence Pugh, Amy Adams, Scarlett Johansson"/>
    <n v="254556"/>
    <n v="164.26"/>
    <n v="164.26"/>
    <s v="Hit"/>
  </r>
  <r>
    <s v="tt1000903"/>
    <s v="Secret Quest 796"/>
    <x v="5"/>
    <x v="2"/>
    <x v="1"/>
    <x v="35"/>
    <s v="Long"/>
    <x v="22"/>
    <n v="6.1"/>
    <x v="45"/>
    <s v="A thrilling animation adventure."/>
    <x v="18"/>
    <s v="Meryl Streep, Emma Stone, Mark Ruffalo, Robert Downey Jr."/>
    <n v="596331"/>
    <m/>
    <n v="0"/>
    <s v="Average"/>
  </r>
  <r>
    <s v="tt1000909"/>
    <s v="Secret Awakening 802"/>
    <x v="7"/>
    <x v="0"/>
    <x v="4"/>
    <x v="58"/>
    <s v="Long"/>
    <x v="33"/>
    <n v="6.1"/>
    <x v="39"/>
    <s v="An epic comedy tale directed by James Cameron."/>
    <x v="32"/>
    <s v="Jennifer Lawrence, Robert De Niro, Will Smith"/>
    <n v="28912"/>
    <n v="275.74"/>
    <n v="275.74"/>
    <s v="Blockbuster"/>
  </r>
  <r>
    <s v="tt1000107"/>
    <s v="In the Heat of the Night"/>
    <x v="33"/>
    <x v="5"/>
    <x v="2"/>
    <x v="23"/>
    <s v="Long"/>
    <x v="190"/>
    <n v="6.1"/>
    <x v="0"/>
    <s v="A critically acclaimed documentary masterpiece."/>
    <x v="8"/>
    <s v="Jack Nicholson, Robert Downey Jr., Harrison Ford"/>
    <n v="1381362"/>
    <n v="262.67"/>
    <n v="262.67"/>
    <s v="Blockbuster"/>
  </r>
  <r>
    <s v="tt1000138"/>
    <s v="Secret Love 31"/>
    <x v="65"/>
    <x v="7"/>
    <x v="0"/>
    <x v="4"/>
    <s v="Long"/>
    <x v="9"/>
    <n v="6.1"/>
    <x v="10"/>
    <s v="A thrilling adventure adventure."/>
    <x v="22"/>
    <s v="Samuel L. Jackson, Cate Blanchett, Morgan Freeman"/>
    <n v="368023"/>
    <n v="115.3"/>
    <n v="115.3"/>
    <s v="Hit"/>
  </r>
  <r>
    <s v="tt1000468"/>
    <s v="The Legend 361"/>
    <x v="4"/>
    <x v="0"/>
    <x v="1"/>
    <x v="68"/>
    <s v="Long"/>
    <x v="397"/>
    <n v="6.1"/>
    <x v="0"/>
    <s v="An epic horror tale directed by James Cameron."/>
    <x v="32"/>
    <s v="Brad Pitt, Harrison Ford, Viola Davis, Al Pacino, TimothÃ©e Chalamet"/>
    <n v="7095"/>
    <n v="279.05"/>
    <n v="279.05"/>
    <s v="Blockbuster"/>
  </r>
  <r>
    <s v="tt1000670"/>
    <s v="Last Love 563"/>
    <x v="4"/>
    <x v="0"/>
    <x v="0"/>
    <x v="37"/>
    <s v="Short"/>
    <x v="115"/>
    <n v="6.1"/>
    <x v="36"/>
    <s v="An epic fantasy tale directed by Bong Joon-ho."/>
    <x v="18"/>
    <s v="Brad Pitt, Chris Hemsworth, Denzel Washington, Anthony Hopkins, Robert Downey Jr."/>
    <n v="18888"/>
    <n v="115.49"/>
    <n v="115.49"/>
    <s v="Hit"/>
  </r>
  <r>
    <s v="tt1000529"/>
    <s v="An Secrets 422"/>
    <x v="12"/>
    <x v="1"/>
    <x v="0"/>
    <x v="54"/>
    <s v="Medium"/>
    <x v="158"/>
    <n v="6.1"/>
    <x v="0"/>
    <s v="A comedy film set in 2013."/>
    <x v="1"/>
    <s v="Natalie Portman, Daniel Day-Lewis, Denzel Washington, Scarlett Johansson, Matt Damon"/>
    <n v="68132"/>
    <m/>
    <n v="0"/>
    <s v="Average"/>
  </r>
  <r>
    <s v="tt1000920"/>
    <s v="The Love 813"/>
    <x v="10"/>
    <x v="2"/>
    <x v="2"/>
    <x v="17"/>
    <s v="Long"/>
    <x v="326"/>
    <n v="6.1"/>
    <x v="0"/>
    <s v="A drama film set in 2022."/>
    <x v="1"/>
    <s v="Keanu Reeves, Jennifer Lawrence, Gary Oldman"/>
    <n v="229356"/>
    <m/>
    <n v="0"/>
    <s v="Average"/>
  </r>
  <r>
    <s v="tt1000391"/>
    <s v="Secret Mission 284"/>
    <x v="45"/>
    <x v="0"/>
    <x v="0"/>
    <x v="22"/>
    <s v="Medium"/>
    <x v="398"/>
    <n v="6.1"/>
    <x v="24"/>
    <s v="A thrilling mystery adventure."/>
    <x v="1"/>
    <s v="Keanu Reeves, Emma Stone, Kate Winslet"/>
    <n v="39300"/>
    <n v="290.8"/>
    <n v="290.8"/>
    <s v="Blockbuster"/>
  </r>
  <r>
    <s v="tt1000411"/>
    <s v="The Empire 304"/>
    <x v="18"/>
    <x v="2"/>
    <x v="0"/>
    <x v="85"/>
    <s v="Long"/>
    <x v="130"/>
    <n v="6.1"/>
    <x v="0"/>
    <s v="A western film set in 2024."/>
    <x v="10"/>
    <s v="Meryl Streep, Anthony Hopkins, Margot Robbie"/>
    <n v="699887"/>
    <n v="224.88"/>
    <n v="224.88"/>
    <s v="Blockbuster"/>
  </r>
  <r>
    <s v="tt1000491"/>
    <s v="An Mystery 384"/>
    <x v="11"/>
    <x v="0"/>
    <x v="0"/>
    <x v="46"/>
    <s v="Medium"/>
    <x v="399"/>
    <n v="6.1"/>
    <x v="0"/>
    <s v="A thrilling mystery adventure."/>
    <x v="9"/>
    <s v="Jennifer Lawrence, Al Pacino, Christian Bale, Denzel Washington, Robert Downey Jr."/>
    <n v="158327"/>
    <m/>
    <n v="0"/>
    <s v="Average"/>
  </r>
  <r>
    <s v="tt1000161"/>
    <s v="Final Mystery 54"/>
    <x v="14"/>
    <x v="5"/>
    <x v="2"/>
    <x v="8"/>
    <s v="Long"/>
    <x v="10"/>
    <n v="6.1"/>
    <x v="0"/>
    <s v="An epic fantasy tale directed by Hayao Miyazaki."/>
    <x v="28"/>
    <s v="Al Pacino, Daniel Day-Lewis, Florence Pugh, Keanu Reeves, Leonardo DiCaprio"/>
    <n v="7091"/>
    <n v="233.68"/>
    <n v="233.68"/>
    <s v="Blockbuster"/>
  </r>
  <r>
    <s v="tt1000520"/>
    <s v="Final Dreams 413"/>
    <x v="44"/>
    <x v="0"/>
    <x v="0"/>
    <x v="18"/>
    <s v="Medium"/>
    <x v="36"/>
    <n v="6.1"/>
    <x v="31"/>
    <s v="A critically acclaimed mystery masterpiece."/>
    <x v="10"/>
    <s v="Johnny Depp, Matt Damon, Edward Norton"/>
    <n v="1577"/>
    <n v="478.37"/>
    <n v="478.37"/>
    <s v="Blockbuster"/>
  </r>
  <r>
    <s v="tt1000534"/>
    <s v="A Legend 427"/>
    <x v="45"/>
    <x v="0"/>
    <x v="1"/>
    <x v="16"/>
    <s v="Medium"/>
    <x v="207"/>
    <n v="6.1"/>
    <x v="42"/>
    <s v="An epic comedy tale directed by Peter Jackson."/>
    <x v="8"/>
    <s v="Christian Bale, Keanu Reeves, Tom Cruise, TimothÃ©e Chalamet, Kate Winslet"/>
    <n v="29024"/>
    <n v="84.25"/>
    <n v="84.25"/>
    <s v="Average"/>
  </r>
  <r>
    <s v="tt1000126"/>
    <s v="Secret Quest 19"/>
    <x v="28"/>
    <x v="7"/>
    <x v="0"/>
    <x v="91"/>
    <s v="Long"/>
    <x v="400"/>
    <n v="6.1"/>
    <x v="21"/>
    <s v="A drama film set in 1988."/>
    <x v="20"/>
    <s v="Tom Cruise, Will Smith, Brad Pitt, Gary Oldman, Jack Nicholson"/>
    <n v="10194"/>
    <n v="50.17"/>
    <n v="50.17"/>
    <s v="Average"/>
  </r>
  <r>
    <s v="tt1000526"/>
    <s v="Lost Kingdom 419"/>
    <x v="10"/>
    <x v="2"/>
    <x v="2"/>
    <x v="31"/>
    <s v="Medium"/>
    <x v="220"/>
    <n v="6.1"/>
    <x v="46"/>
    <s v="A critically acclaimed war masterpiece."/>
    <x v="20"/>
    <s v="Robert De Niro, Amy Adams, Christian Bale, Tom Hanks, Johnny Depp"/>
    <n v="80890"/>
    <n v="369.21"/>
    <n v="369.21"/>
    <s v="Blockbuster"/>
  </r>
  <r>
    <s v="tt1000113"/>
    <s v="The Mystery 6"/>
    <x v="28"/>
    <x v="7"/>
    <x v="0"/>
    <x v="30"/>
    <s v="Medium"/>
    <x v="59"/>
    <n v="6.1"/>
    <x v="0"/>
    <s v="A romance film set in 1988."/>
    <x v="25"/>
    <s v="Natalie Portman, Scarlett Johansson, Will Smith, Gary Oldman, Keanu Reeves"/>
    <n v="51777"/>
    <m/>
    <n v="0"/>
    <s v="Average"/>
  </r>
  <r>
    <s v="tt1000764"/>
    <s v="Lost War 657"/>
    <x v="35"/>
    <x v="2"/>
    <x v="0"/>
    <x v="7"/>
    <s v="Long"/>
    <x v="401"/>
    <n v="6.1"/>
    <x v="39"/>
    <s v="An epic fantasy tale directed by Quentin Tarantino."/>
    <x v="15"/>
    <s v="Kate Winslet, Viola Davis, Edward Norton, Robert De Niro"/>
    <n v="17228"/>
    <m/>
    <n v="0"/>
    <s v="Average"/>
  </r>
  <r>
    <s v="tt1000285"/>
    <s v="An Chronicles 178"/>
    <x v="4"/>
    <x v="0"/>
    <x v="2"/>
    <x v="30"/>
    <s v="Medium"/>
    <x v="35"/>
    <n v="6.1"/>
    <x v="40"/>
    <s v="An epic drama tale directed by Stanley Kubrick."/>
    <x v="10"/>
    <s v="Robert Downey Jr., Gary Oldman, Amy Adams, Brad Pitt, Natalie Portman"/>
    <n v="121433"/>
    <m/>
    <n v="0"/>
    <s v="Average"/>
  </r>
  <r>
    <s v="tt1000666"/>
    <s v="Lost Dreams 559"/>
    <x v="40"/>
    <x v="0"/>
    <x v="1"/>
    <x v="3"/>
    <s v="Medium"/>
    <x v="8"/>
    <n v="6.1"/>
    <x v="0"/>
    <s v="A war film set in 2005."/>
    <x v="32"/>
    <s v="Kate Winslet, Denzel Washington, Margot Robbie"/>
    <n v="21747"/>
    <m/>
    <n v="0"/>
    <s v="Average"/>
  </r>
  <r>
    <s v="tt1000977"/>
    <s v="An Secrets 870"/>
    <x v="20"/>
    <x v="1"/>
    <x v="0"/>
    <x v="24"/>
    <s v="Medium"/>
    <x v="290"/>
    <n v="6"/>
    <x v="10"/>
    <s v="A documentary film set in 2018."/>
    <x v="16"/>
    <s v="Christian Bale, Amy Adams, Scarlett Johansson"/>
    <n v="250935"/>
    <m/>
    <n v="0"/>
    <s v="Average"/>
  </r>
  <r>
    <s v="tt1000581"/>
    <s v="Dark Awakening 474"/>
    <x v="23"/>
    <x v="1"/>
    <x v="0"/>
    <x v="9"/>
    <s v="Long"/>
    <x v="249"/>
    <n v="6"/>
    <x v="0"/>
    <s v="An epic drama tale directed by Ava DuVernay."/>
    <x v="13"/>
    <s v="Amy Adams, Morgan Freeman, Will Smith, Tom Cruise, Tom Hanks"/>
    <n v="85609"/>
    <n v="248.38"/>
    <n v="248.38"/>
    <s v="Blockbuster"/>
  </r>
  <r>
    <s v="tt1000588"/>
    <s v="Last Quest 481"/>
    <x v="34"/>
    <x v="0"/>
    <x v="2"/>
    <x v="48"/>
    <s v="Medium"/>
    <x v="6"/>
    <n v="6"/>
    <x v="41"/>
    <s v="A romance film set in 2006."/>
    <x v="33"/>
    <s v="Emma Stone, Harrison Ford, Matt Damon, Anthony Hopkins, Edward Norton"/>
    <n v="1554110"/>
    <n v="213.99"/>
    <n v="213.99"/>
    <s v="Blockbuster"/>
  </r>
  <r>
    <s v="tt1000456"/>
    <s v="First Legend 349"/>
    <x v="24"/>
    <x v="0"/>
    <x v="4"/>
    <x v="59"/>
    <s v="Medium"/>
    <x v="8"/>
    <n v="6"/>
    <x v="54"/>
    <s v="An epic war tale directed by Ryan Coogler."/>
    <x v="31"/>
    <s v="Viola Davis, Florence Pugh, Denzel Washington, Anthony Hopkins, Edward Norton"/>
    <n v="46192"/>
    <n v="287.14999999999998"/>
    <n v="287.14999999999998"/>
    <s v="Blockbuster"/>
  </r>
  <r>
    <s v="tt1000196"/>
    <s v="Dark Journey 89"/>
    <x v="57"/>
    <x v="7"/>
    <x v="2"/>
    <x v="51"/>
    <s v="Long"/>
    <x v="402"/>
    <n v="6"/>
    <x v="22"/>
    <s v="An epic war tale directed by Edgar Wright."/>
    <x v="26"/>
    <s v="Scarlett Johansson, Samuel L. Jackson, Al Pacino, Edward Norton"/>
    <n v="39995"/>
    <n v="60.63"/>
    <n v="60.63"/>
    <s v="Average"/>
  </r>
  <r>
    <s v="tt1000804"/>
    <s v="A War 697"/>
    <x v="44"/>
    <x v="0"/>
    <x v="1"/>
    <x v="14"/>
    <s v="Medium"/>
    <x v="403"/>
    <n v="6"/>
    <x v="52"/>
    <s v="A drama film set in 2007."/>
    <x v="9"/>
    <s v="Emma Stone, TimothÃ©e Chalamet, Jack Nicholson"/>
    <n v="275541"/>
    <m/>
    <n v="0"/>
    <s v="Average"/>
  </r>
  <r>
    <s v="tt1000844"/>
    <s v="First Story 737"/>
    <x v="12"/>
    <x v="1"/>
    <x v="0"/>
    <x v="23"/>
    <s v="Long"/>
    <x v="400"/>
    <n v="6"/>
    <x v="0"/>
    <s v="A drama film set in 2013."/>
    <x v="35"/>
    <s v="Chris Hemsworth, Edward Norton, Amy Adams"/>
    <n v="32014"/>
    <m/>
    <n v="0"/>
    <s v="Average"/>
  </r>
  <r>
    <s v="tt1000517"/>
    <s v="Secret Story 410"/>
    <x v="2"/>
    <x v="0"/>
    <x v="4"/>
    <x v="48"/>
    <s v="Medium"/>
    <x v="35"/>
    <n v="6"/>
    <x v="0"/>
    <s v="A thrilling drama adventure."/>
    <x v="20"/>
    <s v="TimothÃ©e Chalamet, Al Pacino, Cate Blanchett, Brad Pitt, Amy Adams"/>
    <n v="17321"/>
    <n v="317.42"/>
    <n v="317.42"/>
    <s v="Blockbuster"/>
  </r>
  <r>
    <s v="tt1000883"/>
    <s v="The Destiny 776"/>
    <x v="35"/>
    <x v="2"/>
    <x v="0"/>
    <x v="67"/>
    <s v="Long"/>
    <x v="6"/>
    <n v="6"/>
    <x v="38"/>
    <s v="An epic romance tale directed by Hayao Miyazaki."/>
    <x v="28"/>
    <s v="Amy Adams, Meryl Streep, Robert De Niro, Zendaya, TimothÃ©e Chalamet"/>
    <n v="584741"/>
    <m/>
    <n v="0"/>
    <s v="Average"/>
  </r>
  <r>
    <s v="tt1000955"/>
    <s v="Last Journey 848"/>
    <x v="44"/>
    <x v="0"/>
    <x v="2"/>
    <x v="43"/>
    <s v="Medium"/>
    <x v="351"/>
    <n v="6"/>
    <x v="0"/>
    <s v="A critically acclaimed family masterpiece."/>
    <x v="27"/>
    <s v="Al Pacino, Amy Adams, Anthony Hopkins, Chris Hemsworth, Gary Oldman"/>
    <n v="15835"/>
    <m/>
    <n v="0"/>
    <s v="Average"/>
  </r>
  <r>
    <s v="tt1000958"/>
    <s v="A Mystery 851"/>
    <x v="10"/>
    <x v="2"/>
    <x v="1"/>
    <x v="18"/>
    <s v="Medium"/>
    <x v="404"/>
    <n v="6"/>
    <x v="32"/>
    <s v="An epic thriller tale directed by Park Chan-wook."/>
    <x v="0"/>
    <s v="Emma Stone, Morgan Freeman, Harrison Ford, Denzel Washington, Cate Blanchett"/>
    <n v="14694"/>
    <n v="366.94"/>
    <n v="366.94"/>
    <s v="Blockbuster"/>
  </r>
  <r>
    <s v="tt1000176"/>
    <s v="The War 69"/>
    <x v="33"/>
    <x v="5"/>
    <x v="0"/>
    <x v="10"/>
    <s v="Long"/>
    <x v="405"/>
    <n v="6"/>
    <x v="0"/>
    <s v="A critically acclaimed documentary masterpiece."/>
    <x v="16"/>
    <s v="Jennifer Lawrence, Leonardo DiCaprio, Christian Bale, Al Pacino"/>
    <n v="156043"/>
    <n v="14.91"/>
    <n v="14.91"/>
    <s v="Average"/>
  </r>
  <r>
    <s v="tt1000474"/>
    <s v="Last Secrets 367"/>
    <x v="45"/>
    <x v="0"/>
    <x v="2"/>
    <x v="54"/>
    <s v="Medium"/>
    <x v="77"/>
    <n v="6"/>
    <x v="0"/>
    <s v="A thrilling musical adventure."/>
    <x v="25"/>
    <s v="Mark Ruffalo, Daniel Day-Lewis, TimothÃ©e Chalamet"/>
    <n v="12491"/>
    <m/>
    <n v="0"/>
    <s v="Average"/>
  </r>
  <r>
    <s v="tt1000200"/>
    <s v="A Awakening 93"/>
    <x v="40"/>
    <x v="0"/>
    <x v="0"/>
    <x v="70"/>
    <s v="Long"/>
    <x v="406"/>
    <n v="6"/>
    <x v="50"/>
    <s v="A drama film set in 2005."/>
    <x v="17"/>
    <s v="Meryl Streep, Cate Blanchett, Emma Stone"/>
    <n v="220666"/>
    <n v="422.35"/>
    <n v="422.35"/>
    <s v="Blockbuster"/>
  </r>
  <r>
    <s v="tt1000992"/>
    <s v="Final Revolution 885"/>
    <x v="1"/>
    <x v="1"/>
    <x v="4"/>
    <x v="80"/>
    <s v="Long"/>
    <x v="177"/>
    <n v="6"/>
    <x v="36"/>
    <s v="A critically acclaimed adventure masterpiece."/>
    <x v="1"/>
    <s v="Daniel Day-Lewis, Emma Stone, Meryl Streep, Mark Ruffalo"/>
    <n v="135295"/>
    <n v="368.92"/>
    <n v="368.92"/>
    <s v="Blockbuster"/>
  </r>
  <r>
    <s v="tt1000422"/>
    <s v="Dark Kingdom 315"/>
    <x v="19"/>
    <x v="1"/>
    <x v="1"/>
    <x v="53"/>
    <s v="Medium"/>
    <x v="178"/>
    <n v="6"/>
    <x v="0"/>
    <s v="A critically acclaimed action masterpiece."/>
    <x v="23"/>
    <s v="Margot Robbie, Jennifer Lawrence, Denzel Washington"/>
    <n v="19864"/>
    <n v="220.47"/>
    <n v="220.47"/>
    <s v="Blockbuster"/>
  </r>
  <r>
    <s v="tt1000851"/>
    <s v="The Empire 744"/>
    <x v="10"/>
    <x v="2"/>
    <x v="0"/>
    <x v="12"/>
    <s v="Long"/>
    <x v="217"/>
    <n v="6"/>
    <x v="0"/>
    <s v="A critically acclaimed biography masterpiece."/>
    <x v="2"/>
    <s v="Mark Ruffalo, Edward Norton, Robert De Niro, Al Pacino"/>
    <n v="133511"/>
    <n v="357.12"/>
    <n v="357.12"/>
    <s v="Blockbuster"/>
  </r>
  <r>
    <s v="tt1000782"/>
    <s v="Secret Awakening 675"/>
    <x v="5"/>
    <x v="2"/>
    <x v="2"/>
    <x v="24"/>
    <s v="Medium"/>
    <x v="407"/>
    <n v="6"/>
    <x v="39"/>
    <s v="A animation film set in 2023."/>
    <x v="33"/>
    <s v="Jack Nicholson, Morgan Freeman, Daniel Day-Lewis, Cate Blanchett"/>
    <n v="169433"/>
    <n v="343.64"/>
    <n v="343.64"/>
    <s v="Blockbuster"/>
  </r>
  <r>
    <s v="tt1000164"/>
    <s v="Lost Journey 57"/>
    <x v="28"/>
    <x v="7"/>
    <x v="0"/>
    <x v="7"/>
    <s v="Long"/>
    <x v="408"/>
    <n v="6"/>
    <x v="0"/>
    <s v="A critically acclaimed animation masterpiece."/>
    <x v="9"/>
    <s v="Samuel L. Jackson, Anthony Hopkins, Scarlett Johansson, Tom Cruise, Daniel Day-Lewis"/>
    <n v="352871"/>
    <n v="173.2"/>
    <n v="173.2"/>
    <s v="Hit"/>
  </r>
  <r>
    <s v="tt1000110"/>
    <s v="Dark Legend 3"/>
    <x v="71"/>
    <x v="5"/>
    <x v="1"/>
    <x v="18"/>
    <s v="Medium"/>
    <x v="8"/>
    <n v="6"/>
    <x v="0"/>
    <s v="A critically acclaimed war masterpiece."/>
    <x v="36"/>
    <s v="Denzel Washington, Keanu Reeves, Christian Bale, Robert De Niro"/>
    <n v="67084"/>
    <n v="60.44"/>
    <n v="60.44"/>
    <s v="Average"/>
  </r>
  <r>
    <s v="tt1000700"/>
    <s v="Secret Legend 593"/>
    <x v="35"/>
    <x v="2"/>
    <x v="0"/>
    <x v="12"/>
    <s v="Long"/>
    <x v="9"/>
    <n v="6"/>
    <x v="18"/>
    <s v="An epic adventure tale directed by Coen Brothers."/>
    <x v="5"/>
    <s v="Amy Adams, Cate Blanchett, Margot Robbie"/>
    <n v="16244"/>
    <n v="260.55"/>
    <n v="260.55"/>
    <s v="Blockbuster"/>
  </r>
  <r>
    <s v="tt1000165"/>
    <s v="A Quest 58"/>
    <x v="59"/>
    <x v="5"/>
    <x v="0"/>
    <x v="41"/>
    <s v="Long"/>
    <x v="241"/>
    <n v="5.9"/>
    <x v="44"/>
    <s v="An epic documentary tale directed by Wes Anderson."/>
    <x v="34"/>
    <s v="Keanu Reeves, Will Smith, Natalie Portman"/>
    <n v="45003"/>
    <n v="147.22"/>
    <n v="147.22"/>
    <s v="Hit"/>
  </r>
  <r>
    <s v="tt1000368"/>
    <s v="Final Revolution 261"/>
    <x v="40"/>
    <x v="0"/>
    <x v="0"/>
    <x v="57"/>
    <s v="Long"/>
    <x v="409"/>
    <n v="5.9"/>
    <x v="55"/>
    <s v="An epic musical tale directed by Taika Waititi."/>
    <x v="35"/>
    <s v="Daniel Day-Lewis, Chris Hemsworth, Al Pacino, Brad Pitt, Leonardo DiCaprio"/>
    <n v="150115"/>
    <n v="235.48"/>
    <n v="235.48"/>
    <s v="Blockbuster"/>
  </r>
  <r>
    <s v="tt1000606"/>
    <s v="A Dreams 499"/>
    <x v="10"/>
    <x v="2"/>
    <x v="3"/>
    <x v="48"/>
    <s v="Medium"/>
    <x v="285"/>
    <n v="5.9"/>
    <x v="31"/>
    <s v="An epic horror tale directed by Danny Boyle."/>
    <x v="22"/>
    <s v="Cate Blanchett, TimothÃ©e Chalamet, Denzel Washington, Brad Pitt"/>
    <n v="49173"/>
    <m/>
    <n v="0"/>
    <s v="Average"/>
  </r>
  <r>
    <s v="tt1000934"/>
    <s v="First Love 827"/>
    <x v="12"/>
    <x v="1"/>
    <x v="2"/>
    <x v="4"/>
    <s v="Long"/>
    <x v="410"/>
    <n v="5.9"/>
    <x v="49"/>
    <s v="A western film set in 2013."/>
    <x v="5"/>
    <s v="Morgan Freeman, Al Pacino, Samuel L. Jackson, Harrison Ford, Jennifer Lawrence"/>
    <n v="51885"/>
    <n v="147.4"/>
    <n v="147.4"/>
    <s v="Hit"/>
  </r>
  <r>
    <s v="tt1000383"/>
    <s v="Lost Destiny 276"/>
    <x v="7"/>
    <x v="0"/>
    <x v="4"/>
    <x v="0"/>
    <s v="Medium"/>
    <x v="259"/>
    <n v="5.9"/>
    <x v="25"/>
    <s v="A critically acclaimed sci-fi masterpiece."/>
    <x v="23"/>
    <s v="Al Pacino, Keanu Reeves, Mark Ruffalo"/>
    <n v="2368"/>
    <n v="273.33999999999997"/>
    <n v="273.33999999999997"/>
    <s v="Blockbuster"/>
  </r>
  <r>
    <s v="tt1000853"/>
    <s v="First Love 746"/>
    <x v="11"/>
    <x v="0"/>
    <x v="0"/>
    <x v="67"/>
    <s v="Long"/>
    <x v="338"/>
    <n v="5.9"/>
    <x v="56"/>
    <s v="A thrilling war adventure."/>
    <x v="34"/>
    <s v="Johnny Depp, Chris Hemsworth, Brad Pitt"/>
    <n v="68086"/>
    <m/>
    <n v="0"/>
    <s v="Average"/>
  </r>
  <r>
    <s v="tt1000172"/>
    <s v="Lost Awakening 65"/>
    <x v="30"/>
    <x v="7"/>
    <x v="0"/>
    <x v="41"/>
    <s v="Long"/>
    <x v="57"/>
    <n v="5.9"/>
    <x v="38"/>
    <s v="A thrilling family adventure."/>
    <x v="35"/>
    <s v="Will Smith, Daniel Day-Lewis, Natalie Portman, Gary Oldman, Mark Ruffalo"/>
    <n v="41696"/>
    <n v="177.68"/>
    <n v="177.68"/>
    <s v="Hit"/>
  </r>
  <r>
    <s v="tt1000152"/>
    <s v="An Quest 45"/>
    <x v="30"/>
    <x v="7"/>
    <x v="2"/>
    <x v="53"/>
    <s v="Medium"/>
    <x v="158"/>
    <n v="5.9"/>
    <x v="42"/>
    <s v="A thrilling comedy adventure."/>
    <x v="24"/>
    <s v="Robert De Niro, Scarlett Johansson, Samuel L. Jackson, Gary Oldman, Anthony Hopkins"/>
    <n v="15657"/>
    <n v="216.48"/>
    <n v="216.48"/>
    <s v="Blockbuster"/>
  </r>
  <r>
    <s v="tt1000118"/>
    <s v="Dark Kingdom 11"/>
    <x v="14"/>
    <x v="5"/>
    <x v="1"/>
    <x v="18"/>
    <s v="Medium"/>
    <x v="18"/>
    <n v="5.9"/>
    <x v="21"/>
    <s v="A critically acclaimed horror masterpiece."/>
    <x v="11"/>
    <s v="TimothÃ©e Chalamet, Al Pacino, Scarlett Johansson"/>
    <n v="58234"/>
    <n v="33.79"/>
    <n v="33.79"/>
    <s v="Average"/>
  </r>
  <r>
    <s v="tt1000565"/>
    <s v="Last Quest 458"/>
    <x v="12"/>
    <x v="1"/>
    <x v="0"/>
    <x v="88"/>
    <s v="Long"/>
    <x v="270"/>
    <n v="5.9"/>
    <x v="0"/>
    <s v="An epic animation tale directed by Kathryn Bigelow."/>
    <x v="23"/>
    <s v="Leonardo DiCaprio, Emma Stone, Robert Downey Jr."/>
    <n v="21663"/>
    <n v="231.86"/>
    <n v="231.86"/>
    <s v="Blockbuster"/>
  </r>
  <r>
    <s v="tt1000327"/>
    <s v="Dark Awakening 220"/>
    <x v="0"/>
    <x v="0"/>
    <x v="1"/>
    <x v="11"/>
    <s v="Long"/>
    <x v="206"/>
    <n v="5.9"/>
    <x v="0"/>
    <s v="A critically acclaimed documentary masterpiece."/>
    <x v="18"/>
    <s v="Viola Davis, Keanu Reeves, Samuel L. Jackson, Harrison Ford"/>
    <n v="55738"/>
    <n v="315.38"/>
    <n v="315.38"/>
    <s v="Blockbuster"/>
  </r>
  <r>
    <s v="tt1000545"/>
    <s v="The Secrets 438"/>
    <x v="20"/>
    <x v="1"/>
    <x v="1"/>
    <x v="59"/>
    <s v="Medium"/>
    <x v="411"/>
    <n v="5.9"/>
    <x v="0"/>
    <s v="A mystery film set in 2018."/>
    <x v="8"/>
    <s v="Margot Robbie, Morgan Freeman, Gary Oldman, Samuel L. Jackson"/>
    <n v="113028"/>
    <n v="168.63"/>
    <n v="168.63"/>
    <s v="Hit"/>
  </r>
  <r>
    <s v="tt1000515"/>
    <s v="Last Mystery 408"/>
    <x v="40"/>
    <x v="0"/>
    <x v="0"/>
    <x v="29"/>
    <s v="Long"/>
    <x v="59"/>
    <n v="5.9"/>
    <x v="36"/>
    <s v="An epic romance tale directed by Denis Villeneuve."/>
    <x v="29"/>
    <s v="Cate Blanchett, Robert De Niro, Johnny Depp, Edward Norton"/>
    <n v="94154"/>
    <n v="250.35"/>
    <n v="250.35"/>
    <s v="Blockbuster"/>
  </r>
  <r>
    <s v="tt1000891"/>
    <s v="An Kingdom 784"/>
    <x v="12"/>
    <x v="1"/>
    <x v="5"/>
    <x v="50"/>
    <s v="Medium"/>
    <x v="70"/>
    <n v="5.9"/>
    <x v="55"/>
    <s v="A thrilling musical adventure."/>
    <x v="9"/>
    <s v="Denzel Washington, Edward Norton, Daniel Day-Lewis, Johnny Depp"/>
    <n v="3152"/>
    <n v="156.55000000000001"/>
    <n v="156.55000000000001"/>
    <s v="Hit"/>
  </r>
  <r>
    <s v="tt1000527"/>
    <s v="Last Story 420"/>
    <x v="11"/>
    <x v="0"/>
    <x v="1"/>
    <x v="57"/>
    <s v="Long"/>
    <x v="24"/>
    <n v="5.9"/>
    <x v="51"/>
    <s v="A adventure film set in 2002."/>
    <x v="36"/>
    <s v="Chris Hemsworth, Amy Adams, Gary Oldman, TimothÃ©e Chalamet, Kate Winslet"/>
    <n v="65678"/>
    <n v="417.22"/>
    <n v="417.22"/>
    <s v="Blockbuster"/>
  </r>
  <r>
    <s v="tt1000855"/>
    <s v="A Love 748"/>
    <x v="51"/>
    <x v="1"/>
    <x v="2"/>
    <x v="59"/>
    <s v="Medium"/>
    <x v="311"/>
    <n v="5.9"/>
    <x v="42"/>
    <s v="An epic family tale directed by Ridley Scott."/>
    <x v="1"/>
    <s v="Johnny Depp, Robert De Niro, Amy Adams, Keanu Reeves, Christian Bale"/>
    <n v="159007"/>
    <n v="58.53"/>
    <n v="58.53"/>
    <s v="Average"/>
  </r>
  <r>
    <s v="tt1000454"/>
    <s v="Secret Chronicles 347"/>
    <x v="7"/>
    <x v="0"/>
    <x v="2"/>
    <x v="15"/>
    <s v="Long"/>
    <x v="412"/>
    <n v="5.9"/>
    <x v="0"/>
    <s v="A comedy film set in 2009."/>
    <x v="30"/>
    <s v="Johnny Depp, Cate Blanchett, Leonardo DiCaprio"/>
    <n v="360359"/>
    <n v="193.82"/>
    <n v="193.82"/>
    <s v="Hit"/>
  </r>
  <r>
    <s v="tt1000414"/>
    <s v="Last Legend 307"/>
    <x v="11"/>
    <x v="0"/>
    <x v="0"/>
    <x v="30"/>
    <s v="Medium"/>
    <x v="413"/>
    <n v="5.9"/>
    <x v="40"/>
    <s v="A sci-fi film set in 2002."/>
    <x v="30"/>
    <s v="Kate Winslet, Matt Damon, Jennifer Lawrence, Brad Pitt, Meryl Streep"/>
    <n v="22608"/>
    <n v="421.98"/>
    <n v="421.98"/>
    <s v="Blockbuster"/>
  </r>
  <r>
    <s v="tt1000879"/>
    <s v="Secret Mystery 772"/>
    <x v="20"/>
    <x v="1"/>
    <x v="5"/>
    <x v="67"/>
    <s v="Long"/>
    <x v="414"/>
    <n v="5.9"/>
    <x v="0"/>
    <s v="A critically acclaimed horror masterpiece."/>
    <x v="25"/>
    <s v="Viola Davis, Brad Pitt, Meryl Streep, Natalie Portman, Robert De Niro"/>
    <n v="108759"/>
    <m/>
    <n v="0"/>
    <s v="Average"/>
  </r>
  <r>
    <s v="tt1000810"/>
    <s v="Final Legend 703"/>
    <x v="51"/>
    <x v="1"/>
    <x v="2"/>
    <x v="23"/>
    <s v="Long"/>
    <x v="65"/>
    <n v="5.9"/>
    <x v="24"/>
    <s v="A thrilling family adventure."/>
    <x v="25"/>
    <s v="Zendaya, Gary Oldman, Emma Stone"/>
    <n v="57795"/>
    <n v="157.12"/>
    <n v="157.12"/>
    <s v="Hit"/>
  </r>
  <r>
    <s v="tt1000277"/>
    <s v="Secret Legend 170"/>
    <x v="18"/>
    <x v="2"/>
    <x v="3"/>
    <x v="75"/>
    <s v="Medium"/>
    <x v="115"/>
    <n v="5.9"/>
    <x v="36"/>
    <s v="A critically acclaimed fantasy masterpiece."/>
    <x v="30"/>
    <s v="Harrison Ford, Zendaya, TimothÃ©e Chalamet"/>
    <n v="18926"/>
    <m/>
    <n v="0"/>
    <s v="Average"/>
  </r>
  <r>
    <s v="tt1000211"/>
    <s v="The Destiny 104"/>
    <x v="18"/>
    <x v="2"/>
    <x v="2"/>
    <x v="59"/>
    <s v="Medium"/>
    <x v="338"/>
    <n v="5.9"/>
    <x v="0"/>
    <s v="A thrilling war adventure."/>
    <x v="29"/>
    <s v="Daniel Day-Lewis, Keanu Reeves, TimothÃ©e Chalamet, Christian Bale, Harrison Ford"/>
    <n v="5002"/>
    <n v="185.4"/>
    <n v="185.4"/>
    <s v="Hit"/>
  </r>
  <r>
    <s v="tt1000395"/>
    <s v="An Mission 288"/>
    <x v="4"/>
    <x v="0"/>
    <x v="2"/>
    <x v="67"/>
    <s v="Long"/>
    <x v="76"/>
    <n v="5.9"/>
    <x v="29"/>
    <s v="A horror film set in 2000."/>
    <x v="20"/>
    <s v="Christian Bale, Robert Downey Jr., Johnny Depp, Matt Damon, Samuel L. Jackson"/>
    <n v="42746"/>
    <m/>
    <n v="0"/>
    <s v="Average"/>
  </r>
  <r>
    <s v="tt1000793"/>
    <s v="The Kingdom 686"/>
    <x v="4"/>
    <x v="0"/>
    <x v="0"/>
    <x v="10"/>
    <s v="Long"/>
    <x v="99"/>
    <n v="5.9"/>
    <x v="31"/>
    <s v="A thrilling horror adventure."/>
    <x v="33"/>
    <s v="Johnny Depp, Gary Oldman, Margot Robbie"/>
    <n v="14246"/>
    <n v="118.86"/>
    <n v="118.86"/>
    <s v="Hit"/>
  </r>
  <r>
    <s v="tt1000160"/>
    <s v="An Chronicles 53"/>
    <x v="48"/>
    <x v="7"/>
    <x v="1"/>
    <x v="53"/>
    <s v="Medium"/>
    <x v="415"/>
    <n v="5.9"/>
    <x v="38"/>
    <s v="A sci-fi film set in 1982."/>
    <x v="9"/>
    <s v="Robert De Niro, Tom Hanks, Keanu Reeves, Daniel Day-Lewis, Natalie Portman"/>
    <n v="3227"/>
    <m/>
    <n v="0"/>
    <s v="Average"/>
  </r>
  <r>
    <s v="tt1000704"/>
    <s v="Secret Empire 597"/>
    <x v="20"/>
    <x v="1"/>
    <x v="0"/>
    <x v="46"/>
    <s v="Medium"/>
    <x v="9"/>
    <n v="5.9"/>
    <x v="36"/>
    <s v="A critically acclaimed adventure masterpiece."/>
    <x v="13"/>
    <s v="Jennifer Lawrence, Amy Adams, Natalie Portman"/>
    <n v="181904"/>
    <m/>
    <n v="0"/>
    <s v="Average"/>
  </r>
  <r>
    <s v="tt1000555"/>
    <s v="Secret Revolution 448"/>
    <x v="44"/>
    <x v="0"/>
    <x v="2"/>
    <x v="18"/>
    <s v="Medium"/>
    <x v="416"/>
    <n v="5.9"/>
    <x v="52"/>
    <s v="A critically acclaimed animation masterpiece."/>
    <x v="8"/>
    <s v="Tom Hanks, Jack Nicholson, Morgan Freeman, Emma Stone, Johnny Depp"/>
    <n v="28080"/>
    <m/>
    <n v="0"/>
    <s v="Average"/>
  </r>
  <r>
    <s v="tt1000331"/>
    <s v="A Mission 224"/>
    <x v="20"/>
    <x v="1"/>
    <x v="0"/>
    <x v="32"/>
    <s v="Medium"/>
    <x v="417"/>
    <n v="5.9"/>
    <x v="0"/>
    <s v="A thriller film set in 2018."/>
    <x v="31"/>
    <s v="Zendaya, Denzel Washington, Jennifer Lawrence, Chris Hemsworth"/>
    <n v="39275"/>
    <n v="446.76"/>
    <n v="446.76"/>
    <s v="Blockbuster"/>
  </r>
  <r>
    <s v="tt1000396"/>
    <s v="An Revolution 289"/>
    <x v="12"/>
    <x v="1"/>
    <x v="2"/>
    <x v="23"/>
    <s v="Long"/>
    <x v="418"/>
    <n v="5.9"/>
    <x v="0"/>
    <s v="A thrilling adventure adventure."/>
    <x v="20"/>
    <s v="Johnny Depp, Gary Oldman, Margot Robbie, Samuel L. Jackson"/>
    <n v="70127"/>
    <n v="38.869999999999997"/>
    <n v="38.869999999999997"/>
    <s v="Average"/>
  </r>
  <r>
    <s v="tt1000251"/>
    <s v="A Adventures 144"/>
    <x v="52"/>
    <x v="1"/>
    <x v="0"/>
    <x v="6"/>
    <s v="Long"/>
    <x v="419"/>
    <n v="5.9"/>
    <x v="56"/>
    <s v="A fantasy film set in 2010."/>
    <x v="13"/>
    <s v="Kate Winslet, Denzel Washington, Brad Pitt, Tom Hanks, Amy Adams"/>
    <n v="2500000"/>
    <n v="472.21"/>
    <n v="472.21"/>
    <s v="Blockbuster"/>
  </r>
  <r>
    <s v="tt1000907"/>
    <s v="Secret Chronicles 800"/>
    <x v="44"/>
    <x v="0"/>
    <x v="0"/>
    <x v="50"/>
    <s v="Medium"/>
    <x v="209"/>
    <n v="5.8"/>
    <x v="0"/>
    <s v="An epic mystery tale directed by Bong Joon-ho."/>
    <x v="18"/>
    <s v="Edward Norton, Al Pacino, TimothÃ©e Chalamet"/>
    <n v="552658"/>
    <m/>
    <n v="0"/>
    <s v="Average"/>
  </r>
  <r>
    <s v="tt1000948"/>
    <s v="Secret Love 841"/>
    <x v="44"/>
    <x v="0"/>
    <x v="2"/>
    <x v="8"/>
    <s v="Long"/>
    <x v="34"/>
    <n v="5.8"/>
    <x v="0"/>
    <s v="An epic documentary tale directed by Peter Jackson."/>
    <x v="8"/>
    <s v="Anthony Hopkins, Morgan Freeman, Jennifer Lawrence, Gary Oldman"/>
    <n v="24752"/>
    <n v="321.97000000000003"/>
    <n v="321.97000000000003"/>
    <s v="Blockbuster"/>
  </r>
  <r>
    <s v="tt1000204"/>
    <s v="Last Mission 97"/>
    <x v="35"/>
    <x v="2"/>
    <x v="1"/>
    <x v="10"/>
    <s v="Long"/>
    <x v="420"/>
    <n v="5.8"/>
    <x v="43"/>
    <s v="A critically acclaimed western masterpiece."/>
    <x v="31"/>
    <s v="Brad Pitt, Samuel L. Jackson, Meryl Streep, Viola Davis, Kate Winslet"/>
    <n v="2346951"/>
    <m/>
    <n v="0"/>
    <s v="Average"/>
  </r>
  <r>
    <s v="tt1000858"/>
    <s v="Secret Legend 751"/>
    <x v="12"/>
    <x v="1"/>
    <x v="2"/>
    <x v="93"/>
    <s v="Long"/>
    <x v="421"/>
    <n v="5.8"/>
    <x v="0"/>
    <s v="A critically acclaimed sci-fi masterpiece."/>
    <x v="2"/>
    <s v="TimothÃ©e Chalamet, Chris Hemsworth, Harrison Ford, Margot Robbie"/>
    <n v="538350"/>
    <n v="51.57"/>
    <n v="51.57"/>
    <s v="Average"/>
  </r>
  <r>
    <s v="tt1000429"/>
    <s v="Lost Journey 322"/>
    <x v="1"/>
    <x v="1"/>
    <x v="1"/>
    <x v="41"/>
    <s v="Long"/>
    <x v="422"/>
    <n v="5.8"/>
    <x v="0"/>
    <s v="A thrilling drama adventure."/>
    <x v="34"/>
    <s v="Natalie Portman, Amy Adams, Scarlett Johansson"/>
    <n v="2370"/>
    <m/>
    <n v="0"/>
    <s v="Average"/>
  </r>
  <r>
    <s v="tt1000374"/>
    <s v="Last Journey 267"/>
    <x v="11"/>
    <x v="0"/>
    <x v="2"/>
    <x v="17"/>
    <s v="Long"/>
    <x v="70"/>
    <n v="5.8"/>
    <x v="0"/>
    <s v="A musical film set in 2002."/>
    <x v="22"/>
    <s v="Chris Hemsworth, Jennifer Lawrence, Natalie Portman, Mark Ruffalo"/>
    <n v="693944"/>
    <n v="73.260000000000005"/>
    <n v="73.260000000000005"/>
    <s v="Average"/>
  </r>
  <r>
    <s v="tt1000986"/>
    <s v="First Secrets 879"/>
    <x v="24"/>
    <x v="0"/>
    <x v="2"/>
    <x v="57"/>
    <s v="Long"/>
    <x v="130"/>
    <n v="5.8"/>
    <x v="0"/>
    <s v="A western film set in 2003."/>
    <x v="24"/>
    <s v="Daniel Day-Lewis, Amy Adams, Harrison Ford"/>
    <n v="17382"/>
    <n v="149.53"/>
    <n v="149.53"/>
    <s v="Hit"/>
  </r>
  <r>
    <s v="tt1000885"/>
    <s v="The Love 778"/>
    <x v="3"/>
    <x v="1"/>
    <x v="1"/>
    <x v="62"/>
    <s v="Long"/>
    <x v="31"/>
    <n v="5.8"/>
    <x v="0"/>
    <s v="A action film set in 2019."/>
    <x v="32"/>
    <s v="Viola Davis, Edward Norton, Keanu Reeves, Meryl Streep"/>
    <n v="227605"/>
    <n v="314.67"/>
    <n v="314.67"/>
    <s v="Blockbuster"/>
  </r>
  <r>
    <s v="tt1000180"/>
    <s v="The Mission 73"/>
    <x v="21"/>
    <x v="7"/>
    <x v="0"/>
    <x v="51"/>
    <s v="Long"/>
    <x v="104"/>
    <n v="5.8"/>
    <x v="10"/>
    <s v="A critically acclaimed biography masterpiece."/>
    <x v="24"/>
    <s v="Robert Downey Jr., Al Pacino, Daniel Day-Lewis"/>
    <n v="79528"/>
    <n v="72.83"/>
    <n v="72.83"/>
    <s v="Average"/>
  </r>
  <r>
    <s v="tt1000789"/>
    <s v="Last Dreams 682"/>
    <x v="0"/>
    <x v="0"/>
    <x v="0"/>
    <x v="65"/>
    <s v="Short"/>
    <x v="6"/>
    <n v="5.8"/>
    <x v="0"/>
    <s v="A thrilling romance adventure."/>
    <x v="29"/>
    <s v="Samuel L. Jackson, Christian Bale, Florence Pugh, Tom Hanks"/>
    <n v="382206"/>
    <n v="440.93"/>
    <n v="440.93"/>
    <s v="Blockbuster"/>
  </r>
  <r>
    <s v="tt1000623"/>
    <s v="The Quest 516"/>
    <x v="35"/>
    <x v="2"/>
    <x v="2"/>
    <x v="59"/>
    <s v="Medium"/>
    <x v="35"/>
    <n v="5.8"/>
    <x v="31"/>
    <s v="A critically acclaimed drama masterpiece."/>
    <x v="16"/>
    <s v="Johnny Depp, Tom Hanks, Jack Nicholson, Natalie Portman"/>
    <n v="43374"/>
    <n v="471.81"/>
    <n v="471.81"/>
    <s v="Blockbuster"/>
  </r>
  <r>
    <s v="tt1000775"/>
    <s v="An Revolution 668"/>
    <x v="18"/>
    <x v="2"/>
    <x v="2"/>
    <x v="63"/>
    <s v="Long"/>
    <x v="1"/>
    <n v="5.8"/>
    <x v="25"/>
    <s v="A thrilling war adventure."/>
    <x v="27"/>
    <s v="Jack Nicholson, Margot Robbie, Mark Ruffalo, Amy Adams"/>
    <n v="33501"/>
    <n v="472.68"/>
    <n v="472.68"/>
    <s v="Blockbuster"/>
  </r>
  <r>
    <s v="tt1000546"/>
    <s v="Lost Revolution 439"/>
    <x v="0"/>
    <x v="0"/>
    <x v="1"/>
    <x v="42"/>
    <s v="Long"/>
    <x v="178"/>
    <n v="5.8"/>
    <x v="52"/>
    <s v="A critically acclaimed action masterpiece."/>
    <x v="18"/>
    <s v="Harrison Ford, Christian Bale, Anthony Hopkins, Natalie Portman"/>
    <n v="62089"/>
    <n v="323.07"/>
    <n v="323.07"/>
    <s v="Blockbuster"/>
  </r>
  <r>
    <s v="tt1000758"/>
    <s v="An Kingdom 651"/>
    <x v="19"/>
    <x v="1"/>
    <x v="2"/>
    <x v="36"/>
    <s v="Medium"/>
    <x v="423"/>
    <n v="5.8"/>
    <x v="56"/>
    <s v="A mystery film set in 2011."/>
    <x v="19"/>
    <s v="Mark Ruffalo, Robert Downey Jr., Harrison Ford, Matt Damon, Daniel Day-Lewis"/>
    <n v="165886"/>
    <m/>
    <n v="0"/>
    <s v="Average"/>
  </r>
  <r>
    <s v="tt1000754"/>
    <s v="Final Destiny 647"/>
    <x v="10"/>
    <x v="2"/>
    <x v="0"/>
    <x v="47"/>
    <s v="Long"/>
    <x v="83"/>
    <n v="5.8"/>
    <x v="51"/>
    <s v="A animation film set in 2022."/>
    <x v="17"/>
    <s v="Tom Cruise, Meryl Streep, Daniel Day-Lewis, Edward Norton"/>
    <n v="166096"/>
    <m/>
    <n v="0"/>
    <s v="Average"/>
  </r>
  <r>
    <s v="tt1000225"/>
    <s v="The Chronicles 118"/>
    <x v="4"/>
    <x v="0"/>
    <x v="1"/>
    <x v="55"/>
    <s v="Medium"/>
    <x v="77"/>
    <n v="5.8"/>
    <x v="0"/>
    <s v="A critically acclaimed musical masterpiece."/>
    <x v="27"/>
    <s v="Zendaya, Chris Hemsworth, Jennifer Lawrence, Keanu Reeves"/>
    <n v="829356"/>
    <n v="277.07"/>
    <n v="277.07"/>
    <s v="Blockbuster"/>
  </r>
  <r>
    <s v="tt1000870"/>
    <s v="Final Kingdom 763"/>
    <x v="60"/>
    <x v="1"/>
    <x v="1"/>
    <x v="63"/>
    <s v="Long"/>
    <x v="102"/>
    <n v="5.8"/>
    <x v="48"/>
    <s v="A critically acclaimed biography masterpiece."/>
    <x v="26"/>
    <s v="Daniel Day-Lewis, Natalie Portman, Margot Robbie"/>
    <n v="44256"/>
    <n v="420.73"/>
    <n v="420.73"/>
    <s v="Blockbuster"/>
  </r>
  <r>
    <s v="tt1000162"/>
    <s v="Final Destiny 55"/>
    <x v="71"/>
    <x v="5"/>
    <x v="2"/>
    <x v="16"/>
    <s v="Medium"/>
    <x v="9"/>
    <n v="5.8"/>
    <x v="50"/>
    <s v="A thrilling adventure adventure."/>
    <x v="33"/>
    <s v="Johnny Depp, Amy Adams, Zendaya, Meryl Streep, Scarlett Johansson"/>
    <n v="752166"/>
    <n v="228.38"/>
    <n v="228.38"/>
    <s v="Blockbuster"/>
  </r>
  <r>
    <s v="tt1000328"/>
    <s v="Last Chronicles 221"/>
    <x v="23"/>
    <x v="1"/>
    <x v="1"/>
    <x v="18"/>
    <s v="Medium"/>
    <x v="8"/>
    <n v="5.8"/>
    <x v="39"/>
    <s v="A war film set in 2017."/>
    <x v="32"/>
    <s v="Kate Winslet, Margot Robbie, Anthony Hopkins, Emma Stone"/>
    <n v="570973"/>
    <n v="476.76"/>
    <n v="476.76"/>
    <s v="Blockbuster"/>
  </r>
  <r>
    <s v="tt1000503"/>
    <s v="Lost Dreams 396"/>
    <x v="1"/>
    <x v="1"/>
    <x v="0"/>
    <x v="60"/>
    <s v="Long"/>
    <x v="424"/>
    <n v="5.8"/>
    <x v="47"/>
    <s v="A critically acclaimed fantasy masterpiece."/>
    <x v="30"/>
    <s v="Keanu Reeves, Edward Norton, Denzel Washington"/>
    <n v="44779"/>
    <n v="160.16"/>
    <n v="160.16"/>
    <s v="Hit"/>
  </r>
  <r>
    <s v="tt1000919"/>
    <s v="Secret Kingdom 812"/>
    <x v="45"/>
    <x v="0"/>
    <x v="0"/>
    <x v="55"/>
    <s v="Medium"/>
    <x v="180"/>
    <n v="5.8"/>
    <x v="38"/>
    <s v="An epic horror tale directed by Robert Zemeckis."/>
    <x v="11"/>
    <s v="Al Pacino, TimothÃ©e Chalamet, Christian Bale"/>
    <n v="152369"/>
    <n v="186.95"/>
    <n v="186.95"/>
    <s v="Hit"/>
  </r>
  <r>
    <s v="tt1000135"/>
    <s v="A Destiny 28"/>
    <x v="47"/>
    <x v="7"/>
    <x v="0"/>
    <x v="17"/>
    <s v="Long"/>
    <x v="282"/>
    <n v="5.8"/>
    <x v="0"/>
    <s v="A fantasy film set in 1981."/>
    <x v="33"/>
    <s v="Al Pacino, Viola Davis, Kate Winslet, Margot Robbie"/>
    <n v="29016"/>
    <n v="167.4"/>
    <n v="167.4"/>
    <s v="Hit"/>
  </r>
  <r>
    <s v="tt1000881"/>
    <s v="First Journey 774"/>
    <x v="18"/>
    <x v="2"/>
    <x v="2"/>
    <x v="32"/>
    <s v="Medium"/>
    <x v="425"/>
    <n v="5.8"/>
    <x v="42"/>
    <s v="A thrilling romance adventure."/>
    <x v="27"/>
    <s v="Kate Winslet, Samuel L. Jackson, Viola Davis"/>
    <n v="18450"/>
    <m/>
    <n v="0"/>
    <s v="Average"/>
  </r>
  <r>
    <s v="tt1000927"/>
    <s v="An Mystery 820"/>
    <x v="7"/>
    <x v="0"/>
    <x v="1"/>
    <x v="16"/>
    <s v="Medium"/>
    <x v="326"/>
    <n v="5.7"/>
    <x v="36"/>
    <s v="An epic drama tale directed by George Lucas."/>
    <x v="36"/>
    <s v="Emma Stone, Zendaya, Chris Hemsworth"/>
    <n v="12543"/>
    <n v="146.87"/>
    <n v="146.87"/>
    <s v="Hit"/>
  </r>
  <r>
    <s v="tt1000617"/>
    <s v="Lost War 510"/>
    <x v="23"/>
    <x v="1"/>
    <x v="2"/>
    <x v="81"/>
    <s v="Long"/>
    <x v="290"/>
    <n v="5.7"/>
    <x v="52"/>
    <s v="A critically acclaimed documentary masterpiece."/>
    <x v="26"/>
    <s v="Jennifer Lawrence, Brad Pitt, Leonardo DiCaprio, Will Smith"/>
    <n v="237692"/>
    <n v="290.58"/>
    <n v="290.58"/>
    <s v="Blockbuster"/>
  </r>
  <r>
    <s v="tt1000643"/>
    <s v="The Love 536"/>
    <x v="12"/>
    <x v="1"/>
    <x v="0"/>
    <x v="1"/>
    <s v="Long"/>
    <x v="250"/>
    <n v="5.7"/>
    <x v="53"/>
    <s v="An epic action tale directed by Wes Anderson."/>
    <x v="34"/>
    <s v="Meryl Streep, Chris Hemsworth, Kate Winslet, Gary Oldman"/>
    <n v="126127"/>
    <n v="226.56"/>
    <n v="226.56"/>
    <s v="Blockbuster"/>
  </r>
  <r>
    <s v="tt1000722"/>
    <s v="A Awakening 615"/>
    <x v="5"/>
    <x v="2"/>
    <x v="0"/>
    <x v="0"/>
    <s v="Medium"/>
    <x v="426"/>
    <n v="5.7"/>
    <x v="41"/>
    <s v="An epic sci-fi tale directed by Ron Howard."/>
    <x v="33"/>
    <s v="Mark Ruffalo, Al Pacino, Kate Winslet"/>
    <n v="42149"/>
    <n v="488.82"/>
    <n v="488.82"/>
    <s v="Blockbuster"/>
  </r>
  <r>
    <s v="tt1000345"/>
    <s v="A Kingdom 238"/>
    <x v="9"/>
    <x v="1"/>
    <x v="2"/>
    <x v="35"/>
    <s v="Long"/>
    <x v="427"/>
    <n v="5.7"/>
    <x v="0"/>
    <s v="A thrilling horror adventure."/>
    <x v="5"/>
    <s v="Natalie Portman, Christian Bale, Kate Winslet, Margot Robbie"/>
    <n v="6657"/>
    <n v="455.8"/>
    <n v="455.8"/>
    <s v="Blockbuster"/>
  </r>
  <r>
    <s v="tt1000561"/>
    <s v="A Awakening 454"/>
    <x v="2"/>
    <x v="0"/>
    <x v="2"/>
    <x v="4"/>
    <s v="Long"/>
    <x v="315"/>
    <n v="5.7"/>
    <x v="50"/>
    <s v="A critically acclaimed animation masterpiece."/>
    <x v="31"/>
    <s v="Robert De Niro, Kate Winslet, Christian Bale, Meryl Streep"/>
    <n v="355584"/>
    <m/>
    <n v="0"/>
    <s v="Average"/>
  </r>
  <r>
    <s v="tt1000264"/>
    <s v="Dark War 157"/>
    <x v="60"/>
    <x v="1"/>
    <x v="0"/>
    <x v="10"/>
    <s v="Long"/>
    <x v="428"/>
    <n v="5.7"/>
    <x v="22"/>
    <s v="A critically acclaimed horror masterpiece."/>
    <x v="10"/>
    <s v="Amy Adams, Robert De Niro, Harrison Ford"/>
    <n v="11830"/>
    <m/>
    <n v="0"/>
    <s v="Average"/>
  </r>
  <r>
    <s v="tt1000232"/>
    <s v="The Dreams 125"/>
    <x v="20"/>
    <x v="1"/>
    <x v="0"/>
    <x v="4"/>
    <s v="Long"/>
    <x v="429"/>
    <n v="5.7"/>
    <x v="43"/>
    <s v="A action film set in 2018."/>
    <x v="16"/>
    <s v="Tom Cruise, Harrison Ford, Daniel Day-Lewis"/>
    <n v="239435"/>
    <n v="267.36"/>
    <n v="267.36"/>
    <s v="Blockbuster"/>
  </r>
  <r>
    <s v="tt1000108"/>
    <s v="A Journey 1"/>
    <x v="28"/>
    <x v="7"/>
    <x v="2"/>
    <x v="33"/>
    <s v="Medium"/>
    <x v="69"/>
    <n v="5.7"/>
    <x v="0"/>
    <s v="A thrilling action adventure."/>
    <x v="8"/>
    <s v="Daniel Day-Lewis, Meryl Streep, TimothÃ©e Chalamet, Jennifer Lawrence, Denzel Washington"/>
    <n v="204094"/>
    <n v="148.25"/>
    <n v="148.25"/>
    <s v="Hit"/>
  </r>
  <r>
    <s v="tt1000751"/>
    <s v="The Empire 644"/>
    <x v="2"/>
    <x v="0"/>
    <x v="2"/>
    <x v="18"/>
    <s v="Medium"/>
    <x v="409"/>
    <n v="5.7"/>
    <x v="40"/>
    <s v="A thrilling musical adventure."/>
    <x v="20"/>
    <s v="Florence Pugh, Jennifer Lawrence, Viola Davis"/>
    <n v="103305"/>
    <n v="238.6"/>
    <n v="238.6"/>
    <s v="Blockbuster"/>
  </r>
  <r>
    <s v="tt1000489"/>
    <s v="A Mission 382"/>
    <x v="45"/>
    <x v="0"/>
    <x v="0"/>
    <x v="12"/>
    <s v="Long"/>
    <x v="316"/>
    <n v="5.7"/>
    <x v="32"/>
    <s v="An epic biography tale directed by Ridley Scott."/>
    <x v="1"/>
    <s v="Leonardo DiCaprio, Keanu Reeves, Johnny Depp, Brad Pitt"/>
    <n v="116646"/>
    <n v="473.79"/>
    <n v="473.79"/>
    <s v="Blockbuster"/>
  </r>
  <r>
    <s v="tt1000403"/>
    <s v="Final Destiny 296"/>
    <x v="23"/>
    <x v="1"/>
    <x v="1"/>
    <x v="26"/>
    <s v="Long"/>
    <x v="430"/>
    <n v="5.7"/>
    <x v="21"/>
    <s v="A family film set in 2017."/>
    <x v="17"/>
    <s v="Morgan Freeman, Zendaya, Anthony Hopkins, Matt Damon, Leonardo DiCaprio"/>
    <n v="21176"/>
    <n v="439.59"/>
    <n v="439.59"/>
    <s v="Blockbuster"/>
  </r>
  <r>
    <s v="tt1000418"/>
    <s v="Last Empire 311"/>
    <x v="9"/>
    <x v="1"/>
    <x v="2"/>
    <x v="47"/>
    <s v="Long"/>
    <x v="398"/>
    <n v="5.7"/>
    <x v="56"/>
    <s v="A critically acclaimed mystery masterpiece."/>
    <x v="29"/>
    <s v="Florence Pugh, Leonardo DiCaprio, Robert De Niro"/>
    <n v="735906"/>
    <n v="127.12"/>
    <n v="127.12"/>
    <s v="Hit"/>
  </r>
  <r>
    <s v="tt1000317"/>
    <s v="Secret Destiny 210"/>
    <x v="0"/>
    <x v="0"/>
    <x v="1"/>
    <x v="12"/>
    <s v="Long"/>
    <x v="431"/>
    <n v="5.7"/>
    <x v="55"/>
    <s v="An epic documentary tale directed by Steven Spielberg."/>
    <x v="27"/>
    <s v="Morgan Freeman, Scarlett Johansson, Brad Pitt, Johnny Depp, Chris Hemsworth"/>
    <n v="522116"/>
    <m/>
    <n v="0"/>
    <s v="Average"/>
  </r>
  <r>
    <s v="tt1000143"/>
    <s v="Final Quest 36"/>
    <x v="61"/>
    <x v="5"/>
    <x v="2"/>
    <x v="71"/>
    <s v="Short"/>
    <x v="432"/>
    <n v="5.7"/>
    <x v="57"/>
    <s v="A critically acclaimed drama masterpiece."/>
    <x v="15"/>
    <s v="Will Smith, Christian Bale, Robert Downey Jr."/>
    <n v="2810"/>
    <m/>
    <n v="0"/>
    <s v="Average"/>
  </r>
  <r>
    <s v="tt1000701"/>
    <s v="First Dreams 594"/>
    <x v="4"/>
    <x v="0"/>
    <x v="4"/>
    <x v="57"/>
    <s v="Long"/>
    <x v="130"/>
    <n v="5.7"/>
    <x v="10"/>
    <s v="An epic western tale directed by Denis Villeneuve."/>
    <x v="29"/>
    <s v="Keanu Reeves, Morgan Freeman, TimothÃ©e Chalamet, Christian Bale"/>
    <n v="703631"/>
    <n v="141.05000000000001"/>
    <n v="141.05000000000001"/>
    <s v="Hit"/>
  </r>
  <r>
    <s v="tt1000831"/>
    <s v="Dark Kingdom 724"/>
    <x v="40"/>
    <x v="0"/>
    <x v="1"/>
    <x v="44"/>
    <s v="Long"/>
    <x v="22"/>
    <n v="5.7"/>
    <x v="0"/>
    <s v="A critically acclaimed animation masterpiece."/>
    <x v="0"/>
    <s v="Christian Bale, Viola Davis, Amy Adams, Mark Ruffalo"/>
    <n v="202765"/>
    <m/>
    <n v="0"/>
    <s v="Average"/>
  </r>
  <r>
    <s v="tt1000627"/>
    <s v="Secret Story 520"/>
    <x v="44"/>
    <x v="0"/>
    <x v="2"/>
    <x v="66"/>
    <s v="Long"/>
    <x v="57"/>
    <n v="5.7"/>
    <x v="44"/>
    <s v="A family film set in 2007."/>
    <x v="22"/>
    <s v="Brad Pitt, Samuel L. Jackson, Robert Downey Jr., TimothÃ©e Chalamet, Margot Robbie"/>
    <n v="24619"/>
    <n v="415.12"/>
    <n v="415.12"/>
    <s v="Blockbuster"/>
  </r>
  <r>
    <s v="tt1000202"/>
    <s v="Last Adventures 95"/>
    <x v="52"/>
    <x v="1"/>
    <x v="3"/>
    <x v="55"/>
    <s v="Medium"/>
    <x v="270"/>
    <n v="5.7"/>
    <x v="37"/>
    <s v="An epic animation tale directed by Martin Scorsese."/>
    <x v="16"/>
    <s v="Amy Adams, Johnny Depp, Florence Pugh, Al Pacino, Jennifer Lawrence"/>
    <n v="4154"/>
    <n v="399.25"/>
    <n v="399.25"/>
    <s v="Blockbuster"/>
  </r>
  <r>
    <s v="tt1000166"/>
    <s v="Secret Story 59"/>
    <x v="71"/>
    <x v="5"/>
    <x v="0"/>
    <x v="28"/>
    <s v="Medium"/>
    <x v="115"/>
    <n v="5.6"/>
    <x v="56"/>
    <s v="A fantasy film set in 1999."/>
    <x v="13"/>
    <s v="Morgan Freeman, Amy Adams, Natalie Portman, Christian Bale, Gary Oldman"/>
    <n v="240209"/>
    <m/>
    <n v="0"/>
    <s v="Average"/>
  </r>
  <r>
    <s v="tt1000457"/>
    <s v="Lost Dreams 350"/>
    <x v="19"/>
    <x v="1"/>
    <x v="0"/>
    <x v="26"/>
    <s v="Long"/>
    <x v="272"/>
    <n v="5.6"/>
    <x v="22"/>
    <s v="A sci-fi film set in 2011."/>
    <x v="8"/>
    <s v="Jennifer Lawrence, Christian Bale, Leonardo DiCaprio, Morgan Freeman"/>
    <n v="5322"/>
    <n v="341.45"/>
    <n v="341.45"/>
    <s v="Blockbuster"/>
  </r>
  <r>
    <s v="tt1000438"/>
    <s v="Dark Secrets 331"/>
    <x v="23"/>
    <x v="1"/>
    <x v="0"/>
    <x v="46"/>
    <s v="Medium"/>
    <x v="433"/>
    <n v="5.6"/>
    <x v="54"/>
    <s v="A critically acclaimed crime masterpiece."/>
    <x v="11"/>
    <s v="Florence Pugh, Robert De Niro, Jack Nicholson"/>
    <n v="12116"/>
    <n v="458.99"/>
    <n v="458.99"/>
    <s v="Blockbuster"/>
  </r>
  <r>
    <s v="tt1000428"/>
    <s v="Secret Quest 321"/>
    <x v="52"/>
    <x v="1"/>
    <x v="1"/>
    <x v="55"/>
    <s v="Medium"/>
    <x v="237"/>
    <n v="5.6"/>
    <x v="0"/>
    <s v="A critically acclaimed horror masterpiece."/>
    <x v="1"/>
    <s v="Harrison Ford, Samuel L. Jackson, Leonardo DiCaprio, Chris Hemsworth, Robert Downey Jr."/>
    <n v="3811"/>
    <n v="375.15"/>
    <n v="375.15"/>
    <s v="Blockbuster"/>
  </r>
  <r>
    <s v="tt1000836"/>
    <s v="Last Kingdom 729"/>
    <x v="5"/>
    <x v="2"/>
    <x v="4"/>
    <x v="73"/>
    <s v="Medium"/>
    <x v="18"/>
    <n v="5.6"/>
    <x v="37"/>
    <s v="A thrilling horror adventure."/>
    <x v="18"/>
    <s v="Kate Winslet, Leonardo DiCaprio, Meryl Streep"/>
    <n v="123352"/>
    <n v="402.95"/>
    <n v="402.95"/>
    <s v="Blockbuster"/>
  </r>
  <r>
    <s v="tt1000824"/>
    <s v="First Awakening 717"/>
    <x v="44"/>
    <x v="0"/>
    <x v="0"/>
    <x v="55"/>
    <s v="Medium"/>
    <x v="133"/>
    <n v="5.6"/>
    <x v="46"/>
    <s v="A thrilling comedy adventure."/>
    <x v="9"/>
    <s v="Daniel Day-Lewis, Harrison Ford, Denzel Washington, Tom Cruise"/>
    <n v="94440"/>
    <n v="186.56"/>
    <n v="186.56"/>
    <s v="Hit"/>
  </r>
  <r>
    <s v="tt1000806"/>
    <s v="Lost Quest 699"/>
    <x v="51"/>
    <x v="1"/>
    <x v="0"/>
    <x v="12"/>
    <s v="Long"/>
    <x v="162"/>
    <n v="5.6"/>
    <x v="0"/>
    <s v="An epic musical tale directed by Quentin Tarantino."/>
    <x v="15"/>
    <s v="Matt Damon, Keanu Reeves, Leonardo DiCaprio, Al Pacino"/>
    <n v="288075"/>
    <m/>
    <n v="0"/>
    <s v="Average"/>
  </r>
  <r>
    <s v="tt1000449"/>
    <s v="Dark Adventures 342"/>
    <x v="3"/>
    <x v="1"/>
    <x v="2"/>
    <x v="67"/>
    <s v="Long"/>
    <x v="434"/>
    <n v="5.6"/>
    <x v="43"/>
    <s v="A critically acclaimed mystery masterpiece."/>
    <x v="16"/>
    <s v="Gary Oldman, Robert Downey Jr., Tom Hanks, Scarlett Johansson, TimothÃ©e Chalamet"/>
    <n v="42738"/>
    <m/>
    <n v="0"/>
    <s v="Average"/>
  </r>
  <r>
    <s v="tt1000235"/>
    <s v="First Awakening 128"/>
    <x v="11"/>
    <x v="0"/>
    <x v="2"/>
    <x v="17"/>
    <s v="Long"/>
    <x v="435"/>
    <n v="5.6"/>
    <x v="46"/>
    <s v="An epic adventure tale directed by Wong Kar-wai."/>
    <x v="17"/>
    <s v="Florence Pugh, Al Pacino, Tom Cruise, Anthony Hopkins, Keanu Reeves"/>
    <n v="832502"/>
    <n v="348.94"/>
    <n v="348.94"/>
    <s v="Blockbuster"/>
  </r>
  <r>
    <s v="tt1000313"/>
    <s v="A War 206"/>
    <x v="40"/>
    <x v="0"/>
    <x v="2"/>
    <x v="30"/>
    <s v="Medium"/>
    <x v="436"/>
    <n v="5.6"/>
    <x v="22"/>
    <s v="A critically acclaimed sci-fi masterpiece."/>
    <x v="2"/>
    <s v="Gary Oldman, Zendaya, Denzel Washington, Robert Downey Jr."/>
    <n v="221612"/>
    <n v="81.61"/>
    <n v="81.61"/>
    <s v="Average"/>
  </r>
  <r>
    <s v="tt1000792"/>
    <s v="First Legend 685"/>
    <x v="1"/>
    <x v="1"/>
    <x v="2"/>
    <x v="54"/>
    <s v="Medium"/>
    <x v="94"/>
    <n v="5.6"/>
    <x v="44"/>
    <s v="A thrilling romance adventure."/>
    <x v="7"/>
    <s v="Mark Ruffalo, Christian Bale, Anthony Hopkins, Tom Cruise"/>
    <n v="32202"/>
    <n v="63.24"/>
    <n v="63.24"/>
    <s v="Average"/>
  </r>
  <r>
    <s v="tt1000784"/>
    <s v="Last Kingdom 677"/>
    <x v="5"/>
    <x v="2"/>
    <x v="1"/>
    <x v="63"/>
    <s v="Long"/>
    <x v="34"/>
    <n v="5.6"/>
    <x v="21"/>
    <s v="An epic documentary tale directed by Bong Joon-ho."/>
    <x v="18"/>
    <s v="Margot Robbie, Meryl Streep, Leonardo DiCaprio"/>
    <n v="368765"/>
    <n v="302.52999999999997"/>
    <n v="302.52999999999997"/>
    <s v="Blockbuster"/>
  </r>
  <r>
    <s v="tt1000465"/>
    <s v="Last Story 358"/>
    <x v="6"/>
    <x v="2"/>
    <x v="4"/>
    <x v="5"/>
    <s v="Long"/>
    <x v="379"/>
    <n v="5.6"/>
    <x v="45"/>
    <s v="A thrilling crime adventure."/>
    <x v="3"/>
    <s v="Florence Pugh, Meryl Streep, Margot Robbie"/>
    <n v="13940"/>
    <n v="242.85"/>
    <n v="242.85"/>
    <s v="Blockbuster"/>
  </r>
  <r>
    <s v="tt1000734"/>
    <s v="Dark Awakening 627"/>
    <x v="40"/>
    <x v="0"/>
    <x v="1"/>
    <x v="77"/>
    <s v="Long"/>
    <x v="70"/>
    <n v="5.6"/>
    <x v="22"/>
    <s v="A thrilling musical adventure."/>
    <x v="15"/>
    <s v="Natalie Portman, Robert Downey Jr., Florence Pugh, Gary Oldman, Christian Bale"/>
    <n v="14261"/>
    <n v="72.69"/>
    <n v="72.69"/>
    <s v="Average"/>
  </r>
  <r>
    <s v="tt1000250"/>
    <s v="Last Story 143"/>
    <x v="52"/>
    <x v="1"/>
    <x v="2"/>
    <x v="75"/>
    <s v="Medium"/>
    <x v="99"/>
    <n v="5.6"/>
    <x v="43"/>
    <s v="An epic horror tale directed by James Cameron."/>
    <x v="32"/>
    <s v="Mark Ruffalo, Keanu Reeves, Jack Nicholson"/>
    <n v="13852"/>
    <m/>
    <n v="0"/>
    <s v="Average"/>
  </r>
  <r>
    <s v="tt1000564"/>
    <s v="An Mystery 457"/>
    <x v="34"/>
    <x v="0"/>
    <x v="0"/>
    <x v="62"/>
    <s v="Long"/>
    <x v="158"/>
    <n v="5.6"/>
    <x v="52"/>
    <s v="A thrilling comedy adventure."/>
    <x v="22"/>
    <s v="Edward Norton, Margot Robbie, Cate Blanchett, Denzel Washington, Viola Davis"/>
    <n v="72371"/>
    <n v="60.43"/>
    <n v="60.43"/>
    <s v="Average"/>
  </r>
  <r>
    <s v="tt1000260"/>
    <s v="A Legend 153"/>
    <x v="1"/>
    <x v="1"/>
    <x v="1"/>
    <x v="5"/>
    <s v="Long"/>
    <x v="437"/>
    <n v="5.6"/>
    <x v="0"/>
    <s v="A critically acclaimed war masterpiece."/>
    <x v="30"/>
    <s v="Cate Blanchett, Mark Ruffalo, Anthony Hopkins"/>
    <n v="105904"/>
    <n v="358.77"/>
    <n v="358.77"/>
    <s v="Blockbuster"/>
  </r>
  <r>
    <s v="tt1000410"/>
    <s v="First War 303"/>
    <x v="4"/>
    <x v="0"/>
    <x v="2"/>
    <x v="30"/>
    <s v="Medium"/>
    <x v="438"/>
    <n v="5.6"/>
    <x v="0"/>
    <s v="An epic mystery tale directed by Pedro AlmodÃ³var."/>
    <x v="30"/>
    <s v="TimothÃ©e Chalamet, Denzel Washington, Tom Cruise"/>
    <n v="52447"/>
    <n v="243.38"/>
    <n v="243.38"/>
    <s v="Blockbuster"/>
  </r>
  <r>
    <s v="tt1000355"/>
    <s v="Last Mystery 248"/>
    <x v="51"/>
    <x v="1"/>
    <x v="5"/>
    <x v="14"/>
    <s v="Medium"/>
    <x v="439"/>
    <n v="5.6"/>
    <x v="0"/>
    <s v="A critically acclaimed biography masterpiece."/>
    <x v="24"/>
    <s v="Samuel L. Jackson, Tom Cruise, Margot Robbie, Edward Norton, Christian Bale"/>
    <n v="341546"/>
    <m/>
    <n v="0"/>
    <s v="Average"/>
  </r>
  <r>
    <s v="tt1000674"/>
    <s v="First Secrets 567"/>
    <x v="40"/>
    <x v="0"/>
    <x v="0"/>
    <x v="78"/>
    <s v="Long"/>
    <x v="83"/>
    <n v="5.6"/>
    <x v="24"/>
    <s v="A critically acclaimed animation masterpiece."/>
    <x v="20"/>
    <s v="Zendaya, Leonardo DiCaprio, Christian Bale, Gary Oldman, Amy Adams"/>
    <n v="1000"/>
    <n v="238.95"/>
    <n v="238.95"/>
    <s v="Blockbuster"/>
  </r>
  <r>
    <s v="tt1000660"/>
    <s v="First Quest 553"/>
    <x v="3"/>
    <x v="1"/>
    <x v="2"/>
    <x v="64"/>
    <s v="Medium"/>
    <x v="440"/>
    <n v="5.6"/>
    <x v="46"/>
    <s v="A mystery film set in 2019."/>
    <x v="17"/>
    <s v="Amy Adams, Margot Robbie, Chris Hemsworth, Keanu Reeves"/>
    <n v="23386"/>
    <n v="90.76"/>
    <n v="90.76"/>
    <s v="Average"/>
  </r>
  <r>
    <s v="tt1000384"/>
    <s v="Secret Adventures 277"/>
    <x v="35"/>
    <x v="2"/>
    <x v="1"/>
    <x v="16"/>
    <s v="Medium"/>
    <x v="186"/>
    <n v="5.6"/>
    <x v="49"/>
    <s v="A critically acclaimed horror masterpiece."/>
    <x v="19"/>
    <s v="Edward Norton, Keanu Reeves, Morgan Freeman, Denzel Washington, Florence Pugh"/>
    <n v="702937"/>
    <n v="23.67"/>
    <n v="23.67"/>
    <s v="Average"/>
  </r>
  <r>
    <s v="tt1000524"/>
    <s v="Dark Quest 417"/>
    <x v="44"/>
    <x v="0"/>
    <x v="2"/>
    <x v="10"/>
    <s v="Long"/>
    <x v="282"/>
    <n v="5.6"/>
    <x v="0"/>
    <s v="A thrilling fantasy adventure."/>
    <x v="21"/>
    <s v="Tom Hanks, Florence Pugh, Mark Ruffalo"/>
    <n v="120528"/>
    <n v="294.67"/>
    <n v="294.67"/>
    <s v="Blockbuster"/>
  </r>
  <r>
    <s v="tt1000888"/>
    <s v="Secret Legend 781"/>
    <x v="2"/>
    <x v="0"/>
    <x v="5"/>
    <x v="29"/>
    <s v="Long"/>
    <x v="441"/>
    <n v="5.6"/>
    <x v="0"/>
    <s v="A critically acclaimed fantasy masterpiece."/>
    <x v="25"/>
    <s v="Viola Davis, Morgan Freeman, Al Pacino, Emma Stone, TimothÃ©e Chalamet"/>
    <n v="213685"/>
    <m/>
    <n v="0"/>
    <s v="Average"/>
  </r>
  <r>
    <s v="tt1000448"/>
    <s v="First Chronicles 341"/>
    <x v="24"/>
    <x v="0"/>
    <x v="2"/>
    <x v="67"/>
    <s v="Long"/>
    <x v="30"/>
    <n v="5.5"/>
    <x v="37"/>
    <s v="A comedy film set in 2003."/>
    <x v="12"/>
    <s v="Cate Blanchett, Johnny Depp, Anthony Hopkins, Natalie Portman"/>
    <n v="1298"/>
    <n v="371.58"/>
    <n v="371.58"/>
    <s v="Blockbuster"/>
  </r>
  <r>
    <s v="tt1000797"/>
    <s v="Dark Kingdom 690"/>
    <x v="6"/>
    <x v="2"/>
    <x v="1"/>
    <x v="75"/>
    <s v="Medium"/>
    <x v="442"/>
    <n v="5.5"/>
    <x v="56"/>
    <s v="A thrilling thriller adventure."/>
    <x v="30"/>
    <s v="Amy Adams, Christian Bale, Tom Hanks, Florence Pugh"/>
    <n v="22583"/>
    <m/>
    <n v="0"/>
    <s v="Average"/>
  </r>
  <r>
    <s v="tt1000798"/>
    <s v="Last Awakening 691"/>
    <x v="9"/>
    <x v="1"/>
    <x v="1"/>
    <x v="22"/>
    <s v="Medium"/>
    <x v="443"/>
    <n v="5.5"/>
    <x v="24"/>
    <s v="An epic biography tale directed by Francis Ford Coppola."/>
    <x v="9"/>
    <s v="Brad Pitt, Chris Hemsworth, Daniel Day-Lewis"/>
    <n v="15021"/>
    <m/>
    <n v="0"/>
    <s v="Average"/>
  </r>
  <r>
    <s v="tt1000167"/>
    <s v="Lost Empire 60"/>
    <x v="32"/>
    <x v="5"/>
    <x v="2"/>
    <x v="88"/>
    <s v="Long"/>
    <x v="444"/>
    <n v="5.5"/>
    <x v="44"/>
    <s v="A thrilling sci-fi adventure."/>
    <x v="29"/>
    <s v="Daniel Day-Lewis, Tom Hanks, Robert Downey Jr., Al Pacino, Natalie Portman"/>
    <n v="139309"/>
    <n v="44.74"/>
    <n v="44.74"/>
    <s v="Average"/>
  </r>
  <r>
    <s v="tt1000234"/>
    <s v="The Revolution 127"/>
    <x v="9"/>
    <x v="1"/>
    <x v="2"/>
    <x v="31"/>
    <s v="Medium"/>
    <x v="57"/>
    <n v="5.5"/>
    <x v="0"/>
    <s v="An epic family tale directed by Danny Boyle."/>
    <x v="22"/>
    <s v="Kate Winslet, Tom Hanks, Matt Damon, Emma Stone"/>
    <n v="5796"/>
    <n v="255.32"/>
    <n v="255.32"/>
    <s v="Blockbuster"/>
  </r>
  <r>
    <s v="tt1000904"/>
    <s v="A Love 797"/>
    <x v="4"/>
    <x v="0"/>
    <x v="5"/>
    <x v="29"/>
    <s v="Long"/>
    <x v="445"/>
    <n v="5.5"/>
    <x v="39"/>
    <s v="A critically acclaimed musical masterpiece."/>
    <x v="33"/>
    <s v="Margot Robbie, Scarlett Johansson, Kate Winslet"/>
    <n v="103930"/>
    <n v="189.98"/>
    <n v="189.98"/>
    <s v="Hit"/>
  </r>
  <r>
    <s v="tt1000882"/>
    <s v="Final Revolution 775"/>
    <x v="19"/>
    <x v="1"/>
    <x v="2"/>
    <x v="54"/>
    <s v="Medium"/>
    <x v="446"/>
    <n v="5.5"/>
    <x v="0"/>
    <s v="A thrilling war adventure."/>
    <x v="8"/>
    <s v="Jack Nicholson, Robert Downey Jr., Florence Pugh, Denzel Washington, Zendaya"/>
    <n v="61293"/>
    <m/>
    <n v="0"/>
    <s v="Average"/>
  </r>
  <r>
    <s v="tt1000115"/>
    <s v="First Journey 8"/>
    <x v="33"/>
    <x v="5"/>
    <x v="0"/>
    <x v="8"/>
    <s v="Long"/>
    <x v="350"/>
    <n v="5.5"/>
    <x v="0"/>
    <s v="A critically acclaimed thriller masterpiece."/>
    <x v="35"/>
    <s v="Robert Downey Jr., Chris Hemsworth, Jack Nicholson, Amy Adams, Robert De Niro"/>
    <n v="7250"/>
    <m/>
    <n v="0"/>
    <s v="Average"/>
  </r>
  <r>
    <s v="tt1000540"/>
    <s v="Final Adventures 433"/>
    <x v="11"/>
    <x v="0"/>
    <x v="0"/>
    <x v="15"/>
    <s v="Long"/>
    <x v="116"/>
    <n v="5.5"/>
    <x v="48"/>
    <s v="A thrilling biography adventure."/>
    <x v="14"/>
    <s v="Jack Nicholson, Al Pacino, Matt Damon, Daniel Day-Lewis"/>
    <n v="237718"/>
    <n v="438.34"/>
    <n v="438.34"/>
    <s v="Blockbuster"/>
  </r>
  <r>
    <s v="tt1000593"/>
    <s v="Final Quest 486"/>
    <x v="24"/>
    <x v="0"/>
    <x v="1"/>
    <x v="32"/>
    <s v="Medium"/>
    <x v="35"/>
    <n v="5.5"/>
    <x v="0"/>
    <s v="A thrilling drama adventure."/>
    <x v="17"/>
    <s v="Denzel Washington, Morgan Freeman, Chris Hemsworth, Daniel Day-Lewis"/>
    <n v="52856"/>
    <n v="131.13"/>
    <n v="131.13"/>
    <s v="Hit"/>
  </r>
  <r>
    <s v="tt1000387"/>
    <s v="Lost Empire 280"/>
    <x v="12"/>
    <x v="1"/>
    <x v="0"/>
    <x v="90"/>
    <s v="Long"/>
    <x v="129"/>
    <n v="5.5"/>
    <x v="47"/>
    <s v="A thrilling western adventure."/>
    <x v="36"/>
    <s v="Mark Ruffalo, Tom Cruise, Daniel Day-Lewis, Samuel L. Jackson"/>
    <n v="5074"/>
    <m/>
    <n v="0"/>
    <s v="Average"/>
  </r>
  <r>
    <s v="tt1000382"/>
    <s v="An Dreams 275"/>
    <x v="52"/>
    <x v="1"/>
    <x v="5"/>
    <x v="36"/>
    <s v="Medium"/>
    <x v="18"/>
    <n v="5.5"/>
    <x v="0"/>
    <s v="A thrilling horror adventure."/>
    <x v="8"/>
    <s v="Daniel Day-Lewis, Kate Winslet, Natalie Portman, Harrison Ford, Zendaya"/>
    <n v="654585"/>
    <m/>
    <n v="0"/>
    <s v="Average"/>
  </r>
  <r>
    <s v="tt1000495"/>
    <s v="Last Secrets 388"/>
    <x v="20"/>
    <x v="1"/>
    <x v="1"/>
    <x v="67"/>
    <s v="Long"/>
    <x v="184"/>
    <n v="5.5"/>
    <x v="57"/>
    <s v="A critically acclaimed documentary masterpiece."/>
    <x v="12"/>
    <s v="Zendaya, Leonardo DiCaprio, Emma Stone"/>
    <n v="4267"/>
    <n v="462.3"/>
    <n v="462.3"/>
    <s v="Blockbuster"/>
  </r>
  <r>
    <s v="tt1000308"/>
    <s v="Dark Quest 201"/>
    <x v="12"/>
    <x v="1"/>
    <x v="0"/>
    <x v="9"/>
    <s v="Long"/>
    <x v="3"/>
    <n v="5.4"/>
    <x v="0"/>
    <s v="An epic biography tale directed by Wong Kar-wai."/>
    <x v="17"/>
    <s v="Al Pacino, Natalie Portman, Kate Winslet, Gary Oldman, Robert Downey Jr."/>
    <n v="25890"/>
    <n v="192.69"/>
    <n v="192.69"/>
    <s v="Hit"/>
  </r>
  <r>
    <s v="tt1000157"/>
    <s v="An Awakening 50"/>
    <x v="28"/>
    <x v="7"/>
    <x v="2"/>
    <x v="94"/>
    <s v="Short"/>
    <x v="74"/>
    <n v="5.4"/>
    <x v="52"/>
    <s v="A critically acclaimed mystery masterpiece."/>
    <x v="5"/>
    <s v="Robert Downey Jr., Robert De Niro, Cate Blanchett"/>
    <n v="279144"/>
    <n v="219.05"/>
    <n v="219.05"/>
    <s v="Blockbuster"/>
  </r>
  <r>
    <s v="tt1000715"/>
    <s v="Lost Journey 608"/>
    <x v="40"/>
    <x v="0"/>
    <x v="2"/>
    <x v="60"/>
    <s v="Long"/>
    <x v="447"/>
    <n v="5.4"/>
    <x v="58"/>
    <s v="An epic musical tale directed by Ang Lee."/>
    <x v="6"/>
    <s v="Chris Hemsworth, Jack Nicholson, Kate Winslet, TimothÃ©e Chalamet, Harrison Ford"/>
    <n v="17279"/>
    <n v="166.41"/>
    <n v="166.41"/>
    <s v="Hit"/>
  </r>
  <r>
    <s v="tt1000892"/>
    <s v="Last Chronicles 785"/>
    <x v="52"/>
    <x v="1"/>
    <x v="0"/>
    <x v="4"/>
    <s v="Long"/>
    <x v="115"/>
    <n v="5.4"/>
    <x v="36"/>
    <s v="A critically acclaimed fantasy masterpiece."/>
    <x v="12"/>
    <s v="Natalie Portman, Daniel Day-Lewis, Edward Norton, Jennifer Lawrence"/>
    <n v="69079"/>
    <m/>
    <n v="0"/>
    <s v="Average"/>
  </r>
  <r>
    <s v="tt1000766"/>
    <s v="An Mystery 659"/>
    <x v="34"/>
    <x v="0"/>
    <x v="2"/>
    <x v="63"/>
    <s v="Long"/>
    <x v="448"/>
    <n v="5.4"/>
    <x v="0"/>
    <s v="A romance film set in 2006."/>
    <x v="28"/>
    <s v="Johnny Depp, Harrison Ford, Margot Robbie, Leonardo DiCaprio"/>
    <n v="290082"/>
    <n v="161.81"/>
    <n v="161.81"/>
    <s v="Hit"/>
  </r>
  <r>
    <s v="tt1000133"/>
    <s v="Dark Secrets 26"/>
    <x v="33"/>
    <x v="5"/>
    <x v="0"/>
    <x v="47"/>
    <s v="Long"/>
    <x v="118"/>
    <n v="5.4"/>
    <x v="0"/>
    <s v="An epic fantasy tale directed by Alfred Hitchcock."/>
    <x v="20"/>
    <s v="Jennifer Lawrence, Amy Adams, Zendaya, Anthony Hopkins"/>
    <n v="24365"/>
    <m/>
    <n v="0"/>
    <s v="Average"/>
  </r>
  <r>
    <s v="tt1000137"/>
    <s v="Secret Chronicles 30"/>
    <x v="21"/>
    <x v="7"/>
    <x v="1"/>
    <x v="14"/>
    <s v="Medium"/>
    <x v="355"/>
    <n v="5.4"/>
    <x v="0"/>
    <s v="A critically acclaimed musical masterpiece."/>
    <x v="32"/>
    <s v="Scarlett Johansson, Leonardo DiCaprio, TimothÃ©e Chalamet"/>
    <n v="244186"/>
    <m/>
    <n v="0"/>
    <s v="Average"/>
  </r>
  <r>
    <s v="tt1000416"/>
    <s v="First Quest 309"/>
    <x v="23"/>
    <x v="1"/>
    <x v="0"/>
    <x v="8"/>
    <s v="Long"/>
    <x v="449"/>
    <n v="5.4"/>
    <x v="52"/>
    <s v="A thrilling crime adventure."/>
    <x v="18"/>
    <s v="TimothÃ©e Chalamet, Cate Blanchett, Amy Adams"/>
    <n v="98353"/>
    <m/>
    <n v="0"/>
    <s v="Average"/>
  </r>
  <r>
    <s v="tt1000315"/>
    <s v="Lost Awakening 208"/>
    <x v="4"/>
    <x v="0"/>
    <x v="5"/>
    <x v="36"/>
    <s v="Medium"/>
    <x v="183"/>
    <n v="5.4"/>
    <x v="0"/>
    <s v="An epic war tale directed by David Fincher."/>
    <x v="25"/>
    <s v="Natalie Portman, Johnny Depp, Keanu Reeves"/>
    <n v="21208"/>
    <n v="88.02"/>
    <n v="88.02"/>
    <s v="Average"/>
  </r>
  <r>
    <s v="tt1000258"/>
    <s v="First Journey 151"/>
    <x v="34"/>
    <x v="0"/>
    <x v="5"/>
    <x v="17"/>
    <s v="Long"/>
    <x v="6"/>
    <n v="5.4"/>
    <x v="0"/>
    <s v="An epic romance tale directed by Ang Lee."/>
    <x v="6"/>
    <s v="Zendaya, Al Pacino, Leonardo DiCaprio, Keanu Reeves, Daniel Day-Lewis"/>
    <n v="20116"/>
    <n v="439.94"/>
    <n v="439.94"/>
    <s v="Blockbuster"/>
  </r>
  <r>
    <s v="tt1000635"/>
    <s v="Last Story 528"/>
    <x v="45"/>
    <x v="0"/>
    <x v="0"/>
    <x v="11"/>
    <s v="Long"/>
    <x v="379"/>
    <n v="5.4"/>
    <x v="0"/>
    <s v="An epic crime tale directed by Steven Spielberg."/>
    <x v="27"/>
    <s v="Natalie Portman, Robert Downey Jr., Edward Norton, Kate Winslet"/>
    <n v="11046"/>
    <m/>
    <n v="0"/>
    <s v="Average"/>
  </r>
  <r>
    <s v="tt1000924"/>
    <s v="First Chronicles 817"/>
    <x v="2"/>
    <x v="0"/>
    <x v="1"/>
    <x v="3"/>
    <s v="Medium"/>
    <x v="88"/>
    <n v="5.4"/>
    <x v="41"/>
    <s v="An epic crime tale directed by Christopher Nolan."/>
    <x v="21"/>
    <s v="Jack Nicholson, TimothÃ©e Chalamet, Natalie Portman, Kate Winslet"/>
    <n v="28660"/>
    <m/>
    <n v="0"/>
    <s v="Average"/>
  </r>
  <r>
    <s v="tt1000394"/>
    <s v="Dark Journey 287"/>
    <x v="23"/>
    <x v="1"/>
    <x v="2"/>
    <x v="67"/>
    <s v="Long"/>
    <x v="441"/>
    <n v="5.4"/>
    <x v="49"/>
    <s v="A critically acclaimed fantasy masterpiece."/>
    <x v="14"/>
    <s v="Margot Robbie, Daniel Day-Lewis, Meryl Streep, Viola Davis, Tom Hanks"/>
    <n v="13569"/>
    <n v="19.3"/>
    <n v="19.3"/>
    <s v="Average"/>
  </r>
  <r>
    <s v="tt1000699"/>
    <s v="Final Story 592"/>
    <x v="60"/>
    <x v="1"/>
    <x v="0"/>
    <x v="36"/>
    <s v="Medium"/>
    <x v="339"/>
    <n v="5.4"/>
    <x v="0"/>
    <s v="A war film set in 2016."/>
    <x v="5"/>
    <s v="Amy Adams, Al Pacino, Florence Pugh"/>
    <n v="204195"/>
    <m/>
    <n v="0"/>
    <s v="Average"/>
  </r>
  <r>
    <s v="tt1000725"/>
    <s v="Secret Chronicles 618"/>
    <x v="60"/>
    <x v="1"/>
    <x v="2"/>
    <x v="42"/>
    <s v="Long"/>
    <x v="173"/>
    <n v="5.4"/>
    <x v="0"/>
    <s v="An epic documentary tale directed by Ava DuVernay."/>
    <x v="13"/>
    <s v="Robert De Niro, Al Pacino, Mark Ruffalo, Morgan Freeman, Harrison Ford"/>
    <n v="78992"/>
    <n v="287.2"/>
    <n v="287.2"/>
    <s v="Blockbuster"/>
  </r>
  <r>
    <s v="tt1000214"/>
    <s v="Dark Kingdom 107"/>
    <x v="10"/>
    <x v="2"/>
    <x v="3"/>
    <x v="34"/>
    <s v="Medium"/>
    <x v="450"/>
    <n v="5.4"/>
    <x v="36"/>
    <s v="An epic documentary tale directed by Ryan Coogler."/>
    <x v="31"/>
    <s v="Brad Pitt, Samuel L. Jackson, Florence Pugh"/>
    <n v="41414"/>
    <m/>
    <n v="0"/>
    <s v="Average"/>
  </r>
  <r>
    <s v="tt1000787"/>
    <s v="A Mystery 680"/>
    <x v="5"/>
    <x v="2"/>
    <x v="1"/>
    <x v="73"/>
    <s v="Medium"/>
    <x v="157"/>
    <n v="5.4"/>
    <x v="0"/>
    <s v="An epic sci-fi tale directed by Christopher Nolan."/>
    <x v="21"/>
    <s v="Leonardo DiCaprio, Denzel Washington, Anthony Hopkins, Morgan Freeman"/>
    <n v="317753"/>
    <m/>
    <n v="0"/>
    <s v="Average"/>
  </r>
  <r>
    <s v="tt1000777"/>
    <s v="Secret War 670"/>
    <x v="1"/>
    <x v="1"/>
    <x v="1"/>
    <x v="22"/>
    <s v="Medium"/>
    <x v="8"/>
    <n v="5.4"/>
    <x v="24"/>
    <s v="An epic war tale directed by George Lucas."/>
    <x v="36"/>
    <s v="Keanu Reeves, Florence Pugh, Meryl Streep"/>
    <n v="35047"/>
    <n v="482.45"/>
    <n v="482.45"/>
    <s v="Blockbuster"/>
  </r>
  <r>
    <s v="tt1000525"/>
    <s v="First Legend 418"/>
    <x v="24"/>
    <x v="0"/>
    <x v="2"/>
    <x v="18"/>
    <s v="Medium"/>
    <x v="451"/>
    <n v="5.3"/>
    <x v="39"/>
    <s v="An epic sci-fi tale directed by Robert Zemeckis."/>
    <x v="11"/>
    <s v="Jennifer Lawrence, Natalie Portman, Scarlett Johansson, Denzel Washington"/>
    <n v="343557"/>
    <n v="181.18"/>
    <n v="181.18"/>
    <s v="Hit"/>
  </r>
  <r>
    <s v="tt1000943"/>
    <s v="Lost Revolution 836"/>
    <x v="11"/>
    <x v="0"/>
    <x v="3"/>
    <x v="54"/>
    <s v="Medium"/>
    <x v="9"/>
    <n v="5.3"/>
    <x v="59"/>
    <s v="An epic adventure tale directed by Akira Kurosawa."/>
    <x v="12"/>
    <s v="Brad Pitt, Scarlett Johansson, Al Pacino"/>
    <n v="14962"/>
    <n v="172.72"/>
    <n v="172.72"/>
    <s v="Hit"/>
  </r>
  <r>
    <s v="tt1000173"/>
    <s v="Dark Legend 66"/>
    <x v="14"/>
    <x v="5"/>
    <x v="1"/>
    <x v="70"/>
    <s v="Long"/>
    <x v="142"/>
    <n v="5.3"/>
    <x v="0"/>
    <s v="A thrilling animation adventure."/>
    <x v="32"/>
    <s v="Scarlett Johansson, Kate Winslet, Christian Bale, Jack Nicholson, Natalie Portman"/>
    <n v="135271"/>
    <n v="296.61"/>
    <n v="296.61"/>
    <s v="Blockbuster"/>
  </r>
  <r>
    <s v="tt1000578"/>
    <s v="The Secrets 471"/>
    <x v="10"/>
    <x v="2"/>
    <x v="1"/>
    <x v="70"/>
    <s v="Long"/>
    <x v="452"/>
    <n v="5.3"/>
    <x v="0"/>
    <s v="A fantasy film set in 2022."/>
    <x v="25"/>
    <s v="TimothÃ©e Chalamet, Emma Stone, Johnny Depp"/>
    <n v="12326"/>
    <n v="372.15"/>
    <n v="372.15"/>
    <s v="Blockbuster"/>
  </r>
  <r>
    <s v="tt1000175"/>
    <s v="First Awakening 68"/>
    <x v="59"/>
    <x v="5"/>
    <x v="2"/>
    <x v="92"/>
    <s v="Short"/>
    <x v="453"/>
    <n v="5.3"/>
    <x v="0"/>
    <s v="An epic animation tale directed by Quentin Tarantino."/>
    <x v="15"/>
    <s v="Viola Davis, Kate Winslet, Leonardo DiCaprio"/>
    <n v="64352"/>
    <n v="16.14"/>
    <n v="16.14"/>
    <s v="Average"/>
  </r>
  <r>
    <s v="tt1000979"/>
    <s v="First Chronicles 872"/>
    <x v="1"/>
    <x v="1"/>
    <x v="0"/>
    <x v="48"/>
    <s v="Medium"/>
    <x v="6"/>
    <n v="5.3"/>
    <x v="0"/>
    <s v="An epic romance tale directed by Francis Ford Coppola."/>
    <x v="9"/>
    <s v="Margot Robbie, Denzel Washington, Emma Stone, Gary Oldman, Matt Damon"/>
    <n v="33232"/>
    <n v="309.91000000000003"/>
    <n v="309.91000000000003"/>
    <s v="Blockbuster"/>
  </r>
  <r>
    <s v="tt1000716"/>
    <s v="An Quest 609"/>
    <x v="18"/>
    <x v="2"/>
    <x v="2"/>
    <x v="53"/>
    <s v="Medium"/>
    <x v="206"/>
    <n v="5.3"/>
    <x v="0"/>
    <s v="A thrilling documentary adventure."/>
    <x v="19"/>
    <s v="Natalie Portman, Johnny Depp, Margot Robbie, Christian Bale, Cate Blanchett"/>
    <n v="45991"/>
    <n v="160.53"/>
    <n v="160.53"/>
    <s v="Hit"/>
  </r>
  <r>
    <s v="tt1000244"/>
    <s v="Lost Adventures 137"/>
    <x v="6"/>
    <x v="2"/>
    <x v="0"/>
    <x v="11"/>
    <s v="Long"/>
    <x v="92"/>
    <n v="5.3"/>
    <x v="41"/>
    <s v="A critically acclaimed sci-fi masterpiece."/>
    <x v="0"/>
    <s v="TimothÃ©e Chalamet, Emma Stone, Gary Oldman, Denzel Washington, Tom Cruise"/>
    <n v="280332"/>
    <n v="242.51"/>
    <n v="242.51"/>
    <s v="Blockbuster"/>
  </r>
  <r>
    <s v="tt1000240"/>
    <s v="Final Story 133"/>
    <x v="11"/>
    <x v="0"/>
    <x v="2"/>
    <x v="4"/>
    <s v="Long"/>
    <x v="454"/>
    <n v="5.3"/>
    <x v="43"/>
    <s v="A comedy film set in 2002."/>
    <x v="2"/>
    <s v="Tom Cruise, Gary Oldman, Natalie Portman, Denzel Washington"/>
    <n v="7924"/>
    <m/>
    <n v="0"/>
    <s v="Average"/>
  </r>
  <r>
    <s v="tt1000584"/>
    <s v="A Destiny 477"/>
    <x v="20"/>
    <x v="1"/>
    <x v="4"/>
    <x v="32"/>
    <s v="Medium"/>
    <x v="197"/>
    <n v="5.2"/>
    <x v="54"/>
    <s v="An epic romance tale directed by Akira Kurosawa."/>
    <x v="12"/>
    <s v="Johnny Depp, Emma Stone, Tom Cruise, Robert Downey Jr., Mark Ruffalo"/>
    <n v="128901"/>
    <m/>
    <n v="0"/>
    <s v="Average"/>
  </r>
  <r>
    <s v="tt1000354"/>
    <s v="Dark Quest 247"/>
    <x v="40"/>
    <x v="0"/>
    <x v="1"/>
    <x v="57"/>
    <s v="Long"/>
    <x v="455"/>
    <n v="5.2"/>
    <x v="0"/>
    <s v="A sci-fi film set in 2005."/>
    <x v="6"/>
    <s v="Samuel L. Jackson, Morgan Freeman, Margot Robbie"/>
    <n v="34764"/>
    <n v="465.86"/>
    <n v="465.86"/>
    <s v="Blockbuster"/>
  </r>
  <r>
    <s v="tt1000755"/>
    <s v="Final Secrets 648"/>
    <x v="4"/>
    <x v="0"/>
    <x v="1"/>
    <x v="9"/>
    <s v="Long"/>
    <x v="8"/>
    <n v="5.2"/>
    <x v="41"/>
    <s v="A war film set in 2000."/>
    <x v="0"/>
    <s v="Zendaya, Jennifer Lawrence, Will Smith, Kate Winslet"/>
    <n v="96710"/>
    <n v="102.04"/>
    <n v="102.04"/>
    <s v="Hit"/>
  </r>
  <r>
    <s v="tt1000510"/>
    <s v="Secret War 403"/>
    <x v="10"/>
    <x v="2"/>
    <x v="2"/>
    <x v="15"/>
    <s v="Long"/>
    <x v="161"/>
    <n v="5.2"/>
    <x v="55"/>
    <s v="An epic documentary tale directed by Wes Anderson."/>
    <x v="34"/>
    <s v="Will Smith, Mark Ruffalo, Morgan Freeman, Christian Bale"/>
    <n v="97221"/>
    <n v="465.03"/>
    <n v="465.03"/>
    <s v="Blockbuster"/>
  </r>
  <r>
    <s v="tt1000932"/>
    <s v="Secret Kingdom 825"/>
    <x v="44"/>
    <x v="0"/>
    <x v="0"/>
    <x v="23"/>
    <s v="Long"/>
    <x v="118"/>
    <n v="5.2"/>
    <x v="0"/>
    <s v="A thrilling fantasy adventure."/>
    <x v="6"/>
    <s v="Tom Hanks, Robert De Niro, Jack Nicholson, Brad Pitt, Scarlett Johansson"/>
    <n v="34910"/>
    <n v="430.32"/>
    <n v="430.32"/>
    <s v="Blockbuster"/>
  </r>
  <r>
    <s v="tt1000989"/>
    <s v="Lost Kingdom 882"/>
    <x v="40"/>
    <x v="0"/>
    <x v="0"/>
    <x v="30"/>
    <s v="Medium"/>
    <x v="258"/>
    <n v="5.2"/>
    <x v="41"/>
    <s v="A mystery film set in 2005."/>
    <x v="17"/>
    <s v="Tom Hanks, Viola Davis, Harrison Ford, Edward Norton, Daniel Day-Lewis"/>
    <n v="89777"/>
    <n v="498"/>
    <n v="498"/>
    <s v="Blockbuster"/>
  </r>
  <r>
    <s v="tt1000450"/>
    <s v="Last Quest 343"/>
    <x v="45"/>
    <x v="0"/>
    <x v="0"/>
    <x v="19"/>
    <s v="Medium"/>
    <x v="424"/>
    <n v="5.2"/>
    <x v="57"/>
    <s v="A thrilling fantasy adventure."/>
    <x v="26"/>
    <s v="Margot Robbie, Matt Damon, Kate Winslet, Leonardo DiCaprio, Robert De Niro"/>
    <n v="134887"/>
    <m/>
    <n v="0"/>
    <s v="Average"/>
  </r>
  <r>
    <s v="tt1000601"/>
    <s v="The Dreams 494"/>
    <x v="52"/>
    <x v="1"/>
    <x v="2"/>
    <x v="52"/>
    <s v="Short"/>
    <x v="57"/>
    <n v="5.2"/>
    <x v="46"/>
    <s v="An epic family tale directed by Clint Eastwood."/>
    <x v="24"/>
    <s v="Kate Winslet, Robert Downey Jr., Scarlett Johansson, Cate Blanchett"/>
    <n v="5562"/>
    <n v="230.26"/>
    <n v="230.26"/>
    <s v="Blockbuster"/>
  </r>
  <r>
    <s v="tt1000504"/>
    <s v="An Revolution 397"/>
    <x v="2"/>
    <x v="0"/>
    <x v="1"/>
    <x v="31"/>
    <s v="Medium"/>
    <x v="118"/>
    <n v="5.0999999999999996"/>
    <x v="55"/>
    <s v="An epic fantasy tale directed by Denis Villeneuve."/>
    <x v="29"/>
    <s v="Leonardo DiCaprio, Denzel Washington, Margot Robbie"/>
    <n v="52890"/>
    <m/>
    <n v="0"/>
    <s v="Average"/>
  </r>
  <r>
    <s v="tt1000189"/>
    <s v="Lost Destiny 82"/>
    <x v="65"/>
    <x v="7"/>
    <x v="0"/>
    <x v="33"/>
    <s v="Medium"/>
    <x v="129"/>
    <n v="5.0999999999999996"/>
    <x v="0"/>
    <s v="A thrilling western adventure."/>
    <x v="23"/>
    <s v="Johnny Depp, Christian Bale, TimothÃ©e Chalamet, Gary Oldman"/>
    <n v="21202"/>
    <n v="203.59"/>
    <n v="203.59"/>
    <s v="Blockbuster"/>
  </r>
  <r>
    <s v="tt1000850"/>
    <s v="Last Love 743"/>
    <x v="20"/>
    <x v="1"/>
    <x v="1"/>
    <x v="61"/>
    <s v="Short"/>
    <x v="130"/>
    <n v="5.0999999999999996"/>
    <x v="38"/>
    <s v="A thrilling western adventure."/>
    <x v="32"/>
    <s v="Christian Bale, Brad Pitt, Tom Hanks"/>
    <n v="990978"/>
    <m/>
    <n v="0"/>
    <s v="Average"/>
  </r>
  <r>
    <s v="tt1000417"/>
    <s v="First Revolution 310"/>
    <x v="20"/>
    <x v="1"/>
    <x v="2"/>
    <x v="51"/>
    <s v="Long"/>
    <x v="4"/>
    <n v="5"/>
    <x v="0"/>
    <s v="An epic mystery tale directed by Park Chan-wook."/>
    <x v="0"/>
    <s v="Viola Davis, Scarlett Johansson, Leonardo DiCaprio"/>
    <n v="104933"/>
    <n v="174.47"/>
    <n v="174.47"/>
    <s v="Hit"/>
  </r>
  <r>
    <s v="tt1000330"/>
    <s v="First War 223"/>
    <x v="40"/>
    <x v="0"/>
    <x v="1"/>
    <x v="8"/>
    <s v="Long"/>
    <x v="408"/>
    <n v="5"/>
    <x v="43"/>
    <s v="A critically acclaimed animation masterpiece."/>
    <x v="23"/>
    <s v="Denzel Washington, Tom Hanks, Meryl Streep, Brad Pitt"/>
    <n v="41325"/>
    <n v="201.78"/>
    <n v="201.78"/>
    <s v="Blockbuster"/>
  </r>
  <r>
    <s v="tt1000672"/>
    <s v="Last Awakening 565"/>
    <x v="18"/>
    <x v="2"/>
    <x v="5"/>
    <x v="34"/>
    <s v="Medium"/>
    <x v="378"/>
    <n v="5"/>
    <x v="45"/>
    <s v="A critically acclaimed adventure masterpiece."/>
    <x v="26"/>
    <s v="Harrison Ford, Natalie Portman, Edward Norton"/>
    <n v="155302"/>
    <n v="230.34"/>
    <n v="230.34"/>
    <s v="Blockbuster"/>
  </r>
  <r>
    <s v="tt1000127"/>
    <s v="The Kingdom 20"/>
    <x v="31"/>
    <x v="7"/>
    <x v="0"/>
    <x v="30"/>
    <s v="Medium"/>
    <x v="149"/>
    <n v="4.9000000000000004"/>
    <x v="0"/>
    <s v="An epic documentary tale directed by Danny Boyle."/>
    <x v="22"/>
    <s v="Christian Bale, Meryl Streep, Mark Ruffalo, Viola Davis"/>
    <n v="16326"/>
    <n v="184.66"/>
    <n v="184.66"/>
    <s v="Hit"/>
  </r>
  <r>
    <s v="tt1000605"/>
    <s v="Lost Legend 498"/>
    <x v="11"/>
    <x v="0"/>
    <x v="2"/>
    <x v="28"/>
    <s v="Medium"/>
    <x v="6"/>
    <n v="4.9000000000000004"/>
    <x v="50"/>
    <s v="A thrilling romance adventure."/>
    <x v="33"/>
    <s v="Tom Cruise, Keanu Reeves, Chris Hemsworth"/>
    <n v="20358"/>
    <m/>
    <n v="0"/>
    <s v="Average"/>
  </r>
  <r>
    <s v="tt1000960"/>
    <s v="Last Awakening 853"/>
    <x v="52"/>
    <x v="1"/>
    <x v="1"/>
    <x v="56"/>
    <s v="Short"/>
    <x v="34"/>
    <n v="4.9000000000000004"/>
    <x v="55"/>
    <s v="A documentary film set in 2010."/>
    <x v="11"/>
    <s v="Tom Cruise, Leonardo DiCaprio, Matt Damon, Natalie Portman, Tom Hanks"/>
    <n v="24093"/>
    <m/>
    <n v="0"/>
    <s v="Average"/>
  </r>
  <r>
    <s v="tt1000957"/>
    <s v="Last Legend 850"/>
    <x v="2"/>
    <x v="0"/>
    <x v="3"/>
    <x v="29"/>
    <s v="Long"/>
    <x v="21"/>
    <n v="4.9000000000000004"/>
    <x v="40"/>
    <s v="A critically acclaimed action masterpiece."/>
    <x v="15"/>
    <s v="Jennifer Lawrence, Natalie Portman, Zendaya, Cate Blanchett"/>
    <n v="24911"/>
    <n v="486.51"/>
    <n v="486.51"/>
    <s v="Blockbuster"/>
  </r>
  <r>
    <s v="tt1000965"/>
    <s v="First Love 858"/>
    <x v="5"/>
    <x v="2"/>
    <x v="0"/>
    <x v="95"/>
    <s v="Long"/>
    <x v="92"/>
    <n v="4.9000000000000004"/>
    <x v="54"/>
    <s v="An epic sci-fi tale directed by Steven Spielberg."/>
    <x v="27"/>
    <s v="Cate Blanchett, Denzel Washington, Tom Cruise"/>
    <n v="795753"/>
    <n v="349.91"/>
    <n v="349.91"/>
    <s v="Blockbuster"/>
  </r>
  <r>
    <s v="tt1000147"/>
    <s v="Secret Destiny 40"/>
    <x v="28"/>
    <x v="7"/>
    <x v="0"/>
    <x v="18"/>
    <s v="Medium"/>
    <x v="456"/>
    <n v="4.9000000000000004"/>
    <x v="0"/>
    <s v="An epic action tale directed by Greta Gerwig."/>
    <x v="19"/>
    <s v="Mark Ruffalo, Zendaya, Robert De Niro, Margot Robbie"/>
    <n v="31429"/>
    <n v="142.57"/>
    <n v="142.57"/>
    <s v="Hit"/>
  </r>
  <r>
    <s v="tt1000781"/>
    <s v="Lost Dreams 674"/>
    <x v="35"/>
    <x v="2"/>
    <x v="2"/>
    <x v="50"/>
    <s v="Medium"/>
    <x v="48"/>
    <n v="4.9000000000000004"/>
    <x v="60"/>
    <s v="An epic sci-fi tale directed by James Cameron."/>
    <x v="32"/>
    <s v="Christian Bale, Viola Davis, Robert De Niro"/>
    <n v="310434"/>
    <n v="30.48"/>
    <n v="30.48"/>
    <s v="Average"/>
  </r>
  <r>
    <s v="tt1000694"/>
    <s v="Final War 587"/>
    <x v="2"/>
    <x v="0"/>
    <x v="0"/>
    <x v="39"/>
    <s v="Medium"/>
    <x v="341"/>
    <n v="4.7"/>
    <x v="58"/>
    <s v="A critically acclaimed comedy masterpiece."/>
    <x v="31"/>
    <s v="Natalie Portman, Tom Cruise, Florence Pugh"/>
    <n v="26217"/>
    <n v="333.74"/>
    <n v="333.74"/>
    <s v="Blockbuster"/>
  </r>
  <r>
    <s v="tt1000531"/>
    <s v="First Empire 424"/>
    <x v="52"/>
    <x v="1"/>
    <x v="0"/>
    <x v="67"/>
    <s v="Long"/>
    <x v="135"/>
    <n v="4.7"/>
    <x v="48"/>
    <s v="An epic comedy tale directed by Greta Gerwig."/>
    <x v="19"/>
    <s v="Mark Ruffalo, Cate Blanchett, Meryl Streep"/>
    <n v="13166"/>
    <n v="148.28"/>
    <n v="148.28"/>
    <s v="Hit"/>
  </r>
  <r>
    <s v="tt1000181"/>
    <s v="A Mystery 74"/>
    <x v="58"/>
    <x v="7"/>
    <x v="0"/>
    <x v="44"/>
    <s v="Long"/>
    <x v="457"/>
    <n v="4.5999999999999996"/>
    <x v="61"/>
    <s v="An epic horror tale directed by Bong Joon-ho."/>
    <x v="18"/>
    <s v="Jennifer Lawrence, Samuel L. Jackson, Natalie Portman"/>
    <n v="10870"/>
    <n v="109.29"/>
    <n v="109.29"/>
    <s v="Hit"/>
  </r>
  <r>
    <s v="tt1000215"/>
    <s v="An Empire 108"/>
    <x v="7"/>
    <x v="0"/>
    <x v="2"/>
    <x v="34"/>
    <s v="Medium"/>
    <x v="458"/>
    <n v="4.4000000000000004"/>
    <x v="0"/>
    <s v="A comedy film set in 2009."/>
    <x v="33"/>
    <s v="Chris Hemsworth, Meryl Streep, Anthony Hopkins"/>
    <n v="55191"/>
    <n v="205.9"/>
    <n v="205.9"/>
    <s v="Blockbuster"/>
  </r>
  <r>
    <s v="tt1000583"/>
    <s v="An Chronicles 476"/>
    <x v="60"/>
    <x v="1"/>
    <x v="0"/>
    <x v="13"/>
    <s v="Long"/>
    <x v="398"/>
    <n v="4.4000000000000004"/>
    <x v="57"/>
    <s v="A mystery film set in 2016."/>
    <x v="2"/>
    <s v="Cate Blanchett, Meryl Streep, Tom Cruise, TimothÃ©e Chalamet"/>
    <n v="165514"/>
    <n v="456.06"/>
    <n v="456.06"/>
    <s v="Blockbuster"/>
  </r>
  <r>
    <s v="tt1000961"/>
    <s v="Final Empire 854"/>
    <x v="18"/>
    <x v="2"/>
    <x v="1"/>
    <x v="29"/>
    <s v="Long"/>
    <x v="459"/>
    <n v="4.3"/>
    <x v="0"/>
    <s v="A thrilling documentary adventure."/>
    <x v="13"/>
    <s v="Viola Davis, Samuel L. Jackson, Robert Downey Jr., Morgan Freeman"/>
    <n v="28293"/>
    <n v="279.37"/>
    <n v="279.37"/>
    <s v="Blockbuster"/>
  </r>
  <r>
    <s v="tt1000530"/>
    <s v="First Journey 423"/>
    <x v="9"/>
    <x v="1"/>
    <x v="2"/>
    <x v="36"/>
    <s v="Medium"/>
    <x v="266"/>
    <n v="4.2"/>
    <x v="47"/>
    <s v="A critically acclaimed animation masterpiece."/>
    <x v="35"/>
    <s v="Edward Norton, Cate Blanchett, Will Smith, Jack Nicholson, Robert De Niro"/>
    <n v="115247"/>
    <n v="329.82"/>
    <n v="329.82"/>
    <s v="Blockbuster"/>
  </r>
  <r>
    <s v="tt1000982"/>
    <s v="The Mystery 875"/>
    <x v="45"/>
    <x v="0"/>
    <x v="3"/>
    <x v="7"/>
    <s v="Long"/>
    <x v="460"/>
    <n v="4.0999999999999996"/>
    <x v="62"/>
    <s v="An epic comedy tale directed by George Lucas."/>
    <x v="36"/>
    <s v="Harrison Ford, Samuel L. Jackson, Robert De Niro, Cate Blanchett, Emma Stone"/>
    <n v="45236"/>
    <m/>
    <n v="0"/>
    <s v="Averag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12">
  <r>
    <s v="tt1000835"/>
    <s v="Dark Love 728"/>
    <n v="2004"/>
    <n v="2000"/>
    <x v="0"/>
    <n v="103"/>
    <s v="Medium"/>
    <s v="A critically acclaimed action masterpiece."/>
    <s v="Park Chan-wook"/>
    <s v="Matt Damon, Leonardo DiCaprio, Meryl Streep, Robert De Niro"/>
    <n v="774648"/>
    <n v="204.79"/>
    <n v="204.79"/>
    <s v="Blockbuster"/>
    <s v="Action"/>
    <x v="0"/>
  </r>
  <r>
    <s v="tt1000835"/>
    <s v="Dark Love 728"/>
    <n v="2004"/>
    <n v="2000"/>
    <x v="0"/>
    <n v="103"/>
    <s v="Medium"/>
    <s v="A critically acclaimed action masterpiece."/>
    <s v="Park Chan-wook"/>
    <s v="Matt Damon, Leonardo DiCaprio, Meryl Streep, Robert De Niro"/>
    <n v="774648"/>
    <n v="204.79"/>
    <n v="204.79"/>
    <s v="Blockbuster"/>
    <s v=" Musical"/>
    <x v="1"/>
  </r>
  <r>
    <s v="tt1000768"/>
    <s v="First Awakening 661"/>
    <n v="2012"/>
    <n v="2010"/>
    <x v="1"/>
    <n v="159"/>
    <s v="Long"/>
    <s v="An epic war tale directed by Ridley Scott."/>
    <s v="Ridley Scott"/>
    <s v="Matt Damon, Jack Nicholson, Chris Hemsworth, Zendaya"/>
    <n v="297518"/>
    <n v="951.58"/>
    <n v="951.58"/>
    <s v="Blockbuster"/>
    <s v="War"/>
    <x v="2"/>
  </r>
  <r>
    <s v="tt1000768"/>
    <s v="First Awakening 661"/>
    <n v="2012"/>
    <n v="2010"/>
    <x v="1"/>
    <n v="159"/>
    <s v="Long"/>
    <s v="An epic war tale directed by Ridley Scott."/>
    <s v="Ridley Scott"/>
    <s v="Matt Damon, Jack Nicholson, Chris Hemsworth, Zendaya"/>
    <n v="297518"/>
    <n v="951.58"/>
    <n v="951.58"/>
    <s v="Blockbuster"/>
    <s v=" Animation"/>
    <x v="3"/>
  </r>
  <r>
    <s v="tt1000652"/>
    <s v="The Dreams 545"/>
    <n v="2008"/>
    <n v="2000"/>
    <x v="1"/>
    <n v="77"/>
    <s v="Short"/>
    <s v="An epic action tale directed by Spike Lee."/>
    <s v="Spike Lee"/>
    <s v="Natalie Portman, Mark Ruffalo, Viola Davis, Harrison Ford, Margot Robbie"/>
    <n v="583752"/>
    <n v="372.85"/>
    <n v="372.85"/>
    <s v="Blockbuster"/>
    <s v="Action"/>
    <x v="0"/>
  </r>
  <r>
    <s v="tt1000652"/>
    <s v="The Dreams 545"/>
    <n v="2008"/>
    <n v="2000"/>
    <x v="1"/>
    <n v="77"/>
    <s v="Short"/>
    <s v="An epic action tale directed by Spike Lee."/>
    <s v="Spike Lee"/>
    <s v="Natalie Portman, Mark Ruffalo, Viola Davis, Harrison Ford, Margot Robbie"/>
    <n v="583752"/>
    <n v="372.85"/>
    <n v="372.85"/>
    <s v="Blockbuster"/>
    <s v=" Mystery"/>
    <x v="4"/>
  </r>
  <r>
    <s v="tt1000652"/>
    <s v="The Dreams 545"/>
    <n v="2008"/>
    <n v="2000"/>
    <x v="1"/>
    <n v="77"/>
    <s v="Short"/>
    <s v="An epic action tale directed by Spike Lee."/>
    <s v="Spike Lee"/>
    <s v="Natalie Portman, Mark Ruffalo, Viola Davis, Harrison Ford, Margot Robbie"/>
    <n v="583752"/>
    <n v="372.85"/>
    <n v="372.85"/>
    <s v="Blockbuster"/>
    <s v=" War"/>
    <x v="2"/>
  </r>
  <r>
    <s v="tt1000538"/>
    <s v="Last Mission 431"/>
    <n v="2019"/>
    <n v="2010"/>
    <x v="0"/>
    <n v="116"/>
    <s v="Medium"/>
    <s v="A critically acclaimed biography masterpiece."/>
    <s v="Jordan Peele"/>
    <s v="Al Pacino, Gary Oldman, Keanu Reeves, Kate Winslet"/>
    <n v="187450"/>
    <m/>
    <n v="0"/>
    <s v="Average"/>
    <s v="Biography"/>
    <x v="5"/>
  </r>
  <r>
    <s v="tt1000159"/>
    <s v="The Story 52"/>
    <n v="2000"/>
    <n v="2000"/>
    <x v="1"/>
    <n v="126"/>
    <s v="Long"/>
    <s v="A mystery film set in 2000."/>
    <s v="Park Chan-wook"/>
    <s v="Zendaya, Chris Hemsworth, Viola Davis, Mark Ruffalo"/>
    <n v="642106"/>
    <n v="252.83"/>
    <n v="252.83"/>
    <s v="Blockbuster"/>
    <s v="Mystery"/>
    <x v="4"/>
  </r>
  <r>
    <s v="tt1000840"/>
    <s v="Dark Legend 733"/>
    <n v="2023"/>
    <n v="2020"/>
    <x v="1"/>
    <n v="123"/>
    <s v="Long"/>
    <s v="A crime film set in 2023."/>
    <s v="Sam Mendes"/>
    <s v="Gary Oldman, Morgan Freeman, Keanu Reeves"/>
    <n v="207806"/>
    <n v="808.8"/>
    <n v="808.8"/>
    <s v="Blockbuster"/>
    <s v="Crime"/>
    <x v="6"/>
  </r>
  <r>
    <s v="tt1000678"/>
    <s v="A Revolution 571"/>
    <n v="2000"/>
    <n v="2000"/>
    <x v="2"/>
    <n v="141"/>
    <s v="Long"/>
    <s v="An epic romance tale directed by Coen Brothers."/>
    <s v="Coen Brothers"/>
    <s v="Edward Norton, Al Pacino, Jennifer Lawrence"/>
    <n v="215726"/>
    <n v="64.12"/>
    <n v="64.12"/>
    <s v="Average"/>
    <s v="Romance"/>
    <x v="7"/>
  </r>
  <r>
    <s v="tt1000073"/>
    <s v="The Lord of the Rings: The Fellowship of the Ring"/>
    <n v="2000"/>
    <n v="2000"/>
    <x v="2"/>
    <n v="121"/>
    <s v="Long"/>
    <s v="An epic fantasy tale directed by Ang Lee."/>
    <s v="Ang Lee"/>
    <s v="Emma Stone, Denzel Washington, Chris Hemsworth"/>
    <n v="7274"/>
    <n v="24.5"/>
    <n v="24.5"/>
    <s v="Average"/>
    <s v="Fantasy"/>
    <x v="8"/>
  </r>
  <r>
    <s v="tt1000073"/>
    <s v="The Lord of the Rings: The Fellowship of the Ring"/>
    <n v="2000"/>
    <n v="2000"/>
    <x v="2"/>
    <n v="121"/>
    <s v="Long"/>
    <s v="An epic fantasy tale directed by Ang Lee."/>
    <s v="Ang Lee"/>
    <s v="Emma Stone, Denzel Washington, Chris Hemsworth"/>
    <n v="7274"/>
    <n v="24.5"/>
    <n v="24.5"/>
    <s v="Average"/>
    <s v=" Action"/>
    <x v="0"/>
  </r>
  <r>
    <s v="tt1000484"/>
    <s v="The Mission 377"/>
    <n v="2021"/>
    <n v="2020"/>
    <x v="2"/>
    <n v="124"/>
    <s v="Long"/>
    <s v="A critically acclaimed crime masterpiece."/>
    <s v="Guillermo del Toro"/>
    <s v="Mark Ruffalo, Natalie Portman, Zendaya"/>
    <n v="279682"/>
    <m/>
    <n v="0"/>
    <s v="Average"/>
    <s v="Crime"/>
    <x v="6"/>
  </r>
  <r>
    <s v="tt1000293"/>
    <s v="Last Love 186"/>
    <n v="2023"/>
    <n v="2020"/>
    <x v="0"/>
    <n v="143"/>
    <s v="Long"/>
    <s v="A war film set in 2023."/>
    <s v="Peter Jackson"/>
    <s v="Leonardo DiCaprio, Gary Oldman, Meryl Streep, Amy Adams, Keanu Reeves"/>
    <n v="54004"/>
    <m/>
    <n v="0"/>
    <s v="Average"/>
    <s v="War"/>
    <x v="2"/>
  </r>
  <r>
    <s v="tt1000282"/>
    <s v="Dark Story 175"/>
    <n v="2009"/>
    <n v="2000"/>
    <x v="1"/>
    <n v="125"/>
    <s v="Long"/>
    <s v="A adventure film set in 2009."/>
    <s v="Francis Ford Coppola"/>
    <s v="Morgan Freeman, Viola Davis, Scarlett Johansson"/>
    <n v="46006"/>
    <m/>
    <n v="0"/>
    <s v="Average"/>
    <s v="Adventure"/>
    <x v="9"/>
  </r>
  <r>
    <s v="tt1000035"/>
    <s v="Star Wars"/>
    <n v="1945"/>
    <n v="1940"/>
    <x v="1"/>
    <n v="128"/>
    <s v="Long"/>
    <s v="A thrilling fantasy adventure."/>
    <s v="Stanley Kubrick"/>
    <s v="Meryl Streep, Al Pacino, Daniel Day-Lewis, Anthony Hopkins, Mark Ruffalo"/>
    <n v="93356"/>
    <n v="124.78"/>
    <n v="124.78"/>
    <s v="Hit"/>
    <s v="Fantasy"/>
    <x v="8"/>
  </r>
  <r>
    <s v="tt1000035"/>
    <s v="Star Wars"/>
    <n v="1945"/>
    <n v="1940"/>
    <x v="1"/>
    <n v="128"/>
    <s v="Long"/>
    <s v="A thrilling fantasy adventure."/>
    <s v="Stanley Kubrick"/>
    <s v="Meryl Streep, Al Pacino, Daniel Day-Lewis, Anthony Hopkins, Mark Ruffalo"/>
    <n v="93356"/>
    <n v="124.78"/>
    <n v="124.78"/>
    <s v="Hit"/>
    <s v=" Romance"/>
    <x v="7"/>
  </r>
  <r>
    <s v="tt1000430"/>
    <s v="First Adventures 323"/>
    <n v="2014"/>
    <n v="2010"/>
    <x v="0"/>
    <n v="127"/>
    <s v="Long"/>
    <s v="A war film set in 2014."/>
    <s v="Robert Zemeckis"/>
    <s v="Florence Pugh, Brad Pitt, Chris Hemsworth"/>
    <n v="118662"/>
    <n v="131.58000000000001"/>
    <n v="131.58000000000001"/>
    <s v="Hit"/>
    <s v="War"/>
    <x v="2"/>
  </r>
  <r>
    <s v="tt1000430"/>
    <s v="First Adventures 323"/>
    <n v="2014"/>
    <n v="2010"/>
    <x v="0"/>
    <n v="127"/>
    <s v="Long"/>
    <s v="A war film set in 2014."/>
    <s v="Robert Zemeckis"/>
    <s v="Florence Pugh, Brad Pitt, Chris Hemsworth"/>
    <n v="118662"/>
    <n v="131.58000000000001"/>
    <n v="131.58000000000001"/>
    <s v="Hit"/>
    <s v=" Family"/>
    <x v="10"/>
  </r>
  <r>
    <s v="tt1000430"/>
    <s v="First Adventures 323"/>
    <n v="2014"/>
    <n v="2010"/>
    <x v="0"/>
    <n v="127"/>
    <s v="Long"/>
    <s v="A war film set in 2014."/>
    <s v="Robert Zemeckis"/>
    <s v="Florence Pugh, Brad Pitt, Chris Hemsworth"/>
    <n v="118662"/>
    <n v="131.58000000000001"/>
    <n v="131.58000000000001"/>
    <s v="Hit"/>
    <s v=" Crime"/>
    <x v="6"/>
  </r>
  <r>
    <s v="tt1000388"/>
    <s v="Lost Mystery 281"/>
    <n v="2022"/>
    <n v="2020"/>
    <x v="2"/>
    <n v="140"/>
    <s v="Long"/>
    <s v="A war film set in 2022."/>
    <s v="Ridley Scott"/>
    <s v="Emma Stone, Brad Pitt, Keanu Reeves, Tom Cruise"/>
    <n v="955084"/>
    <m/>
    <n v="0"/>
    <s v="Average"/>
    <s v="War"/>
    <x v="2"/>
  </r>
  <r>
    <s v="tt1000388"/>
    <s v="Lost Mystery 281"/>
    <n v="2022"/>
    <n v="2020"/>
    <x v="2"/>
    <n v="140"/>
    <s v="Long"/>
    <s v="A war film set in 2022."/>
    <s v="Ridley Scott"/>
    <s v="Emma Stone, Brad Pitt, Keanu Reeves, Tom Cruise"/>
    <n v="955084"/>
    <m/>
    <n v="0"/>
    <s v="Average"/>
    <s v=" Adventure"/>
    <x v="9"/>
  </r>
  <r>
    <s v="tt1000996"/>
    <s v="Secret Destiny 889"/>
    <n v="2002"/>
    <n v="2000"/>
    <x v="0"/>
    <n v="97"/>
    <s v="Medium"/>
    <s v="A thrilling western adventure."/>
    <s v="Akira Kurosawa"/>
    <s v="Harrison Ford, Johnny Depp, Edward Norton, Keanu Reeves"/>
    <n v="1164424"/>
    <m/>
    <n v="0"/>
    <s v="Average"/>
    <s v="Western"/>
    <x v="11"/>
  </r>
  <r>
    <s v="tt1000996"/>
    <s v="Secret Destiny 889"/>
    <n v="2002"/>
    <n v="2000"/>
    <x v="0"/>
    <n v="97"/>
    <s v="Medium"/>
    <s v="A thrilling western adventure."/>
    <s v="Akira Kurosawa"/>
    <s v="Harrison Ford, Johnny Depp, Edward Norton, Keanu Reeves"/>
    <n v="1164424"/>
    <m/>
    <n v="0"/>
    <s v="Average"/>
    <s v=" Musical"/>
    <x v="1"/>
  </r>
  <r>
    <s v="tt1000425"/>
    <s v="Secret Chronicles 318"/>
    <n v="2013"/>
    <n v="2010"/>
    <x v="0"/>
    <n v="122"/>
    <s v="Long"/>
    <s v="A critically acclaimed biography masterpiece."/>
    <s v="Ridley Scott"/>
    <s v="Robert Downey Jr., Kate Winslet, Tom Cruise"/>
    <n v="216018"/>
    <m/>
    <n v="0"/>
    <s v="Average"/>
    <s v="Biography"/>
    <x v="5"/>
  </r>
  <r>
    <s v="tt1000425"/>
    <s v="Secret Chronicles 318"/>
    <n v="2013"/>
    <n v="2010"/>
    <x v="0"/>
    <n v="122"/>
    <s v="Long"/>
    <s v="A critically acclaimed biography masterpiece."/>
    <s v="Ridley Scott"/>
    <s v="Robert Downey Jr., Kate Winslet, Tom Cruise"/>
    <n v="216018"/>
    <m/>
    <n v="0"/>
    <s v="Average"/>
    <s v=" Horror"/>
    <x v="12"/>
  </r>
  <r>
    <s v="tt1000010"/>
    <s v="Goodfellas"/>
    <n v="1977"/>
    <n v="1970"/>
    <x v="2"/>
    <n v="107"/>
    <s v="Medium"/>
    <s v="An epic fantasy tale directed by Ava DuVernay."/>
    <s v="Ava DuVernay"/>
    <s v="Amy Adams, Jack Nicholson, Brad Pitt, Leonardo DiCaprio, Mark Ruffalo"/>
    <n v="70408"/>
    <n v="19.98"/>
    <n v="19.98"/>
    <s v="Average"/>
    <s v="Fantasy"/>
    <x v="8"/>
  </r>
  <r>
    <s v="tt1000010"/>
    <s v="Goodfellas"/>
    <n v="1977"/>
    <n v="1970"/>
    <x v="2"/>
    <n v="107"/>
    <s v="Medium"/>
    <s v="An epic fantasy tale directed by Ava DuVernay."/>
    <s v="Ava DuVernay"/>
    <s v="Amy Adams, Jack Nicholson, Brad Pitt, Leonardo DiCaprio, Mark Ruffalo"/>
    <n v="70408"/>
    <n v="19.98"/>
    <n v="19.98"/>
    <s v="Average"/>
    <s v=" Family"/>
    <x v="10"/>
  </r>
  <r>
    <s v="tt1000010"/>
    <s v="Goodfellas"/>
    <n v="1977"/>
    <n v="1970"/>
    <x v="2"/>
    <n v="107"/>
    <s v="Medium"/>
    <s v="An epic fantasy tale directed by Ava DuVernay."/>
    <s v="Ava DuVernay"/>
    <s v="Amy Adams, Jack Nicholson, Brad Pitt, Leonardo DiCaprio, Mark Ruffalo"/>
    <n v="70408"/>
    <n v="19.98"/>
    <n v="19.98"/>
    <s v="Average"/>
    <s v=" Action"/>
    <x v="0"/>
  </r>
  <r>
    <s v="tt1000194"/>
    <s v="Secret Journey 87"/>
    <n v="1997"/>
    <n v="1990"/>
    <x v="0"/>
    <n v="132"/>
    <s v="Long"/>
    <s v="A war film set in 1997."/>
    <s v="Frank Darabont"/>
    <s v="Zendaya, Amy Adams, Harrison Ford, Scarlett Johansson"/>
    <n v="157304"/>
    <n v="181.29"/>
    <n v="181.29"/>
    <s v="Hit"/>
    <s v="War"/>
    <x v="2"/>
  </r>
  <r>
    <s v="tt1000194"/>
    <s v="Secret Journey 87"/>
    <n v="1997"/>
    <n v="1990"/>
    <x v="0"/>
    <n v="132"/>
    <s v="Long"/>
    <s v="A war film set in 1997."/>
    <s v="Frank Darabont"/>
    <s v="Zendaya, Amy Adams, Harrison Ford, Scarlett Johansson"/>
    <n v="157304"/>
    <n v="181.29"/>
    <n v="181.29"/>
    <s v="Hit"/>
    <s v=" Documentary"/>
    <x v="13"/>
  </r>
  <r>
    <s v="tt1000024"/>
    <s v="Life is Beautiful"/>
    <n v="1960"/>
    <n v="1960"/>
    <x v="0"/>
    <n v="119"/>
    <s v="Medium"/>
    <s v="A critically acclaimed documentary masterpiece."/>
    <s v="Quentin Tarantino"/>
    <s v="Matt Damon, Edward Norton, Mark Ruffalo, Viola Davis, Denzel Washington"/>
    <n v="1411"/>
    <n v="263.5"/>
    <n v="263.5"/>
    <s v="Blockbuster"/>
    <s v="Documentary"/>
    <x v="13"/>
  </r>
  <r>
    <s v="tt1000024"/>
    <s v="Life is Beautiful"/>
    <n v="1960"/>
    <n v="1960"/>
    <x v="0"/>
    <n v="119"/>
    <s v="Medium"/>
    <s v="A critically acclaimed documentary masterpiece."/>
    <s v="Quentin Tarantino"/>
    <s v="Matt Damon, Edward Norton, Mark Ruffalo, Viola Davis, Denzel Washington"/>
    <n v="1411"/>
    <n v="263.5"/>
    <n v="263.5"/>
    <s v="Blockbuster"/>
    <s v=" Fantasy"/>
    <x v="8"/>
  </r>
  <r>
    <s v="tt1000024"/>
    <s v="Life is Beautiful"/>
    <n v="1960"/>
    <n v="1960"/>
    <x v="0"/>
    <n v="119"/>
    <s v="Medium"/>
    <s v="A critically acclaimed documentary masterpiece."/>
    <s v="Quentin Tarantino"/>
    <s v="Matt Damon, Edward Norton, Mark Ruffalo, Viola Davis, Denzel Washington"/>
    <n v="1411"/>
    <n v="263.5"/>
    <n v="263.5"/>
    <s v="Blockbuster"/>
    <s v=" War"/>
    <x v="2"/>
  </r>
  <r>
    <s v="tt1000027"/>
    <s v="Terminator 2"/>
    <n v="1963"/>
    <n v="1960"/>
    <x v="0"/>
    <n v="127"/>
    <s v="Long"/>
    <s v="A thrilling horror adventure."/>
    <s v="Martin Scorsese"/>
    <s v="Cate Blanchett, Mark Ruffalo, Natalie Portman"/>
    <n v="33020"/>
    <n v="218.75"/>
    <n v="218.75"/>
    <s v="Blockbuster"/>
    <s v="Horror"/>
    <x v="12"/>
  </r>
  <r>
    <s v="tt1000039"/>
    <s v="Psycho"/>
    <n v="1961"/>
    <n v="1960"/>
    <x v="0"/>
    <n v="96"/>
    <s v="Medium"/>
    <s v="A thrilling mystery adventure."/>
    <s v="Wong Kar-wai"/>
    <s v="Scarlett Johansson, Zendaya, Mark Ruffalo, Anthony Hopkins"/>
    <n v="221952"/>
    <n v="186.09"/>
    <n v="186.09"/>
    <s v="Hit"/>
    <s v="Mystery"/>
    <x v="4"/>
  </r>
  <r>
    <s v="tt1000039"/>
    <s v="Psycho"/>
    <n v="1961"/>
    <n v="1960"/>
    <x v="0"/>
    <n v="96"/>
    <s v="Medium"/>
    <s v="A thrilling mystery adventure."/>
    <s v="Wong Kar-wai"/>
    <s v="Scarlett Johansson, Zendaya, Mark Ruffalo, Anthony Hopkins"/>
    <n v="221952"/>
    <n v="186.09"/>
    <n v="186.09"/>
    <s v="Hit"/>
    <s v=" Drama"/>
    <x v="14"/>
  </r>
  <r>
    <s v="tt1000367"/>
    <s v="Final Journey 260"/>
    <n v="2024"/>
    <n v="2020"/>
    <x v="2"/>
    <n v="70"/>
    <s v="Short"/>
    <s v="A adventure film set in 2024."/>
    <s v="Stanley Kubrick"/>
    <s v="Samuel L. Jackson, Jack Nicholson, Edward Norton, Harrison Ford, Tom Hanks"/>
    <n v="97124"/>
    <n v="642.62"/>
    <n v="642.62"/>
    <s v="Blockbuster"/>
    <s v="Adventure"/>
    <x v="9"/>
  </r>
  <r>
    <s v="tt1000475"/>
    <s v="Final Secrets 368"/>
    <n v="2011"/>
    <n v="2010"/>
    <x v="2"/>
    <n v="80"/>
    <s v="Short"/>
    <s v="A documentary film set in 2011."/>
    <s v="Bong Joon-ho"/>
    <s v="Mark Ruffalo, Daniel Day-Lewis, Jack Nicholson, Brad Pitt, Margot Robbie"/>
    <n v="22886"/>
    <m/>
    <n v="0"/>
    <s v="Average"/>
    <s v="Documentary"/>
    <x v="13"/>
  </r>
  <r>
    <s v="tt1000475"/>
    <s v="Final Secrets 368"/>
    <n v="2011"/>
    <n v="2010"/>
    <x v="2"/>
    <n v="80"/>
    <s v="Short"/>
    <s v="A documentary film set in 2011."/>
    <s v="Bong Joon-ho"/>
    <s v="Mark Ruffalo, Daniel Day-Lewis, Jack Nicholson, Brad Pitt, Margot Robbie"/>
    <n v="22886"/>
    <m/>
    <n v="0"/>
    <s v="Average"/>
    <s v=" Romance"/>
    <x v="7"/>
  </r>
  <r>
    <s v="tt1000532"/>
    <s v="A Mission 425"/>
    <n v="2018"/>
    <n v="2010"/>
    <x v="2"/>
    <n v="132"/>
    <s v="Long"/>
    <s v="An epic action tale directed by Greta Gerwig."/>
    <s v="Greta Gerwig"/>
    <s v="Zendaya, Robert Downey Jr., Daniel Day-Lewis"/>
    <n v="123542"/>
    <n v="987.17"/>
    <n v="987.17"/>
    <s v="Blockbuster"/>
    <s v="Action"/>
    <x v="0"/>
  </r>
  <r>
    <s v="tt1000532"/>
    <s v="A Mission 425"/>
    <n v="2018"/>
    <n v="2010"/>
    <x v="2"/>
    <n v="132"/>
    <s v="Long"/>
    <s v="An epic action tale directed by Greta Gerwig."/>
    <s v="Greta Gerwig"/>
    <s v="Zendaya, Robert Downey Jr., Daniel Day-Lewis"/>
    <n v="123542"/>
    <n v="987.17"/>
    <n v="987.17"/>
    <s v="Blockbuster"/>
    <s v=" Mystery"/>
    <x v="4"/>
  </r>
  <r>
    <s v="tt1000739"/>
    <s v="The Mission 632"/>
    <n v="2004"/>
    <n v="2000"/>
    <x v="2"/>
    <n v="118"/>
    <s v="Medium"/>
    <s v="A critically acclaimed animation masterpiece."/>
    <s v="Alfred Hitchcock"/>
    <s v="Scarlett Johansson, Samuel L. Jackson, Matt Damon"/>
    <n v="82668"/>
    <n v="50.27"/>
    <n v="50.27"/>
    <s v="Average"/>
    <s v="Animation"/>
    <x v="3"/>
  </r>
  <r>
    <s v="tt1000070"/>
    <s v="The Departed"/>
    <n v="1987"/>
    <n v="1980"/>
    <x v="1"/>
    <n v="131"/>
    <s v="Long"/>
    <s v="A critically acclaimed comedy masterpiece."/>
    <s v="Christopher Nolan"/>
    <s v="Margot Robbie, Brad Pitt, Anthony Hopkins, Gary Oldman"/>
    <n v="300536"/>
    <n v="38.26"/>
    <n v="38.26"/>
    <s v="Average"/>
    <s v="Comedy"/>
    <x v="15"/>
  </r>
  <r>
    <s v="tt1000070"/>
    <s v="The Departed"/>
    <n v="1987"/>
    <n v="1980"/>
    <x v="1"/>
    <n v="131"/>
    <s v="Long"/>
    <s v="A critically acclaimed comedy masterpiece."/>
    <s v="Christopher Nolan"/>
    <s v="Margot Robbie, Brad Pitt, Anthony Hopkins, Gary Oldman"/>
    <n v="300536"/>
    <n v="38.26"/>
    <n v="38.26"/>
    <s v="Average"/>
    <s v=" Documentary"/>
    <x v="13"/>
  </r>
  <r>
    <s v="tt1000085"/>
    <s v="Dances with Wolves"/>
    <n v="1992"/>
    <n v="1990"/>
    <x v="3"/>
    <n v="110"/>
    <s v="Medium"/>
    <s v="A adventure film set in 1992."/>
    <s v="Sam Mendes"/>
    <s v="Mark Ruffalo, Jennifer Lawrence, Jack Nicholson, Emma Stone"/>
    <n v="41424"/>
    <n v="204.77"/>
    <n v="204.77"/>
    <s v="Blockbuster"/>
    <s v="Adventure"/>
    <x v="9"/>
  </r>
  <r>
    <s v="tt1000337"/>
    <s v="Final Adventures 230"/>
    <n v="2017"/>
    <n v="2010"/>
    <x v="2"/>
    <n v="123"/>
    <s v="Long"/>
    <s v="An epic adventure tale directed by Park Chan-wook."/>
    <s v="Park Chan-wook"/>
    <s v="Harrison Ford, Edward Norton, Denzel Washington, Tom Cruise"/>
    <n v="42588"/>
    <n v="67.67"/>
    <n v="67.67"/>
    <s v="Average"/>
    <s v="Adventure"/>
    <x v="9"/>
  </r>
  <r>
    <s v="tt1000337"/>
    <s v="Final Adventures 230"/>
    <n v="2017"/>
    <n v="2010"/>
    <x v="2"/>
    <n v="123"/>
    <s v="Long"/>
    <s v="An epic adventure tale directed by Park Chan-wook."/>
    <s v="Park Chan-wook"/>
    <s v="Harrison Ford, Edward Norton, Denzel Washington, Tom Cruise"/>
    <n v="42588"/>
    <n v="67.67"/>
    <n v="67.67"/>
    <s v="Average"/>
    <s v=" Musical"/>
    <x v="1"/>
  </r>
  <r>
    <s v="tt1000406"/>
    <s v="Lost Story 299"/>
    <n v="2023"/>
    <n v="2020"/>
    <x v="1"/>
    <n v="103"/>
    <s v="Medium"/>
    <s v="A comedy film set in 2023."/>
    <s v="Ridley Scott"/>
    <s v="Scarlett Johansson, Tom Cruise, Will Smith, Cate Blanchett"/>
    <n v="20164"/>
    <n v="698.26"/>
    <n v="698.26"/>
    <s v="Blockbuster"/>
    <s v="Comedy"/>
    <x v="15"/>
  </r>
  <r>
    <s v="tt1000406"/>
    <s v="Lost Story 299"/>
    <n v="2023"/>
    <n v="2020"/>
    <x v="1"/>
    <n v="103"/>
    <s v="Medium"/>
    <s v="A comedy film set in 2023."/>
    <s v="Ridley Scott"/>
    <s v="Scarlett Johansson, Tom Cruise, Will Smith, Cate Blanchett"/>
    <n v="20164"/>
    <n v="698.26"/>
    <n v="698.26"/>
    <s v="Blockbuster"/>
    <s v=" Sci-Fi"/>
    <x v="16"/>
  </r>
  <r>
    <s v="tt1000641"/>
    <s v="A Revolution 534"/>
    <n v="2003"/>
    <n v="2000"/>
    <x v="0"/>
    <n v="124"/>
    <s v="Long"/>
    <s v="A romance film set in 2003."/>
    <s v="Ang Lee"/>
    <s v="Matt Damon, Emma Stone, Margot Robbie"/>
    <n v="30152"/>
    <n v="481.83"/>
    <n v="481.83"/>
    <s v="Blockbuster"/>
    <s v="Romance"/>
    <x v="7"/>
  </r>
  <r>
    <s v="tt1000641"/>
    <s v="A Revolution 534"/>
    <n v="2003"/>
    <n v="2000"/>
    <x v="0"/>
    <n v="124"/>
    <s v="Long"/>
    <s v="A romance film set in 2003."/>
    <s v="Ang Lee"/>
    <s v="Matt Damon, Emma Stone, Margot Robbie"/>
    <n v="30152"/>
    <n v="481.83"/>
    <n v="481.83"/>
    <s v="Blockbuster"/>
    <s v=" War"/>
    <x v="2"/>
  </r>
  <r>
    <s v="tt1000641"/>
    <s v="A Revolution 534"/>
    <n v="2003"/>
    <n v="2000"/>
    <x v="0"/>
    <n v="124"/>
    <s v="Long"/>
    <s v="A romance film set in 2003."/>
    <s v="Ang Lee"/>
    <s v="Matt Damon, Emma Stone, Margot Robbie"/>
    <n v="30152"/>
    <n v="481.83"/>
    <n v="481.83"/>
    <s v="Blockbuster"/>
    <s v=" Western"/>
    <x v="11"/>
  </r>
  <r>
    <s v="tt1000022"/>
    <s v="Casablanca"/>
    <n v="1949"/>
    <n v="1940"/>
    <x v="1"/>
    <n v="118"/>
    <s v="Medium"/>
    <s v="A thriller film set in 1949."/>
    <s v="Danny Boyle"/>
    <s v="Tom Hanks, Jennifer Lawrence, Natalie Portman, Robert De Niro, Jack Nicholson"/>
    <n v="123595"/>
    <n v="281.54000000000002"/>
    <n v="281.54000000000002"/>
    <s v="Blockbuster"/>
    <s v="Thriller"/>
    <x v="17"/>
  </r>
  <r>
    <s v="tt1000022"/>
    <s v="Casablanca"/>
    <n v="1949"/>
    <n v="1940"/>
    <x v="1"/>
    <n v="118"/>
    <s v="Medium"/>
    <s v="A thriller film set in 1949."/>
    <s v="Danny Boyle"/>
    <s v="Tom Hanks, Jennifer Lawrence, Natalie Portman, Robert De Niro, Jack Nicholson"/>
    <n v="123595"/>
    <n v="281.54000000000002"/>
    <n v="281.54000000000002"/>
    <s v="Blockbuster"/>
    <s v=" Action"/>
    <x v="0"/>
  </r>
  <r>
    <s v="tt1000498"/>
    <s v="Last Mystery 391"/>
    <n v="2014"/>
    <n v="2010"/>
    <x v="2"/>
    <n v="150"/>
    <s v="Long"/>
    <s v="A critically acclaimed biography masterpiece."/>
    <s v="Kathryn Bigelow"/>
    <s v="Brad Pitt, Daniel Day-Lewis, Gary Oldman"/>
    <n v="2500000"/>
    <n v="386.05"/>
    <n v="386.05"/>
    <s v="Blockbuster"/>
    <s v="Biography"/>
    <x v="5"/>
  </r>
  <r>
    <s v="tt1000498"/>
    <s v="Last Mystery 391"/>
    <n v="2014"/>
    <n v="2010"/>
    <x v="2"/>
    <n v="150"/>
    <s v="Long"/>
    <s v="A critically acclaimed biography masterpiece."/>
    <s v="Kathryn Bigelow"/>
    <s v="Brad Pitt, Daniel Day-Lewis, Gary Oldman"/>
    <n v="2500000"/>
    <n v="386.05"/>
    <n v="386.05"/>
    <s v="Blockbuster"/>
    <s v=" Crime"/>
    <x v="6"/>
  </r>
  <r>
    <s v="tt1000030"/>
    <s v="The Avengers"/>
    <n v="1976"/>
    <n v="1970"/>
    <x v="0"/>
    <n v="121"/>
    <s v="Long"/>
    <s v="A thrilling drama adventure."/>
    <s v="Danny Boyle"/>
    <s v="Johnny Depp, Cate Blanchett, TimothÃ©e Chalamet, Scarlett Johansson"/>
    <n v="25064"/>
    <m/>
    <n v="0"/>
    <s v="Average"/>
    <s v="Drama"/>
    <x v="14"/>
  </r>
  <r>
    <s v="tt1000030"/>
    <s v="The Avengers"/>
    <n v="1976"/>
    <n v="1970"/>
    <x v="0"/>
    <n v="121"/>
    <s v="Long"/>
    <s v="A thrilling drama adventure."/>
    <s v="Danny Boyle"/>
    <s v="Johnny Depp, Cate Blanchett, TimothÃ©e Chalamet, Scarlett Johansson"/>
    <n v="25064"/>
    <m/>
    <n v="0"/>
    <s v="Average"/>
    <s v=" Horror"/>
    <x v="12"/>
  </r>
  <r>
    <s v="tt1000153"/>
    <s v="An Mission 46"/>
    <n v="1990"/>
    <n v="1990"/>
    <x v="1"/>
    <n v="96"/>
    <s v="Medium"/>
    <s v="A comedy film set in 1990."/>
    <s v="Francis Ford Coppola"/>
    <s v="Keanu Reeves, Jack Nicholson, Robert Downey Jr., Chris Hemsworth"/>
    <n v="126252"/>
    <n v="203.62"/>
    <n v="203.62"/>
    <s v="Blockbuster"/>
    <s v="Comedy"/>
    <x v="15"/>
  </r>
  <r>
    <s v="tt1000153"/>
    <s v="An Mission 46"/>
    <n v="1990"/>
    <n v="1990"/>
    <x v="1"/>
    <n v="96"/>
    <s v="Medium"/>
    <s v="A comedy film set in 1990."/>
    <s v="Francis Ford Coppola"/>
    <s v="Keanu Reeves, Jack Nicholson, Robert Downey Jr., Chris Hemsworth"/>
    <n v="126252"/>
    <n v="203.62"/>
    <n v="203.62"/>
    <s v="Blockbuster"/>
    <s v=" Action"/>
    <x v="0"/>
  </r>
  <r>
    <s v="tt1000827"/>
    <s v="An Chronicles 720"/>
    <n v="2022"/>
    <n v="2020"/>
    <x v="2"/>
    <n v="154"/>
    <s v="Long"/>
    <s v="An epic action tale directed by Akira Kurosawa."/>
    <s v="Akira Kurosawa"/>
    <s v="Zendaya, Al Pacino, Florence Pugh"/>
    <n v="37916"/>
    <n v="572.53"/>
    <n v="572.53"/>
    <s v="Blockbuster"/>
    <s v="Action"/>
    <x v="0"/>
  </r>
  <r>
    <s v="tt1000084"/>
    <s v="The Silence of the Lambs"/>
    <n v="1988"/>
    <n v="1980"/>
    <x v="1"/>
    <n v="162"/>
    <s v="Long"/>
    <s v="An epic romance tale directed by Martin Scorsese."/>
    <s v="Martin Scorsese"/>
    <s v="Margot Robbie, Johnny Depp, Al Pacino"/>
    <n v="7354"/>
    <m/>
    <n v="0"/>
    <s v="Average"/>
    <s v="Romance"/>
    <x v="7"/>
  </r>
  <r>
    <s v="tt1000747"/>
    <s v="An Legend 640"/>
    <n v="2013"/>
    <n v="2010"/>
    <x v="3"/>
    <n v="131"/>
    <s v="Long"/>
    <s v="A thrilling sci-fi adventure."/>
    <s v="Clint Eastwood"/>
    <s v="Mark Ruffalo, Chris Hemsworth, Natalie Portman, Robert De Niro, Denzel Washington"/>
    <n v="11460"/>
    <m/>
    <n v="0"/>
    <s v="Average"/>
    <s v="Sci-Fi"/>
    <x v="16"/>
  </r>
  <r>
    <s v="tt1000747"/>
    <s v="An Legend 640"/>
    <n v="2013"/>
    <n v="2010"/>
    <x v="3"/>
    <n v="131"/>
    <s v="Long"/>
    <s v="A thrilling sci-fi adventure."/>
    <s v="Clint Eastwood"/>
    <s v="Mark Ruffalo, Chris Hemsworth, Natalie Portman, Robert De Niro, Denzel Washington"/>
    <n v="11460"/>
    <m/>
    <n v="0"/>
    <s v="Average"/>
    <s v=" Romance"/>
    <x v="7"/>
  </r>
  <r>
    <s v="tt1000911"/>
    <s v="Final Mystery 804"/>
    <n v="2017"/>
    <n v="2010"/>
    <x v="2"/>
    <n v="102"/>
    <s v="Medium"/>
    <s v="A thrilling comedy adventure."/>
    <s v="Ava DuVernay"/>
    <s v="Tom Cruise, Harrison Ford, Cate Blanchett"/>
    <n v="53996"/>
    <m/>
    <n v="0"/>
    <s v="Average"/>
    <s v="Comedy"/>
    <x v="15"/>
  </r>
  <r>
    <s v="tt1000911"/>
    <s v="Final Mystery 804"/>
    <n v="2017"/>
    <n v="2010"/>
    <x v="2"/>
    <n v="102"/>
    <s v="Medium"/>
    <s v="A thrilling comedy adventure."/>
    <s v="Ava DuVernay"/>
    <s v="Tom Cruise, Harrison Ford, Cate Blanchett"/>
    <n v="53996"/>
    <m/>
    <n v="0"/>
    <s v="Average"/>
    <s v=" Family"/>
    <x v="10"/>
  </r>
  <r>
    <s v="tt1000018"/>
    <s v="Whiplash"/>
    <n v="1972"/>
    <n v="1970"/>
    <x v="0"/>
    <n v="140"/>
    <s v="Long"/>
    <s v="A thrilling documentary adventure."/>
    <s v="Guillermo del Toro"/>
    <s v="Viola Davis, Al Pacino, Keanu Reeves, Kate Winslet, Denzel Washington"/>
    <n v="20403"/>
    <n v="163.31"/>
    <n v="163.31"/>
    <s v="Hit"/>
    <s v="Documentary"/>
    <x v="13"/>
  </r>
  <r>
    <s v="tt1000067"/>
    <s v="The Kings Speech"/>
    <n v="1984"/>
    <n v="1980"/>
    <x v="0"/>
    <n v="131"/>
    <s v="Long"/>
    <s v="A thrilling drama adventure."/>
    <s v="David Fincher"/>
    <s v="Zendaya, Natalie Portman, Johnny Depp, Gary Oldman"/>
    <n v="349068"/>
    <n v="204.76"/>
    <n v="204.76"/>
    <s v="Blockbuster"/>
    <s v="Drama"/>
    <x v="14"/>
  </r>
  <r>
    <s v="tt1000058"/>
    <s v="Guardians of the Galaxy"/>
    <n v="1983"/>
    <n v="1980"/>
    <x v="1"/>
    <n v="125"/>
    <s v="Long"/>
    <s v="A fantasy film set in 1983."/>
    <s v="Martin Scorsese"/>
    <s v="Samuel L. Jackson, Zendaya, Al Pacino, Kate Winslet"/>
    <n v="73263"/>
    <m/>
    <n v="0"/>
    <s v="Average"/>
    <s v="Fantasy"/>
    <x v="8"/>
  </r>
  <r>
    <s v="tt1000058"/>
    <s v="Guardians of the Galaxy"/>
    <n v="1983"/>
    <n v="1980"/>
    <x v="1"/>
    <n v="125"/>
    <s v="Long"/>
    <s v="A fantasy film set in 1983."/>
    <s v="Martin Scorsese"/>
    <s v="Samuel L. Jackson, Zendaya, Al Pacino, Kate Winslet"/>
    <n v="73263"/>
    <m/>
    <n v="0"/>
    <s v="Average"/>
    <s v=" Romance"/>
    <x v="7"/>
  </r>
  <r>
    <s v="tt1000207"/>
    <s v="A Empire 100"/>
    <n v="2024"/>
    <n v="2020"/>
    <x v="2"/>
    <n v="129"/>
    <s v="Long"/>
    <s v="An epic mystery tale directed by Francis Ford Coppola."/>
    <s v="Francis Ford Coppola"/>
    <s v="Brad Pitt, Matt Damon, Meryl Streep"/>
    <n v="901014"/>
    <n v="632.39"/>
    <n v="632.39"/>
    <s v="Blockbuster"/>
    <s v="Mystery"/>
    <x v="4"/>
  </r>
  <r>
    <s v="tt1000207"/>
    <s v="A Empire 100"/>
    <n v="2024"/>
    <n v="2020"/>
    <x v="2"/>
    <n v="129"/>
    <s v="Long"/>
    <s v="An epic mystery tale directed by Francis Ford Coppola."/>
    <s v="Francis Ford Coppola"/>
    <s v="Brad Pitt, Matt Damon, Meryl Streep"/>
    <n v="901014"/>
    <n v="632.39"/>
    <n v="632.39"/>
    <s v="Blockbuster"/>
    <s v=" Thriller"/>
    <x v="17"/>
  </r>
  <r>
    <s v="tt1000310"/>
    <s v="The Awakening 203"/>
    <n v="2013"/>
    <n v="2010"/>
    <x v="2"/>
    <n v="108"/>
    <s v="Medium"/>
    <s v="A critically acclaimed sci-fi masterpiece."/>
    <s v="Edgar Wright"/>
    <s v="Mark Ruffalo, Viola Davis, Meryl Streep, Chris Hemsworth"/>
    <n v="13644"/>
    <n v="489.01"/>
    <n v="489.01"/>
    <s v="Blockbuster"/>
    <s v="Sci-Fi"/>
    <x v="16"/>
  </r>
  <r>
    <s v="tt1000310"/>
    <s v="The Awakening 203"/>
    <n v="2013"/>
    <n v="2010"/>
    <x v="2"/>
    <n v="108"/>
    <s v="Medium"/>
    <s v="A critically acclaimed sci-fi masterpiece."/>
    <s v="Edgar Wright"/>
    <s v="Mark Ruffalo, Viola Davis, Meryl Streep, Chris Hemsworth"/>
    <n v="13644"/>
    <n v="489.01"/>
    <n v="489.01"/>
    <s v="Blockbuster"/>
    <s v=" Crime"/>
    <x v="6"/>
  </r>
  <r>
    <s v="tt1000099"/>
    <s v="Rocky"/>
    <n v="1988"/>
    <n v="1980"/>
    <x v="1"/>
    <n v="126"/>
    <s v="Long"/>
    <s v="A adventure film set in 1988."/>
    <s v="David Fincher"/>
    <s v="Robert De Niro, Mark Ruffalo, Al Pacino, TimothÃ©e Chalamet, Amy Adams"/>
    <n v="184750"/>
    <m/>
    <n v="0"/>
    <s v="Average"/>
    <s v="Adventure"/>
    <x v="9"/>
  </r>
  <r>
    <s v="tt1000076"/>
    <s v="American Beauty"/>
    <n v="1998"/>
    <n v="1990"/>
    <x v="1"/>
    <n v="105"/>
    <s v="Medium"/>
    <s v="A thrilling drama adventure."/>
    <s v="Christopher Nolan"/>
    <s v="Meryl Streep, Amy Adams, Florence Pugh"/>
    <n v="40038"/>
    <n v="39.020000000000003"/>
    <n v="39.020000000000003"/>
    <s v="Average"/>
    <s v="Drama"/>
    <x v="14"/>
  </r>
  <r>
    <s v="tt1000076"/>
    <s v="American Beauty"/>
    <n v="1998"/>
    <n v="1990"/>
    <x v="1"/>
    <n v="105"/>
    <s v="Medium"/>
    <s v="A thrilling drama adventure."/>
    <s v="Christopher Nolan"/>
    <s v="Meryl Streep, Amy Adams, Florence Pugh"/>
    <n v="40038"/>
    <n v="39.020000000000003"/>
    <n v="39.020000000000003"/>
    <s v="Average"/>
    <s v=" Action"/>
    <x v="0"/>
  </r>
  <r>
    <s v="tt1000086"/>
    <s v="Driving Miss Daisy"/>
    <n v="1984"/>
    <n v="1980"/>
    <x v="2"/>
    <n v="128"/>
    <s v="Long"/>
    <s v="A fantasy film set in 1984."/>
    <s v="Sam Mendes"/>
    <s v="Al Pacino, Samuel L. Jackson, Robert De Niro, Tom Hanks"/>
    <n v="17888"/>
    <n v="23.19"/>
    <n v="23.19"/>
    <s v="Average"/>
    <s v="Fantasy"/>
    <x v="8"/>
  </r>
  <r>
    <s v="tt1000086"/>
    <s v="Driving Miss Daisy"/>
    <n v="1984"/>
    <n v="1980"/>
    <x v="2"/>
    <n v="128"/>
    <s v="Long"/>
    <s v="A fantasy film set in 1984."/>
    <s v="Sam Mendes"/>
    <s v="Al Pacino, Samuel L. Jackson, Robert De Niro, Tom Hanks"/>
    <n v="17888"/>
    <n v="23.19"/>
    <n v="23.19"/>
    <s v="Average"/>
    <s v=" Sci-Fi"/>
    <x v="16"/>
  </r>
  <r>
    <s v="tt1000541"/>
    <s v="First Legend 434"/>
    <n v="2002"/>
    <n v="2000"/>
    <x v="2"/>
    <n v="106"/>
    <s v="Medium"/>
    <s v="A thrilling musical adventure."/>
    <s v="Martin Scorsese"/>
    <s v="Johnny Depp, Amy Adams, Natalie Portman, Margot Robbie, Meryl Streep"/>
    <n v="605142"/>
    <n v="498.25"/>
    <n v="498.25"/>
    <s v="Blockbuster"/>
    <s v="Musical"/>
    <x v="1"/>
  </r>
  <r>
    <s v="tt1000541"/>
    <s v="First Legend 434"/>
    <n v="2002"/>
    <n v="2000"/>
    <x v="2"/>
    <n v="106"/>
    <s v="Medium"/>
    <s v="A thrilling musical adventure."/>
    <s v="Martin Scorsese"/>
    <s v="Johnny Depp, Amy Adams, Natalie Portman, Margot Robbie, Meryl Streep"/>
    <n v="605142"/>
    <n v="498.25"/>
    <n v="498.25"/>
    <s v="Blockbuster"/>
    <s v=" Thriller"/>
    <x v="17"/>
  </r>
  <r>
    <s v="tt1000078"/>
    <s v="Titanic"/>
    <n v="1996"/>
    <n v="1990"/>
    <x v="1"/>
    <n v="162"/>
    <s v="Long"/>
    <s v="A critically acclaimed comedy masterpiece."/>
    <s v="Greta Gerwig"/>
    <s v="Al Pacino, Mark Ruffalo, Emma Stone, Leonardo DiCaprio"/>
    <n v="5740"/>
    <m/>
    <n v="0"/>
    <s v="Average"/>
    <s v="Comedy"/>
    <x v="15"/>
  </r>
  <r>
    <s v="tt1000078"/>
    <s v="Titanic"/>
    <n v="1996"/>
    <n v="1990"/>
    <x v="1"/>
    <n v="162"/>
    <s v="Long"/>
    <s v="A critically acclaimed comedy masterpiece."/>
    <s v="Greta Gerwig"/>
    <s v="Al Pacino, Mark Ruffalo, Emma Stone, Leonardo DiCaprio"/>
    <n v="5740"/>
    <m/>
    <n v="0"/>
    <s v="Average"/>
    <s v=" Western"/>
    <x v="11"/>
  </r>
  <r>
    <s v="tt1000078"/>
    <s v="Titanic"/>
    <n v="1996"/>
    <n v="1990"/>
    <x v="1"/>
    <n v="162"/>
    <s v="Long"/>
    <s v="A critically acclaimed comedy masterpiece."/>
    <s v="Greta Gerwig"/>
    <s v="Al Pacino, Mark Ruffalo, Emma Stone, Leonardo DiCaprio"/>
    <n v="5740"/>
    <m/>
    <n v="0"/>
    <s v="Average"/>
    <s v=" Romance"/>
    <x v="7"/>
  </r>
  <r>
    <s v="tt1000506"/>
    <s v="Lost Chronicles 399"/>
    <n v="2006"/>
    <n v="2000"/>
    <x v="3"/>
    <n v="99"/>
    <s v="Medium"/>
    <s v="A critically acclaimed thriller masterpiece."/>
    <s v="Bong Joon-ho"/>
    <s v="Kate Winslet, Jack Nicholson, Robert De Niro"/>
    <n v="747654"/>
    <n v="52.74"/>
    <n v="52.74"/>
    <s v="Average"/>
    <s v="Thriller"/>
    <x v="17"/>
  </r>
  <r>
    <s v="tt1000945"/>
    <s v="An Mystery 838"/>
    <n v="2020"/>
    <n v="2020"/>
    <x v="0"/>
    <n v="114"/>
    <s v="Medium"/>
    <s v="A critically acclaimed thriller masterpiece."/>
    <s v="Frank Darabont"/>
    <s v="Florence Pugh, Denzel Washington, Tom Hanks, Johnny Depp, Zendaya"/>
    <n v="1372418"/>
    <n v="128.5"/>
    <n v="128.5"/>
    <s v="Hit"/>
    <s v="Thriller"/>
    <x v="17"/>
  </r>
  <r>
    <s v="tt1000002"/>
    <s v="The Dark Knight"/>
    <n v="1944"/>
    <n v="1940"/>
    <x v="4"/>
    <n v="151"/>
    <s v="Long"/>
    <s v="An epic thriller tale directed by Sam Mendes."/>
    <s v="Sam Mendes"/>
    <s v="TimothÃ©e Chalamet, Mark Ruffalo, Florence Pugh, Johnny Depp"/>
    <n v="35528"/>
    <n v="137.85"/>
    <n v="137.85"/>
    <s v="Hit"/>
    <s v="Thriller"/>
    <x v="17"/>
  </r>
  <r>
    <s v="tt1000002"/>
    <s v="The Dark Knight"/>
    <n v="1944"/>
    <n v="1940"/>
    <x v="4"/>
    <n v="151"/>
    <s v="Long"/>
    <s v="An epic thriller tale directed by Sam Mendes."/>
    <s v="Sam Mendes"/>
    <s v="TimothÃ©e Chalamet, Mark Ruffalo, Florence Pugh, Johnny Depp"/>
    <n v="35528"/>
    <n v="137.85"/>
    <n v="137.85"/>
    <s v="Hit"/>
    <s v=" Sci-Fi"/>
    <x v="16"/>
  </r>
  <r>
    <s v="tt1000013"/>
    <s v="Interstellar"/>
    <n v="1974"/>
    <n v="1970"/>
    <x v="0"/>
    <n v="123"/>
    <s v="Long"/>
    <s v="A critically acclaimed documentary masterpiece."/>
    <s v="Bong Joon-ho"/>
    <s v="TimothÃ©e Chalamet, Christian Bale, Emma Stone"/>
    <n v="92908"/>
    <n v="267.33"/>
    <n v="267.33"/>
    <s v="Blockbuster"/>
    <s v="Documentary"/>
    <x v="13"/>
  </r>
  <r>
    <s v="tt1000011"/>
    <s v="The Silence of the Lambs"/>
    <n v="1970"/>
    <n v="1970"/>
    <x v="5"/>
    <n v="98"/>
    <s v="Medium"/>
    <s v="An epic mystery tale directed by Stanley Kubrick."/>
    <s v="Stanley Kubrick"/>
    <s v="Scarlett Johansson, Harrison Ford, Meryl Streep, Matt Damon, Gary Oldman"/>
    <n v="11510"/>
    <n v="63.84"/>
    <n v="63.84"/>
    <s v="Average"/>
    <s v="Mystery"/>
    <x v="4"/>
  </r>
  <r>
    <s v="tt1000011"/>
    <s v="The Silence of the Lambs"/>
    <n v="1970"/>
    <n v="1970"/>
    <x v="5"/>
    <n v="98"/>
    <s v="Medium"/>
    <s v="An epic mystery tale directed by Stanley Kubrick."/>
    <s v="Stanley Kubrick"/>
    <s v="Scarlett Johansson, Harrison Ford, Meryl Streep, Matt Damon, Gary Oldman"/>
    <n v="11510"/>
    <n v="63.84"/>
    <n v="63.84"/>
    <s v="Average"/>
    <s v=" Romance"/>
    <x v="7"/>
  </r>
  <r>
    <s v="tt1000011"/>
    <s v="The Silence of the Lambs"/>
    <n v="1970"/>
    <n v="1970"/>
    <x v="5"/>
    <n v="98"/>
    <s v="Medium"/>
    <s v="An epic mystery tale directed by Stanley Kubrick."/>
    <s v="Stanley Kubrick"/>
    <s v="Scarlett Johansson, Harrison Ford, Meryl Streep, Matt Damon, Gary Oldman"/>
    <n v="11510"/>
    <n v="63.84"/>
    <n v="63.84"/>
    <s v="Average"/>
    <s v=" Action"/>
    <x v="0"/>
  </r>
  <r>
    <s v="tt1000576"/>
    <s v="Lost Journey 469"/>
    <n v="2019"/>
    <n v="2010"/>
    <x v="2"/>
    <n v="127"/>
    <s v="Long"/>
    <s v="A fantasy film set in 2019."/>
    <s v="Quentin Tarantino"/>
    <s v="Will Smith, Jennifer Lawrence, Robert De Niro"/>
    <n v="85642"/>
    <n v="461.89"/>
    <n v="461.89"/>
    <s v="Blockbuster"/>
    <s v="Fantasy"/>
    <x v="8"/>
  </r>
  <r>
    <s v="tt1000576"/>
    <s v="Lost Journey 469"/>
    <n v="2019"/>
    <n v="2010"/>
    <x v="2"/>
    <n v="127"/>
    <s v="Long"/>
    <s v="A fantasy film set in 2019."/>
    <s v="Quentin Tarantino"/>
    <s v="Will Smith, Jennifer Lawrence, Robert De Niro"/>
    <n v="85642"/>
    <n v="461.89"/>
    <n v="461.89"/>
    <s v="Blockbuster"/>
    <s v=" Thriller"/>
    <x v="17"/>
  </r>
  <r>
    <s v="tt1000055"/>
    <s v="Top Gun: Maverick"/>
    <n v="1998"/>
    <n v="1990"/>
    <x v="0"/>
    <n v="128"/>
    <s v="Long"/>
    <s v="A critically acclaimed adventure masterpiece."/>
    <s v="Ridley Scott"/>
    <s v="Margot Robbie, Kate Winslet, Denzel Washington"/>
    <n v="2060246"/>
    <n v="59.8"/>
    <n v="59.8"/>
    <s v="Average"/>
    <s v="Adventure"/>
    <x v="9"/>
  </r>
  <r>
    <s v="tt1000055"/>
    <s v="Top Gun: Maverick"/>
    <n v="1998"/>
    <n v="1990"/>
    <x v="0"/>
    <n v="128"/>
    <s v="Long"/>
    <s v="A critically acclaimed adventure masterpiece."/>
    <s v="Ridley Scott"/>
    <s v="Margot Robbie, Kate Winslet, Denzel Washington"/>
    <n v="2060246"/>
    <n v="59.8"/>
    <n v="59.8"/>
    <s v="Average"/>
    <s v=" Family"/>
    <x v="10"/>
  </r>
  <r>
    <s v="tt1000048"/>
    <n v="1917"/>
    <n v="1962"/>
    <n v="1960"/>
    <x v="4"/>
    <n v="125"/>
    <s v="Long"/>
    <s v="An epic animation tale directed by Ang Lee."/>
    <s v="Ang Lee"/>
    <s v="Leonardo DiCaprio, Jack Nicholson, Samuel L. Jackson"/>
    <n v="11235"/>
    <n v="185.74"/>
    <n v="185.74"/>
    <s v="Hit"/>
    <s v="Animation"/>
    <x v="3"/>
  </r>
  <r>
    <s v="tt1000048"/>
    <n v="1917"/>
    <n v="1962"/>
    <n v="1960"/>
    <x v="4"/>
    <n v="125"/>
    <s v="Long"/>
    <s v="An epic animation tale directed by Ang Lee."/>
    <s v="Ang Lee"/>
    <s v="Leonardo DiCaprio, Jack Nicholson, Samuel L. Jackson"/>
    <n v="11235"/>
    <n v="185.74"/>
    <n v="185.74"/>
    <s v="Hit"/>
    <s v=" Mystery"/>
    <x v="4"/>
  </r>
  <r>
    <s v="tt1000021"/>
    <s v="The Usual Suspects"/>
    <n v="1962"/>
    <n v="1960"/>
    <x v="1"/>
    <n v="96"/>
    <s v="Medium"/>
    <s v="An epic sci-fi tale directed by Steven Spielberg."/>
    <s v="Steven Spielberg"/>
    <s v="Emma Stone, Harrison Ford, Edward Norton, Anthony Hopkins"/>
    <n v="549453"/>
    <n v="297.89"/>
    <n v="297.89"/>
    <s v="Blockbuster"/>
    <s v="Sci-Fi"/>
    <x v="16"/>
  </r>
  <r>
    <s v="tt1000021"/>
    <s v="The Usual Suspects"/>
    <n v="1962"/>
    <n v="1960"/>
    <x v="1"/>
    <n v="96"/>
    <s v="Medium"/>
    <s v="An epic sci-fi tale directed by Steven Spielberg."/>
    <s v="Steven Spielberg"/>
    <s v="Emma Stone, Harrison Ford, Edward Norton, Anthony Hopkins"/>
    <n v="549453"/>
    <n v="297.89"/>
    <n v="297.89"/>
    <s v="Blockbuster"/>
    <s v=" Fantasy"/>
    <x v="8"/>
  </r>
  <r>
    <s v="tt1000813"/>
    <s v="Secret Legend 706"/>
    <n v="2005"/>
    <n v="2000"/>
    <x v="0"/>
    <n v="87"/>
    <s v="Short"/>
    <s v="A critically acclaimed fantasy masterpiece."/>
    <s v="Akira Kurosawa"/>
    <s v="Edward Norton, Christian Bale, Viola Davis, Denzel Washington"/>
    <n v="951056"/>
    <n v="478.05"/>
    <n v="478.05"/>
    <s v="Blockbuster"/>
    <s v="Fantasy"/>
    <x v="8"/>
  </r>
  <r>
    <s v="tt1000813"/>
    <s v="Secret Legend 706"/>
    <n v="2005"/>
    <n v="2000"/>
    <x v="0"/>
    <n v="87"/>
    <s v="Short"/>
    <s v="A critically acclaimed fantasy masterpiece."/>
    <s v="Akira Kurosawa"/>
    <s v="Edward Norton, Christian Bale, Viola Davis, Denzel Washington"/>
    <n v="951056"/>
    <n v="478.05"/>
    <n v="478.05"/>
    <s v="Blockbuster"/>
    <s v=" Crime"/>
    <x v="6"/>
  </r>
  <r>
    <s v="tt1000049"/>
    <s v="Everything Everywhere All at Once"/>
    <n v="1975"/>
    <n v="1970"/>
    <x v="1"/>
    <n v="93"/>
    <s v="Medium"/>
    <s v="A animation film set in 1975."/>
    <s v="Hayao Miyazaki"/>
    <s v="Zendaya, Tom Hanks, Amy Adams"/>
    <n v="112172"/>
    <n v="174.69"/>
    <n v="174.69"/>
    <s v="Hit"/>
    <s v="Animation"/>
    <x v="3"/>
  </r>
  <r>
    <s v="tt1000049"/>
    <s v="Everything Everywhere All at Once"/>
    <n v="1975"/>
    <n v="1970"/>
    <x v="1"/>
    <n v="93"/>
    <s v="Medium"/>
    <s v="A animation film set in 1975."/>
    <s v="Hayao Miyazaki"/>
    <s v="Zendaya, Tom Hanks, Amy Adams"/>
    <n v="112172"/>
    <n v="174.69"/>
    <n v="174.69"/>
    <s v="Hit"/>
    <s v=" Western"/>
    <x v="11"/>
  </r>
  <r>
    <s v="tt1000041"/>
    <s v="Blade Runner"/>
    <n v="1968"/>
    <n v="1960"/>
    <x v="0"/>
    <n v="91"/>
    <s v="Medium"/>
    <s v="A critically acclaimed adventure masterpiece."/>
    <s v="Robert Zemeckis"/>
    <s v="Keanu Reeves, Gary Oldman, Jack Nicholson, Tom Hanks, Al Pacino"/>
    <n v="1920324"/>
    <n v="84.58"/>
    <n v="84.58"/>
    <s v="Average"/>
    <s v="Adventure"/>
    <x v="9"/>
  </r>
  <r>
    <s v="tt1000937"/>
    <s v="A Journey 830"/>
    <n v="2023"/>
    <n v="2020"/>
    <x v="0"/>
    <n v="107"/>
    <s v="Medium"/>
    <s v="An epic romance tale directed by Wong Kar-wai."/>
    <s v="Wong Kar-wai"/>
    <s v="Brad Pitt, Meryl Streep, Morgan Freeman"/>
    <n v="73960"/>
    <n v="835.91"/>
    <n v="835.91"/>
    <s v="Blockbuster"/>
    <s v="Romance"/>
    <x v="7"/>
  </r>
  <r>
    <s v="tt1000052"/>
    <s v="Dune"/>
    <n v="2000"/>
    <n v="2000"/>
    <x v="0"/>
    <n v="157"/>
    <s v="Long"/>
    <s v="A drama film set in 2000."/>
    <s v="Ang Lee"/>
    <s v="Leonardo DiCaprio, Natalie Portman, Will Smith, Robert De Niro"/>
    <n v="20054"/>
    <n v="193.94"/>
    <n v="193.94"/>
    <s v="Hit"/>
    <s v="Drama"/>
    <x v="14"/>
  </r>
  <r>
    <s v="tt1000052"/>
    <s v="Dune"/>
    <n v="2000"/>
    <n v="2000"/>
    <x v="0"/>
    <n v="157"/>
    <s v="Long"/>
    <s v="A drama film set in 2000."/>
    <s v="Ang Lee"/>
    <s v="Leonardo DiCaprio, Natalie Portman, Will Smith, Robert De Niro"/>
    <n v="20054"/>
    <n v="193.94"/>
    <n v="193.94"/>
    <s v="Hit"/>
    <s v=" Crime"/>
    <x v="6"/>
  </r>
  <r>
    <s v="tt1000044"/>
    <s v="La La Land"/>
    <n v="1940"/>
    <n v="1940"/>
    <x v="0"/>
    <n v="98"/>
    <s v="Medium"/>
    <s v="A critically acclaimed animation masterpiece."/>
    <s v="Ang Lee"/>
    <s v="Brad Pitt, Chris Hemsworth, Margot Robbie, Cate Blanchett, Amy Adams"/>
    <n v="18091"/>
    <m/>
    <n v="0"/>
    <s v="Average"/>
    <s v="Animation"/>
    <x v="3"/>
  </r>
  <r>
    <s v="tt1000044"/>
    <s v="La La Land"/>
    <n v="1940"/>
    <n v="1940"/>
    <x v="0"/>
    <n v="98"/>
    <s v="Medium"/>
    <s v="A critically acclaimed animation masterpiece."/>
    <s v="Ang Lee"/>
    <s v="Brad Pitt, Chris Hemsworth, Margot Robbie, Cate Blanchett, Amy Adams"/>
    <n v="18091"/>
    <m/>
    <n v="0"/>
    <s v="Average"/>
    <s v=" Mystery"/>
    <x v="4"/>
  </r>
  <r>
    <s v="tt1000341"/>
    <s v="A Empire 234"/>
    <n v="2013"/>
    <n v="2010"/>
    <x v="5"/>
    <n v="162"/>
    <s v="Long"/>
    <s v="A critically acclaimed comedy masterpiece."/>
    <s v="Ridley Scott"/>
    <s v="Morgan Freeman, Keanu Reeves, Tom Cruise"/>
    <n v="230412"/>
    <m/>
    <n v="0"/>
    <s v="Average"/>
    <s v="Comedy"/>
    <x v="15"/>
  </r>
  <r>
    <s v="tt1000341"/>
    <s v="A Empire 234"/>
    <n v="2013"/>
    <n v="2010"/>
    <x v="5"/>
    <n v="162"/>
    <s v="Long"/>
    <s v="A critically acclaimed comedy masterpiece."/>
    <s v="Ridley Scott"/>
    <s v="Morgan Freeman, Keanu Reeves, Tom Cruise"/>
    <n v="230412"/>
    <m/>
    <n v="0"/>
    <s v="Average"/>
    <s v=" Animation"/>
    <x v="3"/>
  </r>
  <r>
    <s v="tt1000256"/>
    <s v="An Kingdom 149"/>
    <n v="2022"/>
    <n v="2020"/>
    <x v="0"/>
    <n v="107"/>
    <s v="Medium"/>
    <s v="A western film set in 2022."/>
    <s v="Wong Kar-wai"/>
    <s v="Chris Hemsworth, Daniel Day-Lewis, Robert De Niro"/>
    <n v="346200"/>
    <n v="512.29999999999995"/>
    <n v="512.29999999999995"/>
    <s v="Blockbuster"/>
    <s v="Western"/>
    <x v="11"/>
  </r>
  <r>
    <s v="tt1000256"/>
    <s v="An Kingdom 149"/>
    <n v="2022"/>
    <n v="2020"/>
    <x v="0"/>
    <n v="107"/>
    <s v="Medium"/>
    <s v="A western film set in 2022."/>
    <s v="Wong Kar-wai"/>
    <s v="Chris Hemsworth, Daniel Day-Lewis, Robert De Niro"/>
    <n v="346200"/>
    <n v="512.29999999999995"/>
    <n v="512.29999999999995"/>
    <s v="Blockbuster"/>
    <s v=" Mystery"/>
    <x v="4"/>
  </r>
  <r>
    <s v="tt1000322"/>
    <s v="First Journey 215"/>
    <n v="2007"/>
    <n v="2000"/>
    <x v="0"/>
    <n v="106"/>
    <s v="Medium"/>
    <s v="A critically acclaimed western masterpiece."/>
    <s v="Akira Kurosawa"/>
    <s v="Robert Downey Jr., Mark Ruffalo, Meryl Streep, Al Pacino"/>
    <n v="112746"/>
    <n v="383.09"/>
    <n v="383.09"/>
    <s v="Blockbuster"/>
    <s v="Western"/>
    <x v="11"/>
  </r>
  <r>
    <s v="tt1000322"/>
    <s v="First Journey 215"/>
    <n v="2007"/>
    <n v="2000"/>
    <x v="0"/>
    <n v="106"/>
    <s v="Medium"/>
    <s v="A critically acclaimed western masterpiece."/>
    <s v="Akira Kurosawa"/>
    <s v="Robert Downey Jr., Mark Ruffalo, Meryl Streep, Al Pacino"/>
    <n v="112746"/>
    <n v="383.09"/>
    <n v="383.09"/>
    <s v="Blockbuster"/>
    <s v=" Thriller"/>
    <x v="17"/>
  </r>
  <r>
    <s v="tt1000733"/>
    <s v="Final Quest 626"/>
    <n v="2003"/>
    <n v="2000"/>
    <x v="4"/>
    <n v="129"/>
    <s v="Long"/>
    <s v="A war film set in 2003."/>
    <s v="Stanley Kubrick"/>
    <s v="Anthony Hopkins, Amy Adams, Tom Hanks, Will Smith, Margot Robbie"/>
    <n v="89930"/>
    <n v="473.41"/>
    <n v="473.41"/>
    <s v="Blockbuster"/>
    <s v="War"/>
    <x v="2"/>
  </r>
  <r>
    <s v="tt1000733"/>
    <s v="Final Quest 626"/>
    <n v="2003"/>
    <n v="2000"/>
    <x v="4"/>
    <n v="129"/>
    <s v="Long"/>
    <s v="A war film set in 2003."/>
    <s v="Stanley Kubrick"/>
    <s v="Anthony Hopkins, Amy Adams, Tom Hanks, Will Smith, Margot Robbie"/>
    <n v="89930"/>
    <n v="473.41"/>
    <n v="473.41"/>
    <s v="Blockbuster"/>
    <s v=" Romance"/>
    <x v="7"/>
  </r>
  <r>
    <s v="tt1000733"/>
    <s v="Final Quest 626"/>
    <n v="2003"/>
    <n v="2000"/>
    <x v="4"/>
    <n v="129"/>
    <s v="Long"/>
    <s v="A war film set in 2003."/>
    <s v="Stanley Kubrick"/>
    <s v="Anthony Hopkins, Amy Adams, Tom Hanks, Will Smith, Margot Robbie"/>
    <n v="89930"/>
    <n v="473.41"/>
    <n v="473.41"/>
    <s v="Blockbuster"/>
    <s v=" Fantasy"/>
    <x v="8"/>
  </r>
  <r>
    <s v="tt1000069"/>
    <s v="No Country for Old Men"/>
    <n v="1997"/>
    <n v="1990"/>
    <x v="1"/>
    <n v="130"/>
    <s v="Long"/>
    <s v="A thrilling drama adventure."/>
    <s v="Greta Gerwig"/>
    <s v="Tom Cruise, Keanu Reeves, Cate Blanchett"/>
    <n v="2500000"/>
    <n v="217.75"/>
    <n v="217.75"/>
    <s v="Blockbuster"/>
    <s v="Drama"/>
    <x v="14"/>
  </r>
  <r>
    <s v="tt1000140"/>
    <s v="A Chronicles 33"/>
    <n v="1997"/>
    <n v="1990"/>
    <x v="1"/>
    <n v="161"/>
    <s v="Long"/>
    <s v="A thrilling musical adventure."/>
    <s v="Denis Villeneuve"/>
    <s v="Brad Pitt, Jack Nicholson, Anthony Hopkins, Margot Robbie, Keanu Reeves"/>
    <n v="82428"/>
    <m/>
    <n v="0"/>
    <s v="Average"/>
    <s v="Musical"/>
    <x v="1"/>
  </r>
  <r>
    <s v="tt1000140"/>
    <s v="A Chronicles 33"/>
    <n v="1997"/>
    <n v="1990"/>
    <x v="1"/>
    <n v="161"/>
    <s v="Long"/>
    <s v="A thrilling musical adventure."/>
    <s v="Denis Villeneuve"/>
    <s v="Brad Pitt, Jack Nicholson, Anthony Hopkins, Margot Robbie, Keanu Reeves"/>
    <n v="82428"/>
    <m/>
    <n v="0"/>
    <s v="Average"/>
    <s v=" Documentary"/>
    <x v="13"/>
  </r>
  <r>
    <s v="tt1000140"/>
    <s v="A Chronicles 33"/>
    <n v="1997"/>
    <n v="1990"/>
    <x v="1"/>
    <n v="161"/>
    <s v="Long"/>
    <s v="A thrilling musical adventure."/>
    <s v="Denis Villeneuve"/>
    <s v="Brad Pitt, Jack Nicholson, Anthony Hopkins, Margot Robbie, Keanu Reeves"/>
    <n v="82428"/>
    <m/>
    <n v="0"/>
    <s v="Average"/>
    <s v=" Adventure"/>
    <x v="9"/>
  </r>
  <r>
    <s v="tt1000770"/>
    <s v="Secret Legend 663"/>
    <n v="2001"/>
    <n v="2000"/>
    <x v="2"/>
    <n v="113"/>
    <s v="Medium"/>
    <s v="A critically acclaimed biography masterpiece."/>
    <s v="Christopher Nolan"/>
    <s v="Leonardo DiCaprio, Margot Robbie, Anthony Hopkins, Chris Hemsworth, Tom Hanks"/>
    <n v="169100"/>
    <m/>
    <n v="0"/>
    <s v="Average"/>
    <s v="Biography"/>
    <x v="5"/>
  </r>
  <r>
    <s v="tt1000675"/>
    <s v="Last Journey 568"/>
    <n v="2003"/>
    <n v="2000"/>
    <x v="2"/>
    <n v="123"/>
    <s v="Long"/>
    <s v="An epic family tale directed by Steven Spielberg."/>
    <s v="Steven Spielberg"/>
    <s v="Emma Stone, Edward Norton, Daniel Day-Lewis, Amy Adams"/>
    <n v="768016"/>
    <n v="185.42"/>
    <n v="185.42"/>
    <s v="Hit"/>
    <s v="Family"/>
    <x v="10"/>
  </r>
  <r>
    <s v="tt1000763"/>
    <s v="A Destiny 656"/>
    <n v="2004"/>
    <n v="2000"/>
    <x v="2"/>
    <n v="148"/>
    <s v="Long"/>
    <s v="A critically acclaimed family masterpiece."/>
    <s v="Hayao Miyazaki"/>
    <s v="Amy Adams, Harrison Ford, Margot Robbie, Jack Nicholson, Scarlett Johansson"/>
    <n v="519922"/>
    <n v="415.45"/>
    <n v="415.45"/>
    <s v="Blockbuster"/>
    <s v="Family"/>
    <x v="10"/>
  </r>
  <r>
    <s v="tt1000763"/>
    <s v="A Destiny 656"/>
    <n v="2004"/>
    <n v="2000"/>
    <x v="2"/>
    <n v="148"/>
    <s v="Long"/>
    <s v="A critically acclaimed family masterpiece."/>
    <s v="Hayao Miyazaki"/>
    <s v="Amy Adams, Harrison Ford, Margot Robbie, Jack Nicholson, Scarlett Johansson"/>
    <n v="519922"/>
    <n v="415.45"/>
    <n v="415.45"/>
    <s v="Blockbuster"/>
    <s v=" Sci-Fi"/>
    <x v="16"/>
  </r>
  <r>
    <s v="tt1000019"/>
    <s v="The Prestige"/>
    <n v="1969"/>
    <n v="1960"/>
    <x v="0"/>
    <n v="113"/>
    <s v="Medium"/>
    <s v="A romance film set in 1969."/>
    <s v="Christopher Nolan"/>
    <s v="Natalie Portman, Robert De Niro, Meryl Streep, Edward Norton, Zendaya"/>
    <n v="310406"/>
    <n v="169.85"/>
    <n v="169.85"/>
    <s v="Hit"/>
    <s v="Romance"/>
    <x v="7"/>
  </r>
  <r>
    <s v="tt1000019"/>
    <s v="The Prestige"/>
    <n v="1969"/>
    <n v="1960"/>
    <x v="0"/>
    <n v="113"/>
    <s v="Medium"/>
    <s v="A romance film set in 1969."/>
    <s v="Christopher Nolan"/>
    <s v="Natalie Portman, Robert De Niro, Meryl Streep, Edward Norton, Zendaya"/>
    <n v="310406"/>
    <n v="169.85"/>
    <n v="169.85"/>
    <s v="Hit"/>
    <s v=" Drama"/>
    <x v="14"/>
  </r>
  <r>
    <s v="tt1000145"/>
    <s v="Secret Dreams 38"/>
    <n v="1981"/>
    <n v="1980"/>
    <x v="3"/>
    <n v="121"/>
    <s v="Long"/>
    <s v="An epic mystery tale directed by Clint Eastwood."/>
    <s v="Clint Eastwood"/>
    <s v="Kate Winslet, Scarlett Johansson, Florence Pugh"/>
    <n v="9064"/>
    <m/>
    <n v="0"/>
    <s v="Average"/>
    <s v="Mystery"/>
    <x v="4"/>
  </r>
  <r>
    <s v="tt1000145"/>
    <s v="Secret Dreams 38"/>
    <n v="1981"/>
    <n v="1980"/>
    <x v="3"/>
    <n v="121"/>
    <s v="Long"/>
    <s v="An epic mystery tale directed by Clint Eastwood."/>
    <s v="Clint Eastwood"/>
    <s v="Kate Winslet, Scarlett Johansson, Florence Pugh"/>
    <n v="9064"/>
    <m/>
    <n v="0"/>
    <s v="Average"/>
    <s v=" Action"/>
    <x v="0"/>
  </r>
  <r>
    <s v="tt1000377"/>
    <s v="Last Legend 270"/>
    <n v="2024"/>
    <n v="2020"/>
    <x v="0"/>
    <n v="128"/>
    <s v="Long"/>
    <s v="A thrilling thriller adventure."/>
    <s v="David Fincher"/>
    <s v="Morgan Freeman, Natalie Portman, Florence Pugh, Christian Bale, Robert Downey Jr."/>
    <n v="236438"/>
    <n v="150.6"/>
    <n v="150.6"/>
    <s v="Hit"/>
    <s v="Thriller"/>
    <x v="17"/>
  </r>
  <r>
    <s v="tt1000377"/>
    <s v="Last Legend 270"/>
    <n v="2024"/>
    <n v="2020"/>
    <x v="0"/>
    <n v="128"/>
    <s v="Long"/>
    <s v="A thrilling thriller adventure."/>
    <s v="David Fincher"/>
    <s v="Morgan Freeman, Natalie Portman, Florence Pugh, Christian Bale, Robert Downey Jr."/>
    <n v="236438"/>
    <n v="150.6"/>
    <n v="150.6"/>
    <s v="Hit"/>
    <s v=" Action"/>
    <x v="0"/>
  </r>
  <r>
    <s v="tt1000236"/>
    <s v="An Dreams 129"/>
    <n v="2001"/>
    <n v="2000"/>
    <x v="2"/>
    <n v="78"/>
    <s v="Short"/>
    <s v="A sci-fi film set in 2001."/>
    <s v="Quentin Tarantino"/>
    <s v="Chris Hemsworth, Kate Winslet, Robert Downey Jr., Matt Damon"/>
    <n v="164336"/>
    <m/>
    <n v="0"/>
    <s v="Average"/>
    <s v="Sci-Fi"/>
    <x v="16"/>
  </r>
  <r>
    <s v="tt1000236"/>
    <s v="An Dreams 129"/>
    <n v="2001"/>
    <n v="2000"/>
    <x v="2"/>
    <n v="78"/>
    <s v="Short"/>
    <s v="A sci-fi film set in 2001."/>
    <s v="Quentin Tarantino"/>
    <s v="Chris Hemsworth, Kate Winslet, Robert Downey Jr., Matt Damon"/>
    <n v="164336"/>
    <m/>
    <n v="0"/>
    <s v="Average"/>
    <s v=" Adventure"/>
    <x v="9"/>
  </r>
  <r>
    <s v="tt1000236"/>
    <s v="An Dreams 129"/>
    <n v="2001"/>
    <n v="2000"/>
    <x v="2"/>
    <n v="78"/>
    <s v="Short"/>
    <s v="A sci-fi film set in 2001."/>
    <s v="Quentin Tarantino"/>
    <s v="Chris Hemsworth, Kate Winslet, Robert Downey Jr., Matt Damon"/>
    <n v="164336"/>
    <m/>
    <n v="0"/>
    <s v="Average"/>
    <s v=" Family"/>
    <x v="10"/>
  </r>
  <r>
    <s v="tt1000590"/>
    <s v="Lost Chronicles 483"/>
    <n v="2019"/>
    <n v="2010"/>
    <x v="2"/>
    <n v="120"/>
    <s v="Medium"/>
    <s v="A thrilling documentary adventure."/>
    <s v="Frank Darabont"/>
    <s v="Robert Downey Jr., Denzel Washington, Daniel Day-Lewis, Brad Pitt, Leonardo DiCaprio"/>
    <n v="47058"/>
    <m/>
    <n v="0"/>
    <s v="Average"/>
    <s v="Documentary"/>
    <x v="13"/>
  </r>
  <r>
    <s v="tt1000590"/>
    <s v="Lost Chronicles 483"/>
    <n v="2019"/>
    <n v="2010"/>
    <x v="2"/>
    <n v="120"/>
    <s v="Medium"/>
    <s v="A thrilling documentary adventure."/>
    <s v="Frank Darabont"/>
    <s v="Robert Downey Jr., Denzel Washington, Daniel Day-Lewis, Brad Pitt, Leonardo DiCaprio"/>
    <n v="47058"/>
    <m/>
    <n v="0"/>
    <s v="Average"/>
    <s v=" Biography"/>
    <x v="5"/>
  </r>
  <r>
    <s v="tt1000050"/>
    <s v="Oppenheimer"/>
    <n v="1982"/>
    <n v="1980"/>
    <x v="0"/>
    <n v="125"/>
    <s v="Long"/>
    <s v="A romance film set in 1982."/>
    <s v="Guillermo del Toro"/>
    <s v="Amy Adams, Zendaya, Jack Nicholson, Kate Winslet, Margot Robbie"/>
    <n v="25906"/>
    <n v="282.5"/>
    <n v="282.5"/>
    <s v="Blockbuster"/>
    <s v="Romance"/>
    <x v="7"/>
  </r>
  <r>
    <s v="tt1000051"/>
    <s v="Barbie"/>
    <n v="1983"/>
    <n v="1980"/>
    <x v="5"/>
    <n v="124"/>
    <s v="Long"/>
    <s v="A thrilling adventure adventure."/>
    <s v="Coen Brothers"/>
    <s v="Matt Damon, Mark Ruffalo, Christian Bale, TimothÃ©e Chalamet, Edward Norton"/>
    <n v="24607"/>
    <n v="106.21"/>
    <n v="106.21"/>
    <s v="Hit"/>
    <s v="Adventure"/>
    <x v="9"/>
  </r>
  <r>
    <s v="tt1000032"/>
    <s v="Avatar"/>
    <n v="1974"/>
    <n v="1970"/>
    <x v="5"/>
    <n v="125"/>
    <s v="Long"/>
    <s v="A documentary film set in 1974."/>
    <s v="Quentin Tarantino"/>
    <s v="Gary Oldman, Brad Pitt, Scarlett Johansson"/>
    <n v="72402"/>
    <m/>
    <n v="0"/>
    <s v="Average"/>
    <s v="Documentary"/>
    <x v="13"/>
  </r>
  <r>
    <s v="tt1000032"/>
    <s v="Avatar"/>
    <n v="1974"/>
    <n v="1970"/>
    <x v="5"/>
    <n v="125"/>
    <s v="Long"/>
    <s v="A documentary film set in 1974."/>
    <s v="Quentin Tarantino"/>
    <s v="Gary Oldman, Brad Pitt, Scarlett Johansson"/>
    <n v="72402"/>
    <m/>
    <n v="0"/>
    <s v="Average"/>
    <s v=" Action"/>
    <x v="0"/>
  </r>
  <r>
    <s v="tt1000032"/>
    <s v="Avatar"/>
    <n v="1974"/>
    <n v="1970"/>
    <x v="5"/>
    <n v="125"/>
    <s v="Long"/>
    <s v="A documentary film set in 1974."/>
    <s v="Quentin Tarantino"/>
    <s v="Gary Oldman, Brad Pitt, Scarlett Johansson"/>
    <n v="72402"/>
    <m/>
    <n v="0"/>
    <s v="Average"/>
    <s v=" Comedy"/>
    <x v="15"/>
  </r>
  <r>
    <s v="tt1000038"/>
    <s v="Vertigo"/>
    <n v="1955"/>
    <n v="1950"/>
    <x v="0"/>
    <n v="116"/>
    <s v="Medium"/>
    <s v="A thrilling family adventure."/>
    <s v="Ridley Scott"/>
    <s v="Al Pacino, Keanu Reeves, Zendaya, Denzel Washington, Jack Nicholson"/>
    <n v="68203"/>
    <n v="255.59"/>
    <n v="255.59"/>
    <s v="Blockbuster"/>
    <s v="Family"/>
    <x v="10"/>
  </r>
  <r>
    <s v="tt1000038"/>
    <s v="Vertigo"/>
    <n v="1955"/>
    <n v="1950"/>
    <x v="0"/>
    <n v="116"/>
    <s v="Medium"/>
    <s v="A thrilling family adventure."/>
    <s v="Ridley Scott"/>
    <s v="Al Pacino, Keanu Reeves, Zendaya, Denzel Washington, Jack Nicholson"/>
    <n v="68203"/>
    <n v="255.59"/>
    <n v="255.59"/>
    <s v="Blockbuster"/>
    <s v=" Mystery"/>
    <x v="4"/>
  </r>
  <r>
    <s v="tt1000023"/>
    <s v="City of Lights"/>
    <n v="1943"/>
    <n v="1940"/>
    <x v="1"/>
    <n v="107"/>
    <s v="Medium"/>
    <s v="A critically acclaimed family masterpiece."/>
    <s v="Quentin Tarantino"/>
    <s v="Keanu Reeves, Robert Downey Jr., Scarlett Johansson"/>
    <n v="721707"/>
    <n v="18.05"/>
    <n v="18.05"/>
    <s v="Average"/>
    <s v="Family"/>
    <x v="10"/>
  </r>
  <r>
    <s v="tt1000023"/>
    <s v="City of Lights"/>
    <n v="1943"/>
    <n v="1940"/>
    <x v="1"/>
    <n v="107"/>
    <s v="Medium"/>
    <s v="A critically acclaimed family masterpiece."/>
    <s v="Quentin Tarantino"/>
    <s v="Keanu Reeves, Robert Downey Jr., Scarlett Johansson"/>
    <n v="721707"/>
    <n v="18.05"/>
    <n v="18.05"/>
    <s v="Average"/>
    <s v=" Crime"/>
    <x v="6"/>
  </r>
  <r>
    <s v="tt1000801"/>
    <s v="Lost Destiny 694"/>
    <n v="2024"/>
    <n v="2020"/>
    <x v="1"/>
    <n v="114"/>
    <s v="Medium"/>
    <s v="A thrilling action adventure."/>
    <s v="Christopher Nolan"/>
    <s v="Tom Hanks, Chris Hemsworth, Anthony Hopkins, Cate Blanchett, Amy Adams"/>
    <n v="894336"/>
    <n v="676.44"/>
    <n v="676.44"/>
    <s v="Blockbuster"/>
    <s v="Action"/>
    <x v="0"/>
  </r>
  <r>
    <s v="tt1000801"/>
    <s v="Lost Destiny 694"/>
    <n v="2024"/>
    <n v="2020"/>
    <x v="1"/>
    <n v="114"/>
    <s v="Medium"/>
    <s v="A thrilling action adventure."/>
    <s v="Christopher Nolan"/>
    <s v="Tom Hanks, Chris Hemsworth, Anthony Hopkins, Cate Blanchett, Amy Adams"/>
    <n v="894336"/>
    <n v="676.44"/>
    <n v="676.44"/>
    <s v="Blockbuster"/>
    <s v=" Sci-Fi"/>
    <x v="16"/>
  </r>
  <r>
    <s v="tt1000774"/>
    <s v="An Mystery 667"/>
    <n v="2015"/>
    <n v="2010"/>
    <x v="1"/>
    <n v="129"/>
    <s v="Long"/>
    <s v="A critically acclaimed musical masterpiece."/>
    <s v="Stanley Kubrick"/>
    <s v="Margot Robbie, Tom Cruise, Harrison Ford, Daniel Day-Lewis, Cate Blanchett"/>
    <n v="118746"/>
    <n v="434.07"/>
    <n v="434.07"/>
    <s v="Blockbuster"/>
    <s v="Musical"/>
    <x v="1"/>
  </r>
  <r>
    <s v="tt1000774"/>
    <s v="An Mystery 667"/>
    <n v="2015"/>
    <n v="2010"/>
    <x v="1"/>
    <n v="129"/>
    <s v="Long"/>
    <s v="A critically acclaimed musical masterpiece."/>
    <s v="Stanley Kubrick"/>
    <s v="Margot Robbie, Tom Cruise, Harrison Ford, Daniel Day-Lewis, Cate Blanchett"/>
    <n v="118746"/>
    <n v="434.07"/>
    <n v="434.07"/>
    <s v="Blockbuster"/>
    <s v=" Thriller"/>
    <x v="17"/>
  </r>
  <r>
    <s v="tt1000190"/>
    <s v="Secret Kingdom 83"/>
    <n v="1982"/>
    <n v="1980"/>
    <x v="0"/>
    <n v="120"/>
    <s v="Medium"/>
    <s v="An epic romance tale directed by Sam Mendes."/>
    <s v="Sam Mendes"/>
    <s v="Kate Winslet, Florence Pugh, Tom Cruise, Gary Oldman"/>
    <n v="117325"/>
    <n v="106.37"/>
    <n v="106.37"/>
    <s v="Hit"/>
    <s v="Romance"/>
    <x v="7"/>
  </r>
  <r>
    <s v="tt1000190"/>
    <s v="Secret Kingdom 83"/>
    <n v="1982"/>
    <n v="1980"/>
    <x v="0"/>
    <n v="120"/>
    <s v="Medium"/>
    <s v="An epic romance tale directed by Sam Mendes."/>
    <s v="Sam Mendes"/>
    <s v="Kate Winslet, Florence Pugh, Tom Cruise, Gary Oldman"/>
    <n v="117325"/>
    <n v="106.37"/>
    <n v="106.37"/>
    <s v="Hit"/>
    <s v=" Horror"/>
    <x v="12"/>
  </r>
  <r>
    <s v="tt1000910"/>
    <s v="Lost Mystery 803"/>
    <n v="2010"/>
    <n v="2010"/>
    <x v="2"/>
    <n v="144"/>
    <s v="Long"/>
    <s v="A thrilling western adventure."/>
    <s v="Spike Lee"/>
    <s v="Zendaya, Al Pacino, Matt Damon"/>
    <n v="278582"/>
    <n v="385.34"/>
    <n v="385.34"/>
    <s v="Blockbuster"/>
    <s v="Western"/>
    <x v="11"/>
  </r>
  <r>
    <s v="tt1000910"/>
    <s v="Lost Mystery 803"/>
    <n v="2010"/>
    <n v="2010"/>
    <x v="2"/>
    <n v="144"/>
    <s v="Long"/>
    <s v="A thrilling western adventure."/>
    <s v="Spike Lee"/>
    <s v="Zendaya, Al Pacino, Matt Damon"/>
    <n v="278582"/>
    <n v="385.34"/>
    <n v="385.34"/>
    <s v="Blockbuster"/>
    <s v=" Documentary"/>
    <x v="13"/>
  </r>
  <r>
    <s v="tt1000037"/>
    <s v="Citizen Kane"/>
    <n v="1957"/>
    <n v="1950"/>
    <x v="5"/>
    <n v="119"/>
    <s v="Medium"/>
    <s v="A action film set in 1957."/>
    <s v="Jordan Peele"/>
    <s v="Natalie Portman, Johnny Depp, Daniel Day-Lewis"/>
    <n v="2500000"/>
    <m/>
    <n v="0"/>
    <s v="Average"/>
    <s v="Action"/>
    <x v="0"/>
  </r>
  <r>
    <s v="tt1000037"/>
    <s v="Citizen Kane"/>
    <n v="1957"/>
    <n v="1950"/>
    <x v="5"/>
    <n v="119"/>
    <s v="Medium"/>
    <s v="A action film set in 1957."/>
    <s v="Jordan Peele"/>
    <s v="Natalie Portman, Johnny Depp, Daniel Day-Lewis"/>
    <n v="2500000"/>
    <m/>
    <n v="0"/>
    <s v="Average"/>
    <s v=" Adventure"/>
    <x v="9"/>
  </r>
  <r>
    <s v="tt1000222"/>
    <s v="An Empire 115"/>
    <n v="2006"/>
    <n v="2000"/>
    <x v="0"/>
    <n v="114"/>
    <s v="Medium"/>
    <s v="An epic musical tale directed by Peter Jackson."/>
    <s v="Peter Jackson"/>
    <s v="Tom Hanks, Anthony Hopkins, Tom Cruise, Meryl Streep, Samuel L. Jackson"/>
    <n v="2244"/>
    <n v="266.39999999999998"/>
    <n v="266.39999999999998"/>
    <s v="Blockbuster"/>
    <s v="Musical"/>
    <x v="1"/>
  </r>
  <r>
    <s v="tt1000007"/>
    <s v="Forrest Gump"/>
    <n v="1969"/>
    <n v="1960"/>
    <x v="0"/>
    <n v="115"/>
    <s v="Medium"/>
    <s v="An epic biography tale directed by Bong Joon-ho."/>
    <s v="Bong Joon-ho"/>
    <s v="Will Smith, Mark Ruffalo, Chris Hemsworth"/>
    <n v="8476"/>
    <m/>
    <n v="0"/>
    <s v="Average"/>
    <s v="Biography"/>
    <x v="5"/>
  </r>
  <r>
    <s v="tt1000007"/>
    <s v="Forrest Gump"/>
    <n v="1969"/>
    <n v="1960"/>
    <x v="0"/>
    <n v="115"/>
    <s v="Medium"/>
    <s v="An epic biography tale directed by Bong Joon-ho."/>
    <s v="Bong Joon-ho"/>
    <s v="Will Smith, Mark Ruffalo, Chris Hemsworth"/>
    <n v="8476"/>
    <m/>
    <n v="0"/>
    <s v="Average"/>
    <s v=" Horror"/>
    <x v="12"/>
  </r>
  <r>
    <s v="tt1000210"/>
    <s v="The Story 103"/>
    <n v="2002"/>
    <n v="2000"/>
    <x v="0"/>
    <n v="86"/>
    <s v="Short"/>
    <s v="A thrilling thriller adventure."/>
    <s v="Bong Joon-ho"/>
    <s v="Tom Cruise, Jennifer Lawrence, Matt Damon"/>
    <n v="94478"/>
    <m/>
    <n v="0"/>
    <s v="Average"/>
    <s v="Thriller"/>
    <x v="17"/>
  </r>
  <r>
    <s v="tt1000210"/>
    <s v="The Story 103"/>
    <n v="2002"/>
    <n v="2000"/>
    <x v="0"/>
    <n v="86"/>
    <s v="Short"/>
    <s v="A thrilling thriller adventure."/>
    <s v="Bong Joon-ho"/>
    <s v="Tom Cruise, Jennifer Lawrence, Matt Damon"/>
    <n v="94478"/>
    <m/>
    <n v="0"/>
    <s v="Average"/>
    <s v=" Family"/>
    <x v="10"/>
  </r>
  <r>
    <s v="tt1000210"/>
    <s v="The Story 103"/>
    <n v="2002"/>
    <n v="2000"/>
    <x v="0"/>
    <n v="86"/>
    <s v="Short"/>
    <s v="A thrilling thriller adventure."/>
    <s v="Bong Joon-ho"/>
    <s v="Tom Cruise, Jennifer Lawrence, Matt Damon"/>
    <n v="94478"/>
    <m/>
    <n v="0"/>
    <s v="Average"/>
    <s v=" Fantasy"/>
    <x v="8"/>
  </r>
  <r>
    <s v="tt1000008"/>
    <s v="Inception"/>
    <n v="1959"/>
    <n v="1950"/>
    <x v="0"/>
    <n v="109"/>
    <s v="Medium"/>
    <s v="A thrilling musical adventure."/>
    <s v="Robert Zemeckis"/>
    <s v="Will Smith, Robert Downey Jr., Morgan Freeman, Harrison Ford, Anthony Hopkins"/>
    <n v="12782"/>
    <m/>
    <n v="0"/>
    <s v="Average"/>
    <s v="Musical"/>
    <x v="1"/>
  </r>
  <r>
    <s v="tt1000008"/>
    <s v="Inception"/>
    <n v="1959"/>
    <n v="1950"/>
    <x v="0"/>
    <n v="109"/>
    <s v="Medium"/>
    <s v="A thrilling musical adventure."/>
    <s v="Robert Zemeckis"/>
    <s v="Will Smith, Robert Downey Jr., Morgan Freeman, Harrison Ford, Anthony Hopkins"/>
    <n v="12782"/>
    <m/>
    <n v="0"/>
    <s v="Average"/>
    <s v=" Mystery"/>
    <x v="4"/>
  </r>
  <r>
    <s v="tt1000025"/>
    <s v="Spirited Away"/>
    <n v="1964"/>
    <n v="1960"/>
    <x v="2"/>
    <n v="136"/>
    <s v="Long"/>
    <s v="An epic war tale directed by Edgar Wright."/>
    <s v="Edgar Wright"/>
    <s v="Harrison Ford, Amy Adams, Jennifer Lawrence"/>
    <n v="45880"/>
    <m/>
    <n v="0"/>
    <s v="Average"/>
    <s v="War"/>
    <x v="2"/>
  </r>
  <r>
    <s v="tt1000025"/>
    <s v="Spirited Away"/>
    <n v="1964"/>
    <n v="1960"/>
    <x v="2"/>
    <n v="136"/>
    <s v="Long"/>
    <s v="An epic war tale directed by Edgar Wright."/>
    <s v="Edgar Wright"/>
    <s v="Harrison Ford, Amy Adams, Jennifer Lawrence"/>
    <n v="45880"/>
    <m/>
    <n v="0"/>
    <s v="Average"/>
    <s v=" Family"/>
    <x v="10"/>
  </r>
  <r>
    <s v="tt1000036"/>
    <s v="The Shining"/>
    <n v="1950"/>
    <n v="1950"/>
    <x v="1"/>
    <n v="125"/>
    <s v="Long"/>
    <s v="A mystery film set in 1950."/>
    <s v="Martin Scorsese"/>
    <s v="Natalie Portman, Amy Adams, Will Smith"/>
    <n v="4040"/>
    <n v="254.37"/>
    <n v="254.37"/>
    <s v="Blockbuster"/>
    <s v="Mystery"/>
    <x v="4"/>
  </r>
  <r>
    <s v="tt1000036"/>
    <s v="The Shining"/>
    <n v="1950"/>
    <n v="1950"/>
    <x v="1"/>
    <n v="125"/>
    <s v="Long"/>
    <s v="A mystery film set in 1950."/>
    <s v="Martin Scorsese"/>
    <s v="Natalie Portman, Amy Adams, Will Smith"/>
    <n v="4040"/>
    <n v="254.37"/>
    <n v="254.37"/>
    <s v="Blockbuster"/>
    <s v=" Thriller"/>
    <x v="17"/>
  </r>
  <r>
    <s v="tt1000304"/>
    <s v="A Empire 197"/>
    <n v="2008"/>
    <n v="2000"/>
    <x v="2"/>
    <n v="124"/>
    <s v="Long"/>
    <s v="A thrilling mystery adventure."/>
    <s v="Wong Kar-wai"/>
    <s v="Christian Bale, Harrison Ford, Chris Hemsworth, Morgan Freeman, Tom Hanks"/>
    <n v="103798"/>
    <n v="110.53"/>
    <n v="110.53"/>
    <s v="Hit"/>
    <s v="Mystery"/>
    <x v="4"/>
  </r>
  <r>
    <s v="tt1000304"/>
    <s v="A Empire 197"/>
    <n v="2008"/>
    <n v="2000"/>
    <x v="2"/>
    <n v="124"/>
    <s v="Long"/>
    <s v="A thrilling mystery adventure."/>
    <s v="Wong Kar-wai"/>
    <s v="Christian Bale, Harrison Ford, Chris Hemsworth, Morgan Freeman, Tom Hanks"/>
    <n v="103798"/>
    <n v="110.53"/>
    <n v="110.53"/>
    <s v="Hit"/>
    <s v=" Biography"/>
    <x v="5"/>
  </r>
  <r>
    <s v="tt1000309"/>
    <s v="The Empire 202"/>
    <n v="2013"/>
    <n v="2010"/>
    <x v="2"/>
    <n v="127"/>
    <s v="Long"/>
    <s v="A thrilling comedy adventure."/>
    <s v="Pedro AlmodÃ³var"/>
    <s v="TimothÃ©e Chalamet, Robert De Niro, Anthony Hopkins, Al Pacino, Leonardo DiCaprio"/>
    <n v="108500"/>
    <m/>
    <n v="0"/>
    <s v="Average"/>
    <s v="Comedy"/>
    <x v="15"/>
  </r>
  <r>
    <s v="tt1000309"/>
    <s v="The Empire 202"/>
    <n v="2013"/>
    <n v="2010"/>
    <x v="2"/>
    <n v="127"/>
    <s v="Long"/>
    <s v="A thrilling comedy adventure."/>
    <s v="Pedro AlmodÃ³var"/>
    <s v="TimothÃ©e Chalamet, Robert De Niro, Anthony Hopkins, Al Pacino, Leonardo DiCaprio"/>
    <n v="108500"/>
    <m/>
    <n v="0"/>
    <s v="Average"/>
    <s v=" Sci-Fi"/>
    <x v="16"/>
  </r>
  <r>
    <s v="tt1000287"/>
    <s v="An War 180"/>
    <n v="2003"/>
    <n v="2000"/>
    <x v="1"/>
    <n v="89"/>
    <s v="Short"/>
    <s v="A thrilling documentary adventure."/>
    <s v="Guillermo del Toro"/>
    <s v="Denzel Washington, Cate Blanchett, Morgan Freeman, Johnny Depp"/>
    <n v="1770838"/>
    <n v="432.74"/>
    <n v="432.74"/>
    <s v="Blockbuster"/>
    <s v="Documentary"/>
    <x v="13"/>
  </r>
  <r>
    <s v="tt1000287"/>
    <s v="An War 180"/>
    <n v="2003"/>
    <n v="2000"/>
    <x v="1"/>
    <n v="89"/>
    <s v="Short"/>
    <s v="A thrilling documentary adventure."/>
    <s v="Guillermo del Toro"/>
    <s v="Denzel Washington, Cate Blanchett, Morgan Freeman, Johnny Depp"/>
    <n v="1770838"/>
    <n v="432.74"/>
    <n v="432.74"/>
    <s v="Blockbuster"/>
    <s v=" Fantasy"/>
    <x v="8"/>
  </r>
  <r>
    <s v="tt1000287"/>
    <s v="An War 180"/>
    <n v="2003"/>
    <n v="2000"/>
    <x v="1"/>
    <n v="89"/>
    <s v="Short"/>
    <s v="A thrilling documentary adventure."/>
    <s v="Guillermo del Toro"/>
    <s v="Denzel Washington, Cate Blanchett, Morgan Freeman, Johnny Depp"/>
    <n v="1770838"/>
    <n v="432.74"/>
    <n v="432.74"/>
    <s v="Blockbuster"/>
    <s v=" Western"/>
    <x v="11"/>
  </r>
  <r>
    <s v="tt1000984"/>
    <s v="Dark Empire 877"/>
    <n v="2002"/>
    <n v="2000"/>
    <x v="2"/>
    <n v="129"/>
    <s v="Long"/>
    <s v="A critically acclaimed war masterpiece."/>
    <s v="Hayao Miyazaki"/>
    <s v="Margot Robbie, Brad Pitt, Emma Stone, Viola Davis, Harrison Ford"/>
    <n v="28846"/>
    <n v="10.23"/>
    <n v="10.23"/>
    <s v="Average"/>
    <s v="War"/>
    <x v="2"/>
  </r>
  <r>
    <s v="tt1000750"/>
    <s v="A Destiny 643"/>
    <n v="2019"/>
    <n v="2010"/>
    <x v="0"/>
    <n v="117"/>
    <s v="Medium"/>
    <s v="A thriller film set in 2019."/>
    <s v="Park Chan-wook"/>
    <s v="Robert De Niro, TimothÃ©e Chalamet, Will Smith"/>
    <n v="13580"/>
    <n v="677.4"/>
    <n v="677.4"/>
    <s v="Blockbuster"/>
    <s v="Thriller"/>
    <x v="17"/>
  </r>
  <r>
    <s v="tt1000075"/>
    <s v="Gladiator"/>
    <n v="1980"/>
    <n v="1980"/>
    <x v="0"/>
    <n v="141"/>
    <s v="Long"/>
    <s v="An epic horror tale directed by Hayao Miyazaki."/>
    <s v="Hayao Miyazaki"/>
    <s v="Denzel Washington, Viola Davis, Christian Bale, Florence Pugh"/>
    <n v="14266"/>
    <n v="131.65"/>
    <n v="131.65"/>
    <s v="Hit"/>
    <s v="Horror"/>
    <x v="12"/>
  </r>
  <r>
    <s v="tt1000075"/>
    <s v="Gladiator"/>
    <n v="1980"/>
    <n v="1980"/>
    <x v="0"/>
    <n v="141"/>
    <s v="Long"/>
    <s v="An epic horror tale directed by Hayao Miyazaki."/>
    <s v="Hayao Miyazaki"/>
    <s v="Denzel Washington, Viola Davis, Christian Bale, Florence Pugh"/>
    <n v="14266"/>
    <n v="131.65"/>
    <n v="131.65"/>
    <s v="Hit"/>
    <s v=" Comedy"/>
    <x v="15"/>
  </r>
  <r>
    <s v="tt1000788"/>
    <s v="First Destiny 681"/>
    <n v="2001"/>
    <n v="2000"/>
    <x v="2"/>
    <n v="107"/>
    <s v="Medium"/>
    <s v="A thrilling musical adventure."/>
    <s v="Edgar Wright"/>
    <s v="Jennifer Lawrence, Viola Davis, Samuel L. Jackson, Zendaya"/>
    <n v="53606"/>
    <n v="46.22"/>
    <n v="46.22"/>
    <s v="Average"/>
    <s v="Musical"/>
    <x v="1"/>
  </r>
  <r>
    <s v="tt1000788"/>
    <s v="First Destiny 681"/>
    <n v="2001"/>
    <n v="2000"/>
    <x v="2"/>
    <n v="107"/>
    <s v="Medium"/>
    <s v="A thrilling musical adventure."/>
    <s v="Edgar Wright"/>
    <s v="Jennifer Lawrence, Viola Davis, Samuel L. Jackson, Zendaya"/>
    <n v="53606"/>
    <n v="46.22"/>
    <n v="46.22"/>
    <s v="Average"/>
    <s v=" Animation"/>
    <x v="3"/>
  </r>
  <r>
    <s v="tt1000093"/>
    <s v="Gandhi"/>
    <n v="1982"/>
    <n v="1980"/>
    <x v="3"/>
    <n v="112"/>
    <s v="Medium"/>
    <s v="A musical film set in 1982."/>
    <s v="Bong Joon-ho"/>
    <s v="TimothÃ©e Chalamet, Matt Damon, Margot Robbie"/>
    <n v="193981"/>
    <n v="182.49"/>
    <n v="182.49"/>
    <s v="Hit"/>
    <s v="Musical"/>
    <x v="1"/>
  </r>
  <r>
    <s v="tt1000077"/>
    <s v="Shakespeare in Love"/>
    <n v="1985"/>
    <n v="1980"/>
    <x v="0"/>
    <n v="124"/>
    <s v="Long"/>
    <s v="A family film set in 1985."/>
    <s v="Danny Boyle"/>
    <s v="Margot Robbie, Will Smith, Robert De Niro, Florence Pugh, Morgan Freeman"/>
    <n v="27034"/>
    <m/>
    <n v="0"/>
    <s v="Average"/>
    <s v="Family"/>
    <x v="10"/>
  </r>
  <r>
    <s v="tt1000077"/>
    <s v="Shakespeare in Love"/>
    <n v="1985"/>
    <n v="1980"/>
    <x v="0"/>
    <n v="124"/>
    <s v="Long"/>
    <s v="A family film set in 1985."/>
    <s v="Danny Boyle"/>
    <s v="Margot Robbie, Will Smith, Robert De Niro, Florence Pugh, Morgan Freeman"/>
    <n v="27034"/>
    <m/>
    <n v="0"/>
    <s v="Average"/>
    <s v=" War"/>
    <x v="2"/>
  </r>
  <r>
    <s v="tt1000077"/>
    <s v="Shakespeare in Love"/>
    <n v="1985"/>
    <n v="1980"/>
    <x v="0"/>
    <n v="124"/>
    <s v="Long"/>
    <s v="A family film set in 1985."/>
    <s v="Danny Boyle"/>
    <s v="Margot Robbie, Will Smith, Robert De Niro, Florence Pugh, Morgan Freeman"/>
    <n v="27034"/>
    <m/>
    <n v="0"/>
    <s v="Average"/>
    <s v=" Fantasy"/>
    <x v="8"/>
  </r>
  <r>
    <s v="tt1000062"/>
    <s v="The Revenant"/>
    <n v="1991"/>
    <n v="1990"/>
    <x v="0"/>
    <n v="129"/>
    <s v="Long"/>
    <s v="A thrilling comedy adventure."/>
    <s v="Ryan Coogler"/>
    <s v="Harrison Ford, Daniel Day-Lewis, Natalie Portman"/>
    <n v="33622"/>
    <n v="148.97"/>
    <n v="148.97"/>
    <s v="Hit"/>
    <s v="Comedy"/>
    <x v="15"/>
  </r>
  <r>
    <s v="tt1000062"/>
    <s v="The Revenant"/>
    <n v="1991"/>
    <n v="1990"/>
    <x v="0"/>
    <n v="129"/>
    <s v="Long"/>
    <s v="A thrilling comedy adventure."/>
    <s v="Ryan Coogler"/>
    <s v="Harrison Ford, Daniel Day-Lewis, Natalie Portman"/>
    <n v="33622"/>
    <n v="148.97"/>
    <n v="148.97"/>
    <s v="Hit"/>
    <s v=" Western"/>
    <x v="11"/>
  </r>
  <r>
    <s v="tt1000057"/>
    <s v="Avatar: The Way of Water"/>
    <n v="1987"/>
    <n v="1980"/>
    <x v="2"/>
    <n v="103"/>
    <s v="Medium"/>
    <s v="An epic musical tale directed by James Cameron."/>
    <s v="James Cameron"/>
    <s v="Harrison Ford, Florence Pugh, Meryl Streep, Kate Winslet"/>
    <n v="119856"/>
    <n v="54.62"/>
    <n v="54.62"/>
    <s v="Average"/>
    <s v="Musical"/>
    <x v="1"/>
  </r>
  <r>
    <s v="tt1000057"/>
    <s v="Avatar: The Way of Water"/>
    <n v="1987"/>
    <n v="1980"/>
    <x v="2"/>
    <n v="103"/>
    <s v="Medium"/>
    <s v="An epic musical tale directed by James Cameron."/>
    <s v="James Cameron"/>
    <s v="Harrison Ford, Florence Pugh, Meryl Streep, Kate Winslet"/>
    <n v="119856"/>
    <n v="54.62"/>
    <n v="54.62"/>
    <s v="Average"/>
    <s v=" Documentary"/>
    <x v="13"/>
  </r>
  <r>
    <s v="tt1000080"/>
    <s v="Braveheart"/>
    <n v="1980"/>
    <n v="1980"/>
    <x v="1"/>
    <n v="104"/>
    <s v="Medium"/>
    <s v="A thrilling drama adventure."/>
    <s v="Edgar Wright"/>
    <s v="Chris Hemsworth, Jack Nicholson, Natalie Portman, Tom Cruise, Jennifer Lawrence"/>
    <n v="153246"/>
    <n v="107.19"/>
    <n v="107.19"/>
    <s v="Hit"/>
    <s v="Drama"/>
    <x v="14"/>
  </r>
  <r>
    <s v="tt1000080"/>
    <s v="Braveheart"/>
    <n v="1980"/>
    <n v="1980"/>
    <x v="1"/>
    <n v="104"/>
    <s v="Medium"/>
    <s v="A thrilling drama adventure."/>
    <s v="Edgar Wright"/>
    <s v="Chris Hemsworth, Jack Nicholson, Natalie Portman, Tom Cruise, Jennifer Lawrence"/>
    <n v="153246"/>
    <n v="107.19"/>
    <n v="107.19"/>
    <s v="Hit"/>
    <s v=" Mystery"/>
    <x v="4"/>
  </r>
  <r>
    <s v="tt1000080"/>
    <s v="Braveheart"/>
    <n v="1980"/>
    <n v="1980"/>
    <x v="1"/>
    <n v="104"/>
    <s v="Medium"/>
    <s v="A thrilling drama adventure."/>
    <s v="Edgar Wright"/>
    <s v="Chris Hemsworth, Jack Nicholson, Natalie Portman, Tom Cruise, Jennifer Lawrence"/>
    <n v="153246"/>
    <n v="107.19"/>
    <n v="107.19"/>
    <s v="Hit"/>
    <s v=" Family"/>
    <x v="10"/>
  </r>
  <r>
    <s v="tt1000728"/>
    <s v="The Legend 621"/>
    <n v="2008"/>
    <n v="2000"/>
    <x v="1"/>
    <n v="75"/>
    <s v="Short"/>
    <s v="An epic mystery tale directed by Bong Joon-ho."/>
    <s v="Bong Joon-ho"/>
    <s v="Zendaya, Johnny Depp, Cate Blanchett, Natalie Portman, Chris Hemsworth"/>
    <n v="14146"/>
    <m/>
    <n v="0"/>
    <s v="Average"/>
    <s v="Mystery"/>
    <x v="4"/>
  </r>
  <r>
    <s v="tt1000728"/>
    <s v="The Legend 621"/>
    <n v="2008"/>
    <n v="2000"/>
    <x v="1"/>
    <n v="75"/>
    <s v="Short"/>
    <s v="An epic mystery tale directed by Bong Joon-ho."/>
    <s v="Bong Joon-ho"/>
    <s v="Zendaya, Johnny Depp, Cate Blanchett, Natalie Portman, Chris Hemsworth"/>
    <n v="14146"/>
    <m/>
    <n v="0"/>
    <s v="Average"/>
    <s v=" Western"/>
    <x v="11"/>
  </r>
  <r>
    <s v="tt1000721"/>
    <s v="An Journey 614"/>
    <n v="2022"/>
    <n v="2020"/>
    <x v="2"/>
    <n v="142"/>
    <s v="Long"/>
    <s v="A animation film set in 2022."/>
    <s v="Ava DuVernay"/>
    <s v="Harrison Ford, Florence Pugh, Kate Winslet, Robert Downey Jr."/>
    <n v="26120"/>
    <n v="316.14"/>
    <n v="316.14"/>
    <s v="Blockbuster"/>
    <s v="Animation"/>
    <x v="3"/>
  </r>
  <r>
    <s v="tt1000721"/>
    <s v="An Journey 614"/>
    <n v="2022"/>
    <n v="2020"/>
    <x v="2"/>
    <n v="142"/>
    <s v="Long"/>
    <s v="A animation film set in 2022."/>
    <s v="Ava DuVernay"/>
    <s v="Harrison Ford, Florence Pugh, Kate Winslet, Robert Downey Jr."/>
    <n v="26120"/>
    <n v="316.14"/>
    <n v="316.14"/>
    <s v="Blockbuster"/>
    <s v=" Action"/>
    <x v="0"/>
  </r>
  <r>
    <s v="tt1000505"/>
    <s v="First Kingdom 398"/>
    <n v="2019"/>
    <n v="2010"/>
    <x v="2"/>
    <n v="117"/>
    <s v="Medium"/>
    <s v="A critically acclaimed biography masterpiece."/>
    <s v="Christopher Nolan"/>
    <s v="Mark Ruffalo, Brad Pitt, TimothÃ©e Chalamet, Florence Pugh, Tom Cruise"/>
    <n v="308464"/>
    <n v="225.6"/>
    <n v="225.6"/>
    <s v="Blockbuster"/>
    <s v="Biography"/>
    <x v="5"/>
  </r>
  <r>
    <s v="tt1000505"/>
    <s v="First Kingdom 398"/>
    <n v="2019"/>
    <n v="2010"/>
    <x v="2"/>
    <n v="117"/>
    <s v="Medium"/>
    <s v="A critically acclaimed biography masterpiece."/>
    <s v="Christopher Nolan"/>
    <s v="Mark Ruffalo, Brad Pitt, TimothÃ©e Chalamet, Florence Pugh, Tom Cruise"/>
    <n v="308464"/>
    <n v="225.6"/>
    <n v="225.6"/>
    <s v="Blockbuster"/>
    <s v=" Mystery"/>
    <x v="4"/>
  </r>
  <r>
    <s v="tt1000505"/>
    <s v="First Kingdom 398"/>
    <n v="2019"/>
    <n v="2010"/>
    <x v="2"/>
    <n v="117"/>
    <s v="Medium"/>
    <s v="A critically acclaimed biography masterpiece."/>
    <s v="Christopher Nolan"/>
    <s v="Mark Ruffalo, Brad Pitt, TimothÃ©e Chalamet, Florence Pugh, Tom Cruise"/>
    <n v="308464"/>
    <n v="225.6"/>
    <n v="225.6"/>
    <s v="Blockbuster"/>
    <s v=" Romance"/>
    <x v="7"/>
  </r>
  <r>
    <s v="tt1000120"/>
    <s v="An Empire 13"/>
    <n v="1992"/>
    <n v="1990"/>
    <x v="0"/>
    <n v="130"/>
    <s v="Long"/>
    <s v="A thrilling sci-fi adventure."/>
    <s v="Ron Howard"/>
    <s v="Johnny Depp, Margot Robbie, Matt Damon, Al Pacino"/>
    <n v="101722"/>
    <n v="126.87"/>
    <n v="126.87"/>
    <s v="Hit"/>
    <s v="Sci-Fi"/>
    <x v="16"/>
  </r>
  <r>
    <s v="tt1000120"/>
    <s v="An Empire 13"/>
    <n v="1992"/>
    <n v="1990"/>
    <x v="0"/>
    <n v="130"/>
    <s v="Long"/>
    <s v="A thrilling sci-fi adventure."/>
    <s v="Ron Howard"/>
    <s v="Johnny Depp, Margot Robbie, Matt Damon, Al Pacino"/>
    <n v="101722"/>
    <n v="126.87"/>
    <n v="126.87"/>
    <s v="Hit"/>
    <s v=" Family"/>
    <x v="10"/>
  </r>
  <r>
    <s v="tt1000120"/>
    <s v="An Empire 13"/>
    <n v="1992"/>
    <n v="1990"/>
    <x v="0"/>
    <n v="130"/>
    <s v="Long"/>
    <s v="A thrilling sci-fi adventure."/>
    <s v="Ron Howard"/>
    <s v="Johnny Depp, Margot Robbie, Matt Damon, Al Pacino"/>
    <n v="101722"/>
    <n v="126.87"/>
    <n v="126.87"/>
    <s v="Hit"/>
    <s v=" Crime"/>
    <x v="6"/>
  </r>
  <r>
    <s v="tt1000443"/>
    <s v="Secret Kingdom 336"/>
    <n v="2024"/>
    <n v="2020"/>
    <x v="0"/>
    <n v="131"/>
    <s v="Long"/>
    <s v="An epic crime tale directed by Christopher Nolan."/>
    <s v="Christopher Nolan"/>
    <s v="Cate Blanchett, Robert De Niro, Scarlett Johansson, Jack Nicholson"/>
    <n v="745112"/>
    <n v="287.20999999999998"/>
    <n v="287.20999999999998"/>
    <s v="Blockbuster"/>
    <s v="Crime"/>
    <x v="6"/>
  </r>
  <r>
    <s v="tt1000443"/>
    <s v="Secret Kingdom 336"/>
    <n v="2024"/>
    <n v="2020"/>
    <x v="0"/>
    <n v="131"/>
    <s v="Long"/>
    <s v="An epic crime tale directed by Christopher Nolan."/>
    <s v="Christopher Nolan"/>
    <s v="Cate Blanchett, Robert De Niro, Scarlett Johansson, Jack Nicholson"/>
    <n v="745112"/>
    <n v="287.20999999999998"/>
    <n v="287.20999999999998"/>
    <s v="Blockbuster"/>
    <s v=" Comedy"/>
    <x v="15"/>
  </r>
  <r>
    <s v="tt1000443"/>
    <s v="Secret Kingdom 336"/>
    <n v="2024"/>
    <n v="2020"/>
    <x v="0"/>
    <n v="131"/>
    <s v="Long"/>
    <s v="An epic crime tale directed by Christopher Nolan."/>
    <s v="Christopher Nolan"/>
    <s v="Cate Blanchett, Robert De Niro, Scarlett Johansson, Jack Nicholson"/>
    <n v="745112"/>
    <n v="287.20999999999998"/>
    <n v="287.20999999999998"/>
    <s v="Blockbuster"/>
    <s v=" Drama"/>
    <x v="14"/>
  </r>
  <r>
    <s v="tt1000462"/>
    <s v="Last Kingdom 355"/>
    <n v="2003"/>
    <n v="2000"/>
    <x v="1"/>
    <n v="146"/>
    <s v="Long"/>
    <s v="A musical film set in 2003."/>
    <s v="Alfred Hitchcock"/>
    <s v="Denzel Washington, Will Smith, Leonardo DiCaprio"/>
    <n v="125636"/>
    <n v="177.65"/>
    <n v="177.65"/>
    <s v="Hit"/>
    <s v="Musical"/>
    <x v="1"/>
  </r>
  <r>
    <s v="tt1000462"/>
    <s v="Last Kingdom 355"/>
    <n v="2003"/>
    <n v="2000"/>
    <x v="1"/>
    <n v="146"/>
    <s v="Long"/>
    <s v="A musical film set in 2003."/>
    <s v="Alfred Hitchcock"/>
    <s v="Denzel Washington, Will Smith, Leonardo DiCaprio"/>
    <n v="125636"/>
    <n v="177.65"/>
    <n v="177.65"/>
    <s v="Hit"/>
    <s v=" Family"/>
    <x v="10"/>
  </r>
  <r>
    <s v="tt1000359"/>
    <s v="An Legend 252"/>
    <n v="2000"/>
    <n v="2000"/>
    <x v="0"/>
    <n v="111"/>
    <s v="Medium"/>
    <s v="A thrilling biography adventure."/>
    <s v="Alfred Hitchcock"/>
    <s v="Johnny Depp, Tom Hanks, Al Pacino, Emma Stone"/>
    <n v="428684"/>
    <n v="294.49"/>
    <n v="294.49"/>
    <s v="Blockbuster"/>
    <s v="Biography"/>
    <x v="5"/>
  </r>
  <r>
    <s v="tt1000275"/>
    <s v="A Mystery 168"/>
    <n v="2020"/>
    <n v="2020"/>
    <x v="5"/>
    <n v="149"/>
    <s v="Long"/>
    <s v="A thrilling crime adventure."/>
    <s v="Clint Eastwood"/>
    <s v="Meryl Streep, Robert De Niro, Samuel L. Jackson"/>
    <n v="54658"/>
    <n v="186.68"/>
    <n v="186.68"/>
    <s v="Hit"/>
    <s v="Crime"/>
    <x v="6"/>
  </r>
  <r>
    <s v="tt1000275"/>
    <s v="A Mystery 168"/>
    <n v="2020"/>
    <n v="2020"/>
    <x v="5"/>
    <n v="149"/>
    <s v="Long"/>
    <s v="A thrilling crime adventure."/>
    <s v="Clint Eastwood"/>
    <s v="Meryl Streep, Robert De Niro, Samuel L. Jackson"/>
    <n v="54658"/>
    <n v="186.68"/>
    <n v="186.68"/>
    <s v="Hit"/>
    <s v=" Thriller"/>
    <x v="17"/>
  </r>
  <r>
    <s v="tt1000632"/>
    <s v="Final Story 525"/>
    <n v="2003"/>
    <n v="2000"/>
    <x v="1"/>
    <n v="114"/>
    <s v="Medium"/>
    <s v="An epic documentary tale directed by Hayao Miyazaki."/>
    <s v="Hayao Miyazaki"/>
    <s v="Robert Downey Jr., Margot Robbie, Anthony Hopkins, Matt Damon"/>
    <n v="277762"/>
    <n v="251.71"/>
    <n v="251.71"/>
    <s v="Blockbuster"/>
    <s v="Documentary"/>
    <x v="13"/>
  </r>
  <r>
    <s v="tt1000712"/>
    <s v="A Quest 605"/>
    <n v="2024"/>
    <n v="2020"/>
    <x v="1"/>
    <n v="122"/>
    <s v="Long"/>
    <s v="A action film set in 2024."/>
    <s v="Francis Ford Coppola"/>
    <s v="Amy Adams, Morgan Freeman, Kate Winslet"/>
    <n v="18666"/>
    <n v="491.06"/>
    <n v="491.06"/>
    <s v="Blockbuster"/>
    <s v="Action"/>
    <x v="0"/>
  </r>
  <r>
    <s v="tt1000712"/>
    <s v="A Quest 605"/>
    <n v="2024"/>
    <n v="2020"/>
    <x v="1"/>
    <n v="122"/>
    <s v="Long"/>
    <s v="A action film set in 2024."/>
    <s v="Francis Ford Coppola"/>
    <s v="Amy Adams, Morgan Freeman, Kate Winslet"/>
    <n v="18666"/>
    <n v="491.06"/>
    <n v="491.06"/>
    <s v="Blockbuster"/>
    <s v=" Mystery"/>
    <x v="4"/>
  </r>
  <r>
    <s v="tt1000519"/>
    <s v="The Kingdom 412"/>
    <n v="2013"/>
    <n v="2010"/>
    <x v="0"/>
    <n v="103"/>
    <s v="Medium"/>
    <s v="An epic war tale directed by Ryan Coogler."/>
    <s v="Ryan Coogler"/>
    <s v="Robert Downey Jr., Scarlett Johansson, Anthony Hopkins, Morgan Freeman, Viola Davis"/>
    <n v="79734"/>
    <n v="916.56"/>
    <n v="916.56"/>
    <s v="Blockbuster"/>
    <s v="War"/>
    <x v="2"/>
  </r>
  <r>
    <s v="tt1000444"/>
    <s v="Lost Secrets 337"/>
    <n v="2001"/>
    <n v="2000"/>
    <x v="0"/>
    <n v="115"/>
    <s v="Medium"/>
    <s v="A family film set in 2001."/>
    <s v="Frank Darabont"/>
    <s v="Edward Norton, Morgan Freeman, Scarlett Johansson, Natalie Portman"/>
    <n v="149664"/>
    <n v="62.77"/>
    <n v="62.77"/>
    <s v="Average"/>
    <s v="Family"/>
    <x v="10"/>
  </r>
  <r>
    <s v="tt1000444"/>
    <s v="Lost Secrets 337"/>
    <n v="2001"/>
    <n v="2000"/>
    <x v="0"/>
    <n v="115"/>
    <s v="Medium"/>
    <s v="A family film set in 2001."/>
    <s v="Frank Darabont"/>
    <s v="Edward Norton, Morgan Freeman, Scarlett Johansson, Natalie Portman"/>
    <n v="149664"/>
    <n v="62.77"/>
    <n v="62.77"/>
    <s v="Average"/>
    <s v=" Crime"/>
    <x v="6"/>
  </r>
  <r>
    <s v="tt1000014"/>
    <s v="The Green Mile"/>
    <n v="1940"/>
    <n v="1940"/>
    <x v="0"/>
    <n v="117"/>
    <s v="Medium"/>
    <s v="A crime film set in 1940."/>
    <s v="Sam Mendes"/>
    <s v="Keanu Reeves, Margot Robbie, Al Pacino, Daniel Day-Lewis"/>
    <n v="7820"/>
    <m/>
    <n v="0"/>
    <s v="Average"/>
    <s v="Crime"/>
    <x v="6"/>
  </r>
  <r>
    <s v="tt1000014"/>
    <s v="The Green Mile"/>
    <n v="1940"/>
    <n v="1940"/>
    <x v="0"/>
    <n v="117"/>
    <s v="Medium"/>
    <s v="A crime film set in 1940."/>
    <s v="Sam Mendes"/>
    <s v="Keanu Reeves, Margot Robbie, Al Pacino, Daniel Day-Lewis"/>
    <n v="7820"/>
    <m/>
    <n v="0"/>
    <s v="Average"/>
    <s v=" Adventure"/>
    <x v="9"/>
  </r>
  <r>
    <s v="tt1000349"/>
    <s v="Final Kingdom 242"/>
    <n v="2012"/>
    <n v="2010"/>
    <x v="5"/>
    <n v="88"/>
    <s v="Short"/>
    <s v="An epic fantasy tale directed by Wes Anderson."/>
    <s v="Wes Anderson"/>
    <s v="Emma Stone, Cate Blanchett, Samuel L. Jackson"/>
    <n v="949114"/>
    <m/>
    <n v="0"/>
    <s v="Average"/>
    <s v="Fantasy"/>
    <x v="8"/>
  </r>
  <r>
    <s v="tt1000349"/>
    <s v="Final Kingdom 242"/>
    <n v="2012"/>
    <n v="2010"/>
    <x v="5"/>
    <n v="88"/>
    <s v="Short"/>
    <s v="An epic fantasy tale directed by Wes Anderson."/>
    <s v="Wes Anderson"/>
    <s v="Emma Stone, Cate Blanchett, Samuel L. Jackson"/>
    <n v="949114"/>
    <m/>
    <n v="0"/>
    <s v="Average"/>
    <s v=" Drama"/>
    <x v="14"/>
  </r>
  <r>
    <s v="tt1000349"/>
    <s v="Final Kingdom 242"/>
    <n v="2012"/>
    <n v="2010"/>
    <x v="5"/>
    <n v="88"/>
    <s v="Short"/>
    <s v="An epic fantasy tale directed by Wes Anderson."/>
    <s v="Wes Anderson"/>
    <s v="Emma Stone, Cate Blanchett, Samuel L. Jackson"/>
    <n v="949114"/>
    <m/>
    <n v="0"/>
    <s v="Average"/>
    <s v=" Documentary"/>
    <x v="13"/>
  </r>
  <r>
    <s v="tt1000947"/>
    <s v="Last Mystery 840"/>
    <n v="2024"/>
    <n v="2020"/>
    <x v="0"/>
    <n v="89"/>
    <s v="Short"/>
    <s v="A animation film set in 2024."/>
    <s v="Hayao Miyazaki"/>
    <s v="Emma Stone, Tom Hanks, Meryl Streep, Denzel Washington"/>
    <n v="20774"/>
    <n v="640.57000000000005"/>
    <n v="640.57000000000005"/>
    <s v="Blockbuster"/>
    <s v="Animation"/>
    <x v="3"/>
  </r>
  <r>
    <s v="tt1000000"/>
    <s v="The Shawshank Redemption"/>
    <n v="1950"/>
    <n v="1950"/>
    <x v="3"/>
    <n v="129"/>
    <s v="Long"/>
    <s v="A romance film set in 1950."/>
    <s v="Sam Mendes"/>
    <s v="Emma Stone, Jennifer Lawrence, Natalie Portman, Zendaya, Denzel Washington"/>
    <n v="189823"/>
    <n v="156.84"/>
    <n v="156.84"/>
    <s v="Hit"/>
    <s v="Romance"/>
    <x v="7"/>
  </r>
  <r>
    <s v="tt1000000"/>
    <s v="The Shawshank Redemption"/>
    <n v="1950"/>
    <n v="1950"/>
    <x v="3"/>
    <n v="129"/>
    <s v="Long"/>
    <s v="A romance film set in 1950."/>
    <s v="Sam Mendes"/>
    <s v="Emma Stone, Jennifer Lawrence, Natalie Portman, Zendaya, Denzel Washington"/>
    <n v="189823"/>
    <n v="156.84"/>
    <n v="156.84"/>
    <s v="Hit"/>
    <s v=" Musical"/>
    <x v="1"/>
  </r>
  <r>
    <s v="tt1000001"/>
    <s v="The Godfather"/>
    <n v="1970"/>
    <n v="1970"/>
    <x v="1"/>
    <n v="150"/>
    <s v="Long"/>
    <s v="An epic sci-fi tale directed by Taika Waititi."/>
    <s v="Taika Waititi"/>
    <s v="Florence Pugh, Meryl Streep, Daniel Day-Lewis, Denzel Washington"/>
    <n v="50569"/>
    <n v="7.41"/>
    <n v="7.41"/>
    <s v="Average"/>
    <s v="Sci-Fi"/>
    <x v="16"/>
  </r>
  <r>
    <s v="tt1000978"/>
    <s v="First Mystery 871"/>
    <n v="2016"/>
    <n v="2010"/>
    <x v="1"/>
    <n v="137"/>
    <s v="Long"/>
    <s v="A comedy film set in 2016."/>
    <s v="Edgar Wright"/>
    <s v="Cate Blanchett, Robert De Niro, Al Pacino, TimothÃ©e Chalamet, Tom Hanks"/>
    <n v="48396"/>
    <n v="421.14"/>
    <n v="421.14"/>
    <s v="Blockbuster"/>
    <s v="Comedy"/>
    <x v="15"/>
  </r>
  <r>
    <s v="tt1000978"/>
    <s v="First Mystery 871"/>
    <n v="2016"/>
    <n v="2010"/>
    <x v="1"/>
    <n v="137"/>
    <s v="Long"/>
    <s v="A comedy film set in 2016."/>
    <s v="Edgar Wright"/>
    <s v="Cate Blanchett, Robert De Niro, Al Pacino, TimothÃ©e Chalamet, Tom Hanks"/>
    <n v="48396"/>
    <n v="421.14"/>
    <n v="421.14"/>
    <s v="Blockbuster"/>
    <s v=" Action"/>
    <x v="0"/>
  </r>
  <r>
    <s v="tt1000978"/>
    <s v="First Mystery 871"/>
    <n v="2016"/>
    <n v="2010"/>
    <x v="1"/>
    <n v="137"/>
    <s v="Long"/>
    <s v="A comedy film set in 2016."/>
    <s v="Edgar Wright"/>
    <s v="Cate Blanchett, Robert De Niro, Al Pacino, TimothÃ©e Chalamet, Tom Hanks"/>
    <n v="48396"/>
    <n v="421.14"/>
    <n v="421.14"/>
    <s v="Blockbuster"/>
    <s v=" Thriller"/>
    <x v="17"/>
  </r>
  <r>
    <s v="tt1000020"/>
    <s v="The Lion King"/>
    <n v="1944"/>
    <n v="1940"/>
    <x v="2"/>
    <n v="110"/>
    <s v="Medium"/>
    <s v="An epic romance tale directed by Ridley Scott."/>
    <s v="Ridley Scott"/>
    <s v="Gary Oldman, Florence Pugh, Anthony Hopkins, Kate Winslet, Al Pacino"/>
    <n v="13668"/>
    <m/>
    <n v="0"/>
    <s v="Average"/>
    <s v="Romance"/>
    <x v="7"/>
  </r>
  <r>
    <s v="tt1000020"/>
    <s v="The Lion King"/>
    <n v="1944"/>
    <n v="1940"/>
    <x v="2"/>
    <n v="110"/>
    <s v="Medium"/>
    <s v="An epic romance tale directed by Ridley Scott."/>
    <s v="Ridley Scott"/>
    <s v="Gary Oldman, Florence Pugh, Anthony Hopkins, Kate Winslet, Al Pacino"/>
    <n v="13668"/>
    <m/>
    <n v="0"/>
    <s v="Average"/>
    <s v=" War"/>
    <x v="2"/>
  </r>
  <r>
    <s v="tt1000333"/>
    <s v="Dark Legend 226"/>
    <n v="2015"/>
    <n v="2010"/>
    <x v="0"/>
    <n v="131"/>
    <s v="Long"/>
    <s v="A critically acclaimed animation masterpiece."/>
    <s v="Akira Kurosawa"/>
    <s v="Natalie Portman, TimothÃ©e Chalamet, Viola Davis"/>
    <n v="479306"/>
    <n v="986.48"/>
    <n v="986.48"/>
    <s v="Blockbuster"/>
    <s v="Animation"/>
    <x v="3"/>
  </r>
  <r>
    <s v="tt1000333"/>
    <s v="Dark Legend 226"/>
    <n v="2015"/>
    <n v="2010"/>
    <x v="0"/>
    <n v="131"/>
    <s v="Long"/>
    <s v="A critically acclaimed animation masterpiece."/>
    <s v="Akira Kurosawa"/>
    <s v="Natalie Portman, TimothÃ©e Chalamet, Viola Davis"/>
    <n v="479306"/>
    <n v="986.48"/>
    <n v="986.48"/>
    <s v="Blockbuster"/>
    <s v=" Mystery"/>
    <x v="4"/>
  </r>
  <r>
    <s v="tt1000898"/>
    <s v="Lost Awakening 791"/>
    <n v="2001"/>
    <n v="2000"/>
    <x v="4"/>
    <n v="126"/>
    <s v="Long"/>
    <s v="A critically acclaimed thriller masterpiece."/>
    <s v="Ridley Scott"/>
    <s v="Robert De Niro, Robert Downey Jr., TimothÃ©e Chalamet"/>
    <n v="606704"/>
    <n v="297.95999999999998"/>
    <n v="297.95999999999998"/>
    <s v="Blockbuster"/>
    <s v="Thriller"/>
    <x v="17"/>
  </r>
  <r>
    <s v="tt1000061"/>
    <s v="Mad Max: Fury Road"/>
    <n v="1984"/>
    <n v="1980"/>
    <x v="0"/>
    <n v="129"/>
    <s v="Long"/>
    <s v="A thrilling animation adventure."/>
    <s v="Spike Lee"/>
    <s v="Gary Oldman, Anthony Hopkins, Kate Winslet, Robert De Niro, Al Pacino"/>
    <n v="209676"/>
    <n v="214.86"/>
    <n v="214.86"/>
    <s v="Blockbuster"/>
    <s v="Animation"/>
    <x v="3"/>
  </r>
  <r>
    <s v="tt1000061"/>
    <s v="Mad Max: Fury Road"/>
    <n v="1984"/>
    <n v="1980"/>
    <x v="0"/>
    <n v="129"/>
    <s v="Long"/>
    <s v="A thrilling animation adventure."/>
    <s v="Spike Lee"/>
    <s v="Gary Oldman, Anthony Hopkins, Kate Winslet, Robert De Niro, Al Pacino"/>
    <n v="209676"/>
    <n v="214.86"/>
    <n v="214.86"/>
    <s v="Blockbuster"/>
    <s v=" Musical"/>
    <x v="1"/>
  </r>
  <r>
    <s v="tt1000061"/>
    <s v="Mad Max: Fury Road"/>
    <n v="1984"/>
    <n v="1980"/>
    <x v="0"/>
    <n v="129"/>
    <s v="Long"/>
    <s v="A thrilling animation adventure."/>
    <s v="Spike Lee"/>
    <s v="Gary Oldman, Anthony Hopkins, Kate Winslet, Robert De Niro, Al Pacino"/>
    <n v="209676"/>
    <n v="214.86"/>
    <n v="214.86"/>
    <s v="Blockbuster"/>
    <s v=" Sci-Fi"/>
    <x v="16"/>
  </r>
  <r>
    <s v="tt1000874"/>
    <s v="An Secrets 767"/>
    <n v="2008"/>
    <n v="2000"/>
    <x v="0"/>
    <n v="121"/>
    <s v="Long"/>
    <s v="A critically acclaimed horror masterpiece."/>
    <s v="David Fincher"/>
    <s v="Robert De Niro, Scarlett Johansson, Al Pacino, Denzel Washington, Matt Damon"/>
    <n v="221414"/>
    <n v="153.63999999999999"/>
    <n v="153.63999999999999"/>
    <s v="Hit"/>
    <s v="Horror"/>
    <x v="12"/>
  </r>
  <r>
    <s v="tt1000874"/>
    <s v="An Secrets 767"/>
    <n v="2008"/>
    <n v="2000"/>
    <x v="0"/>
    <n v="121"/>
    <s v="Long"/>
    <s v="A critically acclaimed horror masterpiece."/>
    <s v="David Fincher"/>
    <s v="Robert De Niro, Scarlett Johansson, Al Pacino, Denzel Washington, Matt Damon"/>
    <n v="221414"/>
    <n v="153.63999999999999"/>
    <n v="153.63999999999999"/>
    <s v="Hit"/>
    <s v=" Adventure"/>
    <x v="9"/>
  </r>
  <r>
    <s v="tt1000874"/>
    <s v="An Secrets 767"/>
    <n v="2008"/>
    <n v="2000"/>
    <x v="0"/>
    <n v="121"/>
    <s v="Long"/>
    <s v="A critically acclaimed horror masterpiece."/>
    <s v="David Fincher"/>
    <s v="Robert De Niro, Scarlett Johansson, Al Pacino, Denzel Washington, Matt Damon"/>
    <n v="221414"/>
    <n v="153.63999999999999"/>
    <n v="153.63999999999999"/>
    <s v="Hit"/>
    <s v=" Fantasy"/>
    <x v="8"/>
  </r>
  <r>
    <s v="tt1000875"/>
    <s v="Final Journey 768"/>
    <n v="2013"/>
    <n v="2010"/>
    <x v="0"/>
    <n v="102"/>
    <s v="Medium"/>
    <s v="A crime film set in 2013."/>
    <s v="Francis Ford Coppola"/>
    <s v="Jack Nicholson, Will Smith, Matt Damon"/>
    <n v="341124"/>
    <m/>
    <n v="0"/>
    <s v="Average"/>
    <s v="Crime"/>
    <x v="6"/>
  </r>
  <r>
    <s v="tt1000735"/>
    <s v="A Love 628"/>
    <n v="2016"/>
    <n v="2010"/>
    <x v="1"/>
    <n v="129"/>
    <s v="Long"/>
    <s v="A critically acclaimed adventure masterpiece."/>
    <s v="James Cameron"/>
    <s v="Tom Hanks, Viola Davis, Natalie Portman"/>
    <n v="204140"/>
    <m/>
    <n v="0"/>
    <s v="Average"/>
    <s v="Adventure"/>
    <x v="9"/>
  </r>
  <r>
    <s v="tt1000735"/>
    <s v="A Love 628"/>
    <n v="2016"/>
    <n v="2010"/>
    <x v="1"/>
    <n v="129"/>
    <s v="Long"/>
    <s v="A critically acclaimed adventure masterpiece."/>
    <s v="James Cameron"/>
    <s v="Tom Hanks, Viola Davis, Natalie Portman"/>
    <n v="204140"/>
    <m/>
    <n v="0"/>
    <s v="Average"/>
    <s v=" Biography"/>
    <x v="5"/>
  </r>
  <r>
    <s v="tt1000696"/>
    <s v="An Revolution 589"/>
    <n v="2004"/>
    <n v="2000"/>
    <x v="2"/>
    <n v="110"/>
    <s v="Medium"/>
    <s v="A thrilling animation adventure."/>
    <s v="James Cameron"/>
    <s v="Robert Downey Jr., Matt Damon, Christian Bale, Daniel Day-Lewis, Mark Ruffalo"/>
    <n v="195488"/>
    <n v="474.92"/>
    <n v="474.92"/>
    <s v="Blockbuster"/>
    <s v="Animation"/>
    <x v="3"/>
  </r>
  <r>
    <s v="tt1000095"/>
    <s v="Ordinary People"/>
    <n v="1993"/>
    <n v="1990"/>
    <x v="2"/>
    <n v="80"/>
    <s v="Short"/>
    <s v="A mystery film set in 1993."/>
    <s v="Denis Villeneuve"/>
    <s v="Chris Hemsworth, Robert Downey Jr., Brad Pitt, Matt Damon"/>
    <n v="289416"/>
    <m/>
    <n v="0"/>
    <s v="Average"/>
    <s v="Mystery"/>
    <x v="4"/>
  </r>
  <r>
    <s v="tt1000095"/>
    <s v="Ordinary People"/>
    <n v="1993"/>
    <n v="1990"/>
    <x v="2"/>
    <n v="80"/>
    <s v="Short"/>
    <s v="A mystery film set in 1993."/>
    <s v="Denis Villeneuve"/>
    <s v="Chris Hemsworth, Robert Downey Jr., Brad Pitt, Matt Damon"/>
    <n v="289416"/>
    <m/>
    <n v="0"/>
    <s v="Average"/>
    <s v=" Adventure"/>
    <x v="9"/>
  </r>
  <r>
    <s v="tt1000095"/>
    <s v="Ordinary People"/>
    <n v="1993"/>
    <n v="1990"/>
    <x v="2"/>
    <n v="80"/>
    <s v="Short"/>
    <s v="A mystery film set in 1993."/>
    <s v="Denis Villeneuve"/>
    <s v="Chris Hemsworth, Robert Downey Jr., Brad Pitt, Matt Damon"/>
    <n v="289416"/>
    <m/>
    <n v="0"/>
    <s v="Average"/>
    <s v=" Biography"/>
    <x v="5"/>
  </r>
  <r>
    <s v="tt1000059"/>
    <s v="Thor: Ragnarok"/>
    <n v="1987"/>
    <n v="1980"/>
    <x v="0"/>
    <n v="149"/>
    <s v="Long"/>
    <s v="A critically acclaimed war masterpiece."/>
    <s v="Guillermo del Toro"/>
    <s v="Denzel Washington, Zendaya, Harrison Ford"/>
    <n v="2500000"/>
    <n v="222.6"/>
    <n v="222.6"/>
    <s v="Blockbuster"/>
    <s v="War"/>
    <x v="2"/>
  </r>
  <r>
    <s v="tt1000059"/>
    <s v="Thor: Ragnarok"/>
    <n v="1987"/>
    <n v="1980"/>
    <x v="0"/>
    <n v="149"/>
    <s v="Long"/>
    <s v="A critically acclaimed war masterpiece."/>
    <s v="Guillermo del Toro"/>
    <s v="Denzel Washington, Zendaya, Harrison Ford"/>
    <n v="2500000"/>
    <n v="222.6"/>
    <n v="222.6"/>
    <s v="Blockbuster"/>
    <s v=" Adventure"/>
    <x v="9"/>
  </r>
  <r>
    <s v="tt1000072"/>
    <s v="Million Dollar Baby"/>
    <n v="1993"/>
    <n v="1990"/>
    <x v="2"/>
    <n v="104"/>
    <s v="Medium"/>
    <s v="A critically acclaimed family masterpiece."/>
    <s v="Greta Gerwig"/>
    <s v="Keanu Reeves, Natalie Portman, Johnny Depp"/>
    <n v="57820"/>
    <n v="123.67"/>
    <n v="123.67"/>
    <s v="Hit"/>
    <s v="Family"/>
    <x v="10"/>
  </r>
  <r>
    <s v="tt1000072"/>
    <s v="Million Dollar Baby"/>
    <n v="1993"/>
    <n v="1990"/>
    <x v="2"/>
    <n v="104"/>
    <s v="Medium"/>
    <s v="A critically acclaimed family masterpiece."/>
    <s v="Greta Gerwig"/>
    <s v="Keanu Reeves, Natalie Portman, Johnny Depp"/>
    <n v="57820"/>
    <n v="123.67"/>
    <n v="123.67"/>
    <s v="Hit"/>
    <s v=" Sci-Fi"/>
    <x v="16"/>
  </r>
  <r>
    <s v="tt1000818"/>
    <s v="An Adventures 711"/>
    <n v="2023"/>
    <n v="2020"/>
    <x v="0"/>
    <n v="133"/>
    <s v="Long"/>
    <s v="A critically acclaimed horror masterpiece."/>
    <s v="Quentin Tarantino"/>
    <s v="Jennifer Lawrence, Scarlett Johansson, Leonardo DiCaprio, Margot Robbie"/>
    <n v="50164"/>
    <n v="477.01"/>
    <n v="477.01"/>
    <s v="Blockbuster"/>
    <s v="Horror"/>
    <x v="12"/>
  </r>
  <r>
    <s v="tt1000818"/>
    <s v="An Adventures 711"/>
    <n v="2023"/>
    <n v="2020"/>
    <x v="0"/>
    <n v="133"/>
    <s v="Long"/>
    <s v="A critically acclaimed horror masterpiece."/>
    <s v="Quentin Tarantino"/>
    <s v="Jennifer Lawrence, Scarlett Johansson, Leonardo DiCaprio, Margot Robbie"/>
    <n v="50164"/>
    <n v="477.01"/>
    <n v="477.01"/>
    <s v="Blockbuster"/>
    <s v=" Sci-Fi"/>
    <x v="16"/>
  </r>
  <r>
    <s v="tt1000437"/>
    <s v="Dark Destiny 330"/>
    <n v="2005"/>
    <n v="2000"/>
    <x v="0"/>
    <n v="136"/>
    <s v="Long"/>
    <s v="A critically acclaimed war masterpiece."/>
    <s v="Denis Villeneuve"/>
    <s v="Jack Nicholson, Daniel Day-Lewis, Meryl Streep, Jennifer Lawrence, Christian Bale"/>
    <n v="276470"/>
    <n v="97.99"/>
    <n v="97.99"/>
    <s v="Average"/>
    <s v="War"/>
    <x v="2"/>
  </r>
  <r>
    <s v="tt1000437"/>
    <s v="Dark Destiny 330"/>
    <n v="2005"/>
    <n v="2000"/>
    <x v="0"/>
    <n v="136"/>
    <s v="Long"/>
    <s v="A critically acclaimed war masterpiece."/>
    <s v="Denis Villeneuve"/>
    <s v="Jack Nicholson, Daniel Day-Lewis, Meryl Streep, Jennifer Lawrence, Christian Bale"/>
    <n v="276470"/>
    <n v="97.99"/>
    <n v="97.99"/>
    <s v="Average"/>
    <s v=" Western"/>
    <x v="11"/>
  </r>
  <r>
    <s v="tt1000689"/>
    <s v="Final Kingdom 582"/>
    <n v="2020"/>
    <n v="2020"/>
    <x v="4"/>
    <n v="117"/>
    <s v="Medium"/>
    <s v="An epic documentary tale directed by Stanley Kubrick."/>
    <s v="Stanley Kubrick"/>
    <s v="Chris Hemsworth, Edward Norton, Daniel Day-Lewis, Tom Hanks"/>
    <n v="480446"/>
    <m/>
    <n v="0"/>
    <s v="Average"/>
    <s v="Documentary"/>
    <x v="13"/>
  </r>
  <r>
    <s v="tt1000071"/>
    <s v="Crash"/>
    <n v="1995"/>
    <n v="1990"/>
    <x v="3"/>
    <n v="133"/>
    <s v="Long"/>
    <s v="A critically acclaimed drama masterpiece."/>
    <s v="Guillermo del Toro"/>
    <s v="Denzel Washington, Daniel Day-Lewis, Keanu Reeves"/>
    <n v="373846"/>
    <m/>
    <n v="0"/>
    <s v="Average"/>
    <s v="Drama"/>
    <x v="14"/>
  </r>
  <r>
    <s v="tt1000071"/>
    <s v="Crash"/>
    <n v="1995"/>
    <n v="1990"/>
    <x v="3"/>
    <n v="133"/>
    <s v="Long"/>
    <s v="A critically acclaimed drama masterpiece."/>
    <s v="Guillermo del Toro"/>
    <s v="Denzel Washington, Daniel Day-Lewis, Keanu Reeves"/>
    <n v="373846"/>
    <m/>
    <n v="0"/>
    <s v="Average"/>
    <s v=" Comedy"/>
    <x v="15"/>
  </r>
  <r>
    <s v="tt1000962"/>
    <s v="A Legend 855"/>
    <n v="2019"/>
    <n v="2010"/>
    <x v="1"/>
    <n v="109"/>
    <s v="Medium"/>
    <s v="A biography film set in 2019."/>
    <s v="Francis Ford Coppola"/>
    <s v="Robert De Niro, Morgan Freeman, Tom Cruise, Robert Downey Jr."/>
    <n v="33606"/>
    <n v="422.17"/>
    <n v="422.17"/>
    <s v="Blockbuster"/>
    <s v="Biography"/>
    <x v="5"/>
  </r>
  <r>
    <s v="tt1000962"/>
    <s v="A Legend 855"/>
    <n v="2019"/>
    <n v="2010"/>
    <x v="1"/>
    <n v="109"/>
    <s v="Medium"/>
    <s v="A biography film set in 2019."/>
    <s v="Francis Ford Coppola"/>
    <s v="Robert De Niro, Morgan Freeman, Tom Cruise, Robert Downey Jr."/>
    <n v="33606"/>
    <n v="422.17"/>
    <n v="422.17"/>
    <s v="Blockbuster"/>
    <s v=" Sci-Fi"/>
    <x v="16"/>
  </r>
  <r>
    <s v="tt1000042"/>
    <s v="The Grand Budapest Hotel"/>
    <n v="1978"/>
    <n v="1970"/>
    <x v="0"/>
    <n v="100"/>
    <s v="Medium"/>
    <s v="An epic drama tale directed by Stanley Kubrick."/>
    <s v="Stanley Kubrick"/>
    <s v="Mark Ruffalo, Jennifer Lawrence, Tom Cruise, Christian Bale, Anthony Hopkins"/>
    <n v="41716"/>
    <m/>
    <n v="0"/>
    <s v="Average"/>
    <s v="Drama"/>
    <x v="14"/>
  </r>
  <r>
    <s v="tt1000042"/>
    <s v="The Grand Budapest Hotel"/>
    <n v="1978"/>
    <n v="1970"/>
    <x v="0"/>
    <n v="100"/>
    <s v="Medium"/>
    <s v="An epic drama tale directed by Stanley Kubrick."/>
    <s v="Stanley Kubrick"/>
    <s v="Mark Ruffalo, Jennifer Lawrence, Tom Cruise, Christian Bale, Anthony Hopkins"/>
    <n v="41716"/>
    <m/>
    <n v="0"/>
    <s v="Average"/>
    <s v=" Romance"/>
    <x v="7"/>
  </r>
  <r>
    <s v="tt1000042"/>
    <s v="The Grand Budapest Hotel"/>
    <n v="1978"/>
    <n v="1970"/>
    <x v="0"/>
    <n v="100"/>
    <s v="Medium"/>
    <s v="An epic drama tale directed by Stanley Kubrick."/>
    <s v="Stanley Kubrick"/>
    <s v="Mark Ruffalo, Jennifer Lawrence, Tom Cruise, Christian Bale, Anthony Hopkins"/>
    <n v="41716"/>
    <m/>
    <n v="0"/>
    <s v="Average"/>
    <s v=" War"/>
    <x v="2"/>
  </r>
  <r>
    <s v="tt1000029"/>
    <s v="Django Unchained"/>
    <n v="1964"/>
    <n v="1960"/>
    <x v="1"/>
    <n v="126"/>
    <s v="Long"/>
    <s v="A critically acclaimed biography masterpiece."/>
    <s v="Park Chan-wook"/>
    <s v="Amy Adams, Margot Robbie, Natalie Portman"/>
    <n v="77580"/>
    <n v="196.37"/>
    <n v="196.37"/>
    <s v="Hit"/>
    <s v="Biography"/>
    <x v="5"/>
  </r>
  <r>
    <s v="tt1000029"/>
    <s v="Django Unchained"/>
    <n v="1964"/>
    <n v="1960"/>
    <x v="1"/>
    <n v="126"/>
    <s v="Long"/>
    <s v="A critically acclaimed biography masterpiece."/>
    <s v="Park Chan-wook"/>
    <s v="Amy Adams, Margot Robbie, Natalie Portman"/>
    <n v="77580"/>
    <n v="196.37"/>
    <n v="196.37"/>
    <s v="Hit"/>
    <s v=" Documentary"/>
    <x v="13"/>
  </r>
  <r>
    <s v="tt1000003"/>
    <s v="Pulp Fiction"/>
    <n v="1972"/>
    <n v="1970"/>
    <x v="0"/>
    <n v="130"/>
    <s v="Long"/>
    <s v="A critically acclaimed musical masterpiece."/>
    <s v="Hayao Miyazaki"/>
    <s v="Margot Robbie, Christian Bale, Daniel Day-Lewis"/>
    <n v="17864"/>
    <n v="16.48"/>
    <n v="16.48"/>
    <s v="Average"/>
    <s v="Musical"/>
    <x v="1"/>
  </r>
  <r>
    <s v="tt1000003"/>
    <s v="Pulp Fiction"/>
    <n v="1972"/>
    <n v="1970"/>
    <x v="0"/>
    <n v="130"/>
    <s v="Long"/>
    <s v="A critically acclaimed musical masterpiece."/>
    <s v="Hayao Miyazaki"/>
    <s v="Margot Robbie, Christian Bale, Daniel Day-Lewis"/>
    <n v="17864"/>
    <n v="16.48"/>
    <n v="16.48"/>
    <s v="Average"/>
    <s v=" Documentary"/>
    <x v="13"/>
  </r>
  <r>
    <s v="tt1000028"/>
    <s v="Back to the Future"/>
    <n v="1961"/>
    <n v="1960"/>
    <x v="4"/>
    <n v="103"/>
    <s v="Medium"/>
    <s v="A critically acclaimed crime masterpiece."/>
    <s v="James Cameron"/>
    <s v="Amy Adams, Jennifer Lawrence, Natalie Portman, Daniel Day-Lewis, Mark Ruffalo"/>
    <n v="141814"/>
    <n v="273.14999999999998"/>
    <n v="273.14999999999998"/>
    <s v="Blockbuster"/>
    <s v="Crime"/>
    <x v="6"/>
  </r>
  <r>
    <s v="tt1000031"/>
    <s v="Toy Story"/>
    <n v="1971"/>
    <n v="1970"/>
    <x v="0"/>
    <n v="113"/>
    <s v="Medium"/>
    <s v="An epic musical tale directed by Ryan Coogler."/>
    <s v="Ryan Coogler"/>
    <s v="Brad Pitt, Harrison Ford, Viola Davis"/>
    <n v="3999"/>
    <n v="283.32"/>
    <n v="283.32"/>
    <s v="Blockbuster"/>
    <s v="Musical"/>
    <x v="1"/>
  </r>
  <r>
    <s v="tt1000031"/>
    <s v="Toy Story"/>
    <n v="1971"/>
    <n v="1970"/>
    <x v="0"/>
    <n v="113"/>
    <s v="Medium"/>
    <s v="An epic musical tale directed by Ryan Coogler."/>
    <s v="Ryan Coogler"/>
    <s v="Brad Pitt, Harrison Ford, Viola Davis"/>
    <n v="3999"/>
    <n v="283.32"/>
    <n v="283.32"/>
    <s v="Blockbuster"/>
    <s v=" Family"/>
    <x v="10"/>
  </r>
  <r>
    <s v="tt1000063"/>
    <s v="Birdman"/>
    <n v="1995"/>
    <n v="1990"/>
    <x v="1"/>
    <n v="89"/>
    <s v="Short"/>
    <s v="A sci-fi film set in 1995."/>
    <s v="Quentin Tarantino"/>
    <s v="Jack Nicholson, Emma Stone, Tom Hanks"/>
    <n v="216338"/>
    <n v="249.36"/>
    <n v="249.36"/>
    <s v="Blockbuster"/>
    <s v="Sci-Fi"/>
    <x v="16"/>
  </r>
  <r>
    <s v="tt1000063"/>
    <s v="Birdman"/>
    <n v="1995"/>
    <n v="1990"/>
    <x v="1"/>
    <n v="89"/>
    <s v="Short"/>
    <s v="A sci-fi film set in 1995."/>
    <s v="Quentin Tarantino"/>
    <s v="Jack Nicholson, Emma Stone, Tom Hanks"/>
    <n v="216338"/>
    <n v="249.36"/>
    <n v="249.36"/>
    <s v="Blockbuster"/>
    <s v=" Musical"/>
    <x v="1"/>
  </r>
  <r>
    <s v="tt1000596"/>
    <s v="Last Story 489"/>
    <n v="2012"/>
    <n v="2010"/>
    <x v="5"/>
    <n v="126"/>
    <s v="Long"/>
    <s v="An epic western tale directed by Ryan Coogler."/>
    <s v="Ryan Coogler"/>
    <s v="Emma Stone, Will Smith, Leonardo DiCaprio"/>
    <n v="3594"/>
    <n v="337.62"/>
    <n v="337.62"/>
    <s v="Blockbuster"/>
    <s v="Western"/>
    <x v="11"/>
  </r>
  <r>
    <s v="tt1000596"/>
    <s v="Last Story 489"/>
    <n v="2012"/>
    <n v="2010"/>
    <x v="5"/>
    <n v="126"/>
    <s v="Long"/>
    <s v="An epic western tale directed by Ryan Coogler."/>
    <s v="Ryan Coogler"/>
    <s v="Emma Stone, Will Smith, Leonardo DiCaprio"/>
    <n v="3594"/>
    <n v="337.62"/>
    <n v="337.62"/>
    <s v="Blockbuster"/>
    <s v=" Action"/>
    <x v="0"/>
  </r>
  <r>
    <s v="tt1000621"/>
    <s v="First Love 514"/>
    <n v="2017"/>
    <n v="2010"/>
    <x v="4"/>
    <n v="85"/>
    <s v="Short"/>
    <s v="A horror film set in 2017."/>
    <s v="Steven Spielberg"/>
    <s v="Zendaya, Harrison Ford, Meryl Streep, Jennifer Lawrence, Jack Nicholson"/>
    <n v="4945"/>
    <m/>
    <n v="0"/>
    <s v="Average"/>
    <s v="Horror"/>
    <x v="12"/>
  </r>
  <r>
    <s v="tt1000719"/>
    <s v="An Legend 612"/>
    <n v="2000"/>
    <n v="2000"/>
    <x v="2"/>
    <n v="113"/>
    <s v="Medium"/>
    <s v="A critically acclaimed horror masterpiece."/>
    <s v="Taika Waititi"/>
    <s v="Margot Robbie, Edward Norton, Anthony Hopkins"/>
    <n v="138210"/>
    <m/>
    <n v="0"/>
    <s v="Average"/>
    <s v="Horror"/>
    <x v="12"/>
  </r>
  <r>
    <s v="tt1000089"/>
    <s v="Platoon"/>
    <n v="1995"/>
    <n v="1990"/>
    <x v="0"/>
    <n v="91"/>
    <s v="Medium"/>
    <s v="A critically acclaimed crime masterpiece."/>
    <s v="George Lucas"/>
    <s v="Harrison Ford, Tom Hanks, Anthony Hopkins"/>
    <n v="72846"/>
    <n v="87.53"/>
    <n v="87.53"/>
    <s v="Average"/>
    <s v="Crime"/>
    <x v="6"/>
  </r>
  <r>
    <s v="tt1000097"/>
    <s v="The Deer Hunter"/>
    <n v="1985"/>
    <n v="1980"/>
    <x v="2"/>
    <n v="110"/>
    <s v="Medium"/>
    <s v="A mystery film set in 1985."/>
    <s v="Coen Brothers"/>
    <s v="Robert De Niro, Zendaya, Samuel L. Jackson, Jack Nicholson, Leonardo DiCaprio"/>
    <n v="128485"/>
    <n v="289.11"/>
    <n v="289.11"/>
    <s v="Blockbuster"/>
    <s v="Mystery"/>
    <x v="4"/>
  </r>
  <r>
    <s v="tt1000097"/>
    <s v="The Deer Hunter"/>
    <n v="1985"/>
    <n v="1980"/>
    <x v="2"/>
    <n v="110"/>
    <s v="Medium"/>
    <s v="A mystery film set in 1985."/>
    <s v="Coen Brothers"/>
    <s v="Robert De Niro, Zendaya, Samuel L. Jackson, Jack Nicholson, Leonardo DiCaprio"/>
    <n v="128485"/>
    <n v="289.11"/>
    <n v="289.11"/>
    <s v="Blockbuster"/>
    <s v=" Western"/>
    <x v="11"/>
  </r>
  <r>
    <s v="tt1000097"/>
    <s v="The Deer Hunter"/>
    <n v="1985"/>
    <n v="1980"/>
    <x v="2"/>
    <n v="110"/>
    <s v="Medium"/>
    <s v="A mystery film set in 1985."/>
    <s v="Coen Brothers"/>
    <s v="Robert De Niro, Zendaya, Samuel L. Jackson, Jack Nicholson, Leonardo DiCaprio"/>
    <n v="128485"/>
    <n v="289.11"/>
    <n v="289.11"/>
    <s v="Blockbuster"/>
    <s v=" Drama"/>
    <x v="14"/>
  </r>
  <r>
    <s v="tt1000096"/>
    <s v="Kramer vs. Kramer"/>
    <n v="1998"/>
    <n v="1990"/>
    <x v="5"/>
    <n v="125"/>
    <s v="Long"/>
    <s v="An epic action tale directed by Wes Anderson."/>
    <s v="Wes Anderson"/>
    <s v="Jack Nicholson, Viola Davis, Johnny Depp, TimothÃ©e Chalamet, Robert De Niro"/>
    <n v="43818"/>
    <n v="298.31"/>
    <n v="298.31"/>
    <s v="Blockbuster"/>
    <s v="Action"/>
    <x v="0"/>
  </r>
  <r>
    <s v="tt1000096"/>
    <s v="Kramer vs. Kramer"/>
    <n v="1998"/>
    <n v="1990"/>
    <x v="5"/>
    <n v="125"/>
    <s v="Long"/>
    <s v="An epic action tale directed by Wes Anderson."/>
    <s v="Wes Anderson"/>
    <s v="Jack Nicholson, Viola Davis, Johnny Depp, TimothÃ©e Chalamet, Robert De Niro"/>
    <n v="43818"/>
    <n v="298.31"/>
    <n v="298.31"/>
    <s v="Blockbuster"/>
    <s v=" Adventure"/>
    <x v="9"/>
  </r>
  <r>
    <s v="tt1000096"/>
    <s v="Kramer vs. Kramer"/>
    <n v="1998"/>
    <n v="1990"/>
    <x v="5"/>
    <n v="125"/>
    <s v="Long"/>
    <s v="An epic action tale directed by Wes Anderson."/>
    <s v="Wes Anderson"/>
    <s v="Jack Nicholson, Viola Davis, Johnny Depp, TimothÃ©e Chalamet, Robert De Niro"/>
    <n v="43818"/>
    <n v="298.31"/>
    <n v="298.31"/>
    <s v="Blockbuster"/>
    <s v=" Mystery"/>
    <x v="4"/>
  </r>
  <r>
    <s v="tt1000092"/>
    <s v="Terms of Endearment"/>
    <n v="1991"/>
    <n v="1990"/>
    <x v="5"/>
    <n v="123"/>
    <s v="Long"/>
    <s v="A critically acclaimed biography masterpiece."/>
    <s v="Ron Howard"/>
    <s v="Cate Blanchett, Viola Davis, Harrison Ford"/>
    <n v="66483"/>
    <m/>
    <n v="0"/>
    <s v="Average"/>
    <s v="Biography"/>
    <x v="5"/>
  </r>
  <r>
    <s v="tt1000552"/>
    <s v="Dark Mission 445"/>
    <n v="2013"/>
    <n v="2010"/>
    <x v="1"/>
    <n v="123"/>
    <s v="Long"/>
    <s v="A critically acclaimed animation masterpiece."/>
    <s v="Ron Howard"/>
    <s v="Brad Pitt, Anthony Hopkins, Matt Damon, Daniel Day-Lewis"/>
    <n v="13229"/>
    <n v="974.82"/>
    <n v="974.82"/>
    <s v="Blockbuster"/>
    <s v="Animation"/>
    <x v="3"/>
  </r>
  <r>
    <s v="tt1000380"/>
    <s v="A Empire 273"/>
    <n v="2013"/>
    <n v="2010"/>
    <x v="0"/>
    <n v="114"/>
    <s v="Medium"/>
    <s v="A thrilling documentary adventure."/>
    <s v="Christopher Nolan"/>
    <s v="Tom Cruise, Robert De Niro, Al Pacino, TimothÃ©e Chalamet, Margot Robbie"/>
    <n v="47806"/>
    <m/>
    <n v="0"/>
    <s v="Average"/>
    <s v="Documentary"/>
    <x v="13"/>
  </r>
  <r>
    <s v="tt1000380"/>
    <s v="A Empire 273"/>
    <n v="2013"/>
    <n v="2010"/>
    <x v="0"/>
    <n v="114"/>
    <s v="Medium"/>
    <s v="A thrilling documentary adventure."/>
    <s v="Christopher Nolan"/>
    <s v="Tom Cruise, Robert De Niro, Al Pacino, TimothÃ©e Chalamet, Margot Robbie"/>
    <n v="47806"/>
    <m/>
    <n v="0"/>
    <s v="Average"/>
    <s v=" Biography"/>
    <x v="5"/>
  </r>
  <r>
    <s v="tt1000380"/>
    <s v="A Empire 273"/>
    <n v="2013"/>
    <n v="2010"/>
    <x v="0"/>
    <n v="114"/>
    <s v="Medium"/>
    <s v="A thrilling documentary adventure."/>
    <s v="Christopher Nolan"/>
    <s v="Tom Cruise, Robert De Niro, Al Pacino, TimothÃ©e Chalamet, Margot Robbie"/>
    <n v="47806"/>
    <m/>
    <n v="0"/>
    <s v="Average"/>
    <s v=" Drama"/>
    <x v="14"/>
  </r>
  <r>
    <s v="tt1000542"/>
    <s v="A Quest 435"/>
    <n v="2011"/>
    <n v="2010"/>
    <x v="1"/>
    <n v="111"/>
    <s v="Medium"/>
    <s v="A crime film set in 2011."/>
    <s v="Ang Lee"/>
    <s v="Samuel L. Jackson, Matt Damon, Al Pacino, Johnny Depp"/>
    <n v="66289"/>
    <m/>
    <n v="0"/>
    <s v="Average"/>
    <s v="Crime"/>
    <x v="6"/>
  </r>
  <r>
    <s v="tt1000542"/>
    <s v="A Quest 435"/>
    <n v="2011"/>
    <n v="2010"/>
    <x v="1"/>
    <n v="111"/>
    <s v="Medium"/>
    <s v="A crime film set in 2011."/>
    <s v="Ang Lee"/>
    <s v="Samuel L. Jackson, Matt Damon, Al Pacino, Johnny Depp"/>
    <n v="66289"/>
    <m/>
    <n v="0"/>
    <s v="Average"/>
    <s v=" Action"/>
    <x v="0"/>
  </r>
  <r>
    <s v="tt1000542"/>
    <s v="A Quest 435"/>
    <n v="2011"/>
    <n v="2010"/>
    <x v="1"/>
    <n v="111"/>
    <s v="Medium"/>
    <s v="A crime film set in 2011."/>
    <s v="Ang Lee"/>
    <s v="Samuel L. Jackson, Matt Damon, Al Pacino, Johnny Depp"/>
    <n v="66289"/>
    <m/>
    <n v="0"/>
    <s v="Average"/>
    <s v=" Family"/>
    <x v="10"/>
  </r>
  <r>
    <s v="tt1000553"/>
    <s v="Final Mission 446"/>
    <n v="2007"/>
    <n v="2000"/>
    <x v="1"/>
    <n v="142"/>
    <s v="Long"/>
    <s v="A animation film set in 2007."/>
    <s v="David Fincher"/>
    <s v="Natalie Portman, Al Pacino, Tom Hanks, Edward Norton"/>
    <n v="50156"/>
    <n v="402.57"/>
    <n v="402.57"/>
    <s v="Blockbuster"/>
    <s v="Animation"/>
    <x v="3"/>
  </r>
  <r>
    <s v="tt1000553"/>
    <s v="Final Mission 446"/>
    <n v="2007"/>
    <n v="2000"/>
    <x v="1"/>
    <n v="142"/>
    <s v="Long"/>
    <s v="A animation film set in 2007."/>
    <s v="David Fincher"/>
    <s v="Natalie Portman, Al Pacino, Tom Hanks, Edward Norton"/>
    <n v="50156"/>
    <n v="402.57"/>
    <n v="402.57"/>
    <s v="Blockbuster"/>
    <s v=" Horror"/>
    <x v="12"/>
  </r>
  <r>
    <s v="tt1000132"/>
    <s v="A Dreams 25"/>
    <n v="1991"/>
    <n v="1990"/>
    <x v="2"/>
    <n v="85"/>
    <s v="Short"/>
    <s v="A sci-fi film set in 1991."/>
    <s v="Danny Boyle"/>
    <s v="Meryl Streep, Robert De Niro, Samuel L. Jackson, Margot Robbie"/>
    <n v="50422"/>
    <n v="259.45999999999998"/>
    <n v="259.45999999999998"/>
    <s v="Blockbuster"/>
    <s v="Sci-Fi"/>
    <x v="16"/>
  </r>
  <r>
    <s v="tt1000132"/>
    <s v="A Dreams 25"/>
    <n v="1991"/>
    <n v="1990"/>
    <x v="2"/>
    <n v="85"/>
    <s v="Short"/>
    <s v="A sci-fi film set in 1991."/>
    <s v="Danny Boyle"/>
    <s v="Meryl Streep, Robert De Niro, Samuel L. Jackson, Margot Robbie"/>
    <n v="50422"/>
    <n v="259.45999999999998"/>
    <n v="259.45999999999998"/>
    <s v="Blockbuster"/>
    <s v=" Musical"/>
    <x v="1"/>
  </r>
  <r>
    <s v="tt1000132"/>
    <s v="A Dreams 25"/>
    <n v="1991"/>
    <n v="1990"/>
    <x v="2"/>
    <n v="85"/>
    <s v="Short"/>
    <s v="A sci-fi film set in 1991."/>
    <s v="Danny Boyle"/>
    <s v="Meryl Streep, Robert De Niro, Samuel L. Jackson, Margot Robbie"/>
    <n v="50422"/>
    <n v="259.45999999999998"/>
    <n v="259.45999999999998"/>
    <s v="Blockbuster"/>
    <s v=" Documentary"/>
    <x v="13"/>
  </r>
  <r>
    <s v="tt1000586"/>
    <s v="An Mission 479"/>
    <n v="2000"/>
    <n v="2000"/>
    <x v="1"/>
    <n v="152"/>
    <s v="Long"/>
    <s v="A documentary film set in 2000."/>
    <s v="Peter Jackson"/>
    <s v="Cate Blanchett, Edward Norton, Al Pacino, Robert Downey Jr., Scarlett Johansson"/>
    <n v="700778"/>
    <n v="45.63"/>
    <n v="45.63"/>
    <s v="Average"/>
    <s v="Documentary"/>
    <x v="13"/>
  </r>
  <r>
    <s v="tt1000586"/>
    <s v="An Mission 479"/>
    <n v="2000"/>
    <n v="2000"/>
    <x v="1"/>
    <n v="152"/>
    <s v="Long"/>
    <s v="A documentary film set in 2000."/>
    <s v="Peter Jackson"/>
    <s v="Cate Blanchett, Edward Norton, Al Pacino, Robert Downey Jr., Scarlett Johansson"/>
    <n v="700778"/>
    <n v="45.63"/>
    <n v="45.63"/>
    <s v="Average"/>
    <s v=" Sci-Fi"/>
    <x v="16"/>
  </r>
  <r>
    <s v="tt1000586"/>
    <s v="An Mission 479"/>
    <n v="2000"/>
    <n v="2000"/>
    <x v="1"/>
    <n v="152"/>
    <s v="Long"/>
    <s v="A documentary film set in 2000."/>
    <s v="Peter Jackson"/>
    <s v="Cate Blanchett, Edward Norton, Al Pacino, Robert Downey Jr., Scarlett Johansson"/>
    <n v="700778"/>
    <n v="45.63"/>
    <n v="45.63"/>
    <s v="Average"/>
    <s v=" Comedy"/>
    <x v="15"/>
  </r>
  <r>
    <s v="tt1000320"/>
    <s v="Final Chronicles 213"/>
    <n v="2008"/>
    <n v="2000"/>
    <x v="1"/>
    <n v="132"/>
    <s v="Long"/>
    <s v="An epic adventure tale directed by Coen Brothers."/>
    <s v="Coen Brothers"/>
    <s v="Robert De Niro, Jack Nicholson, Leonardo DiCaprio, Tom Cruise, Natalie Portman"/>
    <n v="80400"/>
    <m/>
    <n v="0"/>
    <s v="Average"/>
    <s v="Adventure"/>
    <x v="9"/>
  </r>
  <r>
    <s v="tt1000320"/>
    <s v="Final Chronicles 213"/>
    <n v="2008"/>
    <n v="2000"/>
    <x v="1"/>
    <n v="132"/>
    <s v="Long"/>
    <s v="An epic adventure tale directed by Coen Brothers."/>
    <s v="Coen Brothers"/>
    <s v="Robert De Niro, Jack Nicholson, Leonardo DiCaprio, Tom Cruise, Natalie Portman"/>
    <n v="80400"/>
    <m/>
    <n v="0"/>
    <s v="Average"/>
    <s v=" Documentary"/>
    <x v="13"/>
  </r>
  <r>
    <s v="tt1000015"/>
    <s v="Parasite"/>
    <n v="1970"/>
    <n v="1970"/>
    <x v="0"/>
    <n v="105"/>
    <s v="Medium"/>
    <s v="An epic fantasy tale directed by Spike Lee."/>
    <s v="Spike Lee"/>
    <s v="Chris Hemsworth, Leonardo DiCaprio, Samuel L. Jackson, Florence Pugh"/>
    <n v="175405"/>
    <n v="78.17"/>
    <n v="78.17"/>
    <s v="Average"/>
    <s v="Fantasy"/>
    <x v="8"/>
  </r>
  <r>
    <s v="tt1000009"/>
    <s v="The Matrix"/>
    <n v="1949"/>
    <n v="1940"/>
    <x v="1"/>
    <n v="127"/>
    <s v="Long"/>
    <s v="A critically acclaimed biography masterpiece."/>
    <s v="Pedro AlmodÃ³var"/>
    <s v="Cate Blanchett, Harrison Ford, Will Smith"/>
    <n v="23193"/>
    <n v="89.85"/>
    <n v="89.85"/>
    <s v="Average"/>
    <s v="Biography"/>
    <x v="5"/>
  </r>
  <r>
    <s v="tt1000009"/>
    <s v="The Matrix"/>
    <n v="1949"/>
    <n v="1940"/>
    <x v="1"/>
    <n v="127"/>
    <s v="Long"/>
    <s v="A critically acclaimed biography masterpiece."/>
    <s v="Pedro AlmodÃ³var"/>
    <s v="Cate Blanchett, Harrison Ford, Will Smith"/>
    <n v="23193"/>
    <n v="89.85"/>
    <n v="89.85"/>
    <s v="Average"/>
    <s v=" Western"/>
    <x v="11"/>
  </r>
  <r>
    <s v="tt1000956"/>
    <s v="Secret Love 849"/>
    <n v="2016"/>
    <n v="2010"/>
    <x v="1"/>
    <n v="130"/>
    <s v="Long"/>
    <s v="An epic drama tale directed by Taika Waititi."/>
    <s v="Taika Waititi"/>
    <s v="Mark Ruffalo, Keanu Reeves, Tom Cruise"/>
    <n v="23018"/>
    <n v="823.99"/>
    <n v="823.99"/>
    <s v="Blockbuster"/>
    <s v="Drama"/>
    <x v="14"/>
  </r>
  <r>
    <s v="tt1000956"/>
    <s v="Secret Love 849"/>
    <n v="2016"/>
    <n v="2010"/>
    <x v="1"/>
    <n v="130"/>
    <s v="Long"/>
    <s v="An epic drama tale directed by Taika Waititi."/>
    <s v="Taika Waititi"/>
    <s v="Mark Ruffalo, Keanu Reeves, Tom Cruise"/>
    <n v="23018"/>
    <n v="823.99"/>
    <n v="823.99"/>
    <s v="Blockbuster"/>
    <s v=" Fantasy"/>
    <x v="8"/>
  </r>
  <r>
    <s v="tt1000951"/>
    <s v="An Love 844"/>
    <n v="2003"/>
    <n v="2000"/>
    <x v="2"/>
    <n v="124"/>
    <s v="Long"/>
    <s v="A thrilling documentary adventure."/>
    <s v="Robert Zemeckis"/>
    <s v="Leonardo DiCaprio, Samuel L. Jackson, Matt Damon, Mark Ruffalo, Amy Adams"/>
    <n v="27728"/>
    <m/>
    <n v="0"/>
    <s v="Average"/>
    <s v="Documentary"/>
    <x v="13"/>
  </r>
  <r>
    <s v="tt1000045"/>
    <s v="Get Out"/>
    <n v="1960"/>
    <n v="1960"/>
    <x v="0"/>
    <n v="150"/>
    <s v="Long"/>
    <s v="A fantasy film set in 1960."/>
    <s v="Sam Mendes"/>
    <s v="Morgan Freeman, Cate Blanchett, Harrison Ford, Matt Damon"/>
    <n v="22160"/>
    <n v="210.01"/>
    <n v="210.01"/>
    <s v="Blockbuster"/>
    <s v="Fantasy"/>
    <x v="8"/>
  </r>
  <r>
    <s v="tt1000045"/>
    <s v="Get Out"/>
    <n v="1960"/>
    <n v="1960"/>
    <x v="0"/>
    <n v="150"/>
    <s v="Long"/>
    <s v="A fantasy film set in 1960."/>
    <s v="Sam Mendes"/>
    <s v="Morgan Freeman, Cate Blanchett, Harrison Ford, Matt Damon"/>
    <n v="22160"/>
    <n v="210.01"/>
    <n v="210.01"/>
    <s v="Blockbuster"/>
    <s v=" Mystery"/>
    <x v="4"/>
  </r>
  <r>
    <s v="tt1000863"/>
    <s v="A Journey 756"/>
    <n v="2008"/>
    <n v="2000"/>
    <x v="2"/>
    <n v="118"/>
    <s v="Medium"/>
    <s v="A thrilling family adventure."/>
    <s v="Clint Eastwood"/>
    <s v="Emma Stone, Mark Ruffalo, Will Smith, Keanu Reeves"/>
    <n v="30153"/>
    <n v="133.74"/>
    <n v="133.74"/>
    <s v="Hit"/>
    <s v="Family"/>
    <x v="10"/>
  </r>
  <r>
    <s v="tt1000863"/>
    <s v="A Journey 756"/>
    <n v="2008"/>
    <n v="2000"/>
    <x v="2"/>
    <n v="118"/>
    <s v="Medium"/>
    <s v="A thrilling family adventure."/>
    <s v="Clint Eastwood"/>
    <s v="Emma Stone, Mark Ruffalo, Will Smith, Keanu Reeves"/>
    <n v="30153"/>
    <n v="133.74"/>
    <n v="133.74"/>
    <s v="Hit"/>
    <s v=" Animation"/>
    <x v="3"/>
  </r>
  <r>
    <s v="tt1000863"/>
    <s v="A Journey 756"/>
    <n v="2008"/>
    <n v="2000"/>
    <x v="2"/>
    <n v="118"/>
    <s v="Medium"/>
    <s v="A thrilling family adventure."/>
    <s v="Clint Eastwood"/>
    <s v="Emma Stone, Mark Ruffalo, Will Smith, Keanu Reeves"/>
    <n v="30153"/>
    <n v="133.74"/>
    <n v="133.74"/>
    <s v="Hit"/>
    <s v=" Drama"/>
    <x v="14"/>
  </r>
  <r>
    <s v="tt1000054"/>
    <s v="Spider-Man: No Way Home"/>
    <n v="1989"/>
    <n v="1980"/>
    <x v="2"/>
    <n v="143"/>
    <s v="Long"/>
    <s v="A thrilling sci-fi adventure."/>
    <s v="Greta Gerwig"/>
    <s v="Matt Damon, Florence Pugh, Johnny Depp"/>
    <n v="152395"/>
    <m/>
    <n v="0"/>
    <s v="Average"/>
    <s v="Sci-Fi"/>
    <x v="16"/>
  </r>
  <r>
    <s v="tt1000054"/>
    <s v="Spider-Man: No Way Home"/>
    <n v="1989"/>
    <n v="1980"/>
    <x v="2"/>
    <n v="143"/>
    <s v="Long"/>
    <s v="A thrilling sci-fi adventure."/>
    <s v="Greta Gerwig"/>
    <s v="Matt Damon, Florence Pugh, Johnny Depp"/>
    <n v="152395"/>
    <m/>
    <n v="0"/>
    <s v="Average"/>
    <s v=" Mystery"/>
    <x v="4"/>
  </r>
  <r>
    <s v="tt1000056"/>
    <s v="The Batman"/>
    <n v="1995"/>
    <n v="1990"/>
    <x v="1"/>
    <n v="115"/>
    <s v="Medium"/>
    <s v="An epic documentary tale directed by Danny Boyle."/>
    <s v="Danny Boyle"/>
    <s v="Kate Winslet, Viola Davis, Christian Bale, Al Pacino, Tom Hanks"/>
    <n v="15767"/>
    <n v="245.49"/>
    <n v="245.49"/>
    <s v="Blockbuster"/>
    <s v="Documentary"/>
    <x v="13"/>
  </r>
  <r>
    <s v="tt1000056"/>
    <s v="The Batman"/>
    <n v="1995"/>
    <n v="1990"/>
    <x v="1"/>
    <n v="115"/>
    <s v="Medium"/>
    <s v="An epic documentary tale directed by Danny Boyle."/>
    <s v="Danny Boyle"/>
    <s v="Kate Winslet, Viola Davis, Christian Bale, Al Pacino, Tom Hanks"/>
    <n v="15767"/>
    <n v="245.49"/>
    <n v="245.49"/>
    <s v="Blockbuster"/>
    <s v=" Musical"/>
    <x v="1"/>
  </r>
  <r>
    <s v="tt1000056"/>
    <s v="The Batman"/>
    <n v="1995"/>
    <n v="1990"/>
    <x v="1"/>
    <n v="115"/>
    <s v="Medium"/>
    <s v="An epic documentary tale directed by Danny Boyle."/>
    <s v="Danny Boyle"/>
    <s v="Kate Winslet, Viola Davis, Christian Bale, Al Pacino, Tom Hanks"/>
    <n v="15767"/>
    <n v="245.49"/>
    <n v="245.49"/>
    <s v="Blockbuster"/>
    <s v=" War"/>
    <x v="2"/>
  </r>
  <r>
    <s v="tt1000060"/>
    <s v="Wonder Woman"/>
    <n v="1990"/>
    <n v="1990"/>
    <x v="4"/>
    <n v="132"/>
    <s v="Long"/>
    <s v="An epic horror tale directed by Hayao Miyazaki."/>
    <s v="Hayao Miyazaki"/>
    <s v="Jack Nicholson, Brad Pitt, Gary Oldman, Denzel Washington, Will Smith"/>
    <n v="12011"/>
    <m/>
    <n v="0"/>
    <s v="Average"/>
    <s v="Horror"/>
    <x v="12"/>
  </r>
  <r>
    <s v="tt1000082"/>
    <s v="Schindler's List"/>
    <n v="1982"/>
    <n v="1980"/>
    <x v="2"/>
    <n v="110"/>
    <s v="Medium"/>
    <s v="A sci-fi film set in 1982."/>
    <s v="Jordan Peele"/>
    <s v="Margot Robbie, Kate Winslet, Will Smith, Scarlett Johansson"/>
    <n v="507552"/>
    <n v="23.37"/>
    <n v="23.37"/>
    <s v="Average"/>
    <s v="Sci-Fi"/>
    <x v="16"/>
  </r>
  <r>
    <s v="tt1000082"/>
    <s v="Schindler's List"/>
    <n v="1982"/>
    <n v="1980"/>
    <x v="2"/>
    <n v="110"/>
    <s v="Medium"/>
    <s v="A sci-fi film set in 1982."/>
    <s v="Jordan Peele"/>
    <s v="Margot Robbie, Kate Winslet, Will Smith, Scarlett Johansson"/>
    <n v="507552"/>
    <n v="23.37"/>
    <n v="23.37"/>
    <s v="Average"/>
    <s v=" Fantasy"/>
    <x v="8"/>
  </r>
  <r>
    <s v="tt1000226"/>
    <s v="Final Journey 119"/>
    <n v="2020"/>
    <n v="2020"/>
    <x v="2"/>
    <n v="138"/>
    <s v="Long"/>
    <s v="A thrilling drama adventure."/>
    <s v="Sam Mendes"/>
    <s v="Brad Pitt, Al Pacino, Anthony Hopkins, Tom Cruise, Scarlett Johansson"/>
    <n v="176752"/>
    <n v="417.81"/>
    <n v="417.81"/>
    <s v="Blockbuster"/>
    <s v="Drama"/>
    <x v="14"/>
  </r>
  <r>
    <s v="tt1000226"/>
    <s v="Final Journey 119"/>
    <n v="2020"/>
    <n v="2020"/>
    <x v="2"/>
    <n v="138"/>
    <s v="Long"/>
    <s v="A thrilling drama adventure."/>
    <s v="Sam Mendes"/>
    <s v="Brad Pitt, Al Pacino, Anthony Hopkins, Tom Cruise, Scarlett Johansson"/>
    <n v="176752"/>
    <n v="417.81"/>
    <n v="417.81"/>
    <s v="Blockbuster"/>
    <s v=" Horror"/>
    <x v="12"/>
  </r>
  <r>
    <s v="tt1000226"/>
    <s v="Final Journey 119"/>
    <n v="2020"/>
    <n v="2020"/>
    <x v="2"/>
    <n v="138"/>
    <s v="Long"/>
    <s v="A thrilling drama adventure."/>
    <s v="Sam Mendes"/>
    <s v="Brad Pitt, Al Pacino, Anthony Hopkins, Tom Cruise, Scarlett Johansson"/>
    <n v="176752"/>
    <n v="417.81"/>
    <n v="417.81"/>
    <s v="Blockbuster"/>
    <s v=" Fantasy"/>
    <x v="8"/>
  </r>
  <r>
    <s v="tt1000223"/>
    <s v="Last Revolution 116"/>
    <n v="2022"/>
    <n v="2020"/>
    <x v="0"/>
    <n v="141"/>
    <s v="Long"/>
    <s v="An epic drama tale directed by Spike Lee."/>
    <s v="Spike Lee"/>
    <s v="Florence Pugh, Jack Nicholson, Tom Hanks, Robert Downey Jr., Anthony Hopkins"/>
    <n v="2670"/>
    <n v="100.43"/>
    <n v="100.43"/>
    <s v="Hit"/>
    <s v="Drama"/>
    <x v="14"/>
  </r>
  <r>
    <s v="tt1000223"/>
    <s v="Last Revolution 116"/>
    <n v="2022"/>
    <n v="2020"/>
    <x v="0"/>
    <n v="141"/>
    <s v="Long"/>
    <s v="An epic drama tale directed by Spike Lee."/>
    <s v="Spike Lee"/>
    <s v="Florence Pugh, Jack Nicholson, Tom Hanks, Robert Downey Jr., Anthony Hopkins"/>
    <n v="2670"/>
    <n v="100.43"/>
    <n v="100.43"/>
    <s v="Hit"/>
    <s v=" Comedy"/>
    <x v="15"/>
  </r>
  <r>
    <s v="tt1000615"/>
    <s v="Lost Chronicles 508"/>
    <n v="2012"/>
    <n v="2010"/>
    <x v="2"/>
    <n v="99"/>
    <s v="Medium"/>
    <s v="A critically acclaimed action masterpiece."/>
    <s v="Denis Villeneuve"/>
    <s v="Edward Norton, Harrison Ford, Denzel Washington, Chris Hemsworth, Meryl Streep"/>
    <n v="16329"/>
    <n v="869.63"/>
    <n v="869.63"/>
    <s v="Blockbuster"/>
    <s v="Action"/>
    <x v="0"/>
  </r>
  <r>
    <s v="tt1000615"/>
    <s v="Lost Chronicles 508"/>
    <n v="2012"/>
    <n v="2010"/>
    <x v="2"/>
    <n v="99"/>
    <s v="Medium"/>
    <s v="A critically acclaimed action masterpiece."/>
    <s v="Denis Villeneuve"/>
    <s v="Edward Norton, Harrison Ford, Denzel Washington, Chris Hemsworth, Meryl Streep"/>
    <n v="16329"/>
    <n v="869.63"/>
    <n v="869.63"/>
    <s v="Blockbuster"/>
    <s v=" Fantasy"/>
    <x v="8"/>
  </r>
  <r>
    <s v="tt1000034"/>
    <s v="Jurassic Park"/>
    <n v="1957"/>
    <n v="1950"/>
    <x v="2"/>
    <n v="113"/>
    <s v="Medium"/>
    <s v="A critically acclaimed war masterpiece."/>
    <s v="Alfred Hitchcock"/>
    <s v="Johnny Depp, Jennifer Lawrence, Cate Blanchett, Tom Cruise, Samuel L. Jackson"/>
    <n v="28204"/>
    <n v="89.57"/>
    <n v="89.57"/>
    <s v="Average"/>
    <s v="War"/>
    <x v="2"/>
  </r>
  <r>
    <s v="tt1000034"/>
    <s v="Jurassic Park"/>
    <n v="1957"/>
    <n v="1950"/>
    <x v="2"/>
    <n v="113"/>
    <s v="Medium"/>
    <s v="A critically acclaimed war masterpiece."/>
    <s v="Alfred Hitchcock"/>
    <s v="Johnny Depp, Jennifer Lawrence, Cate Blanchett, Tom Cruise, Samuel L. Jackson"/>
    <n v="28204"/>
    <n v="89.57"/>
    <n v="89.57"/>
    <s v="Average"/>
    <s v=" Adventure"/>
    <x v="9"/>
  </r>
  <r>
    <s v="tt1000983"/>
    <s v="The Quest 876"/>
    <n v="2010"/>
    <n v="2010"/>
    <x v="2"/>
    <n v="87"/>
    <s v="Short"/>
    <s v="An epic animation tale directed by Frank Darabont."/>
    <s v="Frank Darabont"/>
    <s v="Emma Stone, Leonardo DiCaprio, Natalie Portman"/>
    <n v="192165"/>
    <n v="466"/>
    <n v="466"/>
    <s v="Blockbuster"/>
    <s v="Animation"/>
    <x v="3"/>
  </r>
  <r>
    <s v="tt1000017"/>
    <s v="The Departed"/>
    <n v="1978"/>
    <n v="1970"/>
    <x v="1"/>
    <n v="112"/>
    <s v="Medium"/>
    <s v="A family film set in 1978."/>
    <s v="Stanley Kubrick"/>
    <s v="Kate Winslet, Tom Cruise, Florence Pugh, Robert De Niro, Morgan Freeman"/>
    <n v="89920"/>
    <n v="212.07"/>
    <n v="212.07"/>
    <s v="Blockbuster"/>
    <s v="Family"/>
    <x v="10"/>
  </r>
  <r>
    <s v="tt1000017"/>
    <s v="The Departed"/>
    <n v="1978"/>
    <n v="1970"/>
    <x v="1"/>
    <n v="112"/>
    <s v="Medium"/>
    <s v="A family film set in 1978."/>
    <s v="Stanley Kubrick"/>
    <s v="Kate Winslet, Tom Cruise, Florence Pugh, Robert De Niro, Morgan Freeman"/>
    <n v="89920"/>
    <n v="212.07"/>
    <n v="212.07"/>
    <s v="Blockbuster"/>
    <s v=" Crime"/>
    <x v="6"/>
  </r>
  <r>
    <s v="tt1000017"/>
    <s v="The Departed"/>
    <n v="1978"/>
    <n v="1970"/>
    <x v="1"/>
    <n v="112"/>
    <s v="Medium"/>
    <s v="A family film set in 1978."/>
    <s v="Stanley Kubrick"/>
    <s v="Kate Winslet, Tom Cruise, Florence Pugh, Robert De Niro, Morgan Freeman"/>
    <n v="89920"/>
    <n v="212.07"/>
    <n v="212.07"/>
    <s v="Blockbuster"/>
    <s v=" Fantasy"/>
    <x v="8"/>
  </r>
  <r>
    <s v="tt1000139"/>
    <s v="Dark Quest 32"/>
    <n v="1986"/>
    <n v="1980"/>
    <x v="3"/>
    <n v="122"/>
    <s v="Long"/>
    <s v="A war film set in 1986."/>
    <s v="James Cameron"/>
    <s v="Emma Stone, Keanu Reeves, Brad Pitt, Viola Davis"/>
    <n v="39753"/>
    <m/>
    <n v="0"/>
    <s v="Average"/>
    <s v="War"/>
    <x v="2"/>
  </r>
  <r>
    <s v="tt1000549"/>
    <s v="Secret War 442"/>
    <n v="2019"/>
    <n v="2010"/>
    <x v="2"/>
    <n v="139"/>
    <s v="Long"/>
    <s v="A thrilling family adventure."/>
    <s v="Wong Kar-wai"/>
    <s v="Meryl Streep, Robert Downey Jr., Gary Oldman, Natalie Portman, Scarlett Johansson"/>
    <n v="2500000"/>
    <m/>
    <n v="0"/>
    <s v="Average"/>
    <s v="Family"/>
    <x v="10"/>
  </r>
  <r>
    <s v="tt1000131"/>
    <s v="Secret Adventures 24"/>
    <n v="1995"/>
    <n v="1990"/>
    <x v="2"/>
    <n v="156"/>
    <s v="Long"/>
    <s v="A thrilling adventure adventure."/>
    <s v="Quentin Tarantino"/>
    <s v="Jack Nicholson, Gary Oldman, Amy Adams"/>
    <n v="29620"/>
    <m/>
    <n v="0"/>
    <s v="Average"/>
    <s v="Adventure"/>
    <x v="9"/>
  </r>
  <r>
    <s v="tt1000131"/>
    <s v="Secret Adventures 24"/>
    <n v="1995"/>
    <n v="1990"/>
    <x v="2"/>
    <n v="156"/>
    <s v="Long"/>
    <s v="A thrilling adventure adventure."/>
    <s v="Quentin Tarantino"/>
    <s v="Jack Nicholson, Gary Oldman, Amy Adams"/>
    <n v="29620"/>
    <m/>
    <n v="0"/>
    <s v="Average"/>
    <s v=" Thriller"/>
    <x v="17"/>
  </r>
  <r>
    <s v="tt1000516"/>
    <s v="Secret Quest 409"/>
    <n v="2012"/>
    <n v="2010"/>
    <x v="0"/>
    <n v="135"/>
    <s v="Long"/>
    <s v="An epic drama tale directed by Steven Spielberg."/>
    <s v="Steven Spielberg"/>
    <s v="Leonardo DiCaprio, Meryl Streep, Brad Pitt"/>
    <n v="51522"/>
    <n v="550.44000000000005"/>
    <n v="550.44000000000005"/>
    <s v="Blockbuster"/>
    <s v="Drama"/>
    <x v="14"/>
  </r>
  <r>
    <s v="tt1000516"/>
    <s v="Secret Quest 409"/>
    <n v="2012"/>
    <n v="2010"/>
    <x v="0"/>
    <n v="135"/>
    <s v="Long"/>
    <s v="An epic drama tale directed by Steven Spielberg."/>
    <s v="Steven Spielberg"/>
    <s v="Leonardo DiCaprio, Meryl Streep, Brad Pitt"/>
    <n v="51522"/>
    <n v="550.44000000000005"/>
    <n v="550.44000000000005"/>
    <s v="Blockbuster"/>
    <s v=" Thriller"/>
    <x v="17"/>
  </r>
  <r>
    <s v="tt1000496"/>
    <s v="Final Quest 389"/>
    <n v="2000"/>
    <n v="2000"/>
    <x v="0"/>
    <n v="89"/>
    <s v="Short"/>
    <s v="A thrilling drama adventure."/>
    <s v="Bong Joon-ho"/>
    <s v="Tom Cruise, Keanu Reeves, Johnny Depp"/>
    <n v="26165"/>
    <n v="218.12"/>
    <n v="218.12"/>
    <s v="Blockbuster"/>
    <s v="Drama"/>
    <x v="14"/>
  </r>
  <r>
    <s v="tt1000496"/>
    <s v="Final Quest 389"/>
    <n v="2000"/>
    <n v="2000"/>
    <x v="0"/>
    <n v="89"/>
    <s v="Short"/>
    <s v="A thrilling drama adventure."/>
    <s v="Bong Joon-ho"/>
    <s v="Tom Cruise, Keanu Reeves, Johnny Depp"/>
    <n v="26165"/>
    <n v="218.12"/>
    <n v="218.12"/>
    <s v="Blockbuster"/>
    <s v=" Thriller"/>
    <x v="17"/>
  </r>
  <r>
    <s v="tt1000480"/>
    <s v="An Mystery 373"/>
    <n v="2005"/>
    <n v="2000"/>
    <x v="2"/>
    <n v="133"/>
    <s v="Long"/>
    <s v="A thrilling romance adventure."/>
    <s v="Francis Ford Coppola"/>
    <s v="Harrison Ford, Matt Damon, Daniel Day-Lewis, Tom Hanks, Mark Ruffalo"/>
    <n v="78553"/>
    <n v="499.98"/>
    <n v="499.98"/>
    <s v="Blockbuster"/>
    <s v="Romance"/>
    <x v="7"/>
  </r>
  <r>
    <s v="tt1000480"/>
    <s v="An Mystery 373"/>
    <n v="2005"/>
    <n v="2000"/>
    <x v="2"/>
    <n v="133"/>
    <s v="Long"/>
    <s v="A thrilling romance adventure."/>
    <s v="Francis Ford Coppola"/>
    <s v="Harrison Ford, Matt Damon, Daniel Day-Lewis, Tom Hanks, Mark Ruffalo"/>
    <n v="78553"/>
    <n v="499.98"/>
    <n v="499.98"/>
    <s v="Blockbuster"/>
    <s v=" Sci-Fi"/>
    <x v="16"/>
  </r>
  <r>
    <s v="tt1000467"/>
    <s v="Last Mystery 360"/>
    <n v="2002"/>
    <n v="2000"/>
    <x v="1"/>
    <n v="130"/>
    <s v="Long"/>
    <s v="A western film set in 2002."/>
    <s v="James Cameron"/>
    <s v="Harrison Ford, Jennifer Lawrence, Natalie Portman, Christian Bale"/>
    <n v="176033"/>
    <n v="339.8"/>
    <n v="339.8"/>
    <s v="Blockbuster"/>
    <s v="Western"/>
    <x v="11"/>
  </r>
  <r>
    <s v="tt1000467"/>
    <s v="Last Mystery 360"/>
    <n v="2002"/>
    <n v="2000"/>
    <x v="1"/>
    <n v="130"/>
    <s v="Long"/>
    <s v="A western film set in 2002."/>
    <s v="James Cameron"/>
    <s v="Harrison Ford, Jennifer Lawrence, Natalie Portman, Christian Bale"/>
    <n v="176033"/>
    <n v="339.8"/>
    <n v="339.8"/>
    <s v="Blockbuster"/>
    <s v=" Adventure"/>
    <x v="9"/>
  </r>
  <r>
    <s v="tt1000352"/>
    <s v="Dark Quest 245"/>
    <n v="2007"/>
    <n v="2000"/>
    <x v="3"/>
    <n v="119"/>
    <s v="Medium"/>
    <s v="A critically acclaimed western masterpiece."/>
    <s v="Ridley Scott"/>
    <s v="Daniel Day-Lewis, Natalie Portman, Anthony Hopkins, Edward Norton"/>
    <n v="135320"/>
    <n v="454.59"/>
    <n v="454.59"/>
    <s v="Blockbuster"/>
    <s v="Western"/>
    <x v="11"/>
  </r>
  <r>
    <s v="tt1000352"/>
    <s v="Dark Quest 245"/>
    <n v="2007"/>
    <n v="2000"/>
    <x v="3"/>
    <n v="119"/>
    <s v="Medium"/>
    <s v="A critically acclaimed western masterpiece."/>
    <s v="Ridley Scott"/>
    <s v="Daniel Day-Lewis, Natalie Portman, Anthony Hopkins, Edward Norton"/>
    <n v="135320"/>
    <n v="454.59"/>
    <n v="454.59"/>
    <s v="Blockbuster"/>
    <s v=" Comedy"/>
    <x v="15"/>
  </r>
  <r>
    <s v="tt1000284"/>
    <s v="An Mission 177"/>
    <n v="2004"/>
    <n v="2000"/>
    <x v="0"/>
    <n v="107"/>
    <s v="Medium"/>
    <s v="A thrilling biography adventure."/>
    <s v="Wong Kar-wai"/>
    <s v="Meryl Streep, Brad Pitt, Jack Nicholson"/>
    <n v="504214"/>
    <m/>
    <n v="0"/>
    <s v="Average"/>
    <s v="Biography"/>
    <x v="5"/>
  </r>
  <r>
    <s v="tt1000269"/>
    <s v="Lost Dreams 162"/>
    <n v="2024"/>
    <n v="2020"/>
    <x v="0"/>
    <n v="110"/>
    <s v="Medium"/>
    <s v="A critically acclaimed western masterpiece."/>
    <s v="Greta Gerwig"/>
    <s v="Harrison Ford, Scarlett Johansson, Anthony Hopkins, Amy Adams"/>
    <n v="15647"/>
    <m/>
    <n v="0"/>
    <s v="Average"/>
    <s v="Western"/>
    <x v="11"/>
  </r>
  <r>
    <s v="tt1000650"/>
    <s v="A Kingdom 543"/>
    <n v="2023"/>
    <n v="2020"/>
    <x v="2"/>
    <n v="84"/>
    <s v="Short"/>
    <s v="A thriller film set in 2023."/>
    <s v="Steven Spielberg"/>
    <s v="Scarlett Johansson, Kate Winslet, Florence Pugh, Amy Adams"/>
    <n v="15388"/>
    <n v="404.1"/>
    <n v="404.1"/>
    <s v="Blockbuster"/>
    <s v="Thriller"/>
    <x v="17"/>
  </r>
  <r>
    <s v="tt1000650"/>
    <s v="A Kingdom 543"/>
    <n v="2023"/>
    <n v="2020"/>
    <x v="2"/>
    <n v="84"/>
    <s v="Short"/>
    <s v="A thriller film set in 2023."/>
    <s v="Steven Spielberg"/>
    <s v="Scarlett Johansson, Kate Winslet, Florence Pugh, Amy Adams"/>
    <n v="15388"/>
    <n v="404.1"/>
    <n v="404.1"/>
    <s v="Blockbuster"/>
    <s v=" Western"/>
    <x v="11"/>
  </r>
  <r>
    <s v="tt1000299"/>
    <s v="Secret Awakening 192"/>
    <n v="2021"/>
    <n v="2020"/>
    <x v="2"/>
    <n v="122"/>
    <s v="Long"/>
    <s v="A critically acclaimed western masterpiece."/>
    <s v="Park Chan-wook"/>
    <s v="Al Pacino, Daniel Day-Lewis, Matt Damon"/>
    <n v="17581"/>
    <m/>
    <n v="0"/>
    <s v="Average"/>
    <s v="Western"/>
    <x v="11"/>
  </r>
  <r>
    <s v="tt1000299"/>
    <s v="Secret Awakening 192"/>
    <n v="2021"/>
    <n v="2020"/>
    <x v="2"/>
    <n v="122"/>
    <s v="Long"/>
    <s v="A critically acclaimed western masterpiece."/>
    <s v="Park Chan-wook"/>
    <s v="Al Pacino, Daniel Day-Lewis, Matt Damon"/>
    <n v="17581"/>
    <m/>
    <n v="0"/>
    <s v="Average"/>
    <s v=" Biography"/>
    <x v="5"/>
  </r>
  <r>
    <s v="tt1000299"/>
    <s v="Secret Awakening 192"/>
    <n v="2021"/>
    <n v="2020"/>
    <x v="2"/>
    <n v="122"/>
    <s v="Long"/>
    <s v="A critically acclaimed western masterpiece."/>
    <s v="Park Chan-wook"/>
    <s v="Al Pacino, Daniel Day-Lewis, Matt Damon"/>
    <n v="17581"/>
    <m/>
    <n v="0"/>
    <s v="Average"/>
    <s v=" Comedy"/>
    <x v="15"/>
  </r>
  <r>
    <s v="tt1000079"/>
    <s v="The English Patient"/>
    <n v="1989"/>
    <n v="1980"/>
    <x v="0"/>
    <n v="123"/>
    <s v="Long"/>
    <s v="A biography film set in 1989."/>
    <s v="Akira Kurosawa"/>
    <s v="Harrison Ford, Jennifer Lawrence, Johnny Depp"/>
    <n v="129033"/>
    <m/>
    <n v="0"/>
    <s v="Average"/>
    <s v="Biography"/>
    <x v="5"/>
  </r>
  <r>
    <s v="tt1000690"/>
    <s v="Dark Empire 583"/>
    <n v="2008"/>
    <n v="2000"/>
    <x v="4"/>
    <n v="139"/>
    <s v="Long"/>
    <s v="A comedy film set in 2008."/>
    <s v="Bong Joon-ho"/>
    <s v="Samuel L. Jackson, Chris Hemsworth, Keanu Reeves, Harrison Ford, Jennifer Lawrence"/>
    <n v="68390"/>
    <m/>
    <n v="0"/>
    <s v="Average"/>
    <s v="Comedy"/>
    <x v="15"/>
  </r>
  <r>
    <s v="tt1000690"/>
    <s v="Dark Empire 583"/>
    <n v="2008"/>
    <n v="2000"/>
    <x v="4"/>
    <n v="139"/>
    <s v="Long"/>
    <s v="A comedy film set in 2008."/>
    <s v="Bong Joon-ho"/>
    <s v="Samuel L. Jackson, Chris Hemsworth, Keanu Reeves, Harrison Ford, Jennifer Lawrence"/>
    <n v="68390"/>
    <m/>
    <n v="0"/>
    <s v="Average"/>
    <s v=" War"/>
    <x v="2"/>
  </r>
  <r>
    <s v="tt1000692"/>
    <s v="Final Empire 585"/>
    <n v="2013"/>
    <n v="2010"/>
    <x v="2"/>
    <n v="132"/>
    <s v="Long"/>
    <s v="A thrilling mystery adventure."/>
    <s v="Steven Spielberg"/>
    <s v="Margot Robbie, Scarlett Johansson, Robert De Niro, Robert Downey Jr., Emma Stone"/>
    <n v="48573"/>
    <n v="311.02999999999997"/>
    <n v="311.02999999999997"/>
    <s v="Blockbuster"/>
    <s v="Mystery"/>
    <x v="4"/>
  </r>
  <r>
    <s v="tt1000692"/>
    <s v="Final Empire 585"/>
    <n v="2013"/>
    <n v="2010"/>
    <x v="2"/>
    <n v="132"/>
    <s v="Long"/>
    <s v="A thrilling mystery adventure."/>
    <s v="Steven Spielberg"/>
    <s v="Margot Robbie, Scarlett Johansson, Robert De Niro, Robert Downey Jr., Emma Stone"/>
    <n v="48573"/>
    <n v="311.02999999999997"/>
    <n v="311.02999999999997"/>
    <s v="Blockbuster"/>
    <s v=" Thriller"/>
    <x v="17"/>
  </r>
  <r>
    <s v="tt1000098"/>
    <s v="Annie Hall"/>
    <n v="1993"/>
    <n v="1990"/>
    <x v="0"/>
    <n v="127"/>
    <s v="Long"/>
    <s v="A musical film set in 1993."/>
    <s v="Alfred Hitchcock"/>
    <s v="Scarlett Johansson, Christian Bale, Kate Winslet, Robert De Niro"/>
    <n v="230821"/>
    <m/>
    <n v="0"/>
    <s v="Average"/>
    <s v="Musical"/>
    <x v="1"/>
  </r>
  <r>
    <s v="tt1000098"/>
    <s v="Annie Hall"/>
    <n v="1993"/>
    <n v="1990"/>
    <x v="0"/>
    <n v="127"/>
    <s v="Long"/>
    <s v="A musical film set in 1993."/>
    <s v="Alfred Hitchcock"/>
    <s v="Scarlett Johansson, Christian Bale, Kate Winslet, Robert De Niro"/>
    <n v="230821"/>
    <m/>
    <n v="0"/>
    <s v="Average"/>
    <s v=" Animation"/>
    <x v="3"/>
  </r>
  <r>
    <s v="tt1000098"/>
    <s v="Annie Hall"/>
    <n v="1993"/>
    <n v="1990"/>
    <x v="0"/>
    <n v="127"/>
    <s v="Long"/>
    <s v="A musical film set in 1993."/>
    <s v="Alfred Hitchcock"/>
    <s v="Scarlett Johansson, Christian Bale, Kate Winslet, Robert De Niro"/>
    <n v="230821"/>
    <m/>
    <n v="0"/>
    <s v="Average"/>
    <s v=" Biography"/>
    <x v="5"/>
  </r>
  <r>
    <s v="tt1000878"/>
    <s v="A Awakening 771"/>
    <n v="2024"/>
    <n v="2020"/>
    <x v="0"/>
    <n v="153"/>
    <s v="Long"/>
    <s v="A critically acclaimed romance masterpiece."/>
    <s v="Akira Kurosawa"/>
    <s v="Daniel Day-Lewis, Mark Ruffalo, Harrison Ford, Tom Cruise, Emma Stone"/>
    <n v="79694"/>
    <n v="983.71"/>
    <n v="983.71"/>
    <s v="Blockbuster"/>
    <s v="Romance"/>
    <x v="7"/>
  </r>
  <r>
    <s v="tt1000297"/>
    <s v="Secret Quest 190"/>
    <n v="2001"/>
    <n v="2000"/>
    <x v="2"/>
    <n v="130"/>
    <s v="Long"/>
    <s v="An epic comedy tale directed by Ava DuVernay."/>
    <s v="Ava DuVernay"/>
    <s v="Harrison Ford, Morgan Freeman, Amy Adams"/>
    <n v="345913"/>
    <n v="95.88"/>
    <n v="95.88"/>
    <s v="Average"/>
    <s v="Comedy"/>
    <x v="15"/>
  </r>
  <r>
    <s v="tt1000297"/>
    <s v="Secret Quest 190"/>
    <n v="2001"/>
    <n v="2000"/>
    <x v="2"/>
    <n v="130"/>
    <s v="Long"/>
    <s v="An epic comedy tale directed by Ava DuVernay."/>
    <s v="Ava DuVernay"/>
    <s v="Harrison Ford, Morgan Freeman, Amy Adams"/>
    <n v="345913"/>
    <n v="95.88"/>
    <n v="95.88"/>
    <s v="Average"/>
    <s v=" Crime"/>
    <x v="6"/>
  </r>
  <r>
    <s v="tt1000296"/>
    <s v="Dark Destiny 189"/>
    <n v="2010"/>
    <n v="2010"/>
    <x v="1"/>
    <n v="131"/>
    <s v="Long"/>
    <s v="A thrilling family adventure."/>
    <s v="Stanley Kubrick"/>
    <s v="TimothÃ©e Chalamet, Denzel Washington, Keanu Reeves, Florence Pugh, Morgan Freeman"/>
    <n v="204991"/>
    <n v="155.33000000000001"/>
    <n v="155.33000000000001"/>
    <s v="Hit"/>
    <s v="Family"/>
    <x v="10"/>
  </r>
  <r>
    <s v="tt1000296"/>
    <s v="Dark Destiny 189"/>
    <n v="2010"/>
    <n v="2010"/>
    <x v="1"/>
    <n v="131"/>
    <s v="Long"/>
    <s v="A thrilling family adventure."/>
    <s v="Stanley Kubrick"/>
    <s v="TimothÃ©e Chalamet, Denzel Washington, Keanu Reeves, Florence Pugh, Morgan Freeman"/>
    <n v="204991"/>
    <n v="155.33000000000001"/>
    <n v="155.33000000000001"/>
    <s v="Hit"/>
    <s v=" Crime"/>
    <x v="6"/>
  </r>
  <r>
    <s v="tt1000238"/>
    <s v="An Mystery 131"/>
    <n v="2002"/>
    <n v="2000"/>
    <x v="2"/>
    <n v="119"/>
    <s v="Medium"/>
    <s v="A horror film set in 2002."/>
    <s v="Quentin Tarantino"/>
    <s v="Zendaya, Meryl Streep, Johnny Depp, Chris Hemsworth, TimothÃ©e Chalamet"/>
    <n v="71064"/>
    <n v="13.22"/>
    <n v="13.22"/>
    <s v="Average"/>
    <s v="Horror"/>
    <x v="12"/>
  </r>
  <r>
    <s v="tt1000238"/>
    <s v="An Mystery 131"/>
    <n v="2002"/>
    <n v="2000"/>
    <x v="2"/>
    <n v="119"/>
    <s v="Medium"/>
    <s v="A horror film set in 2002."/>
    <s v="Quentin Tarantino"/>
    <s v="Zendaya, Meryl Streep, Johnny Depp, Chris Hemsworth, TimothÃ©e Chalamet"/>
    <n v="71064"/>
    <n v="13.22"/>
    <n v="13.22"/>
    <s v="Average"/>
    <s v=" Crime"/>
    <x v="6"/>
  </r>
  <r>
    <s v="tt1000238"/>
    <s v="An Mystery 131"/>
    <n v="2002"/>
    <n v="2000"/>
    <x v="2"/>
    <n v="119"/>
    <s v="Medium"/>
    <s v="A horror film set in 2002."/>
    <s v="Quentin Tarantino"/>
    <s v="Zendaya, Meryl Streep, Johnny Depp, Chris Hemsworth, TimothÃ©e Chalamet"/>
    <n v="71064"/>
    <n v="13.22"/>
    <n v="13.22"/>
    <s v="Average"/>
    <s v=" Action"/>
    <x v="0"/>
  </r>
  <r>
    <s v="tt1000091"/>
    <s v="Amadeus"/>
    <n v="1987"/>
    <n v="1980"/>
    <x v="2"/>
    <n v="120"/>
    <s v="Medium"/>
    <s v="An epic fantasy tale directed by Quentin Tarantino."/>
    <s v="Quentin Tarantino"/>
    <s v="Anthony Hopkins, Zendaya, Matt Damon"/>
    <n v="71849"/>
    <m/>
    <n v="0"/>
    <s v="Average"/>
    <s v="Fantasy"/>
    <x v="8"/>
  </r>
  <r>
    <s v="tt1000649"/>
    <s v="Lost Adventures 542"/>
    <n v="2008"/>
    <n v="2000"/>
    <x v="0"/>
    <n v="119"/>
    <s v="Medium"/>
    <s v="An epic animation tale directed by Wes Anderson."/>
    <s v="Wes Anderson"/>
    <s v="Mark Ruffalo, Will Smith, Amy Adams, Robert Downey Jr."/>
    <n v="55431"/>
    <m/>
    <n v="0"/>
    <s v="Average"/>
    <s v="Animation"/>
    <x v="3"/>
  </r>
  <r>
    <s v="tt1000649"/>
    <s v="Lost Adventures 542"/>
    <n v="2008"/>
    <n v="2000"/>
    <x v="0"/>
    <n v="119"/>
    <s v="Medium"/>
    <s v="An epic animation tale directed by Wes Anderson."/>
    <s v="Wes Anderson"/>
    <s v="Mark Ruffalo, Will Smith, Amy Adams, Robert Downey Jr."/>
    <n v="55431"/>
    <m/>
    <n v="0"/>
    <s v="Average"/>
    <s v=" Romance"/>
    <x v="7"/>
  </r>
  <r>
    <s v="tt1000622"/>
    <s v="A Destiny 515"/>
    <n v="2016"/>
    <n v="2010"/>
    <x v="0"/>
    <n v="140"/>
    <s v="Long"/>
    <s v="A critically acclaimed war masterpiece."/>
    <s v="Kathryn Bigelow"/>
    <s v="Tom Hanks, Margot Robbie, Florence Pugh"/>
    <n v="11655"/>
    <n v="243.84"/>
    <n v="243.84"/>
    <s v="Blockbuster"/>
    <s v="War"/>
    <x v="2"/>
  </r>
  <r>
    <s v="tt1000622"/>
    <s v="A Destiny 515"/>
    <n v="2016"/>
    <n v="2010"/>
    <x v="0"/>
    <n v="140"/>
    <s v="Long"/>
    <s v="A critically acclaimed war masterpiece."/>
    <s v="Kathryn Bigelow"/>
    <s v="Tom Hanks, Margot Robbie, Florence Pugh"/>
    <n v="11655"/>
    <n v="243.84"/>
    <n v="243.84"/>
    <s v="Blockbuster"/>
    <s v=" Comedy"/>
    <x v="15"/>
  </r>
  <r>
    <s v="tt1000656"/>
    <s v="Dark Mission 549"/>
    <n v="2015"/>
    <n v="2010"/>
    <x v="3"/>
    <n v="116"/>
    <s v="Medium"/>
    <s v="A sci-fi film set in 2015."/>
    <s v="Danny Boyle"/>
    <s v="Johnny Depp, Amy Adams, Robert De Niro"/>
    <n v="145850"/>
    <n v="939.39"/>
    <n v="939.39"/>
    <s v="Blockbuster"/>
    <s v="Sci-Fi"/>
    <x v="16"/>
  </r>
  <r>
    <s v="tt1000656"/>
    <s v="Dark Mission 549"/>
    <n v="2015"/>
    <n v="2010"/>
    <x v="3"/>
    <n v="116"/>
    <s v="Medium"/>
    <s v="A sci-fi film set in 2015."/>
    <s v="Danny Boyle"/>
    <s v="Johnny Depp, Amy Adams, Robert De Niro"/>
    <n v="145850"/>
    <n v="939.39"/>
    <n v="939.39"/>
    <s v="Blockbuster"/>
    <s v=" Adventure"/>
    <x v="9"/>
  </r>
  <r>
    <s v="tt1000656"/>
    <s v="Dark Mission 549"/>
    <n v="2015"/>
    <n v="2010"/>
    <x v="3"/>
    <n v="116"/>
    <s v="Medium"/>
    <s v="A sci-fi film set in 2015."/>
    <s v="Danny Boyle"/>
    <s v="Johnny Depp, Amy Adams, Robert De Niro"/>
    <n v="145850"/>
    <n v="939.39"/>
    <n v="939.39"/>
    <s v="Blockbuster"/>
    <s v=" Musical"/>
    <x v="1"/>
  </r>
  <r>
    <s v="tt1000599"/>
    <s v="Lost Journey 492"/>
    <n v="2012"/>
    <n v="2010"/>
    <x v="1"/>
    <n v="104"/>
    <s v="Medium"/>
    <s v="An epic fantasy tale directed by Akira Kurosawa."/>
    <s v="Akira Kurosawa"/>
    <s v="Amy Adams, Margot Robbie, Scarlett Johansson, Jennifer Lawrence, Jack Nicholson"/>
    <n v="61819"/>
    <n v="78.05"/>
    <n v="78.05"/>
    <s v="Average"/>
    <s v="Fantasy"/>
    <x v="8"/>
  </r>
  <r>
    <s v="tt1000599"/>
    <s v="Lost Journey 492"/>
    <n v="2012"/>
    <n v="2010"/>
    <x v="1"/>
    <n v="104"/>
    <s v="Medium"/>
    <s v="An epic fantasy tale directed by Akira Kurosawa."/>
    <s v="Akira Kurosawa"/>
    <s v="Amy Adams, Margot Robbie, Scarlett Johansson, Jennifer Lawrence, Jack Nicholson"/>
    <n v="61819"/>
    <n v="78.05"/>
    <n v="78.05"/>
    <s v="Average"/>
    <s v=" Thriller"/>
    <x v="17"/>
  </r>
  <r>
    <s v="tt1000423"/>
    <s v="Final War 316"/>
    <n v="2016"/>
    <n v="2010"/>
    <x v="1"/>
    <n v="144"/>
    <s v="Long"/>
    <s v="A thrilling crime adventure."/>
    <s v="Francis Ford Coppola"/>
    <s v="Keanu Reeves, Anthony Hopkins, Florence Pugh"/>
    <n v="149299"/>
    <m/>
    <n v="0"/>
    <s v="Average"/>
    <s v="Crime"/>
    <x v="6"/>
  </r>
  <r>
    <s v="tt1000423"/>
    <s v="Final War 316"/>
    <n v="2016"/>
    <n v="2010"/>
    <x v="1"/>
    <n v="144"/>
    <s v="Long"/>
    <s v="A thrilling crime adventure."/>
    <s v="Francis Ford Coppola"/>
    <s v="Keanu Reeves, Anthony Hopkins, Florence Pugh"/>
    <n v="149299"/>
    <m/>
    <n v="0"/>
    <s v="Average"/>
    <s v=" Comedy"/>
    <x v="15"/>
  </r>
  <r>
    <s v="tt1000423"/>
    <s v="Final War 316"/>
    <n v="2016"/>
    <n v="2010"/>
    <x v="1"/>
    <n v="144"/>
    <s v="Long"/>
    <s v="A thrilling crime adventure."/>
    <s v="Francis Ford Coppola"/>
    <s v="Keanu Reeves, Anthony Hopkins, Florence Pugh"/>
    <n v="149299"/>
    <m/>
    <n v="0"/>
    <s v="Average"/>
    <s v=" Musical"/>
    <x v="1"/>
  </r>
  <r>
    <s v="tt1000373"/>
    <s v="Lost Empire 266"/>
    <n v="2007"/>
    <n v="2000"/>
    <x v="1"/>
    <n v="141"/>
    <s v="Long"/>
    <s v="A critically acclaimed western masterpiece."/>
    <s v="Edgar Wright"/>
    <s v="Florence Pugh, Amy Adams, Christian Bale, Natalie Portman"/>
    <n v="355238"/>
    <n v="297.95"/>
    <n v="297.95"/>
    <s v="Blockbuster"/>
    <s v="Western"/>
    <x v="11"/>
  </r>
  <r>
    <s v="tt1000373"/>
    <s v="Lost Empire 266"/>
    <n v="2007"/>
    <n v="2000"/>
    <x v="1"/>
    <n v="141"/>
    <s v="Long"/>
    <s v="A critically acclaimed western masterpiece."/>
    <s v="Edgar Wright"/>
    <s v="Florence Pugh, Amy Adams, Christian Bale, Natalie Portman"/>
    <n v="355238"/>
    <n v="297.95"/>
    <n v="297.95"/>
    <s v="Blockbuster"/>
    <s v=" Sci-Fi"/>
    <x v="16"/>
  </r>
  <r>
    <s v="tt1000508"/>
    <s v="A Revolution 401"/>
    <n v="2016"/>
    <n v="2010"/>
    <x v="1"/>
    <n v="112"/>
    <s v="Medium"/>
    <s v="A thrilling horror adventure."/>
    <s v="Ridley Scott"/>
    <s v="Meryl Streep, Denzel Washington, Cate Blanchett, Daniel Day-Lewis"/>
    <n v="1011433"/>
    <m/>
    <n v="0"/>
    <s v="Average"/>
    <s v="Horror"/>
    <x v="12"/>
  </r>
  <r>
    <s v="tt1000005"/>
    <s v="The Lord of the Rings: The Return of the King"/>
    <n v="1977"/>
    <n v="1970"/>
    <x v="1"/>
    <n v="108"/>
    <s v="Medium"/>
    <s v="A thrilling animation adventure."/>
    <s v="Coen Brothers"/>
    <s v="Morgan Freeman, Cate Blanchett, Tom Hanks"/>
    <n v="57557"/>
    <n v="159.65"/>
    <n v="159.65"/>
    <s v="Hit"/>
    <s v="Animation"/>
    <x v="3"/>
  </r>
  <r>
    <s v="tt1000005"/>
    <s v="The Lord of the Rings: The Return of the King"/>
    <n v="1977"/>
    <n v="1970"/>
    <x v="1"/>
    <n v="108"/>
    <s v="Medium"/>
    <s v="A thrilling animation adventure."/>
    <s v="Coen Brothers"/>
    <s v="Morgan Freeman, Cate Blanchett, Tom Hanks"/>
    <n v="57557"/>
    <n v="159.65"/>
    <n v="159.65"/>
    <s v="Hit"/>
    <s v=" Sci-Fi"/>
    <x v="16"/>
  </r>
  <r>
    <s v="tt1000040"/>
    <s v="Alien"/>
    <n v="1964"/>
    <n v="1960"/>
    <x v="2"/>
    <n v="135"/>
    <s v="Long"/>
    <s v="A comedy film set in 1964."/>
    <s v="Edgar Wright"/>
    <s v="Johnny Depp, Anthony Hopkins, Margot Robbie, Florence Pugh, Jack Nicholson"/>
    <n v="294597"/>
    <n v="187.49"/>
    <n v="187.49"/>
    <s v="Hit"/>
    <s v="Comedy"/>
    <x v="15"/>
  </r>
  <r>
    <s v="tt1000040"/>
    <s v="Alien"/>
    <n v="1964"/>
    <n v="1960"/>
    <x v="2"/>
    <n v="135"/>
    <s v="Long"/>
    <s v="A comedy film set in 1964."/>
    <s v="Edgar Wright"/>
    <s v="Johnny Depp, Anthony Hopkins, Margot Robbie, Florence Pugh, Jack Nicholson"/>
    <n v="294597"/>
    <n v="187.49"/>
    <n v="187.49"/>
    <s v="Hit"/>
    <s v=" Family"/>
    <x v="10"/>
  </r>
  <r>
    <s v="tt1000900"/>
    <s v="Lost Dreams 793"/>
    <n v="2001"/>
    <n v="2000"/>
    <x v="0"/>
    <n v="127"/>
    <s v="Long"/>
    <s v="A animation film set in 2001."/>
    <s v="Sam Mendes"/>
    <s v="Margot Robbie, Kate Winslet, Brad Pitt, Edward Norton, Matt Damon"/>
    <n v="1224943"/>
    <m/>
    <n v="0"/>
    <s v="Average"/>
    <s v="Animation"/>
    <x v="3"/>
  </r>
  <r>
    <s v="tt1000900"/>
    <s v="Lost Dreams 793"/>
    <n v="2001"/>
    <n v="2000"/>
    <x v="0"/>
    <n v="127"/>
    <s v="Long"/>
    <s v="A animation film set in 2001."/>
    <s v="Sam Mendes"/>
    <s v="Margot Robbie, Kate Winslet, Brad Pitt, Edward Norton, Matt Damon"/>
    <n v="1224943"/>
    <m/>
    <n v="0"/>
    <s v="Average"/>
    <s v=" Adventure"/>
    <x v="9"/>
  </r>
  <r>
    <s v="tt1000900"/>
    <s v="Lost Dreams 793"/>
    <n v="2001"/>
    <n v="2000"/>
    <x v="0"/>
    <n v="127"/>
    <s v="Long"/>
    <s v="A animation film set in 2001."/>
    <s v="Sam Mendes"/>
    <s v="Margot Robbie, Kate Winslet, Brad Pitt, Edward Norton, Matt Damon"/>
    <n v="1224943"/>
    <m/>
    <n v="0"/>
    <s v="Average"/>
    <s v=" Musical"/>
    <x v="1"/>
  </r>
  <r>
    <s v="tt1000065"/>
    <s v="Argo"/>
    <n v="2000"/>
    <n v="2000"/>
    <x v="1"/>
    <n v="127"/>
    <s v="Long"/>
    <s v="An epic fantasy tale directed by Alfred Hitchcock."/>
    <s v="Alfred Hitchcock"/>
    <s v="Natalie Portman, Amy Adams, Robert De Niro"/>
    <n v="75401"/>
    <n v="121.92"/>
    <n v="121.92"/>
    <s v="Hit"/>
    <s v="Fantasy"/>
    <x v="8"/>
  </r>
  <r>
    <s v="tt1000065"/>
    <s v="Argo"/>
    <n v="2000"/>
    <n v="2000"/>
    <x v="1"/>
    <n v="127"/>
    <s v="Long"/>
    <s v="An epic fantasy tale directed by Alfred Hitchcock."/>
    <s v="Alfred Hitchcock"/>
    <s v="Natalie Portman, Amy Adams, Robert De Niro"/>
    <n v="75401"/>
    <n v="121.92"/>
    <n v="121.92"/>
    <s v="Hit"/>
    <s v=" War"/>
    <x v="2"/>
  </r>
  <r>
    <s v="tt1000068"/>
    <s v="Slumdog Millionaire"/>
    <n v="1982"/>
    <n v="1980"/>
    <x v="0"/>
    <n v="92"/>
    <s v="Medium"/>
    <s v="A critically acclaimed thriller masterpiece."/>
    <s v="Edgar Wright"/>
    <s v="Edward Norton, Margot Robbie, Brad Pitt, Jennifer Lawrence"/>
    <n v="77786"/>
    <m/>
    <n v="0"/>
    <s v="Average"/>
    <s v="Thriller"/>
    <x v="17"/>
  </r>
  <r>
    <s v="tt1000053"/>
    <s v="No Time to Die"/>
    <n v="1997"/>
    <n v="1990"/>
    <x v="0"/>
    <n v="133"/>
    <s v="Long"/>
    <s v="An epic horror tale directed by Jordan Peele."/>
    <s v="Jordan Peele"/>
    <s v="Anthony Hopkins, Daniel Day-Lewis, Morgan Freeman, Zendaya, Emma Stone"/>
    <n v="194975"/>
    <n v="101.17"/>
    <n v="101.17"/>
    <s v="Hit"/>
    <s v="Horror"/>
    <x v="12"/>
  </r>
  <r>
    <s v="tt1000053"/>
    <s v="No Time to Die"/>
    <n v="1997"/>
    <n v="1990"/>
    <x v="0"/>
    <n v="133"/>
    <s v="Long"/>
    <s v="An epic horror tale directed by Jordan Peele."/>
    <s v="Jordan Peele"/>
    <s v="Anthony Hopkins, Daniel Day-Lewis, Morgan Freeman, Zendaya, Emma Stone"/>
    <n v="194975"/>
    <n v="101.17"/>
    <n v="101.17"/>
    <s v="Hit"/>
    <s v=" Musical"/>
    <x v="1"/>
  </r>
  <r>
    <s v="tt1000783"/>
    <s v="A Secrets 676"/>
    <n v="2006"/>
    <n v="2000"/>
    <x v="2"/>
    <n v="112"/>
    <s v="Medium"/>
    <s v="A thrilling thriller adventure."/>
    <s v="Edgar Wright"/>
    <s v="Al Pacino, Robert De Niro, Jennifer Lawrence"/>
    <n v="151071"/>
    <n v="497.82"/>
    <n v="497.82"/>
    <s v="Blockbuster"/>
    <s v="Thriller"/>
    <x v="17"/>
  </r>
  <r>
    <s v="tt1000783"/>
    <s v="A Secrets 676"/>
    <n v="2006"/>
    <n v="2000"/>
    <x v="2"/>
    <n v="112"/>
    <s v="Medium"/>
    <s v="A thrilling thriller adventure."/>
    <s v="Edgar Wright"/>
    <s v="Al Pacino, Robert De Niro, Jennifer Lawrence"/>
    <n v="151071"/>
    <n v="497.82"/>
    <n v="497.82"/>
    <s v="Blockbuster"/>
    <s v=" Family"/>
    <x v="10"/>
  </r>
  <r>
    <s v="tt1000861"/>
    <s v="An Revolution 754"/>
    <n v="2021"/>
    <n v="2020"/>
    <x v="1"/>
    <n v="144"/>
    <s v="Long"/>
    <s v="An epic sci-fi tale directed by Taika Waititi."/>
    <s v="Taika Waititi"/>
    <s v="Harrison Ford, Mark Ruffalo, Margot Robbie, Natalie Portman, Emma Stone"/>
    <n v="23423"/>
    <n v="779.9"/>
    <n v="779.9"/>
    <s v="Blockbuster"/>
    <s v="Sci-Fi"/>
    <x v="16"/>
  </r>
  <r>
    <s v="tt1000861"/>
    <s v="An Revolution 754"/>
    <n v="2021"/>
    <n v="2020"/>
    <x v="1"/>
    <n v="144"/>
    <s v="Long"/>
    <s v="An epic sci-fi tale directed by Taika Waititi."/>
    <s v="Taika Waititi"/>
    <s v="Harrison Ford, Mark Ruffalo, Margot Robbie, Natalie Portman, Emma Stone"/>
    <n v="23423"/>
    <n v="779.9"/>
    <n v="779.9"/>
    <s v="Blockbuster"/>
    <s v=" Romance"/>
    <x v="7"/>
  </r>
  <r>
    <s v="tt1000861"/>
    <s v="An Revolution 754"/>
    <n v="2021"/>
    <n v="2020"/>
    <x v="1"/>
    <n v="144"/>
    <s v="Long"/>
    <s v="An epic sci-fi tale directed by Taika Waititi."/>
    <s v="Taika Waititi"/>
    <s v="Harrison Ford, Mark Ruffalo, Margot Robbie, Natalie Portman, Emma Stone"/>
    <n v="23423"/>
    <n v="779.9"/>
    <n v="779.9"/>
    <s v="Blockbuster"/>
    <s v=" Crime"/>
    <x v="6"/>
  </r>
  <r>
    <s v="tt1000823"/>
    <s v="A Awakening 716"/>
    <n v="2001"/>
    <n v="2000"/>
    <x v="2"/>
    <n v="115"/>
    <s v="Medium"/>
    <s v="An epic action tale directed by Ridley Scott."/>
    <s v="Ridley Scott"/>
    <s v="Robert De Niro, Brad Pitt, Johnny Depp, Jack Nicholson"/>
    <n v="2075699"/>
    <n v="168.77"/>
    <n v="168.77"/>
    <s v="Hit"/>
    <s v="Action"/>
    <x v="0"/>
  </r>
  <r>
    <s v="tt1000823"/>
    <s v="A Awakening 716"/>
    <n v="2001"/>
    <n v="2000"/>
    <x v="2"/>
    <n v="115"/>
    <s v="Medium"/>
    <s v="An epic action tale directed by Ridley Scott."/>
    <s v="Ridley Scott"/>
    <s v="Robert De Niro, Brad Pitt, Johnny Depp, Jack Nicholson"/>
    <n v="2075699"/>
    <n v="168.77"/>
    <n v="168.77"/>
    <s v="Hit"/>
    <s v=" Documentary"/>
    <x v="13"/>
  </r>
  <r>
    <s v="tt1000791"/>
    <s v="Secret Revolution 684"/>
    <n v="2014"/>
    <n v="2010"/>
    <x v="2"/>
    <n v="130"/>
    <s v="Long"/>
    <s v="A critically acclaimed documentary masterpiece."/>
    <s v="Bong Joon-ho"/>
    <s v="Cate Blanchett, Florence Pugh, Emma Stone, Mark Ruffalo, Gary Oldman"/>
    <n v="525838"/>
    <n v="359.71"/>
    <n v="359.71"/>
    <s v="Blockbuster"/>
    <s v="Documentary"/>
    <x v="13"/>
  </r>
  <r>
    <s v="tt1000791"/>
    <s v="Secret Revolution 684"/>
    <n v="2014"/>
    <n v="2010"/>
    <x v="2"/>
    <n v="130"/>
    <s v="Long"/>
    <s v="A critically acclaimed documentary masterpiece."/>
    <s v="Bong Joon-ho"/>
    <s v="Cate Blanchett, Florence Pugh, Emma Stone, Mark Ruffalo, Gary Oldman"/>
    <n v="525838"/>
    <n v="359.71"/>
    <n v="359.71"/>
    <s v="Blockbuster"/>
    <s v=" Crime"/>
    <x v="6"/>
  </r>
  <r>
    <s v="tt1000809"/>
    <s v="Secret Secrets 702"/>
    <n v="2001"/>
    <n v="2000"/>
    <x v="3"/>
    <n v="118"/>
    <s v="Medium"/>
    <s v="A thrilling western adventure."/>
    <s v="Stanley Kubrick"/>
    <s v="Florence Pugh, Robert De Niro, Samuel L. Jackson, Margot Robbie"/>
    <n v="36275"/>
    <n v="410.67"/>
    <n v="410.67"/>
    <s v="Blockbuster"/>
    <s v="Western"/>
    <x v="11"/>
  </r>
  <r>
    <s v="tt1000230"/>
    <s v="An Adventures 123"/>
    <n v="2011"/>
    <n v="2010"/>
    <x v="2"/>
    <n v="112"/>
    <s v="Medium"/>
    <s v="An epic adventure tale directed by Danny Boyle."/>
    <s v="Danny Boyle"/>
    <s v="Will Smith, Gary Oldman, Scarlett Johansson"/>
    <n v="11830"/>
    <n v="418.09"/>
    <n v="418.09"/>
    <s v="Blockbuster"/>
    <s v="Adventure"/>
    <x v="9"/>
  </r>
  <r>
    <s v="tt1000230"/>
    <s v="An Adventures 123"/>
    <n v="2011"/>
    <n v="2010"/>
    <x v="2"/>
    <n v="112"/>
    <s v="Medium"/>
    <s v="An epic adventure tale directed by Danny Boyle."/>
    <s v="Danny Boyle"/>
    <s v="Will Smith, Gary Oldman, Scarlett Johansson"/>
    <n v="11830"/>
    <n v="418.09"/>
    <n v="418.09"/>
    <s v="Blockbuster"/>
    <s v=" Crime"/>
    <x v="6"/>
  </r>
  <r>
    <s v="tt1000318"/>
    <s v="Lost Legend 211"/>
    <n v="2013"/>
    <n v="2010"/>
    <x v="1"/>
    <n v="118"/>
    <s v="Medium"/>
    <s v="A musical film set in 2013."/>
    <s v="Martin Scorsese"/>
    <s v="Jack Nicholson, Meryl Streep, Keanu Reeves"/>
    <n v="100116"/>
    <n v="794.83"/>
    <n v="794.83"/>
    <s v="Blockbuster"/>
    <s v="Musical"/>
    <x v="1"/>
  </r>
  <r>
    <s v="tt1000347"/>
    <s v="First War 240"/>
    <n v="2023"/>
    <n v="2020"/>
    <x v="1"/>
    <n v="110"/>
    <s v="Medium"/>
    <s v="A critically acclaimed western masterpiece."/>
    <s v="Denis Villeneuve"/>
    <s v="Kate Winslet, Brad Pitt, Leonardo DiCaprio, Daniel Day-Lewis, Cate Blanchett"/>
    <n v="56513"/>
    <m/>
    <n v="0"/>
    <s v="Average"/>
    <s v="Western"/>
    <x v="11"/>
  </r>
  <r>
    <s v="tt1000347"/>
    <s v="First War 240"/>
    <n v="2023"/>
    <n v="2020"/>
    <x v="1"/>
    <n v="110"/>
    <s v="Medium"/>
    <s v="A critically acclaimed western masterpiece."/>
    <s v="Denis Villeneuve"/>
    <s v="Kate Winslet, Brad Pitt, Leonardo DiCaprio, Daniel Day-Lewis, Cate Blanchett"/>
    <n v="56513"/>
    <m/>
    <n v="0"/>
    <s v="Average"/>
    <s v=" Drama"/>
    <x v="14"/>
  </r>
  <r>
    <s v="tt1000884"/>
    <s v="Secret Quest 777"/>
    <n v="2005"/>
    <n v="2000"/>
    <x v="2"/>
    <n v="130"/>
    <s v="Long"/>
    <s v="A thrilling family adventure."/>
    <s v="Hayao Miyazaki"/>
    <s v="Tom Cruise, Florence Pugh, Tom Hanks"/>
    <n v="22320"/>
    <n v="59.64"/>
    <n v="59.64"/>
    <s v="Average"/>
    <s v="Family"/>
    <x v="10"/>
  </r>
  <r>
    <s v="tt1000884"/>
    <s v="Secret Quest 777"/>
    <n v="2005"/>
    <n v="2000"/>
    <x v="2"/>
    <n v="130"/>
    <s v="Long"/>
    <s v="A thrilling family adventure."/>
    <s v="Hayao Miyazaki"/>
    <s v="Tom Cruise, Florence Pugh, Tom Hanks"/>
    <n v="22320"/>
    <n v="59.64"/>
    <n v="59.64"/>
    <s v="Average"/>
    <s v=" Horror"/>
    <x v="12"/>
  </r>
  <r>
    <s v="tt1000849"/>
    <s v="A Mission 742"/>
    <n v="2013"/>
    <n v="2010"/>
    <x v="2"/>
    <n v="108"/>
    <s v="Medium"/>
    <s v="A critically acclaimed crime masterpiece."/>
    <s v="Edgar Wright"/>
    <s v="Matt Damon, Anthony Hopkins, Meryl Streep, Chris Hemsworth, Scarlett Johansson"/>
    <n v="1373213"/>
    <n v="197.06"/>
    <n v="197.06"/>
    <s v="Hit"/>
    <s v="Crime"/>
    <x v="6"/>
  </r>
  <r>
    <s v="tt1000849"/>
    <s v="A Mission 742"/>
    <n v="2013"/>
    <n v="2010"/>
    <x v="2"/>
    <n v="108"/>
    <s v="Medium"/>
    <s v="A critically acclaimed crime masterpiece."/>
    <s v="Edgar Wright"/>
    <s v="Matt Damon, Anthony Hopkins, Meryl Streep, Chris Hemsworth, Scarlett Johansson"/>
    <n v="1373213"/>
    <n v="197.06"/>
    <n v="197.06"/>
    <s v="Hit"/>
    <s v=" Musical"/>
    <x v="1"/>
  </r>
  <r>
    <s v="tt1000849"/>
    <s v="A Mission 742"/>
    <n v="2013"/>
    <n v="2010"/>
    <x v="2"/>
    <n v="108"/>
    <s v="Medium"/>
    <s v="A critically acclaimed crime masterpiece."/>
    <s v="Edgar Wright"/>
    <s v="Matt Damon, Anthony Hopkins, Meryl Streep, Chris Hemsworth, Scarlett Johansson"/>
    <n v="1373213"/>
    <n v="197.06"/>
    <n v="197.06"/>
    <s v="Hit"/>
    <s v=" Documentary"/>
    <x v="13"/>
  </r>
  <r>
    <s v="tt1000179"/>
    <s v="Lost Mission 72"/>
    <n v="1996"/>
    <n v="1990"/>
    <x v="0"/>
    <n v="112"/>
    <s v="Medium"/>
    <s v="A critically acclaimed horror masterpiece."/>
    <s v="Coen Brothers"/>
    <s v="Emma Stone, Tom Hanks, Amy Adams, Morgan Freeman"/>
    <n v="25201"/>
    <m/>
    <n v="0"/>
    <s v="Average"/>
    <s v="Horror"/>
    <x v="12"/>
  </r>
  <r>
    <s v="tt1000179"/>
    <s v="Lost Mission 72"/>
    <n v="1996"/>
    <n v="1990"/>
    <x v="0"/>
    <n v="112"/>
    <s v="Medium"/>
    <s v="A critically acclaimed horror masterpiece."/>
    <s v="Coen Brothers"/>
    <s v="Emma Stone, Tom Hanks, Amy Adams, Morgan Freeman"/>
    <n v="25201"/>
    <m/>
    <n v="0"/>
    <s v="Average"/>
    <s v=" Western"/>
    <x v="11"/>
  </r>
  <r>
    <s v="tt1000179"/>
    <s v="Lost Mission 72"/>
    <n v="1996"/>
    <n v="1990"/>
    <x v="0"/>
    <n v="112"/>
    <s v="Medium"/>
    <s v="A critically acclaimed horror masterpiece."/>
    <s v="Coen Brothers"/>
    <s v="Emma Stone, Tom Hanks, Amy Adams, Morgan Freeman"/>
    <n v="25201"/>
    <m/>
    <n v="0"/>
    <s v="Average"/>
    <s v=" Animation"/>
    <x v="3"/>
  </r>
  <r>
    <s v="tt1000046"/>
    <s v="Black Panther"/>
    <n v="1969"/>
    <n v="1960"/>
    <x v="1"/>
    <n v="136"/>
    <s v="Long"/>
    <s v="A critically acclaimed romance masterpiece."/>
    <s v="Francis Ford Coppola"/>
    <s v="Viola Davis, Brad Pitt, Chris Hemsworth, Jennifer Lawrence"/>
    <n v="50532"/>
    <m/>
    <n v="0"/>
    <s v="Average"/>
    <s v="Romance"/>
    <x v="7"/>
  </r>
  <r>
    <s v="tt1000064"/>
    <s v="12 Years a Slave"/>
    <n v="1985"/>
    <n v="1980"/>
    <x v="2"/>
    <n v="124"/>
    <s v="Long"/>
    <s v="A critically acclaimed crime masterpiece."/>
    <s v="Spike Lee"/>
    <s v="Florence Pugh, Samuel L. Jackson, Al Pacino"/>
    <n v="46580"/>
    <n v="5.2"/>
    <n v="5.2"/>
    <s v="Average"/>
    <s v="Crime"/>
    <x v="6"/>
  </r>
  <r>
    <s v="tt1000064"/>
    <s v="12 Years a Slave"/>
    <n v="1985"/>
    <n v="1980"/>
    <x v="2"/>
    <n v="124"/>
    <s v="Long"/>
    <s v="A critically acclaimed crime masterpiece."/>
    <s v="Spike Lee"/>
    <s v="Florence Pugh, Samuel L. Jackson, Al Pacino"/>
    <n v="46580"/>
    <n v="5.2"/>
    <n v="5.2"/>
    <s v="Average"/>
    <s v=" Sci-Fi"/>
    <x v="16"/>
  </r>
  <r>
    <s v="tt1000064"/>
    <s v="12 Years a Slave"/>
    <n v="1985"/>
    <n v="1980"/>
    <x v="2"/>
    <n v="124"/>
    <s v="Long"/>
    <s v="A critically acclaimed crime masterpiece."/>
    <s v="Spike Lee"/>
    <s v="Florence Pugh, Samuel L. Jackson, Al Pacino"/>
    <n v="46580"/>
    <n v="5.2"/>
    <n v="5.2"/>
    <s v="Average"/>
    <s v=" Romance"/>
    <x v="7"/>
  </r>
  <r>
    <s v="tt1000066"/>
    <s v="The Artist"/>
    <n v="1994"/>
    <n v="1990"/>
    <x v="2"/>
    <n v="121"/>
    <s v="Long"/>
    <s v="A critically acclaimed war masterpiece."/>
    <s v="Edgar Wright"/>
    <s v="Jack Nicholson, Margot Robbie, Florence Pugh"/>
    <n v="102403"/>
    <n v="210.2"/>
    <n v="210.2"/>
    <s v="Blockbuster"/>
    <s v="War"/>
    <x v="2"/>
  </r>
  <r>
    <s v="tt1000066"/>
    <s v="The Artist"/>
    <n v="1994"/>
    <n v="1990"/>
    <x v="2"/>
    <n v="121"/>
    <s v="Long"/>
    <s v="A critically acclaimed war masterpiece."/>
    <s v="Edgar Wright"/>
    <s v="Jack Nicholson, Margot Robbie, Florence Pugh"/>
    <n v="102403"/>
    <n v="210.2"/>
    <n v="210.2"/>
    <s v="Blockbuster"/>
    <s v=" Sci-Fi"/>
    <x v="16"/>
  </r>
  <r>
    <s v="tt1000066"/>
    <s v="The Artist"/>
    <n v="1994"/>
    <n v="1990"/>
    <x v="2"/>
    <n v="121"/>
    <s v="Long"/>
    <s v="A critically acclaimed war masterpiece."/>
    <s v="Edgar Wright"/>
    <s v="Jack Nicholson, Margot Robbie, Florence Pugh"/>
    <n v="102403"/>
    <n v="210.2"/>
    <n v="210.2"/>
    <s v="Blockbuster"/>
    <s v=" Musical"/>
    <x v="1"/>
  </r>
  <r>
    <s v="tt1000845"/>
    <s v="Lost Mystery 738"/>
    <n v="2001"/>
    <n v="2000"/>
    <x v="1"/>
    <n v="114"/>
    <s v="Medium"/>
    <s v="A thrilling musical adventure."/>
    <s v="Edgar Wright"/>
    <s v="Jack Nicholson, Edward Norton, Zendaya, Viola Davis, Tom Hanks"/>
    <n v="237442"/>
    <n v="182.23"/>
    <n v="182.23"/>
    <s v="Hit"/>
    <s v="Musical"/>
    <x v="1"/>
  </r>
  <r>
    <s v="tt1000083"/>
    <s v="Unforgiven"/>
    <n v="1984"/>
    <n v="1980"/>
    <x v="2"/>
    <n v="128"/>
    <s v="Long"/>
    <s v="An epic sci-fi tale directed by Park Chan-wook."/>
    <s v="Park Chan-wook"/>
    <s v="Gary Oldman, Morgan Freeman, Harrison Ford, Zendaya"/>
    <n v="142338"/>
    <m/>
    <n v="0"/>
    <s v="Average"/>
    <s v="Sci-Fi"/>
    <x v="16"/>
  </r>
  <r>
    <s v="tt1000083"/>
    <s v="Unforgiven"/>
    <n v="1984"/>
    <n v="1980"/>
    <x v="2"/>
    <n v="128"/>
    <s v="Long"/>
    <s v="An epic sci-fi tale directed by Park Chan-wook."/>
    <s v="Park Chan-wook"/>
    <s v="Gary Oldman, Morgan Freeman, Harrison Ford, Zendaya"/>
    <n v="142338"/>
    <m/>
    <n v="0"/>
    <s v="Average"/>
    <s v=" Thriller"/>
    <x v="17"/>
  </r>
  <r>
    <s v="tt1000976"/>
    <s v="First Quest 869"/>
    <n v="2003"/>
    <n v="2000"/>
    <x v="1"/>
    <n v="151"/>
    <s v="Long"/>
    <s v="A thrilling crime adventure."/>
    <s v="Jordan Peele"/>
    <s v="TimothÃ©e Chalamet, Morgan Freeman, Samuel L. Jackson, Cate Blanchett, Will Smith"/>
    <n v="220517"/>
    <n v="345.98"/>
    <n v="345.98"/>
    <s v="Blockbuster"/>
    <s v="Crime"/>
    <x v="6"/>
  </r>
  <r>
    <s v="tt1000279"/>
    <s v="The Secrets 172"/>
    <n v="2020"/>
    <n v="2020"/>
    <x v="1"/>
    <n v="100"/>
    <s v="Medium"/>
    <s v="A thrilling drama adventure."/>
    <s v="Coen Brothers"/>
    <s v="Anthony Hopkins, Robert De Niro, Harrison Ford, Chris Hemsworth"/>
    <n v="43434"/>
    <n v="229.99"/>
    <n v="229.99"/>
    <s v="Blockbuster"/>
    <s v="Drama"/>
    <x v="14"/>
  </r>
  <r>
    <s v="tt1000579"/>
    <s v="Secret Love 472"/>
    <n v="2013"/>
    <n v="2010"/>
    <x v="2"/>
    <n v="98"/>
    <s v="Medium"/>
    <s v="A thrilling comedy adventure."/>
    <s v="Christopher Nolan"/>
    <s v="Zendaya, Amy Adams, Leonardo DiCaprio, Viola Davis, Jennifer Lawrence"/>
    <n v="779119"/>
    <n v="218.64"/>
    <n v="218.64"/>
    <s v="Blockbuster"/>
    <s v="Comedy"/>
    <x v="15"/>
  </r>
  <r>
    <s v="tt1000294"/>
    <s v="Lost Mission 187"/>
    <n v="2015"/>
    <n v="2010"/>
    <x v="0"/>
    <n v="110"/>
    <s v="Medium"/>
    <s v="A critically acclaimed thriller masterpiece."/>
    <s v="Stanley Kubrick"/>
    <s v="Leonardo DiCaprio, Gary Oldman, Natalie Portman, Brad Pitt, Zendaya"/>
    <n v="166514"/>
    <m/>
    <n v="0"/>
    <s v="Average"/>
    <s v="Thriller"/>
    <x v="17"/>
  </r>
  <r>
    <s v="tt1000294"/>
    <s v="Lost Mission 187"/>
    <n v="2015"/>
    <n v="2010"/>
    <x v="0"/>
    <n v="110"/>
    <s v="Medium"/>
    <s v="A critically acclaimed thriller masterpiece."/>
    <s v="Stanley Kubrick"/>
    <s v="Leonardo DiCaprio, Gary Oldman, Natalie Portman, Brad Pitt, Zendaya"/>
    <n v="166514"/>
    <m/>
    <n v="0"/>
    <s v="Average"/>
    <s v=" Western"/>
    <x v="11"/>
  </r>
  <r>
    <s v="tt1000271"/>
    <s v="An Quest 164"/>
    <n v="2003"/>
    <n v="2000"/>
    <x v="0"/>
    <n v="123"/>
    <s v="Long"/>
    <s v="A fantasy film set in 2003."/>
    <s v="Denis Villeneuve"/>
    <s v="Mark Ruffalo, Leonardo DiCaprio, Robert De Niro, Gary Oldman"/>
    <n v="6448"/>
    <n v="296.25"/>
    <n v="296.25"/>
    <s v="Blockbuster"/>
    <s v="Fantasy"/>
    <x v="8"/>
  </r>
  <r>
    <s v="tt1000271"/>
    <s v="An Quest 164"/>
    <n v="2003"/>
    <n v="2000"/>
    <x v="0"/>
    <n v="123"/>
    <s v="Long"/>
    <s v="A fantasy film set in 2003."/>
    <s v="Denis Villeneuve"/>
    <s v="Mark Ruffalo, Leonardo DiCaprio, Robert De Niro, Gary Oldman"/>
    <n v="6448"/>
    <n v="296.25"/>
    <n v="296.25"/>
    <s v="Blockbuster"/>
    <s v=" Crime"/>
    <x v="6"/>
  </r>
  <r>
    <s v="tt1000129"/>
    <s v="Final Mystery 22"/>
    <n v="1983"/>
    <n v="1980"/>
    <x v="0"/>
    <n v="157"/>
    <s v="Long"/>
    <s v="An epic romance tale directed by James Cameron."/>
    <s v="James Cameron"/>
    <s v="Meryl Streep, Leonardo DiCaprio, Brad Pitt"/>
    <n v="15120"/>
    <m/>
    <n v="0"/>
    <s v="Average"/>
    <s v="Romance"/>
    <x v="7"/>
  </r>
  <r>
    <s v="tt1000129"/>
    <s v="Final Mystery 22"/>
    <n v="1983"/>
    <n v="1980"/>
    <x v="0"/>
    <n v="157"/>
    <s v="Long"/>
    <s v="An epic romance tale directed by James Cameron."/>
    <s v="James Cameron"/>
    <s v="Meryl Streep, Leonardo DiCaprio, Brad Pitt"/>
    <n v="15120"/>
    <m/>
    <n v="0"/>
    <s v="Average"/>
    <s v=" Biography"/>
    <x v="5"/>
  </r>
  <r>
    <s v="tt1000129"/>
    <s v="Final Mystery 22"/>
    <n v="1983"/>
    <n v="1980"/>
    <x v="0"/>
    <n v="157"/>
    <s v="Long"/>
    <s v="An epic romance tale directed by James Cameron."/>
    <s v="James Cameron"/>
    <s v="Meryl Streep, Leonardo DiCaprio, Brad Pitt"/>
    <n v="15120"/>
    <m/>
    <n v="0"/>
    <s v="Average"/>
    <s v=" Mystery"/>
    <x v="4"/>
  </r>
  <r>
    <s v="tt1000559"/>
    <s v="First War 452"/>
    <n v="2023"/>
    <n v="2020"/>
    <x v="4"/>
    <n v="150"/>
    <s v="Long"/>
    <s v="A thrilling crime adventure."/>
    <s v="Ryan Coogler"/>
    <s v="Mark Ruffalo, Robert Downey Jr., Emma Stone, Viola Davis, Edward Norton"/>
    <n v="31337"/>
    <n v="170.25"/>
    <n v="170.25"/>
    <s v="Hit"/>
    <s v="Crime"/>
    <x v="6"/>
  </r>
  <r>
    <s v="tt1000378"/>
    <s v="First Journey 271"/>
    <n v="2015"/>
    <n v="2010"/>
    <x v="0"/>
    <n v="115"/>
    <s v="Medium"/>
    <s v="A biography film set in 2015."/>
    <s v="Ridley Scott"/>
    <s v="Cate Blanchett, Kate Winslet, Gary Oldman"/>
    <n v="356541"/>
    <m/>
    <n v="0"/>
    <s v="Average"/>
    <s v="Biography"/>
    <x v="5"/>
  </r>
  <r>
    <s v="tt1000409"/>
    <s v="Secret Mystery 302"/>
    <n v="2000"/>
    <n v="2000"/>
    <x v="4"/>
    <n v="117"/>
    <s v="Medium"/>
    <s v="A war film set in 2000."/>
    <s v="Coen Brothers"/>
    <s v="Christian Bale, TimothÃ©e Chalamet, Chris Hemsworth"/>
    <n v="1649172"/>
    <m/>
    <n v="0"/>
    <s v="Average"/>
    <s v="War"/>
    <x v="2"/>
  </r>
  <r>
    <s v="tt1000346"/>
    <s v="An Kingdom 239"/>
    <n v="2008"/>
    <n v="2000"/>
    <x v="5"/>
    <n v="124"/>
    <s v="Long"/>
    <s v="A musical film set in 2008."/>
    <s v="Ava DuVernay"/>
    <s v="Edward Norton, Jack Nicholson, Christian Bale, Samuel L. Jackson, Keanu Reeves"/>
    <n v="748548"/>
    <m/>
    <n v="0"/>
    <s v="Average"/>
    <s v="Musical"/>
    <x v="1"/>
  </r>
  <r>
    <s v="tt1000346"/>
    <s v="An Kingdom 239"/>
    <n v="2008"/>
    <n v="2000"/>
    <x v="5"/>
    <n v="124"/>
    <s v="Long"/>
    <s v="A musical film set in 2008."/>
    <s v="Ava DuVernay"/>
    <s v="Edward Norton, Jack Nicholson, Christian Bale, Samuel L. Jackson, Keanu Reeves"/>
    <n v="748548"/>
    <m/>
    <n v="0"/>
    <s v="Average"/>
    <s v=" Family"/>
    <x v="10"/>
  </r>
  <r>
    <s v="tt1000346"/>
    <s v="An Kingdom 239"/>
    <n v="2008"/>
    <n v="2000"/>
    <x v="5"/>
    <n v="124"/>
    <s v="Long"/>
    <s v="A musical film set in 2008."/>
    <s v="Ava DuVernay"/>
    <s v="Edward Norton, Jack Nicholson, Christian Bale, Samuel L. Jackson, Keanu Reeves"/>
    <n v="748548"/>
    <m/>
    <n v="0"/>
    <s v="Average"/>
    <s v=" War"/>
    <x v="2"/>
  </r>
  <r>
    <s v="tt1000150"/>
    <s v="Dark Revolution 43"/>
    <n v="1989"/>
    <n v="1980"/>
    <x v="0"/>
    <n v="118"/>
    <s v="Medium"/>
    <s v="A documentary film set in 1989."/>
    <s v="Martin Scorsese"/>
    <s v="Cate Blanchett, Margot Robbie, Keanu Reeves, Al Pacino"/>
    <n v="8188"/>
    <n v="157.47999999999999"/>
    <n v="157.47999999999999"/>
    <s v="Hit"/>
    <s v="Documentary"/>
    <x v="13"/>
  </r>
  <r>
    <s v="tt1000150"/>
    <s v="Dark Revolution 43"/>
    <n v="1989"/>
    <n v="1980"/>
    <x v="0"/>
    <n v="118"/>
    <s v="Medium"/>
    <s v="A documentary film set in 1989."/>
    <s v="Martin Scorsese"/>
    <s v="Cate Blanchett, Margot Robbie, Keanu Reeves, Al Pacino"/>
    <n v="8188"/>
    <n v="157.47999999999999"/>
    <n v="157.47999999999999"/>
    <s v="Hit"/>
    <s v=" Family"/>
    <x v="10"/>
  </r>
  <r>
    <s v="tt1000544"/>
    <s v="First Quest 437"/>
    <n v="2009"/>
    <n v="2000"/>
    <x v="4"/>
    <n v="107"/>
    <s v="Medium"/>
    <s v="A musical film set in 2009."/>
    <s v="Ang Lee"/>
    <s v="Anthony Hopkins, Leonardo DiCaprio, Mark Ruffalo, Cate Blanchett"/>
    <n v="36237"/>
    <n v="181.15"/>
    <n v="181.15"/>
    <s v="Hit"/>
    <s v="Musical"/>
    <x v="1"/>
  </r>
  <r>
    <s v="tt1000544"/>
    <s v="First Quest 437"/>
    <n v="2009"/>
    <n v="2000"/>
    <x v="4"/>
    <n v="107"/>
    <s v="Medium"/>
    <s v="A musical film set in 2009."/>
    <s v="Ang Lee"/>
    <s v="Anthony Hopkins, Leonardo DiCaprio, Mark Ruffalo, Cate Blanchett"/>
    <n v="36237"/>
    <n v="181.15"/>
    <n v="181.15"/>
    <s v="Hit"/>
    <s v=" Adventure"/>
    <x v="9"/>
  </r>
  <r>
    <s v="tt1000502"/>
    <s v="Dark Journey 395"/>
    <n v="2018"/>
    <n v="2010"/>
    <x v="3"/>
    <n v="133"/>
    <s v="Long"/>
    <s v="A animation film set in 2018."/>
    <s v="Bong Joon-ho"/>
    <s v="Edward Norton, Tom Hanks, Cate Blanchett"/>
    <n v="68364"/>
    <n v="191.29"/>
    <n v="191.29"/>
    <s v="Hit"/>
    <s v="Animation"/>
    <x v="3"/>
  </r>
  <r>
    <s v="tt1000499"/>
    <s v="The Empire 392"/>
    <n v="2005"/>
    <n v="2000"/>
    <x v="0"/>
    <n v="144"/>
    <s v="Long"/>
    <s v="An epic horror tale directed by Akira Kurosawa."/>
    <s v="Akira Kurosawa"/>
    <s v="Brad Pitt, Margot Robbie, Daniel Day-Lewis, Keanu Reeves, Anthony Hopkins"/>
    <n v="145625"/>
    <n v="474.7"/>
    <n v="474.7"/>
    <s v="Blockbuster"/>
    <s v="Horror"/>
    <x v="12"/>
  </r>
  <r>
    <s v="tt1000499"/>
    <s v="The Empire 392"/>
    <n v="2005"/>
    <n v="2000"/>
    <x v="0"/>
    <n v="144"/>
    <s v="Long"/>
    <s v="An epic horror tale directed by Akira Kurosawa."/>
    <s v="Akira Kurosawa"/>
    <s v="Brad Pitt, Margot Robbie, Daniel Day-Lewis, Keanu Reeves, Anthony Hopkins"/>
    <n v="145625"/>
    <n v="474.7"/>
    <n v="474.7"/>
    <s v="Blockbuster"/>
    <s v=" Thriller"/>
    <x v="17"/>
  </r>
  <r>
    <s v="tt1000499"/>
    <s v="The Empire 392"/>
    <n v="2005"/>
    <n v="2000"/>
    <x v="0"/>
    <n v="144"/>
    <s v="Long"/>
    <s v="An epic horror tale directed by Akira Kurosawa."/>
    <s v="Akira Kurosawa"/>
    <s v="Brad Pitt, Margot Robbie, Daniel Day-Lewis, Keanu Reeves, Anthony Hopkins"/>
    <n v="145625"/>
    <n v="474.7"/>
    <n v="474.7"/>
    <s v="Blockbuster"/>
    <s v=" War"/>
    <x v="2"/>
  </r>
  <r>
    <s v="tt1000124"/>
    <s v="A Destiny 17"/>
    <n v="1984"/>
    <n v="1980"/>
    <x v="5"/>
    <n v="149"/>
    <s v="Long"/>
    <s v="A crime film set in 1984."/>
    <s v="Sam Mendes"/>
    <s v="Scarlett Johansson, Brad Pitt, Natalie Portman"/>
    <n v="907953"/>
    <n v="270.91000000000003"/>
    <n v="270.91000000000003"/>
    <s v="Blockbuster"/>
    <s v="Crime"/>
    <x v="6"/>
  </r>
  <r>
    <s v="tt1000124"/>
    <s v="A Destiny 17"/>
    <n v="1984"/>
    <n v="1980"/>
    <x v="5"/>
    <n v="149"/>
    <s v="Long"/>
    <s v="A crime film set in 1984."/>
    <s v="Sam Mendes"/>
    <s v="Scarlett Johansson, Brad Pitt, Natalie Portman"/>
    <n v="907953"/>
    <n v="270.91000000000003"/>
    <n v="270.91000000000003"/>
    <s v="Blockbuster"/>
    <s v=" Adventure"/>
    <x v="9"/>
  </r>
  <r>
    <s v="tt1000723"/>
    <s v="Dark Destiny 616"/>
    <n v="2024"/>
    <n v="2020"/>
    <x v="1"/>
    <n v="129"/>
    <s v="Long"/>
    <s v="A thrilling drama adventure."/>
    <s v="Jordan Peele"/>
    <s v="Kate Winslet, Natalie Portman, Matt Damon, Margot Robbie"/>
    <n v="53427"/>
    <n v="578.84"/>
    <n v="578.84"/>
    <s v="Blockbuster"/>
    <s v="Drama"/>
    <x v="14"/>
  </r>
  <r>
    <s v="tt1000723"/>
    <s v="Dark Destiny 616"/>
    <n v="2024"/>
    <n v="2020"/>
    <x v="1"/>
    <n v="129"/>
    <s v="Long"/>
    <s v="A thrilling drama adventure."/>
    <s v="Jordan Peele"/>
    <s v="Kate Winslet, Natalie Portman, Matt Damon, Margot Robbie"/>
    <n v="53427"/>
    <n v="578.84"/>
    <n v="578.84"/>
    <s v="Blockbuster"/>
    <s v=" Sci-Fi"/>
    <x v="16"/>
  </r>
  <r>
    <s v="tt1000723"/>
    <s v="Dark Destiny 616"/>
    <n v="2024"/>
    <n v="2020"/>
    <x v="1"/>
    <n v="129"/>
    <s v="Long"/>
    <s v="A thrilling drama adventure."/>
    <s v="Jordan Peele"/>
    <s v="Kate Winslet, Natalie Portman, Matt Damon, Margot Robbie"/>
    <n v="53427"/>
    <n v="578.84"/>
    <n v="578.84"/>
    <s v="Blockbuster"/>
    <s v=" Comedy"/>
    <x v="15"/>
  </r>
  <r>
    <s v="tt1000111"/>
    <s v="A Mystery 4"/>
    <n v="1992"/>
    <n v="1990"/>
    <x v="1"/>
    <n v="106"/>
    <s v="Medium"/>
    <s v="A drama film set in 1992."/>
    <s v="Bong Joon-ho"/>
    <s v="Jennifer Lawrence, Meryl Streep, Emma Stone"/>
    <n v="48021"/>
    <n v="256.13"/>
    <n v="256.13"/>
    <s v="Blockbuster"/>
    <s v="Drama"/>
    <x v="14"/>
  </r>
  <r>
    <s v="tt1000111"/>
    <s v="A Mystery 4"/>
    <n v="1992"/>
    <n v="1990"/>
    <x v="1"/>
    <n v="106"/>
    <s v="Medium"/>
    <s v="A drama film set in 1992."/>
    <s v="Bong Joon-ho"/>
    <s v="Jennifer Lawrence, Meryl Streep, Emma Stone"/>
    <n v="48021"/>
    <n v="256.13"/>
    <n v="256.13"/>
    <s v="Blockbuster"/>
    <s v=" Adventure"/>
    <x v="9"/>
  </r>
  <r>
    <s v="tt1000111"/>
    <s v="A Mystery 4"/>
    <n v="1992"/>
    <n v="1990"/>
    <x v="1"/>
    <n v="106"/>
    <s v="Medium"/>
    <s v="A drama film set in 1992."/>
    <s v="Bong Joon-ho"/>
    <s v="Jennifer Lawrence, Meryl Streep, Emma Stone"/>
    <n v="48021"/>
    <n v="256.13"/>
    <n v="256.13"/>
    <s v="Blockbuster"/>
    <s v=" Crime"/>
    <x v="6"/>
  </r>
  <r>
    <s v="tt1000246"/>
    <s v="Lost Destiny 139"/>
    <n v="2005"/>
    <n v="2000"/>
    <x v="2"/>
    <n v="153"/>
    <s v="Long"/>
    <s v="An epic mystery tale directed by Stanley Kubrick."/>
    <s v="Stanley Kubrick"/>
    <s v="Jennifer Lawrence, Florence Pugh, Kate Winslet, Chris Hemsworth"/>
    <n v="3784"/>
    <n v="433.65"/>
    <n v="433.65"/>
    <s v="Blockbuster"/>
    <s v="Mystery"/>
    <x v="4"/>
  </r>
  <r>
    <s v="tt1000246"/>
    <s v="Lost Destiny 139"/>
    <n v="2005"/>
    <n v="2000"/>
    <x v="2"/>
    <n v="153"/>
    <s v="Long"/>
    <s v="An epic mystery tale directed by Stanley Kubrick."/>
    <s v="Stanley Kubrick"/>
    <s v="Jennifer Lawrence, Florence Pugh, Kate Winslet, Chris Hemsworth"/>
    <n v="3784"/>
    <n v="433.65"/>
    <n v="433.65"/>
    <s v="Blockbuster"/>
    <s v=" Action"/>
    <x v="0"/>
  </r>
  <r>
    <s v="tt1000081"/>
    <s v="Forrest Gump"/>
    <n v="1984"/>
    <n v="1980"/>
    <x v="1"/>
    <n v="137"/>
    <s v="Long"/>
    <s v="An epic fantasy tale directed by George Lucas."/>
    <s v="George Lucas"/>
    <s v="Florence Pugh, Emma Stone, Al Pacino, Jack Nicholson"/>
    <n v="21750"/>
    <m/>
    <n v="0"/>
    <s v="Average"/>
    <s v="Fantasy"/>
    <x v="8"/>
  </r>
  <r>
    <s v="tt1000661"/>
    <s v="An Story 554"/>
    <n v="2012"/>
    <n v="2010"/>
    <x v="1"/>
    <n v="137"/>
    <s v="Long"/>
    <s v="A thrilling biography adventure."/>
    <s v="Jordan Peele"/>
    <s v="Al Pacino, Natalie Portman, Christian Bale, Will Smith, Johnny Depp"/>
    <n v="129266"/>
    <m/>
    <n v="0"/>
    <s v="Average"/>
    <s v="Biography"/>
    <x v="5"/>
  </r>
  <r>
    <s v="tt1000661"/>
    <s v="An Story 554"/>
    <n v="2012"/>
    <n v="2010"/>
    <x v="1"/>
    <n v="137"/>
    <s v="Long"/>
    <s v="A thrilling biography adventure."/>
    <s v="Jordan Peele"/>
    <s v="Al Pacino, Natalie Portman, Christian Bale, Will Smith, Johnny Depp"/>
    <n v="129266"/>
    <m/>
    <n v="0"/>
    <s v="Average"/>
    <s v=" Romance"/>
    <x v="7"/>
  </r>
  <r>
    <s v="tt1000094"/>
    <s v="Chariots of Fire"/>
    <n v="1984"/>
    <n v="1980"/>
    <x v="1"/>
    <n v="151"/>
    <s v="Long"/>
    <s v="An epic biography tale directed by Sam Mendes."/>
    <s v="Sam Mendes"/>
    <s v="Jack Nicholson, TimothÃ©e Chalamet, Chris Hemsworth, Margot Robbie, Brad Pitt"/>
    <n v="880921"/>
    <m/>
    <n v="0"/>
    <s v="Average"/>
    <s v="Biography"/>
    <x v="5"/>
  </r>
  <r>
    <s v="tt1000094"/>
    <s v="Chariots of Fire"/>
    <n v="1984"/>
    <n v="1980"/>
    <x v="1"/>
    <n v="151"/>
    <s v="Long"/>
    <s v="An epic biography tale directed by Sam Mendes."/>
    <s v="Sam Mendes"/>
    <s v="Jack Nicholson, TimothÃ©e Chalamet, Chris Hemsworth, Margot Robbie, Brad Pitt"/>
    <n v="880921"/>
    <m/>
    <n v="0"/>
    <s v="Average"/>
    <s v=" Comedy"/>
    <x v="15"/>
  </r>
  <r>
    <s v="tt1000094"/>
    <s v="Chariots of Fire"/>
    <n v="1984"/>
    <n v="1980"/>
    <x v="1"/>
    <n v="151"/>
    <s v="Long"/>
    <s v="An epic biography tale directed by Sam Mendes."/>
    <s v="Sam Mendes"/>
    <s v="Jack Nicholson, TimothÃ©e Chalamet, Chris Hemsworth, Margot Robbie, Brad Pitt"/>
    <n v="880921"/>
    <m/>
    <n v="0"/>
    <s v="Average"/>
    <s v=" Family"/>
    <x v="10"/>
  </r>
  <r>
    <s v="tt1000088"/>
    <s v="The Last Emperor"/>
    <n v="1993"/>
    <n v="1990"/>
    <x v="0"/>
    <n v="114"/>
    <s v="Medium"/>
    <s v="A thrilling horror adventure."/>
    <s v="Peter Jackson"/>
    <s v="Jennifer Lawrence, Robert Downey Jr., Viola Davis"/>
    <n v="692883"/>
    <n v="68.34"/>
    <n v="68.34"/>
    <s v="Average"/>
    <s v="Horror"/>
    <x v="12"/>
  </r>
  <r>
    <s v="tt1000796"/>
    <s v="An Dreams 689"/>
    <n v="2017"/>
    <n v="2010"/>
    <x v="0"/>
    <n v="137"/>
    <s v="Long"/>
    <s v="An epic thriller tale directed by Danny Boyle."/>
    <s v="Danny Boyle"/>
    <s v="Mark Ruffalo, Amy Adams, Will Smith"/>
    <n v="3754"/>
    <n v="886.53"/>
    <n v="886.53"/>
    <s v="Blockbuster"/>
    <s v="Thriller"/>
    <x v="17"/>
  </r>
  <r>
    <s v="tt1000869"/>
    <s v="The Mission 762"/>
    <n v="2013"/>
    <n v="2010"/>
    <x v="3"/>
    <n v="75"/>
    <s v="Short"/>
    <s v="A critically acclaimed animation masterpiece."/>
    <s v="Spike Lee"/>
    <s v="Viola Davis, Edward Norton, Tom Cruise"/>
    <n v="405271"/>
    <m/>
    <n v="0"/>
    <s v="Average"/>
    <s v="Animation"/>
    <x v="3"/>
  </r>
  <r>
    <s v="tt1000869"/>
    <s v="The Mission 762"/>
    <n v="2013"/>
    <n v="2010"/>
    <x v="3"/>
    <n v="75"/>
    <s v="Short"/>
    <s v="A critically acclaimed animation masterpiece."/>
    <s v="Spike Lee"/>
    <s v="Viola Davis, Edward Norton, Tom Cruise"/>
    <n v="405271"/>
    <m/>
    <n v="0"/>
    <s v="Average"/>
    <s v=" Family"/>
    <x v="10"/>
  </r>
  <r>
    <s v="tt1000950"/>
    <s v="Lost Chronicles 843"/>
    <n v="2019"/>
    <n v="2010"/>
    <x v="1"/>
    <n v="109"/>
    <s v="Medium"/>
    <s v="A critically acclaimed biography masterpiece."/>
    <s v="George Lucas"/>
    <s v="Brad Pitt, Robert De Niro, Denzel Washington"/>
    <n v="11415"/>
    <m/>
    <n v="0"/>
    <s v="Average"/>
    <s v="Biography"/>
    <x v="5"/>
  </r>
  <r>
    <s v="tt1000950"/>
    <s v="Lost Chronicles 843"/>
    <n v="2019"/>
    <n v="2010"/>
    <x v="1"/>
    <n v="109"/>
    <s v="Medium"/>
    <s v="A critically acclaimed biography masterpiece."/>
    <s v="George Lucas"/>
    <s v="Brad Pitt, Robert De Niro, Denzel Washington"/>
    <n v="11415"/>
    <m/>
    <n v="0"/>
    <s v="Average"/>
    <s v=" Drama"/>
    <x v="14"/>
  </r>
  <r>
    <s v="tt1000828"/>
    <s v="An Chronicles 721"/>
    <n v="2017"/>
    <n v="2010"/>
    <x v="0"/>
    <n v="109"/>
    <s v="Medium"/>
    <s v="A critically acclaimed horror masterpiece."/>
    <s v="David Fincher"/>
    <s v="Samuel L. Jackson, TimothÃ©e Chalamet, Cate Blanchett"/>
    <n v="33500"/>
    <n v="646.29999999999995"/>
    <n v="646.29999999999995"/>
    <s v="Blockbuster"/>
    <s v="Horror"/>
    <x v="12"/>
  </r>
  <r>
    <s v="tt1000828"/>
    <s v="An Chronicles 721"/>
    <n v="2017"/>
    <n v="2010"/>
    <x v="0"/>
    <n v="109"/>
    <s v="Medium"/>
    <s v="A critically acclaimed horror masterpiece."/>
    <s v="David Fincher"/>
    <s v="Samuel L. Jackson, TimothÃ©e Chalamet, Cate Blanchett"/>
    <n v="33500"/>
    <n v="646.29999999999995"/>
    <n v="646.29999999999995"/>
    <s v="Blockbuster"/>
    <s v=" Biography"/>
    <x v="5"/>
  </r>
  <r>
    <s v="tt1000841"/>
    <s v="Lost Dreams 734"/>
    <n v="2000"/>
    <n v="2000"/>
    <x v="2"/>
    <n v="113"/>
    <s v="Medium"/>
    <s v="A fantasy film set in 2000."/>
    <s v="Taika Waititi"/>
    <s v="Daniel Day-Lewis, Tom Cruise, Scarlett Johansson, Zendaya, Gary Oldman"/>
    <n v="123504"/>
    <n v="167.38"/>
    <n v="167.38"/>
    <s v="Hit"/>
    <s v="Fantasy"/>
    <x v="8"/>
  </r>
  <r>
    <s v="tt1000841"/>
    <s v="Lost Dreams 734"/>
    <n v="2000"/>
    <n v="2000"/>
    <x v="2"/>
    <n v="113"/>
    <s v="Medium"/>
    <s v="A fantasy film set in 2000."/>
    <s v="Taika Waititi"/>
    <s v="Daniel Day-Lewis, Tom Cruise, Scarlett Johansson, Zendaya, Gary Oldman"/>
    <n v="123504"/>
    <n v="167.38"/>
    <n v="167.38"/>
    <s v="Hit"/>
    <s v=" Mystery"/>
    <x v="4"/>
  </r>
  <r>
    <s v="tt1000841"/>
    <s v="Lost Dreams 734"/>
    <n v="2000"/>
    <n v="2000"/>
    <x v="2"/>
    <n v="113"/>
    <s v="Medium"/>
    <s v="A fantasy film set in 2000."/>
    <s v="Taika Waititi"/>
    <s v="Daniel Day-Lewis, Tom Cruise, Scarlett Johansson, Zendaya, Gary Oldman"/>
    <n v="123504"/>
    <n v="167.38"/>
    <n v="167.38"/>
    <s v="Hit"/>
    <s v=" Musical"/>
    <x v="1"/>
  </r>
  <r>
    <s v="tt1000776"/>
    <s v="Last Kingdom 669"/>
    <n v="2024"/>
    <n v="2020"/>
    <x v="2"/>
    <n v="133"/>
    <s v="Long"/>
    <s v="A action film set in 2024."/>
    <s v="Stanley Kubrick"/>
    <s v="Harrison Ford, Matt Damon, Margot Robbie, Denzel Washington"/>
    <n v="38524"/>
    <n v="699.85"/>
    <n v="699.85"/>
    <s v="Blockbuster"/>
    <s v="Action"/>
    <x v="0"/>
  </r>
  <r>
    <s v="tt1000821"/>
    <s v="An Legend 714"/>
    <n v="2004"/>
    <n v="2000"/>
    <x v="1"/>
    <n v="95"/>
    <s v="Medium"/>
    <s v="An epic western tale directed by Alfred Hitchcock."/>
    <s v="Alfred Hitchcock"/>
    <s v="Emma Stone, Will Smith, Cate Blanchett, Robert Downey Jr."/>
    <n v="226598"/>
    <n v="197.19"/>
    <n v="197.19"/>
    <s v="Hit"/>
    <s v="Western"/>
    <x v="11"/>
  </r>
  <r>
    <s v="tt1000043"/>
    <s v="Moonlight"/>
    <n v="1957"/>
    <n v="1950"/>
    <x v="0"/>
    <n v="109"/>
    <s v="Medium"/>
    <s v="A thrilling war adventure."/>
    <s v="Francis Ford Coppola"/>
    <s v="Samuel L. Jackson, Jennifer Lawrence, Viola Davis, Cate Blanchett"/>
    <n v="39815"/>
    <n v="23.66"/>
    <n v="23.66"/>
    <s v="Average"/>
    <s v="War"/>
    <x v="2"/>
  </r>
  <r>
    <s v="tt1000043"/>
    <s v="Moonlight"/>
    <n v="1957"/>
    <n v="1950"/>
    <x v="0"/>
    <n v="109"/>
    <s v="Medium"/>
    <s v="A thrilling war adventure."/>
    <s v="Francis Ford Coppola"/>
    <s v="Samuel L. Jackson, Jennifer Lawrence, Viola Davis, Cate Blanchett"/>
    <n v="39815"/>
    <n v="23.66"/>
    <n v="23.66"/>
    <s v="Average"/>
    <s v=" Romance"/>
    <x v="7"/>
  </r>
  <r>
    <s v="tt1000187"/>
    <s v="Final Adventures 80"/>
    <n v="1984"/>
    <n v="1980"/>
    <x v="0"/>
    <n v="161"/>
    <s v="Long"/>
    <s v="A critically acclaimed documentary masterpiece."/>
    <s v="Robert Zemeckis"/>
    <s v="Denzel Washington, Daniel Day-Lewis, Jack Nicholson, Christian Bale, Natalie Portman"/>
    <n v="22029"/>
    <m/>
    <n v="0"/>
    <s v="Average"/>
    <s v="Documentary"/>
    <x v="13"/>
  </r>
  <r>
    <s v="tt1000187"/>
    <s v="Final Adventures 80"/>
    <n v="1984"/>
    <n v="1980"/>
    <x v="0"/>
    <n v="161"/>
    <s v="Long"/>
    <s v="A critically acclaimed documentary masterpiece."/>
    <s v="Robert Zemeckis"/>
    <s v="Denzel Washington, Daniel Day-Lewis, Jack Nicholson, Christian Bale, Natalie Portman"/>
    <n v="22029"/>
    <m/>
    <n v="0"/>
    <s v="Average"/>
    <s v=" Mystery"/>
    <x v="4"/>
  </r>
  <r>
    <s v="tt1000187"/>
    <s v="Final Adventures 80"/>
    <n v="1984"/>
    <n v="1980"/>
    <x v="0"/>
    <n v="161"/>
    <s v="Long"/>
    <s v="A critically acclaimed documentary masterpiece."/>
    <s v="Robert Zemeckis"/>
    <s v="Denzel Washington, Daniel Day-Lewis, Jack Nicholson, Christian Bale, Natalie Portman"/>
    <n v="22029"/>
    <m/>
    <n v="0"/>
    <s v="Average"/>
    <s v=" Musical"/>
    <x v="1"/>
  </r>
  <r>
    <s v="tt1000006"/>
    <s v="Fight Club"/>
    <n v="1966"/>
    <n v="1960"/>
    <x v="1"/>
    <n v="101"/>
    <s v="Medium"/>
    <s v="A thrilling musical adventure."/>
    <s v="George Lucas"/>
    <s v="Mark Ruffalo, Margot Robbie, Amy Adams"/>
    <n v="323724"/>
    <n v="126.06"/>
    <n v="126.06"/>
    <s v="Hit"/>
    <s v="Musical"/>
    <x v="1"/>
  </r>
  <r>
    <s v="tt1000006"/>
    <s v="Fight Club"/>
    <n v="1966"/>
    <n v="1960"/>
    <x v="1"/>
    <n v="101"/>
    <s v="Medium"/>
    <s v="A thrilling musical adventure."/>
    <s v="George Lucas"/>
    <s v="Mark Ruffalo, Margot Robbie, Amy Adams"/>
    <n v="323724"/>
    <n v="126.06"/>
    <n v="126.06"/>
    <s v="Hit"/>
    <s v=" Action"/>
    <x v="0"/>
  </r>
  <r>
    <s v="tt1000033"/>
    <s v="Titanic"/>
    <n v="1940"/>
    <n v="1940"/>
    <x v="1"/>
    <n v="115"/>
    <s v="Medium"/>
    <s v="A musical film set in 1940."/>
    <s v="Steven Spielberg"/>
    <s v="Harrison Ford, Mark Ruffalo, Gary Oldman"/>
    <n v="19114"/>
    <n v="139.52000000000001"/>
    <n v="139.52000000000001"/>
    <s v="Hit"/>
    <s v="Musical"/>
    <x v="1"/>
  </r>
  <r>
    <s v="tt1000335"/>
    <s v="Dark Revolution 228"/>
    <n v="2012"/>
    <n v="2010"/>
    <x v="0"/>
    <n v="127"/>
    <s v="Long"/>
    <s v="An epic comedy tale directed by Spike Lee."/>
    <s v="Spike Lee"/>
    <s v="Tom Cruise, Amy Adams, Edward Norton"/>
    <n v="155244"/>
    <m/>
    <n v="0"/>
    <s v="Average"/>
    <s v="Comedy"/>
    <x v="15"/>
  </r>
  <r>
    <s v="tt1000335"/>
    <s v="Dark Revolution 228"/>
    <n v="2012"/>
    <n v="2010"/>
    <x v="0"/>
    <n v="127"/>
    <s v="Long"/>
    <s v="An epic comedy tale directed by Spike Lee."/>
    <s v="Spike Lee"/>
    <s v="Tom Cruise, Amy Adams, Edward Norton"/>
    <n v="155244"/>
    <m/>
    <n v="0"/>
    <s v="Average"/>
    <s v=" Thriller"/>
    <x v="17"/>
  </r>
  <r>
    <s v="tt1000348"/>
    <s v="Last Awakening 241"/>
    <n v="2003"/>
    <n v="2000"/>
    <x v="0"/>
    <n v="116"/>
    <s v="Medium"/>
    <s v="A sci-fi film set in 2003."/>
    <s v="Ridley Scott"/>
    <s v="Matt Damon, Margot Robbie, Robert Downey Jr., Cate Blanchett"/>
    <n v="159290"/>
    <n v="263.02"/>
    <n v="263.02"/>
    <s v="Blockbuster"/>
    <s v="Sci-Fi"/>
    <x v="16"/>
  </r>
  <r>
    <s v="tt1000348"/>
    <s v="Last Awakening 241"/>
    <n v="2003"/>
    <n v="2000"/>
    <x v="0"/>
    <n v="116"/>
    <s v="Medium"/>
    <s v="A sci-fi film set in 2003."/>
    <s v="Ridley Scott"/>
    <s v="Matt Damon, Margot Robbie, Robert Downey Jr., Cate Blanchett"/>
    <n v="159290"/>
    <n v="263.02"/>
    <n v="263.02"/>
    <s v="Blockbuster"/>
    <s v=" War"/>
    <x v="2"/>
  </r>
  <r>
    <s v="tt1000348"/>
    <s v="Last Awakening 241"/>
    <n v="2003"/>
    <n v="2000"/>
    <x v="0"/>
    <n v="116"/>
    <s v="Medium"/>
    <s v="A sci-fi film set in 2003."/>
    <s v="Ridley Scott"/>
    <s v="Matt Damon, Margot Robbie, Robert Downey Jr., Cate Blanchett"/>
    <n v="159290"/>
    <n v="263.02"/>
    <n v="263.02"/>
    <s v="Blockbuster"/>
    <s v=" Mystery"/>
    <x v="4"/>
  </r>
  <r>
    <s v="tt1000991"/>
    <s v="An Kingdom 884"/>
    <n v="2005"/>
    <n v="2000"/>
    <x v="4"/>
    <n v="159"/>
    <s v="Long"/>
    <s v="A adventure film set in 2005."/>
    <s v="Taika Waititi"/>
    <s v="TimothÃ©e Chalamet, Harrison Ford, Kate Winslet"/>
    <n v="70166"/>
    <n v="318.3"/>
    <n v="318.3"/>
    <s v="Blockbuster"/>
    <s v="Adventure"/>
    <x v="9"/>
  </r>
  <r>
    <s v="tt1000991"/>
    <s v="An Kingdom 884"/>
    <n v="2005"/>
    <n v="2000"/>
    <x v="4"/>
    <n v="159"/>
    <s v="Long"/>
    <s v="A adventure film set in 2005."/>
    <s v="Taika Waititi"/>
    <s v="TimothÃ©e Chalamet, Harrison Ford, Kate Winslet"/>
    <n v="70166"/>
    <n v="318.3"/>
    <n v="318.3"/>
    <s v="Blockbuster"/>
    <s v=" Comedy"/>
    <x v="15"/>
  </r>
  <r>
    <s v="tt1000117"/>
    <s v="First Empire 10"/>
    <n v="1989"/>
    <n v="1980"/>
    <x v="0"/>
    <n v="149"/>
    <s v="Long"/>
    <s v="An epic action tale directed by Wes Anderson."/>
    <s v="Wes Anderson"/>
    <s v="Harrison Ford, Amy Adams, Zendaya, Keanu Reeves, Chris Hemsworth"/>
    <n v="28261"/>
    <n v="128.47999999999999"/>
    <n v="128.47999999999999"/>
    <s v="Hit"/>
    <s v="Action"/>
    <x v="0"/>
  </r>
  <r>
    <s v="tt1000117"/>
    <s v="First Empire 10"/>
    <n v="1989"/>
    <n v="1980"/>
    <x v="0"/>
    <n v="149"/>
    <s v="Long"/>
    <s v="An epic action tale directed by Wes Anderson."/>
    <s v="Wes Anderson"/>
    <s v="Harrison Ford, Amy Adams, Zendaya, Keanu Reeves, Chris Hemsworth"/>
    <n v="28261"/>
    <n v="128.47999999999999"/>
    <n v="128.47999999999999"/>
    <s v="Hit"/>
    <s v=" Crime"/>
    <x v="6"/>
  </r>
  <r>
    <s v="tt1000125"/>
    <s v="A Love 18"/>
    <n v="1983"/>
    <n v="1980"/>
    <x v="1"/>
    <n v="104"/>
    <s v="Medium"/>
    <s v="A thrilling horror adventure."/>
    <s v="Quentin Tarantino"/>
    <s v="Denzel Washington, Jack Nicholson, Tom Hanks, Morgan Freeman, Gary Oldman"/>
    <n v="47296"/>
    <n v="196.91"/>
    <n v="196.91"/>
    <s v="Hit"/>
    <s v="Horror"/>
    <x v="12"/>
  </r>
  <r>
    <s v="tt1000537"/>
    <s v="Final Revolution 430"/>
    <n v="2002"/>
    <n v="2000"/>
    <x v="1"/>
    <n v="88"/>
    <s v="Short"/>
    <s v="A critically acclaimed musical masterpiece."/>
    <s v="Wong Kar-wai"/>
    <s v="Brad Pitt, Morgan Freeman, Viola Davis, Meryl Streep, Florence Pugh"/>
    <n v="53276"/>
    <n v="358.22"/>
    <n v="358.22"/>
    <s v="Blockbuster"/>
    <s v="Musical"/>
    <x v="1"/>
  </r>
  <r>
    <s v="tt1000537"/>
    <s v="Final Revolution 430"/>
    <n v="2002"/>
    <n v="2000"/>
    <x v="1"/>
    <n v="88"/>
    <s v="Short"/>
    <s v="A critically acclaimed musical masterpiece."/>
    <s v="Wong Kar-wai"/>
    <s v="Brad Pitt, Morgan Freeman, Viola Davis, Meryl Streep, Florence Pugh"/>
    <n v="53276"/>
    <n v="358.22"/>
    <n v="358.22"/>
    <s v="Blockbuster"/>
    <s v=" Horror"/>
    <x v="12"/>
  </r>
  <r>
    <s v="tt1000272"/>
    <s v="An Kingdom 165"/>
    <n v="2014"/>
    <n v="2010"/>
    <x v="3"/>
    <n v="125"/>
    <s v="Long"/>
    <s v="An epic action tale directed by Stanley Kubrick."/>
    <s v="Stanley Kubrick"/>
    <s v="Natalie Portman, Morgan Freeman, Al Pacino"/>
    <n v="67739"/>
    <n v="738.99"/>
    <n v="738.99"/>
    <s v="Blockbuster"/>
    <s v="Action"/>
    <x v="0"/>
  </r>
  <r>
    <s v="tt1000604"/>
    <s v="Dark Adventures 497"/>
    <n v="2018"/>
    <n v="2010"/>
    <x v="0"/>
    <n v="152"/>
    <s v="Long"/>
    <s v="A critically acclaimed thriller masterpiece."/>
    <s v="Quentin Tarantino"/>
    <s v="Harrison Ford, TimothÃ©e Chalamet, Tom Hanks, Scarlett Johansson, Robert Downey Jr."/>
    <n v="40022"/>
    <n v="793.27"/>
    <n v="793.27"/>
    <s v="Blockbuster"/>
    <s v="Thriller"/>
    <x v="17"/>
  </r>
  <r>
    <s v="tt1000737"/>
    <s v="Lost Revolution 630"/>
    <n v="2011"/>
    <n v="2010"/>
    <x v="2"/>
    <n v="132"/>
    <s v="Long"/>
    <s v="A comedy film set in 2011."/>
    <s v="Pedro AlmodÃ³var"/>
    <s v="Gary Oldman, Harrison Ford, Kate Winslet, Brad Pitt"/>
    <n v="30389"/>
    <m/>
    <n v="0"/>
    <s v="Average"/>
    <s v="Comedy"/>
    <x v="15"/>
  </r>
  <r>
    <s v="tt1000985"/>
    <s v="The Revolution 878"/>
    <n v="2006"/>
    <n v="2000"/>
    <x v="0"/>
    <n v="154"/>
    <s v="Long"/>
    <s v="A romance film set in 2006."/>
    <s v="David Fincher"/>
    <s v="Margot Robbie, Denzel Washington, Johnny Depp, Daniel Day-Lewis, Robert Downey Jr."/>
    <n v="41989"/>
    <n v="446.79"/>
    <n v="446.79"/>
    <s v="Blockbuster"/>
    <s v="Romance"/>
    <x v="7"/>
  </r>
  <r>
    <s v="tt1000985"/>
    <s v="The Revolution 878"/>
    <n v="2006"/>
    <n v="2000"/>
    <x v="0"/>
    <n v="154"/>
    <s v="Long"/>
    <s v="A romance film set in 2006."/>
    <s v="David Fincher"/>
    <s v="Margot Robbie, Denzel Washington, Johnny Depp, Daniel Day-Lewis, Robert Downey Jr."/>
    <n v="41989"/>
    <n v="446.79"/>
    <n v="446.79"/>
    <s v="Blockbuster"/>
    <s v=" Horror"/>
    <x v="12"/>
  </r>
  <r>
    <s v="tt1000404"/>
    <s v="Dark Mystery 297"/>
    <n v="2006"/>
    <n v="2000"/>
    <x v="1"/>
    <n v="105"/>
    <s v="Medium"/>
    <s v="An epic horror tale directed by Ryan Coogler."/>
    <s v="Ryan Coogler"/>
    <s v="Al Pacino, Chris Hemsworth, Scarlett Johansson"/>
    <n v="38467"/>
    <n v="118.55"/>
    <n v="118.55"/>
    <s v="Hit"/>
    <s v="Horror"/>
    <x v="12"/>
  </r>
  <r>
    <s v="tt1000744"/>
    <s v="Lost War 637"/>
    <n v="2017"/>
    <n v="2010"/>
    <x v="2"/>
    <n v="80"/>
    <s v="Short"/>
    <s v="An epic documentary tale directed by Hayao Miyazaki."/>
    <s v="Hayao Miyazaki"/>
    <s v="Johnny Depp, Scarlett Johansson, Tom Hanks"/>
    <n v="9732"/>
    <m/>
    <n v="0"/>
    <s v="Average"/>
    <s v="Documentary"/>
    <x v="13"/>
  </r>
  <r>
    <s v="tt1000090"/>
    <s v="Out of Africa"/>
    <n v="1995"/>
    <n v="1990"/>
    <x v="3"/>
    <n v="148"/>
    <s v="Long"/>
    <s v="A critically acclaimed horror masterpiece."/>
    <s v="Wes Anderson"/>
    <s v="Will Smith, Denzel Washington, Amy Adams"/>
    <n v="342746"/>
    <n v="171.87"/>
    <n v="171.87"/>
    <s v="Hit"/>
    <s v="Horror"/>
    <x v="12"/>
  </r>
  <r>
    <s v="tt1000090"/>
    <s v="Out of Africa"/>
    <n v="1995"/>
    <n v="1990"/>
    <x v="3"/>
    <n v="148"/>
    <s v="Long"/>
    <s v="A critically acclaimed horror masterpiece."/>
    <s v="Wes Anderson"/>
    <s v="Will Smith, Denzel Washington, Amy Adams"/>
    <n v="342746"/>
    <n v="171.87"/>
    <n v="171.87"/>
    <s v="Hit"/>
    <s v=" Adventure"/>
    <x v="9"/>
  </r>
  <r>
    <s v="tt1000074"/>
    <s v="A Beautiful Mind"/>
    <n v="1984"/>
    <n v="1980"/>
    <x v="0"/>
    <n v="133"/>
    <s v="Long"/>
    <s v="A biography film set in 1984."/>
    <s v="Clint Eastwood"/>
    <s v="Florence Pugh, Brad Pitt, Will Smith"/>
    <n v="17698"/>
    <m/>
    <n v="0"/>
    <s v="Average"/>
    <s v="Biography"/>
    <x v="5"/>
  </r>
  <r>
    <s v="tt1000047"/>
    <s v="Joker"/>
    <n v="1967"/>
    <n v="1960"/>
    <x v="0"/>
    <n v="146"/>
    <s v="Long"/>
    <s v="A musical film set in 1967."/>
    <s v="Frank Darabont"/>
    <s v="Gary Oldman, Harrison Ford, Meryl Streep, Florence Pugh, Al Pacino"/>
    <n v="47388"/>
    <m/>
    <n v="0"/>
    <s v="Average"/>
    <s v="Musical"/>
    <x v="1"/>
  </r>
  <r>
    <s v="tt1000940"/>
    <s v="First Story 833"/>
    <n v="2005"/>
    <n v="2000"/>
    <x v="0"/>
    <n v="114"/>
    <s v="Medium"/>
    <s v="An epic crime tale directed by Wong Kar-wai."/>
    <s v="Wong Kar-wai"/>
    <s v="Margot Robbie, Samuel L. Jackson, Natalie Portman, Tom Hanks"/>
    <n v="55639"/>
    <m/>
    <n v="0"/>
    <s v="Average"/>
    <s v="Crime"/>
    <x v="6"/>
  </r>
  <r>
    <s v="tt1000940"/>
    <s v="First Story 833"/>
    <n v="2005"/>
    <n v="2000"/>
    <x v="0"/>
    <n v="114"/>
    <s v="Medium"/>
    <s v="An epic crime tale directed by Wong Kar-wai."/>
    <s v="Wong Kar-wai"/>
    <s v="Margot Robbie, Samuel L. Jackson, Natalie Portman, Tom Hanks"/>
    <n v="55639"/>
    <m/>
    <n v="0"/>
    <s v="Average"/>
    <s v=" Western"/>
    <x v="11"/>
  </r>
  <r>
    <s v="tt1000477"/>
    <s v="Dark Adventures 370"/>
    <n v="2018"/>
    <n v="2010"/>
    <x v="5"/>
    <n v="136"/>
    <s v="Long"/>
    <s v="A critically acclaimed animation masterpiece."/>
    <s v="Alfred Hitchcock"/>
    <s v="Amy Adams, Matt Damon, Denzel Washington, Morgan Freeman"/>
    <n v="24968"/>
    <n v="796.22"/>
    <n v="796.22"/>
    <s v="Blockbuster"/>
    <s v="Animation"/>
    <x v="3"/>
  </r>
  <r>
    <s v="tt1000477"/>
    <s v="Dark Adventures 370"/>
    <n v="2018"/>
    <n v="2010"/>
    <x v="5"/>
    <n v="136"/>
    <s v="Long"/>
    <s v="A critically acclaimed animation masterpiece."/>
    <s v="Alfred Hitchcock"/>
    <s v="Amy Adams, Matt Damon, Denzel Washington, Morgan Freeman"/>
    <n v="24968"/>
    <n v="796.22"/>
    <n v="796.22"/>
    <s v="Blockbuster"/>
    <s v=" War"/>
    <x v="2"/>
  </r>
  <r>
    <s v="tt1000477"/>
    <s v="Dark Adventures 370"/>
    <n v="2018"/>
    <n v="2010"/>
    <x v="5"/>
    <n v="136"/>
    <s v="Long"/>
    <s v="A critically acclaimed animation masterpiece."/>
    <s v="Alfred Hitchcock"/>
    <s v="Amy Adams, Matt Damon, Denzel Washington, Morgan Freeman"/>
    <n v="24968"/>
    <n v="796.22"/>
    <n v="796.22"/>
    <s v="Blockbuster"/>
    <s v=" Adventure"/>
    <x v="9"/>
  </r>
  <r>
    <s v="tt1000191"/>
    <s v="First Kingdom 84"/>
    <n v="1984"/>
    <n v="1980"/>
    <x v="2"/>
    <n v="115"/>
    <s v="Medium"/>
    <s v="A comedy film set in 1984."/>
    <s v="Alfred Hitchcock"/>
    <s v="Robert De Niro, Amy Adams, Mark Ruffalo"/>
    <n v="1302"/>
    <m/>
    <n v="0"/>
    <s v="Average"/>
    <s v="Comedy"/>
    <x v="15"/>
  </r>
  <r>
    <s v="tt1000191"/>
    <s v="First Kingdom 84"/>
    <n v="1984"/>
    <n v="1980"/>
    <x v="2"/>
    <n v="115"/>
    <s v="Medium"/>
    <s v="A comedy film set in 1984."/>
    <s v="Alfred Hitchcock"/>
    <s v="Robert De Niro, Amy Adams, Mark Ruffalo"/>
    <n v="1302"/>
    <m/>
    <n v="0"/>
    <s v="Average"/>
    <s v=" Crime"/>
    <x v="6"/>
  </r>
  <r>
    <s v="tt1000894"/>
    <s v="Last Dreams 787"/>
    <n v="2022"/>
    <n v="2020"/>
    <x v="3"/>
    <n v="113"/>
    <s v="Medium"/>
    <s v="A critically acclaimed adventure masterpiece."/>
    <s v="Kathryn Bigelow"/>
    <s v="Zendaya, Al Pacino, Meryl Streep, Christian Bale"/>
    <n v="98971"/>
    <n v="496"/>
    <n v="496"/>
    <s v="Blockbuster"/>
    <s v="Adventure"/>
    <x v="9"/>
  </r>
  <r>
    <s v="tt1000812"/>
    <s v="First Destiny 705"/>
    <n v="2021"/>
    <n v="2020"/>
    <x v="2"/>
    <n v="117"/>
    <s v="Medium"/>
    <s v="An epic adventure tale directed by Steven Spielberg."/>
    <s v="Steven Spielberg"/>
    <s v="Amy Adams, Johnny Depp, Will Smith, TimothÃ©e Chalamet"/>
    <n v="31096"/>
    <m/>
    <n v="0"/>
    <s v="Average"/>
    <s v="Adventure"/>
    <x v="9"/>
  </r>
  <r>
    <s v="tt1000192"/>
    <s v="A Mission 85"/>
    <n v="1996"/>
    <n v="1990"/>
    <x v="0"/>
    <n v="124"/>
    <s v="Long"/>
    <s v="A thrilling horror adventure."/>
    <s v="Stanley Kubrick"/>
    <s v="Anthony Hopkins, Chris Hemsworth, Scarlett Johansson, Jennifer Lawrence, Robert Downey Jr."/>
    <n v="6516"/>
    <m/>
    <n v="0"/>
    <s v="Average"/>
    <s v="Horror"/>
    <x v="12"/>
  </r>
  <r>
    <s v="tt1000938"/>
    <s v="An Revolution 831"/>
    <n v="2024"/>
    <n v="2020"/>
    <x v="1"/>
    <n v="156"/>
    <s v="Long"/>
    <s v="A comedy film set in 2024."/>
    <s v="David Fincher"/>
    <s v="Anthony Hopkins, Leonardo DiCaprio, Christian Bale, Florence Pugh"/>
    <n v="123389"/>
    <n v="346.51"/>
    <n v="346.51"/>
    <s v="Blockbuster"/>
    <s v="Comedy"/>
    <x v="15"/>
  </r>
  <r>
    <s v="tt1000523"/>
    <s v="Last Dreams 416"/>
    <n v="2011"/>
    <n v="2010"/>
    <x v="2"/>
    <n v="109"/>
    <s v="Medium"/>
    <s v="A thrilling war adventure."/>
    <s v="Coen Brothers"/>
    <s v="Gary Oldman, Mark Ruffalo, Viola Davis, Harrison Ford"/>
    <n v="9123"/>
    <n v="217.68"/>
    <n v="217.68"/>
    <s v="Blockbuster"/>
    <s v="War"/>
    <x v="2"/>
  </r>
  <r>
    <s v="tt1000523"/>
    <s v="Last Dreams 416"/>
    <n v="2011"/>
    <n v="2010"/>
    <x v="2"/>
    <n v="109"/>
    <s v="Medium"/>
    <s v="A thrilling war adventure."/>
    <s v="Coen Brothers"/>
    <s v="Gary Oldman, Mark Ruffalo, Viola Davis, Harrison Ford"/>
    <n v="9123"/>
    <n v="217.68"/>
    <n v="217.68"/>
    <s v="Blockbuster"/>
    <s v=" Mystery"/>
    <x v="4"/>
  </r>
  <r>
    <s v="tt1000493"/>
    <s v="Lost Secrets 386"/>
    <n v="2022"/>
    <n v="2020"/>
    <x v="4"/>
    <n v="111"/>
    <s v="Medium"/>
    <s v="An epic documentary tale directed by George Lucas."/>
    <s v="George Lucas"/>
    <s v="Matt Damon, Robert De Niro, Florence Pugh"/>
    <n v="34226"/>
    <n v="179.08"/>
    <n v="179.08"/>
    <s v="Hit"/>
    <s v="Documentary"/>
    <x v="13"/>
  </r>
  <r>
    <s v="tt1000493"/>
    <s v="Lost Secrets 386"/>
    <n v="2022"/>
    <n v="2020"/>
    <x v="4"/>
    <n v="111"/>
    <s v="Medium"/>
    <s v="An epic documentary tale directed by George Lucas."/>
    <s v="George Lucas"/>
    <s v="Matt Damon, Robert De Niro, Florence Pugh"/>
    <n v="34226"/>
    <n v="179.08"/>
    <n v="179.08"/>
    <s v="Hit"/>
    <s v=" Action"/>
    <x v="0"/>
  </r>
  <r>
    <s v="tt1000493"/>
    <s v="Lost Secrets 386"/>
    <n v="2022"/>
    <n v="2020"/>
    <x v="4"/>
    <n v="111"/>
    <s v="Medium"/>
    <s v="An epic documentary tale directed by George Lucas."/>
    <s v="George Lucas"/>
    <s v="Matt Damon, Robert De Niro, Florence Pugh"/>
    <n v="34226"/>
    <n v="179.08"/>
    <n v="179.08"/>
    <s v="Hit"/>
    <s v=" Western"/>
    <x v="11"/>
  </r>
  <r>
    <s v="tt1000521"/>
    <s v="Dark Awakening 414"/>
    <n v="2013"/>
    <n v="2010"/>
    <x v="1"/>
    <n v="137"/>
    <s v="Long"/>
    <s v="An epic romance tale directed by Spike Lee."/>
    <s v="Spike Lee"/>
    <s v="Florence Pugh, Samuel L. Jackson, Robert De Niro, Leonardo DiCaprio"/>
    <n v="39261"/>
    <n v="336.96"/>
    <n v="336.96"/>
    <s v="Blockbuster"/>
    <s v="Romance"/>
    <x v="7"/>
  </r>
  <r>
    <s v="tt1000521"/>
    <s v="Dark Awakening 414"/>
    <n v="2013"/>
    <n v="2010"/>
    <x v="1"/>
    <n v="137"/>
    <s v="Long"/>
    <s v="An epic romance tale directed by Spike Lee."/>
    <s v="Spike Lee"/>
    <s v="Florence Pugh, Samuel L. Jackson, Robert De Niro, Leonardo DiCaprio"/>
    <n v="39261"/>
    <n v="336.96"/>
    <n v="336.96"/>
    <s v="Blockbuster"/>
    <s v=" Biography"/>
    <x v="5"/>
  </r>
  <r>
    <s v="tt1000302"/>
    <s v="Lost Chronicles 195"/>
    <n v="2004"/>
    <n v="2000"/>
    <x v="0"/>
    <n v="92"/>
    <s v="Medium"/>
    <s v="A thrilling horror adventure."/>
    <s v="Kathryn Bigelow"/>
    <s v="Johnny Depp, Zendaya, Robert Downey Jr."/>
    <n v="157664"/>
    <m/>
    <n v="0"/>
    <s v="Average"/>
    <s v="Horror"/>
    <x v="12"/>
  </r>
  <r>
    <s v="tt1000302"/>
    <s v="Lost Chronicles 195"/>
    <n v="2004"/>
    <n v="2000"/>
    <x v="0"/>
    <n v="92"/>
    <s v="Medium"/>
    <s v="A thrilling horror adventure."/>
    <s v="Kathryn Bigelow"/>
    <s v="Johnny Depp, Zendaya, Robert Downey Jr."/>
    <n v="157664"/>
    <m/>
    <n v="0"/>
    <s v="Average"/>
    <s v=" Fantasy"/>
    <x v="8"/>
  </r>
  <r>
    <s v="tt1000485"/>
    <s v="Lost Secrets 378"/>
    <n v="2013"/>
    <n v="2010"/>
    <x v="0"/>
    <n v="84"/>
    <s v="Short"/>
    <s v="A critically acclaimed adventure masterpiece."/>
    <s v="Clint Eastwood"/>
    <s v="Edward Norton, Johnny Depp, Harrison Ford, Natalie Portman, Robert De Niro"/>
    <n v="106057"/>
    <n v="134.93"/>
    <n v="134.93"/>
    <s v="Hit"/>
    <s v="Adventure"/>
    <x v="9"/>
  </r>
  <r>
    <s v="tt1000485"/>
    <s v="Lost Secrets 378"/>
    <n v="2013"/>
    <n v="2010"/>
    <x v="0"/>
    <n v="84"/>
    <s v="Short"/>
    <s v="A critically acclaimed adventure masterpiece."/>
    <s v="Clint Eastwood"/>
    <s v="Edward Norton, Johnny Depp, Harrison Ford, Natalie Portman, Robert De Niro"/>
    <n v="106057"/>
    <n v="134.93"/>
    <n v="134.93"/>
    <s v="Hit"/>
    <s v=" Animation"/>
    <x v="3"/>
  </r>
  <r>
    <s v="tt1000820"/>
    <s v="Dark Mission 713"/>
    <n v="2013"/>
    <n v="2010"/>
    <x v="2"/>
    <n v="121"/>
    <s v="Long"/>
    <s v="A thrilling romance adventure."/>
    <s v="Steven Spielberg"/>
    <s v="Gary Oldman, Al Pacino, Florence Pugh"/>
    <n v="123423"/>
    <m/>
    <n v="0"/>
    <s v="Average"/>
    <s v="Romance"/>
    <x v="7"/>
  </r>
  <r>
    <s v="tt1000820"/>
    <s v="Dark Mission 713"/>
    <n v="2013"/>
    <n v="2010"/>
    <x v="2"/>
    <n v="121"/>
    <s v="Long"/>
    <s v="A thrilling romance adventure."/>
    <s v="Steven Spielberg"/>
    <s v="Gary Oldman, Al Pacino, Florence Pugh"/>
    <n v="123423"/>
    <m/>
    <n v="0"/>
    <s v="Average"/>
    <s v=" Horror"/>
    <x v="12"/>
  </r>
  <r>
    <s v="tt1000820"/>
    <s v="Dark Mission 713"/>
    <n v="2013"/>
    <n v="2010"/>
    <x v="2"/>
    <n v="121"/>
    <s v="Long"/>
    <s v="A thrilling romance adventure."/>
    <s v="Steven Spielberg"/>
    <s v="Gary Oldman, Al Pacino, Florence Pugh"/>
    <n v="123423"/>
    <m/>
    <n v="0"/>
    <s v="Average"/>
    <s v=" Crime"/>
    <x v="6"/>
  </r>
  <r>
    <s v="tt1000803"/>
    <s v="The War 696"/>
    <n v="2002"/>
    <n v="2000"/>
    <x v="3"/>
    <n v="97"/>
    <s v="Medium"/>
    <s v="A critically acclaimed comedy masterpiece."/>
    <s v="Ridley Scott"/>
    <s v="Jennifer Lawrence, Robert De Niro, Matt Damon"/>
    <n v="601329"/>
    <m/>
    <n v="0"/>
    <s v="Average"/>
    <s v="Comedy"/>
    <x v="15"/>
  </r>
  <r>
    <s v="tt1000803"/>
    <s v="The War 696"/>
    <n v="2002"/>
    <n v="2000"/>
    <x v="3"/>
    <n v="97"/>
    <s v="Medium"/>
    <s v="A critically acclaimed comedy masterpiece."/>
    <s v="Ridley Scott"/>
    <s v="Jennifer Lawrence, Robert De Niro, Matt Damon"/>
    <n v="601329"/>
    <m/>
    <n v="0"/>
    <s v="Average"/>
    <s v=" Mystery"/>
    <x v="4"/>
  </r>
  <r>
    <s v="tt1000803"/>
    <s v="The War 696"/>
    <n v="2002"/>
    <n v="2000"/>
    <x v="3"/>
    <n v="97"/>
    <s v="Medium"/>
    <s v="A critically acclaimed comedy masterpiece."/>
    <s v="Ridley Scott"/>
    <s v="Jennifer Lawrence, Robert De Niro, Matt Damon"/>
    <n v="601329"/>
    <m/>
    <n v="0"/>
    <s v="Average"/>
    <s v=" Thriller"/>
    <x v="17"/>
  </r>
  <r>
    <s v="tt1000802"/>
    <s v="Final War 695"/>
    <n v="2021"/>
    <n v="2020"/>
    <x v="0"/>
    <n v="94"/>
    <s v="Medium"/>
    <s v="An epic documentary tale directed by Ava DuVernay."/>
    <s v="Ava DuVernay"/>
    <s v="Zendaya, Samuel L. Jackson, Mark Ruffalo"/>
    <n v="202216"/>
    <n v="193.82"/>
    <n v="193.82"/>
    <s v="Hit"/>
    <s v="Documentary"/>
    <x v="13"/>
  </r>
  <r>
    <s v="tt1000802"/>
    <s v="Final War 695"/>
    <n v="2021"/>
    <n v="2020"/>
    <x v="0"/>
    <n v="94"/>
    <s v="Medium"/>
    <s v="An epic documentary tale directed by Ava DuVernay."/>
    <s v="Ava DuVernay"/>
    <s v="Zendaya, Samuel L. Jackson, Mark Ruffalo"/>
    <n v="202216"/>
    <n v="193.82"/>
    <n v="193.82"/>
    <s v="Hit"/>
    <s v=" War"/>
    <x v="2"/>
  </r>
  <r>
    <s v="tt1000620"/>
    <s v="Dark Destiny 513"/>
    <n v="2008"/>
    <n v="2000"/>
    <x v="2"/>
    <n v="117"/>
    <s v="Medium"/>
    <s v="A thrilling adventure adventure."/>
    <s v="Quentin Tarantino"/>
    <s v="Morgan Freeman, Meryl Streep, Matt Damon"/>
    <n v="196857"/>
    <n v="252.52"/>
    <n v="252.52"/>
    <s v="Blockbuster"/>
    <s v="Adventure"/>
    <x v="9"/>
  </r>
  <r>
    <s v="tt1000683"/>
    <s v="First War 576"/>
    <n v="2003"/>
    <n v="2000"/>
    <x v="1"/>
    <n v="123"/>
    <s v="Long"/>
    <s v="A thrilling thriller adventure."/>
    <s v="Christopher Nolan"/>
    <s v="Margot Robbie, Brad Pitt, Keanu Reeves"/>
    <n v="16306"/>
    <n v="50.49"/>
    <n v="50.49"/>
    <s v="Average"/>
    <s v="Thriller"/>
    <x v="17"/>
  </r>
  <r>
    <s v="tt1000683"/>
    <s v="First War 576"/>
    <n v="2003"/>
    <n v="2000"/>
    <x v="1"/>
    <n v="123"/>
    <s v="Long"/>
    <s v="A thrilling thriller adventure."/>
    <s v="Christopher Nolan"/>
    <s v="Margot Robbie, Brad Pitt, Keanu Reeves"/>
    <n v="16306"/>
    <n v="50.49"/>
    <n v="50.49"/>
    <s v="Average"/>
    <s v=" Animation"/>
    <x v="3"/>
  </r>
  <r>
    <s v="tt1000640"/>
    <s v="An Empire 533"/>
    <n v="2001"/>
    <n v="2000"/>
    <x v="0"/>
    <n v="80"/>
    <s v="Short"/>
    <s v="A critically acclaimed fantasy masterpiece."/>
    <s v="Denis Villeneuve"/>
    <s v="Scarlett Johansson, Robert Downey Jr., Viola Davis, Daniel Day-Lewis"/>
    <n v="11978"/>
    <n v="138.91"/>
    <n v="138.91"/>
    <s v="Hit"/>
    <s v="Fantasy"/>
    <x v="8"/>
  </r>
  <r>
    <s v="tt1000640"/>
    <s v="An Empire 533"/>
    <n v="2001"/>
    <n v="2000"/>
    <x v="0"/>
    <n v="80"/>
    <s v="Short"/>
    <s v="A critically acclaimed fantasy masterpiece."/>
    <s v="Denis Villeneuve"/>
    <s v="Scarlett Johansson, Robert Downey Jr., Viola Davis, Daniel Day-Lewis"/>
    <n v="11978"/>
    <n v="138.91"/>
    <n v="138.91"/>
    <s v="Hit"/>
    <s v=" Biography"/>
    <x v="5"/>
  </r>
  <r>
    <s v="tt1000624"/>
    <s v="First Story 517"/>
    <n v="2023"/>
    <n v="2020"/>
    <x v="1"/>
    <n v="113"/>
    <s v="Medium"/>
    <s v="A thrilling crime adventure."/>
    <s v="Martin Scorsese"/>
    <s v="Johnny Depp, Anthony Hopkins, Al Pacino, Robert De Niro, Scarlett Johansson"/>
    <n v="427394"/>
    <n v="294.93"/>
    <n v="294.93"/>
    <s v="Blockbuster"/>
    <s v="Crime"/>
    <x v="6"/>
  </r>
  <r>
    <s v="tt1000624"/>
    <s v="First Story 517"/>
    <n v="2023"/>
    <n v="2020"/>
    <x v="1"/>
    <n v="113"/>
    <s v="Medium"/>
    <s v="A thrilling crime adventure."/>
    <s v="Martin Scorsese"/>
    <s v="Johnny Depp, Anthony Hopkins, Al Pacino, Robert De Niro, Scarlett Johansson"/>
    <n v="427394"/>
    <n v="294.93"/>
    <n v="294.93"/>
    <s v="Blockbuster"/>
    <s v=" Animation"/>
    <x v="3"/>
  </r>
  <r>
    <s v="tt1000594"/>
    <s v="Last Secrets 487"/>
    <n v="2007"/>
    <n v="2000"/>
    <x v="0"/>
    <n v="89"/>
    <s v="Short"/>
    <s v="An epic western tale directed by Steven Spielberg."/>
    <s v="Steven Spielberg"/>
    <s v="Johnny Depp, Jennifer Lawrence, Christian Bale"/>
    <n v="67755"/>
    <m/>
    <n v="0"/>
    <s v="Average"/>
    <s v="Western"/>
    <x v="11"/>
  </r>
  <r>
    <s v="tt1000594"/>
    <s v="Last Secrets 487"/>
    <n v="2007"/>
    <n v="2000"/>
    <x v="0"/>
    <n v="89"/>
    <s v="Short"/>
    <s v="An epic western tale directed by Steven Spielberg."/>
    <s v="Steven Spielberg"/>
    <s v="Johnny Depp, Jennifer Lawrence, Christian Bale"/>
    <n v="67755"/>
    <m/>
    <n v="0"/>
    <s v="Average"/>
    <s v=" Thriller"/>
    <x v="17"/>
  </r>
  <r>
    <s v="tt1000671"/>
    <s v="First Story 564"/>
    <n v="2010"/>
    <n v="2010"/>
    <x v="2"/>
    <n v="101"/>
    <s v="Medium"/>
    <s v="A critically acclaimed crime masterpiece."/>
    <s v="Kathryn Bigelow"/>
    <s v="Kate Winslet, Samuel L. Jackson, Al Pacino, Viola Davis"/>
    <n v="44768"/>
    <n v="419.28"/>
    <n v="419.28"/>
    <s v="Blockbuster"/>
    <s v="Crime"/>
    <x v="6"/>
  </r>
  <r>
    <s v="tt1000663"/>
    <s v="The Love 556"/>
    <n v="2006"/>
    <n v="2000"/>
    <x v="0"/>
    <n v="128"/>
    <s v="Long"/>
    <s v="A drama film set in 2006."/>
    <s v="George Lucas"/>
    <s v="Leonardo DiCaprio, Chris Hemsworth, TimothÃ©e Chalamet"/>
    <n v="185616"/>
    <n v="97.71"/>
    <n v="97.71"/>
    <s v="Average"/>
    <s v="Drama"/>
    <x v="14"/>
  </r>
  <r>
    <s v="tt1000663"/>
    <s v="The Love 556"/>
    <n v="2006"/>
    <n v="2000"/>
    <x v="0"/>
    <n v="128"/>
    <s v="Long"/>
    <s v="A drama film set in 2006."/>
    <s v="George Lucas"/>
    <s v="Leonardo DiCaprio, Chris Hemsworth, TimothÃ©e Chalamet"/>
    <n v="185616"/>
    <n v="97.71"/>
    <n v="97.71"/>
    <s v="Average"/>
    <s v=" Crime"/>
    <x v="6"/>
  </r>
  <r>
    <s v="tt1000104"/>
    <s v="Patton"/>
    <n v="1993"/>
    <n v="1990"/>
    <x v="1"/>
    <n v="136"/>
    <s v="Long"/>
    <s v="A family film set in 1993."/>
    <s v="George Lucas"/>
    <s v="Harrison Ford, Amy Adams, Jennifer Lawrence, Chris Hemsworth"/>
    <n v="424309"/>
    <m/>
    <n v="0"/>
    <s v="Average"/>
    <s v="Family"/>
    <x v="10"/>
  </r>
  <r>
    <s v="tt1000104"/>
    <s v="Patton"/>
    <n v="1993"/>
    <n v="1990"/>
    <x v="1"/>
    <n v="136"/>
    <s v="Long"/>
    <s v="A family film set in 1993."/>
    <s v="George Lucas"/>
    <s v="Harrison Ford, Amy Adams, Jennifer Lawrence, Chris Hemsworth"/>
    <n v="424309"/>
    <m/>
    <n v="0"/>
    <s v="Average"/>
    <s v=" Action"/>
    <x v="0"/>
  </r>
  <r>
    <s v="tt1000461"/>
    <s v="Lost Revolution 354"/>
    <n v="2003"/>
    <n v="2000"/>
    <x v="1"/>
    <n v="107"/>
    <s v="Medium"/>
    <s v="A action film set in 2003."/>
    <s v="Bong Joon-ho"/>
    <s v="Gary Oldman, Kate Winslet, Jack Nicholson, Christian Bale"/>
    <n v="93801"/>
    <n v="409.04"/>
    <n v="409.04"/>
    <s v="Blockbuster"/>
    <s v="Action"/>
    <x v="0"/>
  </r>
  <r>
    <s v="tt1000353"/>
    <s v="First Revolution 246"/>
    <n v="2001"/>
    <n v="2000"/>
    <x v="3"/>
    <n v="112"/>
    <s v="Medium"/>
    <s v="A biography film set in 2001."/>
    <s v="Hayao Miyazaki"/>
    <s v="Anthony Hopkins, Chris Hemsworth, Daniel Day-Lewis, Florence Pugh, Brad Pitt"/>
    <n v="1000"/>
    <n v="466.22"/>
    <n v="466.22"/>
    <s v="Blockbuster"/>
    <s v="Biography"/>
    <x v="5"/>
  </r>
  <r>
    <s v="tt1000353"/>
    <s v="First Revolution 246"/>
    <n v="2001"/>
    <n v="2000"/>
    <x v="3"/>
    <n v="112"/>
    <s v="Medium"/>
    <s v="A biography film set in 2001."/>
    <s v="Hayao Miyazaki"/>
    <s v="Anthony Hopkins, Chris Hemsworth, Daniel Day-Lewis, Florence Pugh, Brad Pitt"/>
    <n v="1000"/>
    <n v="466.22"/>
    <n v="466.22"/>
    <s v="Blockbuster"/>
    <s v=" Action"/>
    <x v="0"/>
  </r>
  <r>
    <s v="tt1000968"/>
    <s v="First Dreams 861"/>
    <n v="2017"/>
    <n v="2010"/>
    <x v="2"/>
    <n v="89"/>
    <s v="Short"/>
    <s v="An epic crime tale directed by Pedro AlmodÃ³var."/>
    <s v="Pedro AlmodÃ³var"/>
    <s v="Mark Ruffalo, Tom Cruise, Brad Pitt, Gary Oldman, Meryl Streep"/>
    <n v="32071"/>
    <n v="268.63"/>
    <n v="268.63"/>
    <s v="Blockbuster"/>
    <s v="Crime"/>
    <x v="6"/>
  </r>
  <r>
    <s v="tt1000968"/>
    <s v="First Dreams 861"/>
    <n v="2017"/>
    <n v="2010"/>
    <x v="2"/>
    <n v="89"/>
    <s v="Short"/>
    <s v="An epic crime tale directed by Pedro AlmodÃ³var."/>
    <s v="Pedro AlmodÃ³var"/>
    <s v="Mark Ruffalo, Tom Cruise, Brad Pitt, Gary Oldman, Meryl Streep"/>
    <n v="32071"/>
    <n v="268.63"/>
    <n v="268.63"/>
    <s v="Blockbuster"/>
    <s v=" Mystery"/>
    <x v="4"/>
  </r>
  <r>
    <s v="tt1000016"/>
    <s v="Gladiator"/>
    <n v="1969"/>
    <n v="1960"/>
    <x v="0"/>
    <n v="126"/>
    <s v="Long"/>
    <s v="A thrilling romance adventure."/>
    <s v="Kathryn Bigelow"/>
    <s v="Scarlett Johansson, Brad Pitt, Amy Adams, Johnny Depp"/>
    <n v="58413"/>
    <n v="124.6"/>
    <n v="124.6"/>
    <s v="Hit"/>
    <s v="Romance"/>
    <x v="7"/>
  </r>
  <r>
    <s v="tt1000016"/>
    <s v="Gladiator"/>
    <n v="1969"/>
    <n v="1960"/>
    <x v="0"/>
    <n v="126"/>
    <s v="Long"/>
    <s v="A thrilling romance adventure."/>
    <s v="Kathryn Bigelow"/>
    <s v="Scarlett Johansson, Brad Pitt, Amy Adams, Johnny Depp"/>
    <n v="58413"/>
    <n v="124.6"/>
    <n v="124.6"/>
    <s v="Hit"/>
    <s v=" Thriller"/>
    <x v="17"/>
  </r>
  <r>
    <s v="tt1000326"/>
    <s v="Last Kingdom 219"/>
    <n v="2003"/>
    <n v="2000"/>
    <x v="3"/>
    <n v="88"/>
    <s v="Short"/>
    <s v="A thrilling sci-fi adventure."/>
    <s v="Quentin Tarantino"/>
    <s v="Viola Davis, Tom Hanks, Matt Damon"/>
    <n v="194599"/>
    <n v="249.78"/>
    <n v="249.78"/>
    <s v="Blockbuster"/>
    <s v="Sci-Fi"/>
    <x v="16"/>
  </r>
  <r>
    <s v="tt1000899"/>
    <s v="Final Revolution 792"/>
    <n v="2015"/>
    <n v="2010"/>
    <x v="5"/>
    <n v="93"/>
    <s v="Medium"/>
    <s v="An epic family tale directed by Guillermo del Toro."/>
    <s v="Guillermo del Toro"/>
    <s v="Meryl Streep, Florence Pugh, Christian Bale, Daniel Day-Lewis"/>
    <n v="439503"/>
    <n v="70.08"/>
    <n v="70.08"/>
    <s v="Average"/>
    <s v="Family"/>
    <x v="10"/>
  </r>
  <r>
    <s v="tt1000899"/>
    <s v="Final Revolution 792"/>
    <n v="2015"/>
    <n v="2010"/>
    <x v="5"/>
    <n v="93"/>
    <s v="Medium"/>
    <s v="An epic family tale directed by Guillermo del Toro."/>
    <s v="Guillermo del Toro"/>
    <s v="Meryl Streep, Florence Pugh, Christian Bale, Daniel Day-Lewis"/>
    <n v="439503"/>
    <n v="70.08"/>
    <n v="70.08"/>
    <s v="Average"/>
    <s v=" Romance"/>
    <x v="7"/>
  </r>
  <r>
    <s v="tt1000954"/>
    <s v="An Mission 847"/>
    <n v="2024"/>
    <n v="2020"/>
    <x v="2"/>
    <n v="97"/>
    <s v="Medium"/>
    <s v="A animation film set in 2024."/>
    <s v="Edgar Wright"/>
    <s v="Zendaya, Florence Pugh, Robert Downey Jr."/>
    <n v="110515"/>
    <n v="236.36"/>
    <n v="236.36"/>
    <s v="Blockbuster"/>
    <s v="Animation"/>
    <x v="3"/>
  </r>
  <r>
    <s v="tt1000004"/>
    <s v="Schindler's List"/>
    <n v="1972"/>
    <n v="1970"/>
    <x v="0"/>
    <n v="124"/>
    <s v="Long"/>
    <s v="An epic drama tale directed by James Cameron."/>
    <s v="James Cameron"/>
    <s v="Chris Hemsworth, Tom Hanks, Amy Adams, Samuel L. Jackson"/>
    <n v="2701"/>
    <n v="214.08"/>
    <n v="214.08"/>
    <s v="Blockbuster"/>
    <s v="Drama"/>
    <x v="14"/>
  </r>
  <r>
    <s v="tt1000216"/>
    <s v="An Quest 109"/>
    <n v="2024"/>
    <n v="2020"/>
    <x v="1"/>
    <n v="115"/>
    <s v="Medium"/>
    <s v="A critically acclaimed thriller masterpiece."/>
    <s v="Christopher Nolan"/>
    <s v="Anthony Hopkins, Denzel Washington, Chris Hemsworth, Tom Cruise, Meryl Streep"/>
    <n v="958796"/>
    <n v="441.1"/>
    <n v="441.1"/>
    <s v="Blockbuster"/>
    <s v="Thriller"/>
    <x v="17"/>
  </r>
  <r>
    <s v="tt1000216"/>
    <s v="An Quest 109"/>
    <n v="2024"/>
    <n v="2020"/>
    <x v="1"/>
    <n v="115"/>
    <s v="Medium"/>
    <s v="A critically acclaimed thriller masterpiece."/>
    <s v="Christopher Nolan"/>
    <s v="Anthony Hopkins, Denzel Washington, Chris Hemsworth, Tom Cruise, Meryl Streep"/>
    <n v="958796"/>
    <n v="441.1"/>
    <n v="441.1"/>
    <s v="Blockbuster"/>
    <s v=" Fantasy"/>
    <x v="8"/>
  </r>
  <r>
    <s v="tt1000229"/>
    <s v="Final Revolution 122"/>
    <n v="2003"/>
    <n v="2000"/>
    <x v="2"/>
    <n v="112"/>
    <s v="Medium"/>
    <s v="A thrilling horror adventure."/>
    <s v="Steven Spielberg"/>
    <s v="Al Pacino, Amy Adams, Brad Pitt, Keanu Reeves"/>
    <n v="116587"/>
    <n v="22.84"/>
    <n v="22.84"/>
    <s v="Average"/>
    <s v="Horror"/>
    <x v="12"/>
  </r>
  <r>
    <s v="tt1000229"/>
    <s v="Final Revolution 122"/>
    <n v="2003"/>
    <n v="2000"/>
    <x v="2"/>
    <n v="112"/>
    <s v="Medium"/>
    <s v="A thrilling horror adventure."/>
    <s v="Steven Spielberg"/>
    <s v="Al Pacino, Amy Adams, Brad Pitt, Keanu Reeves"/>
    <n v="116587"/>
    <n v="22.84"/>
    <n v="22.84"/>
    <s v="Average"/>
    <s v=" Fantasy"/>
    <x v="8"/>
  </r>
  <r>
    <s v="tt1000229"/>
    <s v="Final Revolution 122"/>
    <n v="2003"/>
    <n v="2000"/>
    <x v="2"/>
    <n v="112"/>
    <s v="Medium"/>
    <s v="A thrilling horror adventure."/>
    <s v="Steven Spielberg"/>
    <s v="Al Pacino, Amy Adams, Brad Pitt, Keanu Reeves"/>
    <n v="116587"/>
    <n v="22.84"/>
    <n v="22.84"/>
    <s v="Average"/>
    <s v=" Documentary"/>
    <x v="13"/>
  </r>
  <r>
    <s v="tt1000228"/>
    <s v="Last Secrets 121"/>
    <n v="2024"/>
    <n v="2020"/>
    <x v="2"/>
    <n v="95"/>
    <s v="Medium"/>
    <s v="A critically acclaimed mystery masterpiece."/>
    <s v="Peter Jackson"/>
    <s v="Tom Hanks, Margot Robbie, Gary Oldman, Chris Hemsworth, Kate Winslet"/>
    <n v="41752"/>
    <n v="467.18"/>
    <n v="467.18"/>
    <s v="Blockbuster"/>
    <s v="Mystery"/>
    <x v="4"/>
  </r>
  <r>
    <s v="tt1000228"/>
    <s v="Last Secrets 121"/>
    <n v="2024"/>
    <n v="2020"/>
    <x v="2"/>
    <n v="95"/>
    <s v="Medium"/>
    <s v="A critically acclaimed mystery masterpiece."/>
    <s v="Peter Jackson"/>
    <s v="Tom Hanks, Margot Robbie, Gary Oldman, Chris Hemsworth, Kate Winslet"/>
    <n v="41752"/>
    <n v="467.18"/>
    <n v="467.18"/>
    <s v="Blockbuster"/>
    <s v=" Comedy"/>
    <x v="15"/>
  </r>
  <r>
    <s v="tt1000228"/>
    <s v="Last Secrets 121"/>
    <n v="2024"/>
    <n v="2020"/>
    <x v="2"/>
    <n v="95"/>
    <s v="Medium"/>
    <s v="A critically acclaimed mystery masterpiece."/>
    <s v="Peter Jackson"/>
    <s v="Tom Hanks, Margot Robbie, Gary Oldman, Chris Hemsworth, Kate Winslet"/>
    <n v="41752"/>
    <n v="467.18"/>
    <n v="467.18"/>
    <s v="Blockbuster"/>
    <s v=" Thriller"/>
    <x v="17"/>
  </r>
  <r>
    <s v="tt1000814"/>
    <s v="First Mystery 707"/>
    <n v="2002"/>
    <n v="2000"/>
    <x v="2"/>
    <n v="94"/>
    <s v="Medium"/>
    <s v="A critically acclaimed romance masterpiece."/>
    <s v="Akira Kurosawa"/>
    <s v="Gary Oldman, Viola Davis, Leonardo DiCaprio"/>
    <n v="28156"/>
    <m/>
    <n v="0"/>
    <s v="Average"/>
    <s v="Romance"/>
    <x v="7"/>
  </r>
  <r>
    <s v="tt1000814"/>
    <s v="First Mystery 707"/>
    <n v="2002"/>
    <n v="2000"/>
    <x v="2"/>
    <n v="94"/>
    <s v="Medium"/>
    <s v="A critically acclaimed romance masterpiece."/>
    <s v="Akira Kurosawa"/>
    <s v="Gary Oldman, Viola Davis, Leonardo DiCaprio"/>
    <n v="28156"/>
    <m/>
    <n v="0"/>
    <s v="Average"/>
    <s v=" Sci-Fi"/>
    <x v="16"/>
  </r>
  <r>
    <s v="tt1000826"/>
    <s v="An Destiny 719"/>
    <n v="2022"/>
    <n v="2020"/>
    <x v="5"/>
    <n v="93"/>
    <s v="Medium"/>
    <s v="A critically acclaimed fantasy masterpiece."/>
    <s v="Ridley Scott"/>
    <s v="Margot Robbie, Anthony Hopkins, Daniel Day-Lewis, Tom Hanks, Keanu Reeves"/>
    <n v="24129"/>
    <n v="30.77"/>
    <n v="30.77"/>
    <s v="Average"/>
    <s v="Fantasy"/>
    <x v="8"/>
  </r>
  <r>
    <s v="tt1000203"/>
    <s v="First Legend 96"/>
    <n v="2019"/>
    <n v="2010"/>
    <x v="0"/>
    <n v="149"/>
    <s v="Long"/>
    <s v="A critically acclaimed action masterpiece."/>
    <s v="Peter Jackson"/>
    <s v="Harrison Ford, Jack Nicholson, Brad Pitt, Viola Davis, Scarlett Johansson"/>
    <n v="55084"/>
    <n v="485.13"/>
    <n v="485.13"/>
    <s v="Blockbuster"/>
    <s v="Action"/>
    <x v="0"/>
  </r>
  <r>
    <s v="tt1000203"/>
    <s v="First Legend 96"/>
    <n v="2019"/>
    <n v="2010"/>
    <x v="0"/>
    <n v="149"/>
    <s v="Long"/>
    <s v="A critically acclaimed action masterpiece."/>
    <s v="Peter Jackson"/>
    <s v="Harrison Ford, Jack Nicholson, Brad Pitt, Viola Davis, Scarlett Johansson"/>
    <n v="55084"/>
    <n v="485.13"/>
    <n v="485.13"/>
    <s v="Blockbuster"/>
    <s v=" Family"/>
    <x v="10"/>
  </r>
  <r>
    <s v="tt1000893"/>
    <s v="An Mystery 786"/>
    <n v="2005"/>
    <n v="2000"/>
    <x v="2"/>
    <n v="114"/>
    <s v="Medium"/>
    <s v="A comedy film set in 2005."/>
    <s v="Christopher Nolan"/>
    <s v="Harrison Ford, Edward Norton, Viola Davis"/>
    <n v="38060"/>
    <n v="303.01"/>
    <n v="303.01"/>
    <s v="Blockbuster"/>
    <s v="Comedy"/>
    <x v="15"/>
  </r>
  <r>
    <s v="tt1000893"/>
    <s v="An Mystery 786"/>
    <n v="2005"/>
    <n v="2000"/>
    <x v="2"/>
    <n v="114"/>
    <s v="Medium"/>
    <s v="A comedy film set in 2005."/>
    <s v="Christopher Nolan"/>
    <s v="Harrison Ford, Edward Norton, Viola Davis"/>
    <n v="38060"/>
    <n v="303.01"/>
    <n v="303.01"/>
    <s v="Blockbuster"/>
    <s v=" Thriller"/>
    <x v="17"/>
  </r>
  <r>
    <s v="tt1000873"/>
    <s v="First Mission 766"/>
    <n v="2018"/>
    <n v="2010"/>
    <x v="3"/>
    <n v="149"/>
    <s v="Long"/>
    <s v="A action film set in 2018."/>
    <s v="Wes Anderson"/>
    <s v="Christian Bale, Al Pacino, Mark Ruffalo"/>
    <n v="195552"/>
    <n v="303.56"/>
    <n v="303.56"/>
    <s v="Blockbuster"/>
    <s v="Action"/>
    <x v="0"/>
  </r>
  <r>
    <s v="tt1000873"/>
    <s v="First Mission 766"/>
    <n v="2018"/>
    <n v="2010"/>
    <x v="3"/>
    <n v="149"/>
    <s v="Long"/>
    <s v="A action film set in 2018."/>
    <s v="Wes Anderson"/>
    <s v="Christian Bale, Al Pacino, Mark Ruffalo"/>
    <n v="195552"/>
    <n v="303.56"/>
    <n v="303.56"/>
    <s v="Blockbuster"/>
    <s v=" Animation"/>
    <x v="3"/>
  </r>
  <r>
    <s v="tt1000873"/>
    <s v="First Mission 766"/>
    <n v="2018"/>
    <n v="2010"/>
    <x v="3"/>
    <n v="149"/>
    <s v="Long"/>
    <s v="A action film set in 2018."/>
    <s v="Wes Anderson"/>
    <s v="Christian Bale, Al Pacino, Mark Ruffalo"/>
    <n v="195552"/>
    <n v="303.56"/>
    <n v="303.56"/>
    <s v="Blockbuster"/>
    <s v=" Biography"/>
    <x v="5"/>
  </r>
  <r>
    <s v="tt1000896"/>
    <s v="The Adventures 789"/>
    <n v="2009"/>
    <n v="2000"/>
    <x v="0"/>
    <n v="135"/>
    <s v="Long"/>
    <s v="A thrilling adventure adventure."/>
    <s v="Wes Anderson"/>
    <s v="Robert Downey Jr., Meryl Streep, Daniel Day-Lewis, TimothÃ©e Chalamet, Christian Bale"/>
    <n v="13029"/>
    <n v="236.54"/>
    <n v="236.54"/>
    <s v="Blockbuster"/>
    <s v="Adventure"/>
    <x v="9"/>
  </r>
  <r>
    <s v="tt1000896"/>
    <s v="The Adventures 789"/>
    <n v="2009"/>
    <n v="2000"/>
    <x v="0"/>
    <n v="135"/>
    <s v="Long"/>
    <s v="A thrilling adventure adventure."/>
    <s v="Wes Anderson"/>
    <s v="Robert Downey Jr., Meryl Streep, Daniel Day-Lewis, TimothÃ©e Chalamet, Christian Bale"/>
    <n v="13029"/>
    <n v="236.54"/>
    <n v="236.54"/>
    <s v="Blockbuster"/>
    <s v=" Documentary"/>
    <x v="13"/>
  </r>
  <r>
    <s v="tt1000896"/>
    <s v="The Adventures 789"/>
    <n v="2009"/>
    <n v="2000"/>
    <x v="0"/>
    <n v="135"/>
    <s v="Long"/>
    <s v="A thrilling adventure adventure."/>
    <s v="Wes Anderson"/>
    <s v="Robert Downey Jr., Meryl Streep, Daniel Day-Lewis, TimothÃ©e Chalamet, Christian Bale"/>
    <n v="13029"/>
    <n v="236.54"/>
    <n v="236.54"/>
    <s v="Blockbuster"/>
    <s v=" Thriller"/>
    <x v="17"/>
  </r>
  <r>
    <s v="tt1000905"/>
    <s v="Final Destiny 798"/>
    <n v="2001"/>
    <n v="2000"/>
    <x v="2"/>
    <n v="77"/>
    <s v="Short"/>
    <s v="An epic horror tale directed by George Lucas."/>
    <s v="George Lucas"/>
    <s v="Meryl Streep, Scarlett Johansson, Kate Winslet"/>
    <n v="225899"/>
    <m/>
    <n v="0"/>
    <s v="Average"/>
    <s v="Horror"/>
    <x v="12"/>
  </r>
  <r>
    <s v="tt1000905"/>
    <s v="Final Destiny 798"/>
    <n v="2001"/>
    <n v="2000"/>
    <x v="2"/>
    <n v="77"/>
    <s v="Short"/>
    <s v="An epic horror tale directed by George Lucas."/>
    <s v="George Lucas"/>
    <s v="Meryl Streep, Scarlett Johansson, Kate Winslet"/>
    <n v="225899"/>
    <m/>
    <n v="0"/>
    <s v="Average"/>
    <s v=" Animation"/>
    <x v="3"/>
  </r>
  <r>
    <s v="tt1000697"/>
    <s v="A Mystery 590"/>
    <n v="2013"/>
    <n v="2010"/>
    <x v="0"/>
    <n v="126"/>
    <s v="Long"/>
    <s v="A critically acclaimed biography masterpiece."/>
    <s v="Jordan Peele"/>
    <s v="Harrison Ford, Daniel Day-Lewis, Scarlett Johansson, Viola Davis, Emma Stone"/>
    <n v="10848"/>
    <m/>
    <n v="0"/>
    <s v="Average"/>
    <s v="Biography"/>
    <x v="5"/>
  </r>
  <r>
    <s v="tt1000771"/>
    <s v="Dark Story 664"/>
    <n v="2005"/>
    <n v="2000"/>
    <x v="4"/>
    <n v="129"/>
    <s v="Long"/>
    <s v="An epic crime tale directed by Alfred Hitchcock."/>
    <s v="Alfred Hitchcock"/>
    <s v="Johnny Depp, Florence Pugh, Matt Damon, Kate Winslet, Keanu Reeves"/>
    <n v="112688"/>
    <n v="314.23"/>
    <n v="314.23"/>
    <s v="Blockbuster"/>
    <s v="Crime"/>
    <x v="6"/>
  </r>
  <r>
    <s v="tt1000759"/>
    <s v="Secret Mystery 652"/>
    <n v="2022"/>
    <n v="2020"/>
    <x v="1"/>
    <n v="97"/>
    <s v="Medium"/>
    <s v="A critically acclaimed horror masterpiece."/>
    <s v="Frank Darabont"/>
    <s v="Daniel Day-Lewis, Brad Pitt, Anthony Hopkins, Jack Nicholson"/>
    <n v="119836"/>
    <n v="439.7"/>
    <n v="439.7"/>
    <s v="Blockbuster"/>
    <s v="Horror"/>
    <x v="12"/>
  </r>
  <r>
    <s v="tt1000759"/>
    <s v="Secret Mystery 652"/>
    <n v="2022"/>
    <n v="2020"/>
    <x v="1"/>
    <n v="97"/>
    <s v="Medium"/>
    <s v="A critically acclaimed horror masterpiece."/>
    <s v="Frank Darabont"/>
    <s v="Daniel Day-Lewis, Brad Pitt, Anthony Hopkins, Jack Nicholson"/>
    <n v="119836"/>
    <n v="439.7"/>
    <n v="439.7"/>
    <s v="Blockbuster"/>
    <s v=" Sci-Fi"/>
    <x v="16"/>
  </r>
  <r>
    <s v="tt1000702"/>
    <s v="First War 595"/>
    <n v="2002"/>
    <n v="2000"/>
    <x v="1"/>
    <n v="101"/>
    <s v="Medium"/>
    <s v="A thrilling documentary adventure."/>
    <s v="Francis Ford Coppola"/>
    <s v="Samuel L. Jackson, Harrison Ford, Morgan Freeman, Tom Hanks"/>
    <n v="36573"/>
    <n v="25.84"/>
    <n v="25.84"/>
    <s v="Average"/>
    <s v="Documentary"/>
    <x v="13"/>
  </r>
  <r>
    <s v="tt1000702"/>
    <s v="First War 595"/>
    <n v="2002"/>
    <n v="2000"/>
    <x v="1"/>
    <n v="101"/>
    <s v="Medium"/>
    <s v="A thrilling documentary adventure."/>
    <s v="Francis Ford Coppola"/>
    <s v="Samuel L. Jackson, Harrison Ford, Morgan Freeman, Tom Hanks"/>
    <n v="36573"/>
    <n v="25.84"/>
    <n v="25.84"/>
    <s v="Average"/>
    <s v=" Musical"/>
    <x v="1"/>
  </r>
  <r>
    <s v="tt1000746"/>
    <s v="Last Empire 639"/>
    <n v="2005"/>
    <n v="2000"/>
    <x v="0"/>
    <n v="111"/>
    <s v="Medium"/>
    <s v="A critically acclaimed sci-fi masterpiece."/>
    <s v="Ang Lee"/>
    <s v="Will Smith, Denzel Washington, Daniel Day-Lewis"/>
    <n v="70181"/>
    <n v="430.88"/>
    <n v="430.88"/>
    <s v="Blockbuster"/>
    <s v="Sci-Fi"/>
    <x v="16"/>
  </r>
  <r>
    <s v="tt1000669"/>
    <s v="A Revolution 562"/>
    <n v="2000"/>
    <n v="2000"/>
    <x v="0"/>
    <n v="103"/>
    <s v="Medium"/>
    <s v="A western film set in 2000."/>
    <s v="Stanley Kubrick"/>
    <s v="Emma Stone, Al Pacino, Morgan Freeman, Matt Damon, Margot Robbie"/>
    <n v="244349"/>
    <n v="170.37"/>
    <n v="170.37"/>
    <s v="Hit"/>
    <s v="Western"/>
    <x v="11"/>
  </r>
  <r>
    <s v="tt1000567"/>
    <s v="A War 460"/>
    <n v="2010"/>
    <n v="2010"/>
    <x v="0"/>
    <n v="129"/>
    <s v="Long"/>
    <s v="A western film set in 2010."/>
    <s v="James Cameron"/>
    <s v="Jack Nicholson, Tom Hanks, Scarlett Johansson, Denzel Washington"/>
    <n v="316332"/>
    <n v="33.07"/>
    <n v="33.07"/>
    <s v="Average"/>
    <s v="Western"/>
    <x v="11"/>
  </r>
  <r>
    <s v="tt1000574"/>
    <s v="A Story 467"/>
    <n v="2005"/>
    <n v="2000"/>
    <x v="2"/>
    <n v="134"/>
    <s v="Long"/>
    <s v="An epic biography tale directed by Robert Zemeckis."/>
    <s v="Robert Zemeckis"/>
    <s v="Zendaya, Edward Norton, Natalie Portman"/>
    <n v="14718"/>
    <n v="243.36"/>
    <n v="243.36"/>
    <s v="Blockbuster"/>
    <s v="Biography"/>
    <x v="5"/>
  </r>
  <r>
    <s v="tt1000574"/>
    <s v="A Story 467"/>
    <n v="2005"/>
    <n v="2000"/>
    <x v="2"/>
    <n v="134"/>
    <s v="Long"/>
    <s v="An epic biography tale directed by Robert Zemeckis."/>
    <s v="Robert Zemeckis"/>
    <s v="Zendaya, Edward Norton, Natalie Portman"/>
    <n v="14718"/>
    <n v="243.36"/>
    <n v="243.36"/>
    <s v="Blockbuster"/>
    <s v=" Horror"/>
    <x v="12"/>
  </r>
  <r>
    <s v="tt1000289"/>
    <s v="Lost Chronicles 182"/>
    <n v="2005"/>
    <n v="2000"/>
    <x v="1"/>
    <n v="126"/>
    <s v="Long"/>
    <s v="A critically acclaimed comedy masterpiece."/>
    <s v="Jordan Peele"/>
    <s v="Cate Blanchett, Margot Robbie, Scarlett Johansson, Morgan Freeman"/>
    <n v="1221153"/>
    <n v="24.24"/>
    <n v="24.24"/>
    <s v="Average"/>
    <s v="Comedy"/>
    <x v="15"/>
  </r>
  <r>
    <s v="tt1000289"/>
    <s v="Lost Chronicles 182"/>
    <n v="2005"/>
    <n v="2000"/>
    <x v="1"/>
    <n v="126"/>
    <s v="Long"/>
    <s v="A critically acclaimed comedy masterpiece."/>
    <s v="Jordan Peele"/>
    <s v="Cate Blanchett, Margot Robbie, Scarlett Johansson, Morgan Freeman"/>
    <n v="1221153"/>
    <n v="24.24"/>
    <n v="24.24"/>
    <s v="Average"/>
    <s v=" Fantasy"/>
    <x v="8"/>
  </r>
  <r>
    <s v="tt1000286"/>
    <s v="Final Journey 179"/>
    <n v="2014"/>
    <n v="2010"/>
    <x v="1"/>
    <n v="108"/>
    <s v="Medium"/>
    <s v="An epic action tale directed by Stanley Kubrick."/>
    <s v="Stanley Kubrick"/>
    <s v="Chris Hemsworth, Zendaya, Gary Oldman, Leonardo DiCaprio, Mark Ruffalo"/>
    <n v="81176"/>
    <n v="469.66"/>
    <n v="469.66"/>
    <s v="Blockbuster"/>
    <s v="Action"/>
    <x v="0"/>
  </r>
  <r>
    <s v="tt1000286"/>
    <s v="Final Journey 179"/>
    <n v="2014"/>
    <n v="2010"/>
    <x v="1"/>
    <n v="108"/>
    <s v="Medium"/>
    <s v="An epic action tale directed by Stanley Kubrick."/>
    <s v="Stanley Kubrick"/>
    <s v="Chris Hemsworth, Zendaya, Gary Oldman, Leonardo DiCaprio, Mark Ruffalo"/>
    <n v="81176"/>
    <n v="469.66"/>
    <n v="469.66"/>
    <s v="Blockbuster"/>
    <s v=" Adventure"/>
    <x v="9"/>
  </r>
  <r>
    <s v="tt1000298"/>
    <s v="A Quest 191"/>
    <n v="2024"/>
    <n v="2020"/>
    <x v="2"/>
    <n v="147"/>
    <s v="Long"/>
    <s v="A war film set in 2024."/>
    <s v="Francis Ford Coppola"/>
    <s v="Zendaya, Kate Winslet, Viola Davis, Keanu Reeves"/>
    <n v="46598"/>
    <n v="182.83"/>
    <n v="182.83"/>
    <s v="Hit"/>
    <s v="War"/>
    <x v="2"/>
  </r>
  <r>
    <s v="tt1000657"/>
    <s v="Secret Legend 550"/>
    <n v="2006"/>
    <n v="2000"/>
    <x v="0"/>
    <n v="70"/>
    <s v="Short"/>
    <s v="An epic action tale directed by Francis Ford Coppola."/>
    <s v="Francis Ford Coppola"/>
    <s v="Mark Ruffalo, Scarlett Johansson, Zendaya, Leonardo DiCaprio"/>
    <n v="80186"/>
    <n v="273.49"/>
    <n v="273.49"/>
    <s v="Blockbuster"/>
    <s v="Action"/>
    <x v="0"/>
  </r>
  <r>
    <s v="tt1000657"/>
    <s v="Secret Legend 550"/>
    <n v="2006"/>
    <n v="2000"/>
    <x v="0"/>
    <n v="70"/>
    <s v="Short"/>
    <s v="An epic action tale directed by Francis Ford Coppola."/>
    <s v="Francis Ford Coppola"/>
    <s v="Mark Ruffalo, Scarlett Johansson, Zendaya, Leonardo DiCaprio"/>
    <n v="80186"/>
    <n v="273.49"/>
    <n v="273.49"/>
    <s v="Blockbuster"/>
    <s v=" Western"/>
    <x v="11"/>
  </r>
  <r>
    <s v="tt1000637"/>
    <s v="First Legend 530"/>
    <n v="2023"/>
    <n v="2020"/>
    <x v="0"/>
    <n v="164"/>
    <s v="Long"/>
    <s v="A thrilling mystery adventure."/>
    <s v="Spike Lee"/>
    <s v="Keanu Reeves, Robert De Niro, Margot Robbie, Meryl Streep"/>
    <n v="126914"/>
    <m/>
    <n v="0"/>
    <s v="Average"/>
    <s v="Mystery"/>
    <x v="4"/>
  </r>
  <r>
    <s v="tt1000637"/>
    <s v="First Legend 530"/>
    <n v="2023"/>
    <n v="2020"/>
    <x v="0"/>
    <n v="164"/>
    <s v="Long"/>
    <s v="A thrilling mystery adventure."/>
    <s v="Spike Lee"/>
    <s v="Keanu Reeves, Robert De Niro, Margot Robbie, Meryl Streep"/>
    <n v="126914"/>
    <m/>
    <n v="0"/>
    <s v="Average"/>
    <s v=" Adventure"/>
    <x v="9"/>
  </r>
  <r>
    <s v="tt1000633"/>
    <s v="An Dreams 526"/>
    <n v="2023"/>
    <n v="2020"/>
    <x v="2"/>
    <n v="114"/>
    <s v="Medium"/>
    <s v="A war film set in 2023."/>
    <s v="Jordan Peele"/>
    <s v="Zendaya, Robert Downey Jr., Christian Bale"/>
    <n v="36289"/>
    <m/>
    <n v="0"/>
    <s v="Average"/>
    <s v="War"/>
    <x v="2"/>
  </r>
  <r>
    <s v="tt1000633"/>
    <s v="An Dreams 526"/>
    <n v="2023"/>
    <n v="2020"/>
    <x v="2"/>
    <n v="114"/>
    <s v="Medium"/>
    <s v="A war film set in 2023."/>
    <s v="Jordan Peele"/>
    <s v="Zendaya, Robert Downey Jr., Christian Bale"/>
    <n v="36289"/>
    <m/>
    <n v="0"/>
    <s v="Average"/>
    <s v=" Documentary"/>
    <x v="13"/>
  </r>
  <r>
    <s v="tt1000654"/>
    <s v="An Adventures 547"/>
    <n v="2003"/>
    <n v="2000"/>
    <x v="0"/>
    <n v="130"/>
    <s v="Long"/>
    <s v="A thrilling documentary adventure."/>
    <s v="Robert Zemeckis"/>
    <s v="Daniel Day-Lewis, Leonardo DiCaprio, Robert Downey Jr., Morgan Freeman"/>
    <n v="137779"/>
    <n v="217.85"/>
    <n v="217.85"/>
    <s v="Blockbuster"/>
    <s v="Documentary"/>
    <x v="13"/>
  </r>
  <r>
    <s v="tt1000280"/>
    <s v="Secret Dreams 173"/>
    <n v="2014"/>
    <n v="2010"/>
    <x v="2"/>
    <n v="119"/>
    <s v="Medium"/>
    <s v="An epic mystery tale directed by Martin Scorsese."/>
    <s v="Martin Scorsese"/>
    <s v="Morgan Freeman, Natalie Portman, Tom Cruise, Emma Stone"/>
    <n v="11113"/>
    <m/>
    <n v="0"/>
    <s v="Average"/>
    <s v="Mystery"/>
    <x v="4"/>
  </r>
  <r>
    <s v="tt1000257"/>
    <s v="First Secrets 150"/>
    <n v="2019"/>
    <n v="2010"/>
    <x v="2"/>
    <n v="108"/>
    <s v="Medium"/>
    <s v="A thrilling musical adventure."/>
    <s v="Ridley Scott"/>
    <s v="Leonardo DiCaprio, Johnny Depp, Kate Winslet, Harrison Ford, Robert Downey Jr."/>
    <n v="257514"/>
    <m/>
    <n v="0"/>
    <s v="Average"/>
    <s v="Musical"/>
    <x v="1"/>
  </r>
  <r>
    <s v="tt1000257"/>
    <s v="First Secrets 150"/>
    <n v="2019"/>
    <n v="2010"/>
    <x v="2"/>
    <n v="108"/>
    <s v="Medium"/>
    <s v="A thrilling musical adventure."/>
    <s v="Ridley Scott"/>
    <s v="Leonardo DiCaprio, Johnny Depp, Kate Winslet, Harrison Ford, Robert Downey Jr."/>
    <n v="257514"/>
    <m/>
    <n v="0"/>
    <s v="Average"/>
    <s v=" Action"/>
    <x v="0"/>
  </r>
  <r>
    <s v="tt1000105"/>
    <s v="Midnight Cowboy"/>
    <n v="1981"/>
    <n v="1980"/>
    <x v="2"/>
    <n v="120"/>
    <s v="Medium"/>
    <s v="A thrilling sci-fi adventure."/>
    <s v="David Fincher"/>
    <s v="Cate Blanchett, Brad Pitt, Meryl Streep"/>
    <n v="22556"/>
    <n v="270.63"/>
    <n v="270.63"/>
    <s v="Blockbuster"/>
    <s v="Sci-Fi"/>
    <x v="16"/>
  </r>
  <r>
    <s v="tt1000105"/>
    <s v="Midnight Cowboy"/>
    <n v="1981"/>
    <n v="1980"/>
    <x v="2"/>
    <n v="120"/>
    <s v="Medium"/>
    <s v="A thrilling sci-fi adventure."/>
    <s v="David Fincher"/>
    <s v="Cate Blanchett, Brad Pitt, Meryl Streep"/>
    <n v="22556"/>
    <n v="270.63"/>
    <n v="270.63"/>
    <s v="Blockbuster"/>
    <s v=" Thriller"/>
    <x v="17"/>
  </r>
  <r>
    <s v="tt1000105"/>
    <s v="Midnight Cowboy"/>
    <n v="1981"/>
    <n v="1980"/>
    <x v="2"/>
    <n v="120"/>
    <s v="Medium"/>
    <s v="A thrilling sci-fi adventure."/>
    <s v="David Fincher"/>
    <s v="Cate Blanchett, Brad Pitt, Meryl Streep"/>
    <n v="22556"/>
    <n v="270.63"/>
    <n v="270.63"/>
    <s v="Blockbuster"/>
    <s v=" Western"/>
    <x v="11"/>
  </r>
  <r>
    <s v="tt1000709"/>
    <s v="Last Mission 602"/>
    <n v="2008"/>
    <n v="2000"/>
    <x v="0"/>
    <n v="142"/>
    <s v="Long"/>
    <s v="A crime film set in 2008."/>
    <s v="Park Chan-wook"/>
    <s v="Leonardo DiCaprio, Tom Cruise, Scarlett Johansson, Cate Blanchett, Florence Pugh"/>
    <n v="175831"/>
    <n v="367.09"/>
    <n v="367.09"/>
    <s v="Blockbuster"/>
    <s v="Crime"/>
    <x v="6"/>
  </r>
  <r>
    <s v="tt1000109"/>
    <s v="Lost Mission 2"/>
    <n v="1991"/>
    <n v="1990"/>
    <x v="1"/>
    <n v="135"/>
    <s v="Long"/>
    <s v="A critically acclaimed horror masterpiece."/>
    <s v="Alfred Hitchcock"/>
    <s v="Brad Pitt, Chris Hemsworth, Kate Winslet"/>
    <n v="153663"/>
    <n v="246.13"/>
    <n v="246.13"/>
    <s v="Blockbuster"/>
    <s v="Horror"/>
    <x v="12"/>
  </r>
  <r>
    <s v="tt1000109"/>
    <s v="Lost Mission 2"/>
    <n v="1991"/>
    <n v="1990"/>
    <x v="1"/>
    <n v="135"/>
    <s v="Long"/>
    <s v="A critically acclaimed horror masterpiece."/>
    <s v="Alfred Hitchcock"/>
    <s v="Brad Pitt, Chris Hemsworth, Kate Winslet"/>
    <n v="153663"/>
    <n v="246.13"/>
    <n v="246.13"/>
    <s v="Blockbuster"/>
    <s v=" Musical"/>
    <x v="1"/>
  </r>
  <r>
    <s v="tt1000664"/>
    <s v="Dark War 557"/>
    <n v="2008"/>
    <n v="2000"/>
    <x v="0"/>
    <n v="143"/>
    <s v="Long"/>
    <s v="A horror film set in 2008."/>
    <s v="Sam Mendes"/>
    <s v="Samuel L. Jackson, Will Smith, Denzel Washington"/>
    <n v="101434"/>
    <n v="16.37"/>
    <n v="16.37"/>
    <s v="Average"/>
    <s v="Horror"/>
    <x v="12"/>
  </r>
  <r>
    <s v="tt1000528"/>
    <s v="The Mission 421"/>
    <n v="2001"/>
    <n v="2000"/>
    <x v="0"/>
    <n v="128"/>
    <s v="Long"/>
    <s v="A critically acclaimed adventure masterpiece."/>
    <s v="Christopher Nolan"/>
    <s v="Edward Norton, Emma Stone, Mark Ruffalo, Samuel L. Jackson"/>
    <n v="78015"/>
    <m/>
    <n v="0"/>
    <s v="Average"/>
    <s v="Adventure"/>
    <x v="9"/>
  </r>
  <r>
    <s v="tt1000148"/>
    <s v="Lost Mystery 41"/>
    <n v="1996"/>
    <n v="1990"/>
    <x v="2"/>
    <n v="93"/>
    <s v="Medium"/>
    <s v="An epic family tale directed by Wes Anderson."/>
    <s v="Wes Anderson"/>
    <s v="TimothÃ©e Chalamet, Florence Pugh, Robert Downey Jr."/>
    <n v="103766"/>
    <n v="154.02000000000001"/>
    <n v="154.02000000000001"/>
    <s v="Hit"/>
    <s v="Family"/>
    <x v="10"/>
  </r>
  <r>
    <s v="tt1000148"/>
    <s v="Lost Mystery 41"/>
    <n v="1996"/>
    <n v="1990"/>
    <x v="2"/>
    <n v="93"/>
    <s v="Medium"/>
    <s v="An epic family tale directed by Wes Anderson."/>
    <s v="Wes Anderson"/>
    <s v="TimothÃ©e Chalamet, Florence Pugh, Robert Downey Jr."/>
    <n v="103766"/>
    <n v="154.02000000000001"/>
    <n v="154.02000000000001"/>
    <s v="Hit"/>
    <s v=" Animation"/>
    <x v="3"/>
  </r>
  <r>
    <s v="tt1000427"/>
    <s v="Secret Quest 320"/>
    <n v="2002"/>
    <n v="2000"/>
    <x v="5"/>
    <n v="116"/>
    <s v="Medium"/>
    <s v="An epic documentary tale directed by Alfred Hitchcock."/>
    <s v="Alfred Hitchcock"/>
    <s v="Robert De Niro, Florence Pugh, Meryl Streep"/>
    <n v="251463"/>
    <n v="50.39"/>
    <n v="50.39"/>
    <s v="Average"/>
    <s v="Documentary"/>
    <x v="13"/>
  </r>
  <r>
    <s v="tt1000427"/>
    <s v="Secret Quest 320"/>
    <n v="2002"/>
    <n v="2000"/>
    <x v="5"/>
    <n v="116"/>
    <s v="Medium"/>
    <s v="An epic documentary tale directed by Alfred Hitchcock."/>
    <s v="Alfred Hitchcock"/>
    <s v="Robert De Niro, Florence Pugh, Meryl Streep"/>
    <n v="251463"/>
    <n v="50.39"/>
    <n v="50.39"/>
    <s v="Average"/>
    <s v=" Comedy"/>
    <x v="15"/>
  </r>
  <r>
    <s v="tt1000427"/>
    <s v="Secret Quest 320"/>
    <n v="2002"/>
    <n v="2000"/>
    <x v="5"/>
    <n v="116"/>
    <s v="Medium"/>
    <s v="An epic documentary tale directed by Alfred Hitchcock."/>
    <s v="Alfred Hitchcock"/>
    <s v="Robert De Niro, Florence Pugh, Meryl Streep"/>
    <n v="251463"/>
    <n v="50.39"/>
    <n v="50.39"/>
    <s v="Average"/>
    <s v=" Horror"/>
    <x v="12"/>
  </r>
  <r>
    <s v="tt1000312"/>
    <s v="Secret Empire 205"/>
    <n v="2020"/>
    <n v="2020"/>
    <x v="0"/>
    <n v="99"/>
    <s v="Medium"/>
    <s v="A comedy film set in 2020."/>
    <s v="Taika Waititi"/>
    <s v="Amy Adams, Edward Norton, Samuel L. Jackson, Morgan Freeman, Florence Pugh"/>
    <n v="86310"/>
    <n v="68.48"/>
    <n v="68.48"/>
    <s v="Average"/>
    <s v="Comedy"/>
    <x v="15"/>
  </r>
  <r>
    <s v="tt1000486"/>
    <s v="Last Mystery 379"/>
    <n v="2022"/>
    <n v="2020"/>
    <x v="0"/>
    <n v="145"/>
    <s v="Long"/>
    <s v="A documentary film set in 2022."/>
    <s v="Peter Jackson"/>
    <s v="Edward Norton, Anthony Hopkins, Tom Hanks, Jennifer Lawrence"/>
    <n v="48645"/>
    <n v="360.08"/>
    <n v="360.08"/>
    <s v="Blockbuster"/>
    <s v="Documentary"/>
    <x v="13"/>
  </r>
  <r>
    <s v="tt1000486"/>
    <s v="Last Mystery 379"/>
    <n v="2022"/>
    <n v="2020"/>
    <x v="0"/>
    <n v="145"/>
    <s v="Long"/>
    <s v="A documentary film set in 2022."/>
    <s v="Peter Jackson"/>
    <s v="Edward Norton, Anthony Hopkins, Tom Hanks, Jennifer Lawrence"/>
    <n v="48645"/>
    <n v="360.08"/>
    <n v="360.08"/>
    <s v="Blockbuster"/>
    <s v=" Adventure"/>
    <x v="9"/>
  </r>
  <r>
    <s v="tt1000121"/>
    <s v="Secret Quest 14"/>
    <n v="1990"/>
    <n v="1990"/>
    <x v="0"/>
    <n v="128"/>
    <s v="Long"/>
    <s v="A thrilling adventure adventure."/>
    <s v="David Fincher"/>
    <s v="Al Pacino, Brad Pitt, Edward Norton, Daniel Day-Lewis"/>
    <n v="32799"/>
    <n v="6.39"/>
    <n v="6.39"/>
    <s v="Average"/>
    <s v="Adventure"/>
    <x v="9"/>
  </r>
  <r>
    <s v="tt1000155"/>
    <s v="Final Destiny 48"/>
    <n v="1980"/>
    <n v="1980"/>
    <x v="0"/>
    <n v="115"/>
    <s v="Medium"/>
    <s v="An epic drama tale directed by Sam Mendes."/>
    <s v="Sam Mendes"/>
    <s v="Mark Ruffalo, Al Pacino, Chris Hemsworth, Natalie Portman, Zendaya"/>
    <n v="111907"/>
    <n v="168.75"/>
    <n v="168.75"/>
    <s v="Hit"/>
    <s v="Drama"/>
    <x v="14"/>
  </r>
  <r>
    <s v="tt1000141"/>
    <s v="First Mission 34"/>
    <n v="1987"/>
    <n v="1980"/>
    <x v="0"/>
    <n v="139"/>
    <s v="Long"/>
    <s v="An epic western tale directed by Hayao Miyazaki."/>
    <s v="Hayao Miyazaki"/>
    <s v="Mark Ruffalo, Margot Robbie, Natalie Portman, Cate Blanchett"/>
    <n v="279881"/>
    <n v="289.26"/>
    <n v="289.26"/>
    <s v="Blockbuster"/>
    <s v="Western"/>
    <x v="11"/>
  </r>
  <r>
    <s v="tt1000141"/>
    <s v="First Mission 34"/>
    <n v="1987"/>
    <n v="1980"/>
    <x v="0"/>
    <n v="139"/>
    <s v="Long"/>
    <s v="An epic western tale directed by Hayao Miyazaki."/>
    <s v="Hayao Miyazaki"/>
    <s v="Mark Ruffalo, Margot Robbie, Natalie Portman, Cate Blanchett"/>
    <n v="279881"/>
    <n v="289.26"/>
    <n v="289.26"/>
    <s v="Blockbuster"/>
    <s v=" Sci-Fi"/>
    <x v="16"/>
  </r>
  <r>
    <s v="tt1000141"/>
    <s v="First Mission 34"/>
    <n v="1987"/>
    <n v="1980"/>
    <x v="0"/>
    <n v="139"/>
    <s v="Long"/>
    <s v="An epic western tale directed by Hayao Miyazaki."/>
    <s v="Hayao Miyazaki"/>
    <s v="Mark Ruffalo, Margot Robbie, Natalie Portman, Cate Blanchett"/>
    <n v="279881"/>
    <n v="289.26"/>
    <n v="289.26"/>
    <s v="Blockbuster"/>
    <s v=" Documentary"/>
    <x v="13"/>
  </r>
  <r>
    <s v="tt1000332"/>
    <s v="Lost Mission 225"/>
    <n v="2002"/>
    <n v="2000"/>
    <x v="3"/>
    <n v="155"/>
    <s v="Long"/>
    <s v="A thrilling adventure adventure."/>
    <s v="Jordan Peele"/>
    <s v="Emma Stone, Edward Norton, Keanu Reeves"/>
    <n v="25418"/>
    <m/>
    <n v="0"/>
    <s v="Average"/>
    <s v="Adventure"/>
    <x v="9"/>
  </r>
  <r>
    <s v="tt1000407"/>
    <s v="The Love 300"/>
    <n v="2022"/>
    <n v="2020"/>
    <x v="5"/>
    <n v="126"/>
    <s v="Long"/>
    <s v="A thrilling western adventure."/>
    <s v="Quentin Tarantino"/>
    <s v="Edward Norton, Gary Oldman, Will Smith, Morgan Freeman"/>
    <n v="111379"/>
    <n v="311.08"/>
    <n v="311.08"/>
    <s v="Blockbuster"/>
    <s v="Western"/>
    <x v="11"/>
  </r>
  <r>
    <s v="tt1000407"/>
    <s v="The Love 300"/>
    <n v="2022"/>
    <n v="2020"/>
    <x v="5"/>
    <n v="126"/>
    <s v="Long"/>
    <s v="A thrilling western adventure."/>
    <s v="Quentin Tarantino"/>
    <s v="Edward Norton, Gary Oldman, Will Smith, Morgan Freeman"/>
    <n v="111379"/>
    <n v="311.08"/>
    <n v="311.08"/>
    <s v="Blockbuster"/>
    <s v=" Drama"/>
    <x v="14"/>
  </r>
  <r>
    <s v="tt1000142"/>
    <s v="An Kingdom 35"/>
    <n v="1991"/>
    <n v="1990"/>
    <x v="0"/>
    <n v="100"/>
    <s v="Medium"/>
    <s v="A critically acclaimed adventure masterpiece."/>
    <s v="Jordan Peele"/>
    <s v="Morgan Freeman, Zendaya, Mark Ruffalo, Amy Adams, Gary Oldman"/>
    <n v="292914"/>
    <m/>
    <n v="0"/>
    <s v="Average"/>
    <s v="Adventure"/>
    <x v="9"/>
  </r>
  <r>
    <s v="tt1000144"/>
    <s v="First Mission 37"/>
    <n v="1989"/>
    <n v="1980"/>
    <x v="0"/>
    <n v="114"/>
    <s v="Medium"/>
    <s v="A critically acclaimed western masterpiece."/>
    <s v="Robert Zemeckis"/>
    <s v="Mark Ruffalo, Anthony Hopkins, Jennifer Lawrence"/>
    <n v="342049"/>
    <n v="164.65"/>
    <n v="164.65"/>
    <s v="Hit"/>
    <s v="Western"/>
    <x v="11"/>
  </r>
  <r>
    <s v="tt1000144"/>
    <s v="First Mission 37"/>
    <n v="1989"/>
    <n v="1980"/>
    <x v="0"/>
    <n v="114"/>
    <s v="Medium"/>
    <s v="A critically acclaimed western masterpiece."/>
    <s v="Robert Zemeckis"/>
    <s v="Mark Ruffalo, Anthony Hopkins, Jennifer Lawrence"/>
    <n v="342049"/>
    <n v="164.65"/>
    <n v="164.65"/>
    <s v="Hit"/>
    <s v=" Thriller"/>
    <x v="17"/>
  </r>
  <r>
    <s v="tt1000344"/>
    <s v="The Mission 237"/>
    <n v="2000"/>
    <n v="2000"/>
    <x v="1"/>
    <n v="127"/>
    <s v="Long"/>
    <s v="A action film set in 2000."/>
    <s v="Coen Brothers"/>
    <s v="Mark Ruffalo, Anthony Hopkins, Chris Hemsworth, Florence Pugh"/>
    <n v="29004"/>
    <n v="272.04000000000002"/>
    <n v="272.04000000000002"/>
    <s v="Blockbuster"/>
    <s v="Action"/>
    <x v="0"/>
  </r>
  <r>
    <s v="tt1000971"/>
    <s v="An Chronicles 864"/>
    <n v="2009"/>
    <n v="2000"/>
    <x v="0"/>
    <n v="135"/>
    <s v="Long"/>
    <s v="An epic fantasy tale directed by Alfred Hitchcock."/>
    <s v="Alfred Hitchcock"/>
    <s v="Tom Hanks, Keanu Reeves, Chris Hemsworth, Cate Blanchett"/>
    <n v="958297"/>
    <n v="393.93"/>
    <n v="393.93"/>
    <s v="Blockbuster"/>
    <s v="Fantasy"/>
    <x v="8"/>
  </r>
  <r>
    <s v="tt1000971"/>
    <s v="An Chronicles 864"/>
    <n v="2009"/>
    <n v="2000"/>
    <x v="0"/>
    <n v="135"/>
    <s v="Long"/>
    <s v="An epic fantasy tale directed by Alfred Hitchcock."/>
    <s v="Alfred Hitchcock"/>
    <s v="Tom Hanks, Keanu Reeves, Chris Hemsworth, Cate Blanchett"/>
    <n v="958297"/>
    <n v="393.93"/>
    <n v="393.93"/>
    <s v="Blockbuster"/>
    <s v=" Sci-Fi"/>
    <x v="16"/>
  </r>
  <r>
    <s v="tt1000972"/>
    <s v="Secret Mission 865"/>
    <n v="2003"/>
    <n v="2000"/>
    <x v="0"/>
    <n v="116"/>
    <s v="Medium"/>
    <s v="A thrilling romance adventure."/>
    <s v="Robert Zemeckis"/>
    <s v="Gary Oldman, Tom Hanks, Mark Ruffalo"/>
    <n v="69362"/>
    <n v="392.36"/>
    <n v="392.36"/>
    <s v="Blockbuster"/>
    <s v="Romance"/>
    <x v="7"/>
  </r>
  <r>
    <s v="tt1000972"/>
    <s v="Secret Mission 865"/>
    <n v="2003"/>
    <n v="2000"/>
    <x v="0"/>
    <n v="116"/>
    <s v="Medium"/>
    <s v="A thrilling romance adventure."/>
    <s v="Robert Zemeckis"/>
    <s v="Gary Oldman, Tom Hanks, Mark Ruffalo"/>
    <n v="69362"/>
    <n v="392.36"/>
    <n v="392.36"/>
    <s v="Blockbuster"/>
    <s v=" Sci-Fi"/>
    <x v="16"/>
  </r>
  <r>
    <s v="tt1000972"/>
    <s v="Secret Mission 865"/>
    <n v="2003"/>
    <n v="2000"/>
    <x v="0"/>
    <n v="116"/>
    <s v="Medium"/>
    <s v="A thrilling romance adventure."/>
    <s v="Robert Zemeckis"/>
    <s v="Gary Oldman, Tom Hanks, Mark Ruffalo"/>
    <n v="69362"/>
    <n v="392.36"/>
    <n v="392.36"/>
    <s v="Blockbuster"/>
    <s v=" War"/>
    <x v="2"/>
  </r>
  <r>
    <s v="tt1000026"/>
    <s v="The Pianist"/>
    <n v="1949"/>
    <n v="1940"/>
    <x v="0"/>
    <n v="121"/>
    <s v="Long"/>
    <s v="A family film set in 1949."/>
    <s v="Ridley Scott"/>
    <s v="Jennifer Lawrence, Samuel L. Jackson, Natalie Portman, TimothÃ©e Chalamet"/>
    <n v="25839"/>
    <m/>
    <n v="0"/>
    <s v="Average"/>
    <s v="Family"/>
    <x v="10"/>
  </r>
  <r>
    <s v="tt1000026"/>
    <s v="The Pianist"/>
    <n v="1949"/>
    <n v="1940"/>
    <x v="0"/>
    <n v="121"/>
    <s v="Long"/>
    <s v="A family film set in 1949."/>
    <s v="Ridley Scott"/>
    <s v="Jennifer Lawrence, Samuel L. Jackson, Natalie Portman, TimothÃ©e Chalamet"/>
    <n v="25839"/>
    <m/>
    <n v="0"/>
    <s v="Average"/>
    <s v=" War"/>
    <x v="2"/>
  </r>
  <r>
    <s v="tt1000026"/>
    <s v="The Pianist"/>
    <n v="1949"/>
    <n v="1940"/>
    <x v="0"/>
    <n v="121"/>
    <s v="Long"/>
    <s v="A family film set in 1949."/>
    <s v="Ridley Scott"/>
    <s v="Jennifer Lawrence, Samuel L. Jackson, Natalie Portman, TimothÃ©e Chalamet"/>
    <n v="25839"/>
    <m/>
    <n v="0"/>
    <s v="Average"/>
    <s v=" Documentary"/>
    <x v="13"/>
  </r>
  <r>
    <s v="tt1000012"/>
    <s v="Saving Private Ryan"/>
    <n v="1942"/>
    <n v="1940"/>
    <x v="5"/>
    <n v="124"/>
    <s v="Long"/>
    <s v="A critically acclaimed musical masterpiece."/>
    <s v="Kathryn Bigelow"/>
    <s v="Leonardo DiCaprio, Chris Hemsworth, Jack Nicholson"/>
    <n v="4899"/>
    <m/>
    <n v="0"/>
    <s v="Average"/>
    <s v="Musical"/>
    <x v="1"/>
  </r>
  <r>
    <s v="tt1000012"/>
    <s v="Saving Private Ryan"/>
    <n v="1942"/>
    <n v="1940"/>
    <x v="5"/>
    <n v="124"/>
    <s v="Long"/>
    <s v="A critically acclaimed musical masterpiece."/>
    <s v="Kathryn Bigelow"/>
    <s v="Leonardo DiCaprio, Chris Hemsworth, Jack Nicholson"/>
    <n v="4899"/>
    <m/>
    <n v="0"/>
    <s v="Average"/>
    <s v=" Adventure"/>
    <x v="9"/>
  </r>
  <r>
    <s v="tt1000582"/>
    <s v="Final Chronicles 475"/>
    <n v="2007"/>
    <n v="2000"/>
    <x v="0"/>
    <n v="139"/>
    <s v="Long"/>
    <s v="A thrilling fantasy adventure."/>
    <s v="Stanley Kubrick"/>
    <s v="Anthony Hopkins, Jack Nicholson, Will Smith"/>
    <n v="79568"/>
    <n v="79.400000000000006"/>
    <n v="79.400000000000006"/>
    <s v="Average"/>
    <s v="Fantasy"/>
    <x v="8"/>
  </r>
  <r>
    <s v="tt1000582"/>
    <s v="Final Chronicles 475"/>
    <n v="2007"/>
    <n v="2000"/>
    <x v="0"/>
    <n v="139"/>
    <s v="Long"/>
    <s v="A thrilling fantasy adventure."/>
    <s v="Stanley Kubrick"/>
    <s v="Anthony Hopkins, Jack Nicholson, Will Smith"/>
    <n v="79568"/>
    <n v="79.400000000000006"/>
    <n v="79.400000000000006"/>
    <s v="Average"/>
    <s v=" War"/>
    <x v="2"/>
  </r>
  <r>
    <s v="tt1000379"/>
    <s v="Final Journey 272"/>
    <n v="2015"/>
    <n v="2010"/>
    <x v="1"/>
    <n v="95"/>
    <s v="Medium"/>
    <s v="An epic biography tale directed by Danny Boyle."/>
    <s v="Danny Boyle"/>
    <s v="Jennifer Lawrence, Johnny Depp, Tom Cruise, Gary Oldman"/>
    <n v="171400"/>
    <n v="257.45999999999998"/>
    <n v="257.45999999999998"/>
    <s v="Blockbuster"/>
    <s v="Biography"/>
    <x v="5"/>
  </r>
  <r>
    <s v="tt1000389"/>
    <s v="Last Journey 282"/>
    <n v="2014"/>
    <n v="2010"/>
    <x v="2"/>
    <n v="131"/>
    <s v="Long"/>
    <s v="A critically acclaimed biography masterpiece."/>
    <s v="Taika Waititi"/>
    <s v="Robert Downey Jr., Meryl Streep, Tom Cruise, Johnny Depp, Morgan Freeman"/>
    <n v="215372"/>
    <n v="375.78"/>
    <n v="375.78"/>
    <s v="Blockbuster"/>
    <s v="Biography"/>
    <x v="5"/>
  </r>
  <r>
    <s v="tt1000389"/>
    <s v="Last Journey 282"/>
    <n v="2014"/>
    <n v="2010"/>
    <x v="2"/>
    <n v="131"/>
    <s v="Long"/>
    <s v="A critically acclaimed biography masterpiece."/>
    <s v="Taika Waititi"/>
    <s v="Robert Downey Jr., Meryl Streep, Tom Cruise, Johnny Depp, Morgan Freeman"/>
    <n v="215372"/>
    <n v="375.78"/>
    <n v="375.78"/>
    <s v="Blockbuster"/>
    <s v=" Thriller"/>
    <x v="17"/>
  </r>
  <r>
    <s v="tt1000389"/>
    <s v="Last Journey 282"/>
    <n v="2014"/>
    <n v="2010"/>
    <x v="2"/>
    <n v="131"/>
    <s v="Long"/>
    <s v="A critically acclaimed biography masterpiece."/>
    <s v="Taika Waititi"/>
    <s v="Robert Downey Jr., Meryl Streep, Tom Cruise, Johnny Depp, Morgan Freeman"/>
    <n v="215372"/>
    <n v="375.78"/>
    <n v="375.78"/>
    <s v="Blockbuster"/>
    <s v=" War"/>
    <x v="2"/>
  </r>
  <r>
    <s v="tt1000295"/>
    <s v="Dark Journey 188"/>
    <n v="2000"/>
    <n v="2000"/>
    <x v="0"/>
    <n v="156"/>
    <s v="Long"/>
    <s v="A drama film set in 2000."/>
    <s v="Ridley Scott"/>
    <s v="Daniel Day-Lewis, Matt Damon, Florence Pugh, Emma Stone, Leonardo DiCaprio"/>
    <n v="34928"/>
    <n v="94.93"/>
    <n v="94.93"/>
    <s v="Average"/>
    <s v="Drama"/>
    <x v="14"/>
  </r>
  <r>
    <s v="tt1000295"/>
    <s v="Dark Journey 188"/>
    <n v="2000"/>
    <n v="2000"/>
    <x v="0"/>
    <n v="156"/>
    <s v="Long"/>
    <s v="A drama film set in 2000."/>
    <s v="Ridley Scott"/>
    <s v="Daniel Day-Lewis, Matt Damon, Florence Pugh, Emma Stone, Leonardo DiCaprio"/>
    <n v="34928"/>
    <n v="94.93"/>
    <n v="94.93"/>
    <s v="Average"/>
    <s v=" Western"/>
    <x v="11"/>
  </r>
  <r>
    <s v="tt1000261"/>
    <s v="Lost Story 154"/>
    <n v="2004"/>
    <n v="2000"/>
    <x v="2"/>
    <n v="132"/>
    <s v="Long"/>
    <s v="A drama film set in 2004."/>
    <s v="Steven Spielberg"/>
    <s v="Viola Davis, Edward Norton, Brad Pitt"/>
    <n v="302903"/>
    <n v="437.64"/>
    <n v="437.64"/>
    <s v="Blockbuster"/>
    <s v="Drama"/>
    <x v="14"/>
  </r>
  <r>
    <s v="tt1000573"/>
    <s v="A Empire 466"/>
    <n v="2016"/>
    <n v="2010"/>
    <x v="2"/>
    <n v="111"/>
    <s v="Medium"/>
    <s v="A war film set in 2016."/>
    <s v="Greta Gerwig"/>
    <s v="Jack Nicholson, Johnny Depp, Emma Stone, Morgan Freeman, Jennifer Lawrence"/>
    <n v="40565"/>
    <n v="206.1"/>
    <n v="206.1"/>
    <s v="Blockbuster"/>
    <s v="War"/>
    <x v="2"/>
  </r>
  <r>
    <s v="tt1000662"/>
    <s v="The Legend 555"/>
    <n v="2022"/>
    <n v="2020"/>
    <x v="1"/>
    <n v="134"/>
    <s v="Long"/>
    <s v="A thrilling family adventure."/>
    <s v="Denis Villeneuve"/>
    <s v="Florence Pugh, Emma Stone, Zendaya"/>
    <n v="22874"/>
    <m/>
    <n v="0"/>
    <s v="Average"/>
    <s v="Family"/>
    <x v="10"/>
  </r>
  <r>
    <s v="tt1000662"/>
    <s v="The Legend 555"/>
    <n v="2022"/>
    <n v="2020"/>
    <x v="1"/>
    <n v="134"/>
    <s v="Long"/>
    <s v="A thrilling family adventure."/>
    <s v="Denis Villeneuve"/>
    <s v="Florence Pugh, Emma Stone, Zendaya"/>
    <n v="22874"/>
    <m/>
    <n v="0"/>
    <s v="Average"/>
    <s v=" War"/>
    <x v="2"/>
  </r>
  <r>
    <s v="tt1000136"/>
    <s v="Lost Kingdom 29"/>
    <n v="2000"/>
    <n v="2000"/>
    <x v="3"/>
    <n v="122"/>
    <s v="Long"/>
    <s v="A critically acclaimed family masterpiece."/>
    <s v="Stanley Kubrick"/>
    <s v="Chris Hemsworth, Keanu Reeves, Mark Ruffalo, Natalie Portman, Emma Stone"/>
    <n v="174106"/>
    <n v="124.01"/>
    <n v="124.01"/>
    <s v="Hit"/>
    <s v="Family"/>
    <x v="10"/>
  </r>
  <r>
    <s v="tt1000833"/>
    <s v="Dark Mission 726"/>
    <n v="2005"/>
    <n v="2000"/>
    <x v="2"/>
    <n v="126"/>
    <s v="Long"/>
    <s v="A critically acclaimed war masterpiece."/>
    <s v="Danny Boyle"/>
    <s v="Tom Hanks, Chris Hemsworth, Meryl Streep, Morgan Freeman, Johnny Depp"/>
    <n v="255832"/>
    <n v="190.34"/>
    <n v="190.34"/>
    <s v="Hit"/>
    <s v="War"/>
    <x v="2"/>
  </r>
  <r>
    <s v="tt1000833"/>
    <s v="Dark Mission 726"/>
    <n v="2005"/>
    <n v="2000"/>
    <x v="2"/>
    <n v="126"/>
    <s v="Long"/>
    <s v="A critically acclaimed war masterpiece."/>
    <s v="Danny Boyle"/>
    <s v="Tom Hanks, Chris Hemsworth, Meryl Streep, Morgan Freeman, Johnny Depp"/>
    <n v="255832"/>
    <n v="190.34"/>
    <n v="190.34"/>
    <s v="Hit"/>
    <s v=" Biography"/>
    <x v="5"/>
  </r>
  <r>
    <s v="tt1000842"/>
    <s v="Last Love 735"/>
    <n v="2014"/>
    <n v="2010"/>
    <x v="1"/>
    <n v="128"/>
    <s v="Long"/>
    <s v="A thrilling drama adventure."/>
    <s v="Akira Kurosawa"/>
    <s v="Robert De Niro, Chris Hemsworth, Jennifer Lawrence"/>
    <n v="1309054"/>
    <n v="350.03"/>
    <n v="350.03"/>
    <s v="Blockbuster"/>
    <s v="Drama"/>
    <x v="14"/>
  </r>
  <r>
    <s v="tt1000842"/>
    <s v="Last Love 735"/>
    <n v="2014"/>
    <n v="2010"/>
    <x v="1"/>
    <n v="128"/>
    <s v="Long"/>
    <s v="A thrilling drama adventure."/>
    <s v="Akira Kurosawa"/>
    <s v="Robert De Niro, Chris Hemsworth, Jennifer Lawrence"/>
    <n v="1309054"/>
    <n v="350.03"/>
    <n v="350.03"/>
    <s v="Blockbuster"/>
    <s v=" Documentary"/>
    <x v="13"/>
  </r>
  <r>
    <s v="tt1000837"/>
    <s v="Lost Destiny 730"/>
    <n v="2015"/>
    <n v="2010"/>
    <x v="0"/>
    <n v="130"/>
    <s v="Long"/>
    <s v="A critically acclaimed action masterpiece."/>
    <s v="Taika Waititi"/>
    <s v="Amy Adams, Harrison Ford, Christian Bale, Florence Pugh"/>
    <n v="40846"/>
    <m/>
    <n v="0"/>
    <s v="Average"/>
    <s v="Action"/>
    <x v="0"/>
  </r>
  <r>
    <s v="tt1000837"/>
    <s v="Lost Destiny 730"/>
    <n v="2015"/>
    <n v="2010"/>
    <x v="0"/>
    <n v="130"/>
    <s v="Long"/>
    <s v="A critically acclaimed action masterpiece."/>
    <s v="Taika Waititi"/>
    <s v="Amy Adams, Harrison Ford, Christian Bale, Florence Pugh"/>
    <n v="40846"/>
    <m/>
    <n v="0"/>
    <s v="Average"/>
    <s v=" Romance"/>
    <x v="7"/>
  </r>
  <r>
    <s v="tt1000914"/>
    <s v="Secret Story 807"/>
    <n v="2019"/>
    <n v="2010"/>
    <x v="0"/>
    <n v="120"/>
    <s v="Medium"/>
    <s v="A critically acclaimed musical masterpiece."/>
    <s v="Robert Zemeckis"/>
    <s v="TimothÃ©e Chalamet, Morgan Freeman, Meryl Streep, Margot Robbie, Jennifer Lawrence"/>
    <n v="1347"/>
    <n v="385.4"/>
    <n v="385.4"/>
    <s v="Blockbuster"/>
    <s v="Musical"/>
    <x v="1"/>
  </r>
  <r>
    <s v="tt1000914"/>
    <s v="Secret Story 807"/>
    <n v="2019"/>
    <n v="2010"/>
    <x v="0"/>
    <n v="120"/>
    <s v="Medium"/>
    <s v="A critically acclaimed musical masterpiece."/>
    <s v="Robert Zemeckis"/>
    <s v="TimothÃ©e Chalamet, Morgan Freeman, Meryl Streep, Margot Robbie, Jennifer Lawrence"/>
    <n v="1347"/>
    <n v="385.4"/>
    <n v="385.4"/>
    <s v="Blockbuster"/>
    <s v=" Family"/>
    <x v="10"/>
  </r>
  <r>
    <s v="tt1000708"/>
    <s v="Dark Legend 601"/>
    <n v="2010"/>
    <n v="2010"/>
    <x v="2"/>
    <n v="120"/>
    <s v="Medium"/>
    <s v="A critically acclaimed adventure masterpiece."/>
    <s v="Edgar Wright"/>
    <s v="Robert De Niro, TimothÃ©e Chalamet, Scarlett Johansson"/>
    <n v="10186"/>
    <n v="195.21"/>
    <n v="195.21"/>
    <s v="Hit"/>
    <s v="Adventure"/>
    <x v="9"/>
  </r>
  <r>
    <s v="tt1000708"/>
    <s v="Dark Legend 601"/>
    <n v="2010"/>
    <n v="2010"/>
    <x v="2"/>
    <n v="120"/>
    <s v="Medium"/>
    <s v="A critically acclaimed adventure masterpiece."/>
    <s v="Edgar Wright"/>
    <s v="Robert De Niro, TimothÃ©e Chalamet, Scarlett Johansson"/>
    <n v="10186"/>
    <n v="195.21"/>
    <n v="195.21"/>
    <s v="Hit"/>
    <s v=" Documentary"/>
    <x v="13"/>
  </r>
  <r>
    <s v="tt1000708"/>
    <s v="Dark Legend 601"/>
    <n v="2010"/>
    <n v="2010"/>
    <x v="2"/>
    <n v="120"/>
    <s v="Medium"/>
    <s v="A critically acclaimed adventure masterpiece."/>
    <s v="Edgar Wright"/>
    <s v="Robert De Niro, TimothÃ©e Chalamet, Scarlett Johansson"/>
    <n v="10186"/>
    <n v="195.21"/>
    <n v="195.21"/>
    <s v="Hit"/>
    <s v=" Musical"/>
    <x v="1"/>
  </r>
  <r>
    <s v="tt1000563"/>
    <s v="An Empire 456"/>
    <n v="2021"/>
    <n v="2020"/>
    <x v="1"/>
    <n v="114"/>
    <s v="Medium"/>
    <s v="A drama film set in 2021."/>
    <s v="Ava DuVernay"/>
    <s v="Emma Stone, Margot Robbie, Scarlett Johansson"/>
    <n v="29367"/>
    <n v="81.069999999999993"/>
    <n v="81.069999999999993"/>
    <s v="Average"/>
    <s v="Drama"/>
    <x v="14"/>
  </r>
  <r>
    <s v="tt1000563"/>
    <s v="An Empire 456"/>
    <n v="2021"/>
    <n v="2020"/>
    <x v="1"/>
    <n v="114"/>
    <s v="Medium"/>
    <s v="A drama film set in 2021."/>
    <s v="Ava DuVernay"/>
    <s v="Emma Stone, Margot Robbie, Scarlett Johansson"/>
    <n v="29367"/>
    <n v="81.069999999999993"/>
    <n v="81.069999999999993"/>
    <s v="Average"/>
    <s v=" Mystery"/>
    <x v="4"/>
  </r>
  <r>
    <s v="tt1000556"/>
    <s v="Final Destiny 449"/>
    <n v="2002"/>
    <n v="2000"/>
    <x v="0"/>
    <n v="136"/>
    <s v="Long"/>
    <s v="A thrilling crime adventure."/>
    <s v="Steven Spielberg"/>
    <s v="Robert De Niro, Viola Davis, Natalie Portman, Gary Oldman"/>
    <n v="41839"/>
    <n v="423.87"/>
    <n v="423.87"/>
    <s v="Blockbuster"/>
    <s v="Crime"/>
    <x v="6"/>
  </r>
  <r>
    <s v="tt1000556"/>
    <s v="Final Destiny 449"/>
    <n v="2002"/>
    <n v="2000"/>
    <x v="0"/>
    <n v="136"/>
    <s v="Long"/>
    <s v="A thrilling crime adventure."/>
    <s v="Steven Spielberg"/>
    <s v="Robert De Niro, Viola Davis, Natalie Portman, Gary Oldman"/>
    <n v="41839"/>
    <n v="423.87"/>
    <n v="423.87"/>
    <s v="Blockbuster"/>
    <s v=" Animation"/>
    <x v="3"/>
  </r>
  <r>
    <s v="tt1000556"/>
    <s v="Final Destiny 449"/>
    <n v="2002"/>
    <n v="2000"/>
    <x v="0"/>
    <n v="136"/>
    <s v="Long"/>
    <s v="A thrilling crime adventure."/>
    <s v="Steven Spielberg"/>
    <s v="Robert De Niro, Viola Davis, Natalie Portman, Gary Oldman"/>
    <n v="41839"/>
    <n v="423.87"/>
    <n v="423.87"/>
    <s v="Blockbuster"/>
    <s v=" Thriller"/>
    <x v="17"/>
  </r>
  <r>
    <s v="tt1000488"/>
    <s v="Dark Empire 381"/>
    <n v="2012"/>
    <n v="2010"/>
    <x v="0"/>
    <n v="108"/>
    <s v="Medium"/>
    <s v="A critically acclaimed thriller masterpiece."/>
    <s v="Greta Gerwig"/>
    <s v="Viola Davis, Jack Nicholson, Tom Cruise, Zendaya, Robert Downey Jr."/>
    <n v="732967"/>
    <m/>
    <n v="0"/>
    <s v="Average"/>
    <s v="Thriller"/>
    <x v="17"/>
  </r>
  <r>
    <s v="tt1000488"/>
    <s v="Dark Empire 381"/>
    <n v="2012"/>
    <n v="2010"/>
    <x v="0"/>
    <n v="108"/>
    <s v="Medium"/>
    <s v="A critically acclaimed thriller masterpiece."/>
    <s v="Greta Gerwig"/>
    <s v="Viola Davis, Jack Nicholson, Tom Cruise, Zendaya, Robert Downey Jr."/>
    <n v="732967"/>
    <m/>
    <n v="0"/>
    <s v="Average"/>
    <s v=" Adventure"/>
    <x v="9"/>
  </r>
  <r>
    <s v="tt1000778"/>
    <s v="An Kingdom 671"/>
    <n v="2005"/>
    <n v="2000"/>
    <x v="0"/>
    <n v="137"/>
    <s v="Long"/>
    <s v="A critically acclaimed comedy masterpiece."/>
    <s v="Ron Howard"/>
    <s v="Leonardo DiCaprio, Meryl Streep, Anthony Hopkins, Natalie Portman, Morgan Freeman"/>
    <n v="126880"/>
    <m/>
    <n v="0"/>
    <s v="Average"/>
    <s v="Comedy"/>
    <x v="15"/>
  </r>
  <r>
    <s v="tt1000778"/>
    <s v="An Kingdom 671"/>
    <n v="2005"/>
    <n v="2000"/>
    <x v="0"/>
    <n v="137"/>
    <s v="Long"/>
    <s v="A critically acclaimed comedy masterpiece."/>
    <s v="Ron Howard"/>
    <s v="Leonardo DiCaprio, Meryl Streep, Anthony Hopkins, Natalie Portman, Morgan Freeman"/>
    <n v="126880"/>
    <m/>
    <n v="0"/>
    <s v="Average"/>
    <s v=" Crime"/>
    <x v="6"/>
  </r>
  <r>
    <s v="tt1000482"/>
    <s v="Final Kingdom 375"/>
    <n v="2006"/>
    <n v="2000"/>
    <x v="2"/>
    <n v="109"/>
    <s v="Medium"/>
    <s v="A action film set in 2006."/>
    <s v="James Cameron"/>
    <s v="Chris Hemsworth, Florence Pugh, Harrison Ford, Christian Bale, Edward Norton"/>
    <n v="383626"/>
    <n v="53.03"/>
    <n v="53.03"/>
    <s v="Average"/>
    <s v="Action"/>
    <x v="0"/>
  </r>
  <r>
    <s v="tt1000886"/>
    <s v="A Love 779"/>
    <n v="2004"/>
    <n v="2000"/>
    <x v="2"/>
    <n v="123"/>
    <s v="Long"/>
    <s v="An epic western tale directed by Bong Joon-ho."/>
    <s v="Bong Joon-ho"/>
    <s v="Anthony Hopkins, Will Smith, Daniel Day-Lewis"/>
    <n v="10266"/>
    <m/>
    <n v="0"/>
    <s v="Average"/>
    <s v="Western"/>
    <x v="11"/>
  </r>
  <r>
    <s v="tt1000886"/>
    <s v="A Love 779"/>
    <n v="2004"/>
    <n v="2000"/>
    <x v="2"/>
    <n v="123"/>
    <s v="Long"/>
    <s v="An epic western tale directed by Bong Joon-ho."/>
    <s v="Bong Joon-ho"/>
    <s v="Anthony Hopkins, Will Smith, Daniel Day-Lewis"/>
    <n v="10266"/>
    <m/>
    <n v="0"/>
    <s v="Average"/>
    <s v=" Horror"/>
    <x v="12"/>
  </r>
  <r>
    <s v="tt1000231"/>
    <s v="Lost Adventures 124"/>
    <n v="2002"/>
    <n v="2000"/>
    <x v="1"/>
    <n v="132"/>
    <s v="Long"/>
    <s v="A thrilling musical adventure."/>
    <s v="Coen Brothers"/>
    <s v="Daniel Day-Lewis, Meryl Streep, Anthony Hopkins, Margot Robbie"/>
    <n v="37634"/>
    <n v="477.8"/>
    <n v="477.8"/>
    <s v="Blockbuster"/>
    <s v="Musical"/>
    <x v="1"/>
  </r>
  <r>
    <s v="tt1000231"/>
    <s v="Lost Adventures 124"/>
    <n v="2002"/>
    <n v="2000"/>
    <x v="1"/>
    <n v="132"/>
    <s v="Long"/>
    <s v="A thrilling musical adventure."/>
    <s v="Coen Brothers"/>
    <s v="Daniel Day-Lewis, Meryl Streep, Anthony Hopkins, Margot Robbie"/>
    <n v="37634"/>
    <n v="477.8"/>
    <n v="477.8"/>
    <s v="Blockbuster"/>
    <s v=" Mystery"/>
    <x v="4"/>
  </r>
  <r>
    <s v="tt1000769"/>
    <s v="Dark Love 662"/>
    <n v="2008"/>
    <n v="2000"/>
    <x v="4"/>
    <n v="116"/>
    <s v="Medium"/>
    <s v="A fantasy film set in 2008."/>
    <s v="Stanley Kubrick"/>
    <s v="Kate Winslet, Jack Nicholson, Tom Cruise, Samuel L. Jackson"/>
    <n v="226722"/>
    <n v="100.44"/>
    <n v="100.44"/>
    <s v="Hit"/>
    <s v="Fantasy"/>
    <x v="8"/>
  </r>
  <r>
    <s v="tt1000769"/>
    <s v="Dark Love 662"/>
    <n v="2008"/>
    <n v="2000"/>
    <x v="4"/>
    <n v="116"/>
    <s v="Medium"/>
    <s v="A fantasy film set in 2008."/>
    <s v="Stanley Kubrick"/>
    <s v="Kate Winslet, Jack Nicholson, Tom Cruise, Samuel L. Jackson"/>
    <n v="226722"/>
    <n v="100.44"/>
    <n v="100.44"/>
    <s v="Hit"/>
    <s v=" Biography"/>
    <x v="5"/>
  </r>
  <r>
    <s v="tt1000522"/>
    <s v="Secret Revolution 415"/>
    <n v="2004"/>
    <n v="2000"/>
    <x v="2"/>
    <n v="121"/>
    <s v="Long"/>
    <s v="An epic musical tale directed by Ang Lee."/>
    <s v="Ang Lee"/>
    <s v="Will Smith, Johnny Depp, Al Pacino, Margot Robbie, Brad Pitt"/>
    <n v="5745"/>
    <n v="201.39"/>
    <n v="201.39"/>
    <s v="Blockbuster"/>
    <s v="Musical"/>
    <x v="1"/>
  </r>
  <r>
    <s v="tt1000522"/>
    <s v="Secret Revolution 415"/>
    <n v="2004"/>
    <n v="2000"/>
    <x v="2"/>
    <n v="121"/>
    <s v="Long"/>
    <s v="An epic musical tale directed by Ang Lee."/>
    <s v="Ang Lee"/>
    <s v="Will Smith, Johnny Depp, Al Pacino, Margot Robbie, Brad Pitt"/>
    <n v="5745"/>
    <n v="201.39"/>
    <n v="201.39"/>
    <s v="Blockbuster"/>
    <s v=" Comedy"/>
    <x v="15"/>
  </r>
  <r>
    <s v="tt1000305"/>
    <s v="Secret War 198"/>
    <n v="2024"/>
    <n v="2020"/>
    <x v="0"/>
    <n v="125"/>
    <s v="Long"/>
    <s v="A drama film set in 2024."/>
    <s v="Kathryn Bigelow"/>
    <s v="Robert Downey Jr., Johnny Depp, Kate Winslet, TimothÃ©e Chalamet"/>
    <n v="79214"/>
    <n v="234.44"/>
    <n v="234.44"/>
    <s v="Blockbuster"/>
    <s v="Drama"/>
    <x v="14"/>
  </r>
  <r>
    <s v="tt1000305"/>
    <s v="Secret War 198"/>
    <n v="2024"/>
    <n v="2020"/>
    <x v="0"/>
    <n v="125"/>
    <s v="Long"/>
    <s v="A drama film set in 2024."/>
    <s v="Kathryn Bigelow"/>
    <s v="Robert Downey Jr., Johnny Depp, Kate Winslet, TimothÃ©e Chalamet"/>
    <n v="79214"/>
    <n v="234.44"/>
    <n v="234.44"/>
    <s v="Blockbuster"/>
    <s v=" Documentary"/>
    <x v="13"/>
  </r>
  <r>
    <s v="tt1000470"/>
    <s v="A Mission 363"/>
    <n v="2010"/>
    <n v="2010"/>
    <x v="1"/>
    <n v="146"/>
    <s v="Long"/>
    <s v="A thrilling thriller adventure."/>
    <s v="Edgar Wright"/>
    <s v="Leonardo DiCaprio, Chris Hemsworth, Denzel Washington, Harrison Ford, Cate Blanchett"/>
    <n v="118637"/>
    <m/>
    <n v="0"/>
    <s v="Average"/>
    <s v="Thriller"/>
    <x v="17"/>
  </r>
  <r>
    <s v="tt1000470"/>
    <s v="A Mission 363"/>
    <n v="2010"/>
    <n v="2010"/>
    <x v="1"/>
    <n v="146"/>
    <s v="Long"/>
    <s v="A thrilling thriller adventure."/>
    <s v="Edgar Wright"/>
    <s v="Leonardo DiCaprio, Chris Hemsworth, Denzel Washington, Harrison Ford, Cate Blanchett"/>
    <n v="118637"/>
    <m/>
    <n v="0"/>
    <s v="Average"/>
    <s v=" Biography"/>
    <x v="5"/>
  </r>
  <r>
    <s v="tt1000470"/>
    <s v="A Mission 363"/>
    <n v="2010"/>
    <n v="2010"/>
    <x v="1"/>
    <n v="146"/>
    <s v="Long"/>
    <s v="A thrilling thriller adventure."/>
    <s v="Edgar Wright"/>
    <s v="Leonardo DiCaprio, Chris Hemsworth, Denzel Washington, Harrison Ford, Cate Blanchett"/>
    <n v="118637"/>
    <m/>
    <n v="0"/>
    <s v="Average"/>
    <s v=" Sci-Fi"/>
    <x v="16"/>
  </r>
  <r>
    <s v="tt1000473"/>
    <s v="Final Kingdom 366"/>
    <n v="2022"/>
    <n v="2020"/>
    <x v="1"/>
    <n v="130"/>
    <s v="Long"/>
    <s v="An epic romance tale directed by Edgar Wright."/>
    <s v="Edgar Wright"/>
    <s v="TimothÃ©e Chalamet, Johnny Depp, Natalie Portman"/>
    <n v="299168"/>
    <n v="319.23"/>
    <n v="319.23"/>
    <s v="Blockbuster"/>
    <s v="Romance"/>
    <x v="7"/>
  </r>
  <r>
    <s v="tt1000808"/>
    <s v="A Legend 701"/>
    <n v="2006"/>
    <n v="2000"/>
    <x v="1"/>
    <n v="89"/>
    <s v="Short"/>
    <s v="A critically acclaimed documentary masterpiece."/>
    <s v="Clint Eastwood"/>
    <s v="Christian Bale, Robert De Niro, Denzel Washington, Viola Davis"/>
    <n v="141221"/>
    <n v="413.99"/>
    <n v="413.99"/>
    <s v="Blockbuster"/>
    <s v="Documentary"/>
    <x v="13"/>
  </r>
  <r>
    <s v="tt1000808"/>
    <s v="A Legend 701"/>
    <n v="2006"/>
    <n v="2000"/>
    <x v="1"/>
    <n v="89"/>
    <s v="Short"/>
    <s v="A critically acclaimed documentary masterpiece."/>
    <s v="Clint Eastwood"/>
    <s v="Christian Bale, Robert De Niro, Denzel Washington, Viola Davis"/>
    <n v="141221"/>
    <n v="413.99"/>
    <n v="413.99"/>
    <s v="Blockbuster"/>
    <s v=" Drama"/>
    <x v="14"/>
  </r>
  <r>
    <s v="tt1000805"/>
    <s v="A Destiny 698"/>
    <n v="2006"/>
    <n v="2000"/>
    <x v="3"/>
    <n v="125"/>
    <s v="Long"/>
    <s v="A critically acclaimed adventure masterpiece."/>
    <s v="Wes Anderson"/>
    <s v="Denzel Washington, Al Pacino, Anthony Hopkins"/>
    <n v="99796"/>
    <m/>
    <n v="0"/>
    <s v="Average"/>
    <s v="Adventure"/>
    <x v="9"/>
  </r>
  <r>
    <s v="tt1000805"/>
    <s v="A Destiny 698"/>
    <n v="2006"/>
    <n v="2000"/>
    <x v="3"/>
    <n v="125"/>
    <s v="Long"/>
    <s v="A critically acclaimed adventure masterpiece."/>
    <s v="Wes Anderson"/>
    <s v="Denzel Washington, Al Pacino, Anthony Hopkins"/>
    <n v="99796"/>
    <m/>
    <n v="0"/>
    <s v="Average"/>
    <s v=" Comedy"/>
    <x v="15"/>
  </r>
  <r>
    <s v="tt1000805"/>
    <s v="A Destiny 698"/>
    <n v="2006"/>
    <n v="2000"/>
    <x v="3"/>
    <n v="125"/>
    <s v="Long"/>
    <s v="A critically acclaimed adventure masterpiece."/>
    <s v="Wes Anderson"/>
    <s v="Denzel Washington, Al Pacino, Anthony Hopkins"/>
    <n v="99796"/>
    <m/>
    <n v="0"/>
    <s v="Average"/>
    <s v=" Documentary"/>
    <x v="13"/>
  </r>
  <r>
    <s v="tt1000602"/>
    <s v="Last Secrets 495"/>
    <n v="2006"/>
    <n v="2000"/>
    <x v="1"/>
    <n v="125"/>
    <s v="Long"/>
    <s v="An epic thriller tale directed by Christopher Nolan."/>
    <s v="Christopher Nolan"/>
    <s v="Gary Oldman, Harrison Ford, Robert De Niro, TimothÃ©e Chalamet"/>
    <n v="5587"/>
    <n v="21.88"/>
    <n v="21.88"/>
    <s v="Average"/>
    <s v="Thriller"/>
    <x v="17"/>
  </r>
  <r>
    <s v="tt1000602"/>
    <s v="Last Secrets 495"/>
    <n v="2006"/>
    <n v="2000"/>
    <x v="1"/>
    <n v="125"/>
    <s v="Long"/>
    <s v="An epic thriller tale directed by Christopher Nolan."/>
    <s v="Christopher Nolan"/>
    <s v="Gary Oldman, Harrison Ford, Robert De Niro, TimothÃ©e Chalamet"/>
    <n v="5587"/>
    <n v="21.88"/>
    <n v="21.88"/>
    <s v="Average"/>
    <s v=" Crime"/>
    <x v="6"/>
  </r>
  <r>
    <s v="tt1000602"/>
    <s v="Last Secrets 495"/>
    <n v="2006"/>
    <n v="2000"/>
    <x v="1"/>
    <n v="125"/>
    <s v="Long"/>
    <s v="An epic thriller tale directed by Christopher Nolan."/>
    <s v="Christopher Nolan"/>
    <s v="Gary Oldman, Harrison Ford, Robert De Niro, TimothÃ©e Chalamet"/>
    <n v="5587"/>
    <n v="21.88"/>
    <n v="21.88"/>
    <s v="Average"/>
    <s v=" Action"/>
    <x v="0"/>
  </r>
  <r>
    <s v="tt1000174"/>
    <s v="Secret Chronicles 67"/>
    <n v="1997"/>
    <n v="1990"/>
    <x v="4"/>
    <n v="106"/>
    <s v="Medium"/>
    <s v="A animation film set in 1997."/>
    <s v="Christopher Nolan"/>
    <s v="Johnny Depp, Amy Adams, Edward Norton"/>
    <n v="19055"/>
    <n v="206.95"/>
    <n v="206.95"/>
    <s v="Blockbuster"/>
    <s v="Animation"/>
    <x v="3"/>
  </r>
  <r>
    <s v="tt1000440"/>
    <s v="First Awakening 333"/>
    <n v="2004"/>
    <n v="2000"/>
    <x v="0"/>
    <n v="121"/>
    <s v="Long"/>
    <s v="An epic comedy tale directed by Coen Brothers."/>
    <s v="Coen Brothers"/>
    <s v="Kate Winslet, Brad Pitt, Amy Adams, Will Smith, Christian Bale"/>
    <n v="53865"/>
    <n v="376.85"/>
    <n v="376.85"/>
    <s v="Blockbuster"/>
    <s v="Comedy"/>
    <x v="15"/>
  </r>
  <r>
    <s v="tt1000440"/>
    <s v="First Awakening 333"/>
    <n v="2004"/>
    <n v="2000"/>
    <x v="0"/>
    <n v="121"/>
    <s v="Long"/>
    <s v="An epic comedy tale directed by Coen Brothers."/>
    <s v="Coen Brothers"/>
    <s v="Kate Winslet, Brad Pitt, Amy Adams, Will Smith, Christian Bale"/>
    <n v="53865"/>
    <n v="376.85"/>
    <n v="376.85"/>
    <s v="Blockbuster"/>
    <s v=" Family"/>
    <x v="10"/>
  </r>
  <r>
    <s v="tt1000871"/>
    <s v="A Story 764"/>
    <n v="2022"/>
    <n v="2020"/>
    <x v="1"/>
    <n v="119"/>
    <s v="Medium"/>
    <s v="A thrilling musical adventure."/>
    <s v="Ron Howard"/>
    <s v="Robert De Niro, Kate Winslet, Tom Hanks"/>
    <n v="163163"/>
    <n v="123.14"/>
    <n v="123.14"/>
    <s v="Hit"/>
    <s v="Musical"/>
    <x v="1"/>
  </r>
  <r>
    <s v="tt1000871"/>
    <s v="A Story 764"/>
    <n v="2022"/>
    <n v="2020"/>
    <x v="1"/>
    <n v="119"/>
    <s v="Medium"/>
    <s v="A thrilling musical adventure."/>
    <s v="Ron Howard"/>
    <s v="Robert De Niro, Kate Winslet, Tom Hanks"/>
    <n v="163163"/>
    <n v="123.14"/>
    <n v="123.14"/>
    <s v="Hit"/>
    <s v=" Drama"/>
    <x v="14"/>
  </r>
  <r>
    <s v="tt1000319"/>
    <s v="Dark Empire 212"/>
    <n v="2008"/>
    <n v="2000"/>
    <x v="1"/>
    <n v="129"/>
    <s v="Long"/>
    <s v="An epic thriller tale directed by Guillermo del Toro."/>
    <s v="Guillermo del Toro"/>
    <s v="Cate Blanchett, Matt Damon, Zendaya, Tom Hanks, Al Pacino"/>
    <n v="117191"/>
    <n v="157.81"/>
    <n v="157.81"/>
    <s v="Hit"/>
    <s v="Thriller"/>
    <x v="17"/>
  </r>
  <r>
    <s v="tt1000890"/>
    <s v="First War 783"/>
    <n v="2016"/>
    <n v="2010"/>
    <x v="2"/>
    <n v="106"/>
    <s v="Medium"/>
    <s v="A critically acclaimed action masterpiece."/>
    <s v="Peter Jackson"/>
    <s v="Scarlett Johansson, Jennifer Lawrence, Emma Stone, Johnny Depp, Jack Nicholson"/>
    <n v="88491"/>
    <n v="486.65"/>
    <n v="486.65"/>
    <s v="Blockbuster"/>
    <s v="Action"/>
    <x v="0"/>
  </r>
  <r>
    <s v="tt1000890"/>
    <s v="First War 783"/>
    <n v="2016"/>
    <n v="2010"/>
    <x v="2"/>
    <n v="106"/>
    <s v="Medium"/>
    <s v="A critically acclaimed action masterpiece."/>
    <s v="Peter Jackson"/>
    <s v="Scarlett Johansson, Jennifer Lawrence, Emma Stone, Johnny Depp, Jack Nicholson"/>
    <n v="88491"/>
    <n v="486.65"/>
    <n v="486.65"/>
    <s v="Blockbuster"/>
    <s v=" Romance"/>
    <x v="7"/>
  </r>
  <r>
    <s v="tt1000890"/>
    <s v="First War 783"/>
    <n v="2016"/>
    <n v="2010"/>
    <x v="2"/>
    <n v="106"/>
    <s v="Medium"/>
    <s v="A critically acclaimed action masterpiece."/>
    <s v="Peter Jackson"/>
    <s v="Scarlett Johansson, Jennifer Lawrence, Emma Stone, Johnny Depp, Jack Nicholson"/>
    <n v="88491"/>
    <n v="486.65"/>
    <n v="486.65"/>
    <s v="Blockbuster"/>
    <s v=" Horror"/>
    <x v="12"/>
  </r>
  <r>
    <s v="tt1000889"/>
    <s v="The Love 782"/>
    <n v="2008"/>
    <n v="2000"/>
    <x v="1"/>
    <n v="95"/>
    <s v="Medium"/>
    <s v="A thrilling mystery adventure."/>
    <s v="George Lucas"/>
    <s v="Will Smith, Jennifer Lawrence, Scarlett Johansson, Tom Hanks, Edward Norton"/>
    <n v="153038"/>
    <n v="278.48"/>
    <n v="278.48"/>
    <s v="Blockbuster"/>
    <s v="Mystery"/>
    <x v="4"/>
  </r>
  <r>
    <s v="tt1000889"/>
    <s v="The Love 782"/>
    <n v="2008"/>
    <n v="2000"/>
    <x v="1"/>
    <n v="95"/>
    <s v="Medium"/>
    <s v="A thrilling mystery adventure."/>
    <s v="George Lucas"/>
    <s v="Will Smith, Jennifer Lawrence, Scarlett Johansson, Tom Hanks, Edward Norton"/>
    <n v="153038"/>
    <n v="278.48"/>
    <n v="278.48"/>
    <s v="Blockbuster"/>
    <s v=" Family"/>
    <x v="10"/>
  </r>
  <r>
    <s v="tt1000889"/>
    <s v="The Love 782"/>
    <n v="2008"/>
    <n v="2000"/>
    <x v="1"/>
    <n v="95"/>
    <s v="Medium"/>
    <s v="A thrilling mystery adventure."/>
    <s v="George Lucas"/>
    <s v="Will Smith, Jennifer Lawrence, Scarlett Johansson, Tom Hanks, Edward Norton"/>
    <n v="153038"/>
    <n v="278.48"/>
    <n v="278.48"/>
    <s v="Blockbuster"/>
    <s v=" Sci-Fi"/>
    <x v="16"/>
  </r>
  <r>
    <s v="tt1000887"/>
    <s v="Dark Story 780"/>
    <n v="2000"/>
    <n v="2000"/>
    <x v="0"/>
    <n v="102"/>
    <s v="Medium"/>
    <s v="A crime film set in 2000."/>
    <s v="Peter Jackson"/>
    <s v="Mark Ruffalo, Samuel L. Jackson, Natalie Portman, Leonardo DiCaprio"/>
    <n v="14435"/>
    <m/>
    <n v="0"/>
    <s v="Average"/>
    <s v="Crime"/>
    <x v="6"/>
  </r>
  <r>
    <s v="tt1000350"/>
    <s v="An Revolution 243"/>
    <n v="2013"/>
    <n v="2010"/>
    <x v="1"/>
    <n v="107"/>
    <s v="Medium"/>
    <s v="An epic adventure tale directed by Ang Lee."/>
    <s v="Ang Lee"/>
    <s v="Viola Davis, Morgan Freeman, Scarlett Johansson, Natalie Portman"/>
    <n v="125623"/>
    <n v="83.13"/>
    <n v="83.13"/>
    <s v="Average"/>
    <s v="Adventure"/>
    <x v="9"/>
  </r>
  <r>
    <s v="tt1000350"/>
    <s v="An Revolution 243"/>
    <n v="2013"/>
    <n v="2010"/>
    <x v="1"/>
    <n v="107"/>
    <s v="Medium"/>
    <s v="An epic adventure tale directed by Ang Lee."/>
    <s v="Ang Lee"/>
    <s v="Viola Davis, Morgan Freeman, Scarlett Johansson, Natalie Portman"/>
    <n v="125623"/>
    <n v="83.13"/>
    <n v="83.13"/>
    <s v="Average"/>
    <s v=" Thriller"/>
    <x v="17"/>
  </r>
  <r>
    <s v="tt1000350"/>
    <s v="An Revolution 243"/>
    <n v="2013"/>
    <n v="2010"/>
    <x v="1"/>
    <n v="107"/>
    <s v="Medium"/>
    <s v="An epic adventure tale directed by Ang Lee."/>
    <s v="Ang Lee"/>
    <s v="Viola Davis, Morgan Freeman, Scarlett Johansson, Natalie Portman"/>
    <n v="125623"/>
    <n v="83.13"/>
    <n v="83.13"/>
    <s v="Average"/>
    <s v=" Drama"/>
    <x v="14"/>
  </r>
  <r>
    <s v="tt1000939"/>
    <s v="First Destiny 832"/>
    <n v="2013"/>
    <n v="2010"/>
    <x v="0"/>
    <n v="127"/>
    <s v="Long"/>
    <s v="A critically acclaimed sci-fi masterpiece."/>
    <s v="Ang Lee"/>
    <s v="Christian Bale, Will Smith, Tom Cruise"/>
    <n v="3322"/>
    <n v="384.56"/>
    <n v="384.56"/>
    <s v="Blockbuster"/>
    <s v="Sci-Fi"/>
    <x v="16"/>
  </r>
  <r>
    <s v="tt1000926"/>
    <s v="Last Dreams 819"/>
    <n v="2021"/>
    <n v="2020"/>
    <x v="2"/>
    <n v="118"/>
    <s v="Medium"/>
    <s v="A critically acclaimed action masterpiece."/>
    <s v="Ang Lee"/>
    <s v="Christian Bale, Denzel Washington, Emma Stone, Tom Cruise"/>
    <n v="222298"/>
    <n v="249.57"/>
    <n v="249.57"/>
    <s v="Blockbuster"/>
    <s v="Action"/>
    <x v="0"/>
  </r>
  <r>
    <s v="tt1000616"/>
    <s v="Lost Revolution 509"/>
    <n v="2019"/>
    <n v="2010"/>
    <x v="1"/>
    <n v="139"/>
    <s v="Long"/>
    <s v="A critically acclaimed horror masterpiece."/>
    <s v="Ava DuVernay"/>
    <s v="Edward Norton, Denzel Washington, Jack Nicholson, Mark Ruffalo, Anthony Hopkins"/>
    <n v="22712"/>
    <m/>
    <n v="0"/>
    <s v="Average"/>
    <s v="Horror"/>
    <x v="12"/>
  </r>
  <r>
    <s v="tt1000616"/>
    <s v="Lost Revolution 509"/>
    <n v="2019"/>
    <n v="2010"/>
    <x v="1"/>
    <n v="139"/>
    <s v="Long"/>
    <s v="A critically acclaimed horror masterpiece."/>
    <s v="Ava DuVernay"/>
    <s v="Edward Norton, Denzel Washington, Jack Nicholson, Mark Ruffalo, Anthony Hopkins"/>
    <n v="22712"/>
    <m/>
    <n v="0"/>
    <s v="Average"/>
    <s v=" Crime"/>
    <x v="6"/>
  </r>
  <r>
    <s v="tt1000780"/>
    <s v="Last Secrets 673"/>
    <n v="2022"/>
    <n v="2020"/>
    <x v="0"/>
    <n v="133"/>
    <s v="Long"/>
    <s v="A thrilling crime adventure."/>
    <s v="Christopher Nolan"/>
    <s v="Gary Oldman, Anthony Hopkins, Will Smith, Cate Blanchett"/>
    <n v="125245"/>
    <m/>
    <n v="0"/>
    <s v="Average"/>
    <s v="Crime"/>
    <x v="6"/>
  </r>
  <r>
    <s v="tt1000780"/>
    <s v="Last Secrets 673"/>
    <n v="2022"/>
    <n v="2020"/>
    <x v="0"/>
    <n v="133"/>
    <s v="Long"/>
    <s v="A thrilling crime adventure."/>
    <s v="Christopher Nolan"/>
    <s v="Gary Oldman, Anthony Hopkins, Will Smith, Cate Blanchett"/>
    <n v="125245"/>
    <m/>
    <n v="0"/>
    <s v="Average"/>
    <s v=" Horror"/>
    <x v="12"/>
  </r>
  <r>
    <s v="tt1000786"/>
    <s v="Secret Secrets 679"/>
    <n v="2014"/>
    <n v="2010"/>
    <x v="2"/>
    <n v="84"/>
    <s v="Short"/>
    <s v="A documentary film set in 2014."/>
    <s v="Jordan Peele"/>
    <s v="Morgan Freeman, Robert De Niro, Gary Oldman"/>
    <n v="12783"/>
    <n v="225.86"/>
    <n v="225.86"/>
    <s v="Blockbuster"/>
    <s v="Documentary"/>
    <x v="13"/>
  </r>
  <r>
    <s v="tt1000786"/>
    <s v="Secret Secrets 679"/>
    <n v="2014"/>
    <n v="2010"/>
    <x v="2"/>
    <n v="84"/>
    <s v="Short"/>
    <s v="A documentary film set in 2014."/>
    <s v="Jordan Peele"/>
    <s v="Morgan Freeman, Robert De Niro, Gary Oldman"/>
    <n v="12783"/>
    <n v="225.86"/>
    <n v="225.86"/>
    <s v="Blockbuster"/>
    <s v=" Romance"/>
    <x v="7"/>
  </r>
  <r>
    <s v="tt1000786"/>
    <s v="Secret Secrets 679"/>
    <n v="2014"/>
    <n v="2010"/>
    <x v="2"/>
    <n v="84"/>
    <s v="Short"/>
    <s v="A documentary film set in 2014."/>
    <s v="Jordan Peele"/>
    <s v="Morgan Freeman, Robert De Niro, Gary Oldman"/>
    <n v="12783"/>
    <n v="225.86"/>
    <n v="225.86"/>
    <s v="Blockbuster"/>
    <s v=" Adventure"/>
    <x v="9"/>
  </r>
  <r>
    <s v="tt1000773"/>
    <s v="Dark Chronicles 666"/>
    <n v="2019"/>
    <n v="2010"/>
    <x v="5"/>
    <n v="97"/>
    <s v="Medium"/>
    <s v="An epic family tale directed by Robert Zemeckis."/>
    <s v="Robert Zemeckis"/>
    <s v="TimothÃ©e Chalamet, Jennifer Lawrence, Florence Pugh"/>
    <n v="192606"/>
    <m/>
    <n v="0"/>
    <s v="Average"/>
    <s v="Family"/>
    <x v="10"/>
  </r>
  <r>
    <s v="tt1000773"/>
    <s v="Dark Chronicles 666"/>
    <n v="2019"/>
    <n v="2010"/>
    <x v="5"/>
    <n v="97"/>
    <s v="Medium"/>
    <s v="An epic family tale directed by Robert Zemeckis."/>
    <s v="Robert Zemeckis"/>
    <s v="TimothÃ©e Chalamet, Jennifer Lawrence, Florence Pugh"/>
    <n v="192606"/>
    <m/>
    <n v="0"/>
    <s v="Average"/>
    <s v=" Animation"/>
    <x v="3"/>
  </r>
  <r>
    <s v="tt1000773"/>
    <s v="Dark Chronicles 666"/>
    <n v="2019"/>
    <n v="2010"/>
    <x v="5"/>
    <n v="97"/>
    <s v="Medium"/>
    <s v="An epic family tale directed by Robert Zemeckis."/>
    <s v="Robert Zemeckis"/>
    <s v="TimothÃ©e Chalamet, Jennifer Lawrence, Florence Pugh"/>
    <n v="192606"/>
    <m/>
    <n v="0"/>
    <s v="Average"/>
    <s v=" Western"/>
    <x v="11"/>
  </r>
  <r>
    <s v="tt1000492"/>
    <s v="The Chronicles 385"/>
    <n v="2000"/>
    <n v="2000"/>
    <x v="0"/>
    <n v="117"/>
    <s v="Medium"/>
    <s v="A documentary film set in 2000."/>
    <s v="Hayao Miyazaki"/>
    <s v="Harrison Ford, Morgan Freeman, Daniel Day-Lewis, Leonardo DiCaprio, Cate Blanchett"/>
    <n v="15815"/>
    <m/>
    <n v="0"/>
    <s v="Average"/>
    <s v="Documentary"/>
    <x v="13"/>
  </r>
  <r>
    <s v="tt1000492"/>
    <s v="The Chronicles 385"/>
    <n v="2000"/>
    <n v="2000"/>
    <x v="0"/>
    <n v="117"/>
    <s v="Medium"/>
    <s v="A documentary film set in 2000."/>
    <s v="Hayao Miyazaki"/>
    <s v="Harrison Ford, Morgan Freeman, Daniel Day-Lewis, Leonardo DiCaprio, Cate Blanchett"/>
    <n v="15815"/>
    <m/>
    <n v="0"/>
    <s v="Average"/>
    <s v=" Sci-Fi"/>
    <x v="16"/>
  </r>
  <r>
    <s v="tt1000730"/>
    <s v="A Quest 623"/>
    <n v="2007"/>
    <n v="2000"/>
    <x v="3"/>
    <n v="88"/>
    <s v="Short"/>
    <s v="An epic biography tale directed by Wong Kar-wai."/>
    <s v="Wong Kar-wai"/>
    <s v="Anthony Hopkins, Tom Hanks, Kate Winslet"/>
    <n v="1247265"/>
    <m/>
    <n v="0"/>
    <s v="Average"/>
    <s v="Biography"/>
    <x v="5"/>
  </r>
  <r>
    <s v="tt1000548"/>
    <s v="First Revolution 441"/>
    <n v="2010"/>
    <n v="2010"/>
    <x v="0"/>
    <n v="98"/>
    <s v="Medium"/>
    <s v="A adventure film set in 2010."/>
    <s v="Edgar Wright"/>
    <s v="Edward Norton, Robert Downey Jr., Jack Nicholson, Al Pacino"/>
    <n v="45219"/>
    <n v="96.15"/>
    <n v="96.15"/>
    <s v="Average"/>
    <s v="Adventure"/>
    <x v="9"/>
  </r>
  <r>
    <s v="tt1000548"/>
    <s v="First Revolution 441"/>
    <n v="2010"/>
    <n v="2010"/>
    <x v="0"/>
    <n v="98"/>
    <s v="Medium"/>
    <s v="A adventure film set in 2010."/>
    <s v="Edgar Wright"/>
    <s v="Edward Norton, Robert Downey Jr., Jack Nicholson, Al Pacino"/>
    <n v="45219"/>
    <n v="96.15"/>
    <n v="96.15"/>
    <s v="Average"/>
    <s v=" Family"/>
    <x v="10"/>
  </r>
  <r>
    <s v="tt1000765"/>
    <s v="Dark War 658"/>
    <n v="2017"/>
    <n v="2010"/>
    <x v="1"/>
    <n v="130"/>
    <s v="Long"/>
    <s v="An epic sci-fi tale directed by Francis Ford Coppola."/>
    <s v="Francis Ford Coppola"/>
    <s v="Will Smith, Samuel L. Jackson, Tom Hanks, Viola Davis, Edward Norton"/>
    <n v="490116"/>
    <n v="448.96"/>
    <n v="448.96"/>
    <s v="Blockbuster"/>
    <s v="Sci-Fi"/>
    <x v="16"/>
  </r>
  <r>
    <s v="tt1000765"/>
    <s v="Dark War 658"/>
    <n v="2017"/>
    <n v="2010"/>
    <x v="1"/>
    <n v="130"/>
    <s v="Long"/>
    <s v="An epic sci-fi tale directed by Francis Ford Coppola."/>
    <s v="Francis Ford Coppola"/>
    <s v="Will Smith, Samuel L. Jackson, Tom Hanks, Viola Davis, Edward Norton"/>
    <n v="490116"/>
    <n v="448.96"/>
    <n v="448.96"/>
    <s v="Blockbuster"/>
    <s v=" Comedy"/>
    <x v="15"/>
  </r>
  <r>
    <s v="tt1000753"/>
    <s v="A War 646"/>
    <n v="2015"/>
    <n v="2010"/>
    <x v="4"/>
    <n v="123"/>
    <s v="Long"/>
    <s v="An epic horror tale directed by Akira Kurosawa."/>
    <s v="Akira Kurosawa"/>
    <s v="Anthony Hopkins, Tom Cruise, Meryl Streep, Jack Nicholson, Morgan Freeman"/>
    <n v="109802"/>
    <n v="252.54"/>
    <n v="252.54"/>
    <s v="Blockbuster"/>
    <s v="Horror"/>
    <x v="12"/>
  </r>
  <r>
    <s v="tt1000753"/>
    <s v="A War 646"/>
    <n v="2015"/>
    <n v="2010"/>
    <x v="4"/>
    <n v="123"/>
    <s v="Long"/>
    <s v="An epic horror tale directed by Akira Kurosawa."/>
    <s v="Akira Kurosawa"/>
    <s v="Anthony Hopkins, Tom Cruise, Meryl Streep, Jack Nicholson, Morgan Freeman"/>
    <n v="109802"/>
    <n v="252.54"/>
    <n v="252.54"/>
    <s v="Blockbuster"/>
    <s v=" Thriller"/>
    <x v="17"/>
  </r>
  <r>
    <s v="tt1000263"/>
    <s v="Lost Secrets 156"/>
    <n v="2015"/>
    <n v="2010"/>
    <x v="2"/>
    <n v="86"/>
    <s v="Short"/>
    <s v="An epic documentary tale directed by Frank Darabont."/>
    <s v="Frank Darabont"/>
    <s v="Florence Pugh, Meryl Streep, Amy Adams, Morgan Freeman, Al Pacino"/>
    <n v="81759"/>
    <m/>
    <n v="0"/>
    <s v="Average"/>
    <s v="Documentary"/>
    <x v="13"/>
  </r>
  <r>
    <s v="tt1000262"/>
    <s v="A Legend 155"/>
    <n v="2013"/>
    <n v="2010"/>
    <x v="0"/>
    <n v="136"/>
    <s v="Long"/>
    <s v="A thrilling war adventure."/>
    <s v="Robert Zemeckis"/>
    <s v="Anthony Hopkins, Zendaya, Scarlett Johansson, Matt Damon"/>
    <n v="53892"/>
    <m/>
    <n v="0"/>
    <s v="Average"/>
    <s v="War"/>
    <x v="2"/>
  </r>
  <r>
    <s v="tt1000262"/>
    <s v="A Legend 155"/>
    <n v="2013"/>
    <n v="2010"/>
    <x v="0"/>
    <n v="136"/>
    <s v="Long"/>
    <s v="A thrilling war adventure."/>
    <s v="Robert Zemeckis"/>
    <s v="Anthony Hopkins, Zendaya, Scarlett Johansson, Matt Damon"/>
    <n v="53892"/>
    <m/>
    <n v="0"/>
    <s v="Average"/>
    <s v=" Adventure"/>
    <x v="9"/>
  </r>
  <r>
    <s v="tt1000262"/>
    <s v="A Legend 155"/>
    <n v="2013"/>
    <n v="2010"/>
    <x v="0"/>
    <n v="136"/>
    <s v="Long"/>
    <s v="A thrilling war adventure."/>
    <s v="Robert Zemeckis"/>
    <s v="Anthony Hopkins, Zendaya, Scarlett Johansson, Matt Damon"/>
    <n v="53892"/>
    <m/>
    <n v="0"/>
    <s v="Average"/>
    <s v=" Western"/>
    <x v="11"/>
  </r>
  <r>
    <s v="tt1000677"/>
    <s v="Final Empire 570"/>
    <n v="2019"/>
    <n v="2010"/>
    <x v="1"/>
    <n v="100"/>
    <s v="Medium"/>
    <s v="A thrilling crime adventure."/>
    <s v="Quentin Tarantino"/>
    <s v="Chris Hemsworth, Johnny Depp, Zendaya"/>
    <n v="127797"/>
    <m/>
    <n v="0"/>
    <s v="Average"/>
    <s v="Crime"/>
    <x v="6"/>
  </r>
  <r>
    <s v="tt1000677"/>
    <s v="Final Empire 570"/>
    <n v="2019"/>
    <n v="2010"/>
    <x v="1"/>
    <n v="100"/>
    <s v="Medium"/>
    <s v="A thrilling crime adventure."/>
    <s v="Quentin Tarantino"/>
    <s v="Chris Hemsworth, Johnny Depp, Zendaya"/>
    <n v="127797"/>
    <m/>
    <n v="0"/>
    <s v="Average"/>
    <s v=" Sci-Fi"/>
    <x v="16"/>
  </r>
  <r>
    <s v="tt1000677"/>
    <s v="Final Empire 570"/>
    <n v="2019"/>
    <n v="2010"/>
    <x v="1"/>
    <n v="100"/>
    <s v="Medium"/>
    <s v="A thrilling crime adventure."/>
    <s v="Quentin Tarantino"/>
    <s v="Chris Hemsworth, Johnny Depp, Zendaya"/>
    <n v="127797"/>
    <m/>
    <n v="0"/>
    <s v="Average"/>
    <s v=" Documentary"/>
    <x v="13"/>
  </r>
  <r>
    <s v="tt1000687"/>
    <s v="A Story 580"/>
    <n v="2014"/>
    <n v="2010"/>
    <x v="0"/>
    <n v="117"/>
    <s v="Medium"/>
    <s v="A biography film set in 2014."/>
    <s v="Sam Mendes"/>
    <s v="Matt Damon, Al Pacino, Harrison Ford"/>
    <n v="51285"/>
    <n v="321.63"/>
    <n v="321.63"/>
    <s v="Blockbuster"/>
    <s v="Biography"/>
    <x v="5"/>
  </r>
  <r>
    <s v="tt1000687"/>
    <s v="A Story 580"/>
    <n v="2014"/>
    <n v="2010"/>
    <x v="0"/>
    <n v="117"/>
    <s v="Medium"/>
    <s v="A biography film set in 2014."/>
    <s v="Sam Mendes"/>
    <s v="Matt Damon, Al Pacino, Harrison Ford"/>
    <n v="51285"/>
    <n v="321.63"/>
    <n v="321.63"/>
    <s v="Blockbuster"/>
    <s v=" Action"/>
    <x v="0"/>
  </r>
  <r>
    <s v="tt1000922"/>
    <s v="The Mystery 815"/>
    <n v="2013"/>
    <n v="2010"/>
    <x v="0"/>
    <n v="119"/>
    <s v="Medium"/>
    <s v="A thrilling fantasy adventure."/>
    <s v="James Cameron"/>
    <s v="Gary Oldman, Samuel L. Jackson, Viola Davis, Leonardo DiCaprio, Morgan Freeman"/>
    <n v="27594"/>
    <m/>
    <n v="0"/>
    <s v="Average"/>
    <s v="Fantasy"/>
    <x v="8"/>
  </r>
  <r>
    <s v="tt1000398"/>
    <s v="Last Quest 291"/>
    <n v="2015"/>
    <n v="2010"/>
    <x v="2"/>
    <n v="88"/>
    <s v="Short"/>
    <s v="An epic drama tale directed by Robert Zemeckis."/>
    <s v="Robert Zemeckis"/>
    <s v="Brad Pitt, Chris Hemsworth, Gary Oldman, Kate Winslet, Al Pacino"/>
    <n v="58136"/>
    <n v="320.44"/>
    <n v="320.44"/>
    <s v="Blockbuster"/>
    <s v="Drama"/>
    <x v="14"/>
  </r>
  <r>
    <s v="tt1000398"/>
    <s v="Last Quest 291"/>
    <n v="2015"/>
    <n v="2010"/>
    <x v="2"/>
    <n v="88"/>
    <s v="Short"/>
    <s v="An epic drama tale directed by Robert Zemeckis."/>
    <s v="Robert Zemeckis"/>
    <s v="Brad Pitt, Chris Hemsworth, Gary Oldman, Kate Winslet, Al Pacino"/>
    <n v="58136"/>
    <n v="320.44"/>
    <n v="320.44"/>
    <s v="Blockbuster"/>
    <s v=" Horror"/>
    <x v="12"/>
  </r>
  <r>
    <s v="tt1000398"/>
    <s v="Last Quest 291"/>
    <n v="2015"/>
    <n v="2010"/>
    <x v="2"/>
    <n v="88"/>
    <s v="Short"/>
    <s v="An epic drama tale directed by Robert Zemeckis."/>
    <s v="Robert Zemeckis"/>
    <s v="Brad Pitt, Chris Hemsworth, Gary Oldman, Kate Winslet, Al Pacino"/>
    <n v="58136"/>
    <n v="320.44"/>
    <n v="320.44"/>
    <s v="Blockbuster"/>
    <s v=" Thriller"/>
    <x v="17"/>
  </r>
  <r>
    <s v="tt1000130"/>
    <s v="First Secrets 23"/>
    <n v="1994"/>
    <n v="1990"/>
    <x v="0"/>
    <n v="102"/>
    <s v="Medium"/>
    <s v="A critically acclaimed comedy masterpiece."/>
    <s v="Ava DuVernay"/>
    <s v="Morgan Freeman, Daniel Day-Lewis, Emma Stone"/>
    <n v="8263"/>
    <m/>
    <n v="0"/>
    <s v="Average"/>
    <s v="Comedy"/>
    <x v="15"/>
  </r>
  <r>
    <s v="tt1000543"/>
    <s v="Final War 436"/>
    <n v="2009"/>
    <n v="2000"/>
    <x v="2"/>
    <n v="137"/>
    <s v="Long"/>
    <s v="A critically acclaimed war masterpiece."/>
    <s v="Clint Eastwood"/>
    <s v="Denzel Washington, Al Pacino, Edward Norton"/>
    <n v="16822"/>
    <m/>
    <n v="0"/>
    <s v="Average"/>
    <s v="War"/>
    <x v="2"/>
  </r>
  <r>
    <s v="tt1000543"/>
    <s v="Final War 436"/>
    <n v="2009"/>
    <n v="2000"/>
    <x v="2"/>
    <n v="137"/>
    <s v="Long"/>
    <s v="A critically acclaimed war masterpiece."/>
    <s v="Clint Eastwood"/>
    <s v="Denzel Washington, Al Pacino, Edward Norton"/>
    <n v="16822"/>
    <m/>
    <n v="0"/>
    <s v="Average"/>
    <s v=" Documentary"/>
    <x v="13"/>
  </r>
  <r>
    <s v="tt1000819"/>
    <s v="Secret Revolution 712"/>
    <n v="2015"/>
    <n v="2010"/>
    <x v="1"/>
    <n v="124"/>
    <s v="Long"/>
    <s v="A critically acclaimed musical masterpiece."/>
    <s v="Bong Joon-ho"/>
    <s v="Morgan Freeman, Robert Downey Jr., Denzel Washington, Cate Blanchett, Tom Cruise"/>
    <n v="121540"/>
    <n v="394.01"/>
    <n v="394.01"/>
    <s v="Blockbuster"/>
    <s v="Musical"/>
    <x v="1"/>
  </r>
  <r>
    <s v="tt1000819"/>
    <s v="Secret Revolution 712"/>
    <n v="2015"/>
    <n v="2010"/>
    <x v="1"/>
    <n v="124"/>
    <s v="Long"/>
    <s v="A critically acclaimed musical masterpiece."/>
    <s v="Bong Joon-ho"/>
    <s v="Morgan Freeman, Robert Downey Jr., Denzel Washington, Cate Blanchett, Tom Cruise"/>
    <n v="121540"/>
    <n v="394.01"/>
    <n v="394.01"/>
    <s v="Blockbuster"/>
    <s v=" Mystery"/>
    <x v="4"/>
  </r>
  <r>
    <s v="tt1000819"/>
    <s v="Secret Revolution 712"/>
    <n v="2015"/>
    <n v="2010"/>
    <x v="1"/>
    <n v="124"/>
    <s v="Long"/>
    <s v="A critically acclaimed musical masterpiece."/>
    <s v="Bong Joon-ho"/>
    <s v="Morgan Freeman, Robert Downey Jr., Denzel Washington, Cate Blanchett, Tom Cruise"/>
    <n v="121540"/>
    <n v="394.01"/>
    <n v="394.01"/>
    <s v="Blockbuster"/>
    <s v=" Crime"/>
    <x v="6"/>
  </r>
  <r>
    <s v="tt1000481"/>
    <s v="An Journey 374"/>
    <n v="2018"/>
    <n v="2010"/>
    <x v="2"/>
    <n v="94"/>
    <s v="Medium"/>
    <s v="A crime film set in 2018."/>
    <s v="Denis Villeneuve"/>
    <s v="Mark Ruffalo, Kate Winslet, Margot Robbie"/>
    <n v="22538"/>
    <n v="411.23"/>
    <n v="411.23"/>
    <s v="Blockbuster"/>
    <s v="Crime"/>
    <x v="6"/>
  </r>
  <r>
    <s v="tt1000481"/>
    <s v="An Journey 374"/>
    <n v="2018"/>
    <n v="2010"/>
    <x v="2"/>
    <n v="94"/>
    <s v="Medium"/>
    <s v="A crime film set in 2018."/>
    <s v="Denis Villeneuve"/>
    <s v="Mark Ruffalo, Kate Winslet, Margot Robbie"/>
    <n v="22538"/>
    <n v="411.23"/>
    <n v="411.23"/>
    <s v="Blockbuster"/>
    <s v=" Thriller"/>
    <x v="17"/>
  </r>
  <r>
    <s v="tt1000479"/>
    <s v="An Mission 372"/>
    <n v="2014"/>
    <n v="2010"/>
    <x v="0"/>
    <n v="152"/>
    <s v="Long"/>
    <s v="A musical film set in 2014."/>
    <s v="Hayao Miyazaki"/>
    <s v="Tom Hanks, Amy Adams, Will Smith"/>
    <n v="180289"/>
    <n v="68.8"/>
    <n v="68.8"/>
    <s v="Average"/>
    <s v="Musical"/>
    <x v="1"/>
  </r>
  <r>
    <s v="tt1000463"/>
    <s v="Secret Chronicles 356"/>
    <n v="2000"/>
    <n v="2000"/>
    <x v="1"/>
    <n v="104"/>
    <s v="Medium"/>
    <s v="A critically acclaimed horror masterpiece."/>
    <s v="Ang Lee"/>
    <s v="Florence Pugh, TimothÃ©e Chalamet, Margot Robbie, Jennifer Lawrence"/>
    <n v="21664"/>
    <n v="158.41999999999999"/>
    <n v="158.41999999999999"/>
    <s v="Hit"/>
    <s v="Horror"/>
    <x v="12"/>
  </r>
  <r>
    <s v="tt1000463"/>
    <s v="Secret Chronicles 356"/>
    <n v="2000"/>
    <n v="2000"/>
    <x v="1"/>
    <n v="104"/>
    <s v="Medium"/>
    <s v="A critically acclaimed horror masterpiece."/>
    <s v="Ang Lee"/>
    <s v="Florence Pugh, TimothÃ©e Chalamet, Margot Robbie, Jennifer Lawrence"/>
    <n v="21664"/>
    <n v="158.41999999999999"/>
    <n v="158.41999999999999"/>
    <s v="Hit"/>
    <s v=" Musical"/>
    <x v="1"/>
  </r>
  <r>
    <s v="tt1000463"/>
    <s v="Secret Chronicles 356"/>
    <n v="2000"/>
    <n v="2000"/>
    <x v="1"/>
    <n v="104"/>
    <s v="Medium"/>
    <s v="A critically acclaimed horror masterpiece."/>
    <s v="Ang Lee"/>
    <s v="Florence Pugh, TimothÃ©e Chalamet, Margot Robbie, Jennifer Lawrence"/>
    <n v="21664"/>
    <n v="158.41999999999999"/>
    <n v="158.41999999999999"/>
    <s v="Hit"/>
    <s v=" Documentary"/>
    <x v="13"/>
  </r>
  <r>
    <s v="tt1000895"/>
    <s v="Lost Adventures 788"/>
    <n v="2018"/>
    <n v="2010"/>
    <x v="1"/>
    <n v="126"/>
    <s v="Long"/>
    <s v="A crime film set in 2018."/>
    <s v="Sam Mendes"/>
    <s v="Jack Nicholson, Will Smith, Robert Downey Jr., Tom Cruise"/>
    <n v="5982"/>
    <n v="29.36"/>
    <n v="29.36"/>
    <s v="Average"/>
    <s v="Crime"/>
    <x v="6"/>
  </r>
  <r>
    <s v="tt1000913"/>
    <s v="First Secrets 806"/>
    <n v="2011"/>
    <n v="2010"/>
    <x v="3"/>
    <n v="137"/>
    <s v="Long"/>
    <s v="A drama film set in 2011."/>
    <s v="Taika Waititi"/>
    <s v="TimothÃ©e Chalamet, Gary Oldman, Leonardo DiCaprio, Margot Robbie, Emma Stone"/>
    <n v="119962"/>
    <n v="30.56"/>
    <n v="30.56"/>
    <s v="Average"/>
    <s v="Drama"/>
    <x v="14"/>
  </r>
  <r>
    <s v="tt1000913"/>
    <s v="First Secrets 806"/>
    <n v="2011"/>
    <n v="2010"/>
    <x v="3"/>
    <n v="137"/>
    <s v="Long"/>
    <s v="A drama film set in 2011."/>
    <s v="Taika Waititi"/>
    <s v="TimothÃ©e Chalamet, Gary Oldman, Leonardo DiCaprio, Margot Robbie, Emma Stone"/>
    <n v="119962"/>
    <n v="30.56"/>
    <n v="30.56"/>
    <s v="Average"/>
    <s v=" Biography"/>
    <x v="5"/>
  </r>
  <r>
    <s v="tt1000311"/>
    <s v="First Adventures 204"/>
    <n v="2014"/>
    <n v="2010"/>
    <x v="4"/>
    <n v="76"/>
    <s v="Short"/>
    <s v="A thrilling romance adventure."/>
    <s v="Pedro AlmodÃ³var"/>
    <s v="Robert Downey Jr., Gary Oldman, Matt Damon"/>
    <n v="28195"/>
    <n v="397.7"/>
    <n v="397.7"/>
    <s v="Blockbuster"/>
    <s v="Romance"/>
    <x v="7"/>
  </r>
  <r>
    <s v="tt1000452"/>
    <s v="A Adventures 345"/>
    <n v="2009"/>
    <n v="2000"/>
    <x v="2"/>
    <n v="109"/>
    <s v="Medium"/>
    <s v="A thrilling fantasy adventure."/>
    <s v="Wong Kar-wai"/>
    <s v="Cate Blanchett, Will Smith, Amy Adams, Al Pacino, Florence Pugh"/>
    <n v="6513"/>
    <n v="106.79"/>
    <n v="106.79"/>
    <s v="Hit"/>
    <s v="Fantasy"/>
    <x v="8"/>
  </r>
  <r>
    <s v="tt1000452"/>
    <s v="A Adventures 345"/>
    <n v="2009"/>
    <n v="2000"/>
    <x v="2"/>
    <n v="109"/>
    <s v="Medium"/>
    <s v="A thrilling fantasy adventure."/>
    <s v="Wong Kar-wai"/>
    <s v="Cate Blanchett, Will Smith, Amy Adams, Al Pacino, Florence Pugh"/>
    <n v="6513"/>
    <n v="106.79"/>
    <n v="106.79"/>
    <s v="Hit"/>
    <s v=" Romance"/>
    <x v="7"/>
  </r>
  <r>
    <s v="tt1000848"/>
    <s v="An Empire 741"/>
    <n v="2012"/>
    <n v="2010"/>
    <x v="0"/>
    <n v="168"/>
    <s v="Long"/>
    <s v="A action film set in 2012."/>
    <s v="George Lucas"/>
    <s v="Matt Damon, Kate Winslet, Robert Downey Jr., Christian Bale"/>
    <n v="7582"/>
    <m/>
    <n v="0"/>
    <s v="Average"/>
    <s v="Action"/>
    <x v="0"/>
  </r>
  <r>
    <s v="tt1000848"/>
    <s v="An Empire 741"/>
    <n v="2012"/>
    <n v="2010"/>
    <x v="0"/>
    <n v="168"/>
    <s v="Long"/>
    <s v="A action film set in 2012."/>
    <s v="George Lucas"/>
    <s v="Matt Damon, Kate Winslet, Robert Downey Jr., Christian Bale"/>
    <n v="7582"/>
    <m/>
    <n v="0"/>
    <s v="Average"/>
    <s v=" Horror"/>
    <x v="12"/>
  </r>
  <r>
    <s v="tt1000843"/>
    <s v="First Story 736"/>
    <n v="2017"/>
    <n v="2010"/>
    <x v="3"/>
    <n v="97"/>
    <s v="Medium"/>
    <s v="A thrilling drama adventure."/>
    <s v="James Cameron"/>
    <s v="Matt Damon, Robert De Niro, Samuel L. Jackson"/>
    <n v="14919"/>
    <n v="476.26"/>
    <n v="476.26"/>
    <s v="Blockbuster"/>
    <s v="Drama"/>
    <x v="14"/>
  </r>
  <r>
    <s v="tt1000447"/>
    <s v="Secret Story 340"/>
    <n v="2024"/>
    <n v="2020"/>
    <x v="2"/>
    <n v="120"/>
    <s v="Medium"/>
    <s v="An epic mystery tale directed by Steven Spielberg."/>
    <s v="Steven Spielberg"/>
    <s v="Kate Winslet, Anthony Hopkins, Keanu Reeves, Scarlett Johansson, Leonardo DiCaprio"/>
    <n v="357170"/>
    <n v="172.7"/>
    <n v="172.7"/>
    <s v="Hit"/>
    <s v="Mystery"/>
    <x v="4"/>
  </r>
  <r>
    <s v="tt1000447"/>
    <s v="Secret Story 340"/>
    <n v="2024"/>
    <n v="2020"/>
    <x v="2"/>
    <n v="120"/>
    <s v="Medium"/>
    <s v="An epic mystery tale directed by Steven Spielberg."/>
    <s v="Steven Spielberg"/>
    <s v="Kate Winslet, Anthony Hopkins, Keanu Reeves, Scarlett Johansson, Leonardo DiCaprio"/>
    <n v="357170"/>
    <n v="172.7"/>
    <n v="172.7"/>
    <s v="Hit"/>
    <s v=" Musical"/>
    <x v="1"/>
  </r>
  <r>
    <s v="tt1000436"/>
    <s v="A Secrets 329"/>
    <n v="2019"/>
    <n v="2010"/>
    <x v="0"/>
    <n v="141"/>
    <s v="Long"/>
    <s v="A thrilling musical adventure."/>
    <s v="Martin Scorsese"/>
    <s v="Al Pacino, Robert Downey Jr., Emma Stone, Zendaya, Chris Hemsworth"/>
    <n v="57668"/>
    <m/>
    <n v="0"/>
    <s v="Average"/>
    <s v="Musical"/>
    <x v="1"/>
  </r>
  <r>
    <s v="tt1000436"/>
    <s v="A Secrets 329"/>
    <n v="2019"/>
    <n v="2010"/>
    <x v="0"/>
    <n v="141"/>
    <s v="Long"/>
    <s v="A thrilling musical adventure."/>
    <s v="Martin Scorsese"/>
    <s v="Al Pacino, Robert Downey Jr., Emma Stone, Zendaya, Chris Hemsworth"/>
    <n v="57668"/>
    <m/>
    <n v="0"/>
    <s v="Average"/>
    <s v=" Western"/>
    <x v="11"/>
  </r>
  <r>
    <s v="tt1000201"/>
    <s v="Dark Quest 94"/>
    <n v="2015"/>
    <n v="2010"/>
    <x v="2"/>
    <n v="147"/>
    <s v="Long"/>
    <s v="A adventure film set in 2015."/>
    <s v="Greta Gerwig"/>
    <s v="Florence Pugh, Denzel Washington, Natalie Portman"/>
    <n v="999683"/>
    <n v="480.99"/>
    <n v="480.99"/>
    <s v="Blockbuster"/>
    <s v="Adventure"/>
    <x v="9"/>
  </r>
  <r>
    <s v="tt1000201"/>
    <s v="Dark Quest 94"/>
    <n v="2015"/>
    <n v="2010"/>
    <x v="2"/>
    <n v="147"/>
    <s v="Long"/>
    <s v="A adventure film set in 2015."/>
    <s v="Greta Gerwig"/>
    <s v="Florence Pugh, Denzel Washington, Natalie Portman"/>
    <n v="999683"/>
    <n v="480.99"/>
    <n v="480.99"/>
    <s v="Blockbuster"/>
    <s v=" Action"/>
    <x v="0"/>
  </r>
  <r>
    <s v="tt1000201"/>
    <s v="Dark Quest 94"/>
    <n v="2015"/>
    <n v="2010"/>
    <x v="2"/>
    <n v="147"/>
    <s v="Long"/>
    <s v="A adventure film set in 2015."/>
    <s v="Greta Gerwig"/>
    <s v="Florence Pugh, Denzel Washington, Natalie Portman"/>
    <n v="999683"/>
    <n v="480.99"/>
    <n v="480.99"/>
    <s v="Blockbuster"/>
    <s v=" Thriller"/>
    <x v="17"/>
  </r>
  <r>
    <s v="tt1000197"/>
    <s v="A Dreams 90"/>
    <n v="1999"/>
    <n v="1990"/>
    <x v="0"/>
    <n v="110"/>
    <s v="Medium"/>
    <s v="A thrilling romance adventure."/>
    <s v="Francis Ford Coppola"/>
    <s v="Brad Pitt, Robert Downey Jr., Morgan Freeman"/>
    <n v="98764"/>
    <m/>
    <n v="0"/>
    <s v="Average"/>
    <s v="Romance"/>
    <x v="7"/>
  </r>
  <r>
    <s v="tt1000197"/>
    <s v="A Dreams 90"/>
    <n v="1999"/>
    <n v="1990"/>
    <x v="0"/>
    <n v="110"/>
    <s v="Medium"/>
    <s v="A thrilling romance adventure."/>
    <s v="Francis Ford Coppola"/>
    <s v="Brad Pitt, Robert Downey Jr., Morgan Freeman"/>
    <n v="98764"/>
    <m/>
    <n v="0"/>
    <s v="Average"/>
    <s v=" Horror"/>
    <x v="12"/>
  </r>
  <r>
    <s v="tt1000860"/>
    <s v="Lost Revolution 753"/>
    <n v="2009"/>
    <n v="2000"/>
    <x v="0"/>
    <n v="127"/>
    <s v="Long"/>
    <s v="A critically acclaimed mystery masterpiece."/>
    <s v="Greta Gerwig"/>
    <s v="TimothÃ©e Chalamet, Tom Cruise, Gary Oldman"/>
    <n v="55288"/>
    <n v="121.64"/>
    <n v="121.64"/>
    <s v="Hit"/>
    <s v="Mystery"/>
    <x v="4"/>
  </r>
  <r>
    <s v="tt1000860"/>
    <s v="Lost Revolution 753"/>
    <n v="2009"/>
    <n v="2000"/>
    <x v="0"/>
    <n v="127"/>
    <s v="Long"/>
    <s v="A critically acclaimed mystery masterpiece."/>
    <s v="Greta Gerwig"/>
    <s v="TimothÃ©e Chalamet, Tom Cruise, Gary Oldman"/>
    <n v="55288"/>
    <n v="121.64"/>
    <n v="121.64"/>
    <s v="Hit"/>
    <s v=" Fantasy"/>
    <x v="8"/>
  </r>
  <r>
    <s v="tt1000860"/>
    <s v="Lost Revolution 753"/>
    <n v="2009"/>
    <n v="2000"/>
    <x v="0"/>
    <n v="127"/>
    <s v="Long"/>
    <s v="A critically acclaimed mystery masterpiece."/>
    <s v="Greta Gerwig"/>
    <s v="TimothÃ©e Chalamet, Tom Cruise, Gary Oldman"/>
    <n v="55288"/>
    <n v="121.64"/>
    <n v="121.64"/>
    <s v="Hit"/>
    <s v=" Crime"/>
    <x v="6"/>
  </r>
  <r>
    <s v="tt1000608"/>
    <s v="The Love 501"/>
    <n v="2008"/>
    <n v="2000"/>
    <x v="0"/>
    <n v="123"/>
    <s v="Long"/>
    <s v="A musical film set in 2008."/>
    <s v="Ryan Coogler"/>
    <s v="Amy Adams, Chris Hemsworth, Scarlett Johansson, Tom Hanks"/>
    <n v="11665"/>
    <m/>
    <n v="0"/>
    <s v="Average"/>
    <s v="Musical"/>
    <x v="1"/>
  </r>
  <r>
    <s v="tt1000999"/>
    <s v="Secret Mission 892"/>
    <n v="2005"/>
    <n v="2000"/>
    <x v="2"/>
    <n v="95"/>
    <s v="Medium"/>
    <s v="A critically acclaimed mystery masterpiece."/>
    <s v="Denis Villeneuve"/>
    <s v="Daniel Day-Lewis, Emma Stone, Cate Blanchett, Brad Pitt, Zendaya"/>
    <n v="47434"/>
    <n v="275.47000000000003"/>
    <n v="275.47000000000003"/>
    <s v="Blockbuster"/>
    <s v="Mystery"/>
    <x v="4"/>
  </r>
  <r>
    <s v="tt1000999"/>
    <s v="Secret Mission 892"/>
    <n v="2005"/>
    <n v="2000"/>
    <x v="2"/>
    <n v="95"/>
    <s v="Medium"/>
    <s v="A critically acclaimed mystery masterpiece."/>
    <s v="Denis Villeneuve"/>
    <s v="Daniel Day-Lewis, Emma Stone, Cate Blanchett, Brad Pitt, Zendaya"/>
    <n v="47434"/>
    <n v="275.47000000000003"/>
    <n v="275.47000000000003"/>
    <s v="Blockbuster"/>
    <s v=" Biography"/>
    <x v="5"/>
  </r>
  <r>
    <s v="tt1000981"/>
    <s v="Secret Dreams 874"/>
    <n v="2014"/>
    <n v="2010"/>
    <x v="0"/>
    <n v="116"/>
    <s v="Medium"/>
    <s v="A thrilling war adventure."/>
    <s v="Ryan Coogler"/>
    <s v="Mark Ruffalo, Al Pacino, Viola Davis"/>
    <n v="10704"/>
    <m/>
    <n v="0"/>
    <s v="Average"/>
    <s v="War"/>
    <x v="2"/>
  </r>
  <r>
    <s v="tt1000981"/>
    <s v="Secret Dreams 874"/>
    <n v="2014"/>
    <n v="2010"/>
    <x v="0"/>
    <n v="116"/>
    <s v="Medium"/>
    <s v="A thrilling war adventure."/>
    <s v="Ryan Coogler"/>
    <s v="Mark Ruffalo, Al Pacino, Viola Davis"/>
    <n v="10704"/>
    <m/>
    <n v="0"/>
    <s v="Average"/>
    <s v=" Sci-Fi"/>
    <x v="16"/>
  </r>
  <r>
    <s v="tt1000994"/>
    <s v="Secret Legend 887"/>
    <n v="2019"/>
    <n v="2010"/>
    <x v="2"/>
    <n v="134"/>
    <s v="Long"/>
    <s v="A comedy film set in 2019."/>
    <s v="Wong Kar-wai"/>
    <s v="Harrison Ford, Keanu Reeves, Emma Stone, Meryl Streep, Kate Winslet"/>
    <n v="5002"/>
    <n v="370.36"/>
    <n v="370.36"/>
    <s v="Blockbuster"/>
    <s v="Comedy"/>
    <x v="15"/>
  </r>
  <r>
    <s v="tt1000994"/>
    <s v="Secret Legend 887"/>
    <n v="2019"/>
    <n v="2010"/>
    <x v="2"/>
    <n v="134"/>
    <s v="Long"/>
    <s v="A comedy film set in 2019."/>
    <s v="Wong Kar-wai"/>
    <s v="Harrison Ford, Keanu Reeves, Emma Stone, Meryl Streep, Kate Winslet"/>
    <n v="5002"/>
    <n v="370.36"/>
    <n v="370.36"/>
    <s v="Blockbuster"/>
    <s v=" Family"/>
    <x v="10"/>
  </r>
  <r>
    <s v="tt1000366"/>
    <s v="Dark Empire 259"/>
    <n v="2002"/>
    <n v="2000"/>
    <x v="2"/>
    <n v="138"/>
    <s v="Long"/>
    <s v="A critically acclaimed western masterpiece."/>
    <s v="Denis Villeneuve"/>
    <s v="Meryl Streep, Al Pacino, Gary Oldman, Chris Hemsworth"/>
    <n v="267537"/>
    <m/>
    <n v="0"/>
    <s v="Average"/>
    <s v="Western"/>
    <x v="11"/>
  </r>
  <r>
    <s v="tt1000634"/>
    <s v="The Secrets 527"/>
    <n v="2014"/>
    <n v="2010"/>
    <x v="1"/>
    <n v="143"/>
    <s v="Long"/>
    <s v="An epic horror tale directed by Peter Jackson."/>
    <s v="Peter Jackson"/>
    <s v="Natalie Portman, Mark Ruffalo, Keanu Reeves"/>
    <n v="50972"/>
    <n v="92.97"/>
    <n v="92.97"/>
    <s v="Average"/>
    <s v="Horror"/>
    <x v="12"/>
  </r>
  <r>
    <s v="tt1000634"/>
    <s v="The Secrets 527"/>
    <n v="2014"/>
    <n v="2010"/>
    <x v="1"/>
    <n v="143"/>
    <s v="Long"/>
    <s v="An epic horror tale directed by Peter Jackson."/>
    <s v="Peter Jackson"/>
    <s v="Natalie Portman, Mark Ruffalo, Keanu Reeves"/>
    <n v="50972"/>
    <n v="92.97"/>
    <n v="92.97"/>
    <s v="Average"/>
    <s v=" Thriller"/>
    <x v="17"/>
  </r>
  <r>
    <s v="tt1000634"/>
    <s v="The Secrets 527"/>
    <n v="2014"/>
    <n v="2010"/>
    <x v="1"/>
    <n v="143"/>
    <s v="Long"/>
    <s v="An epic horror tale directed by Peter Jackson."/>
    <s v="Peter Jackson"/>
    <s v="Natalie Portman, Mark Ruffalo, Keanu Reeves"/>
    <n v="50972"/>
    <n v="92.97"/>
    <n v="92.97"/>
    <s v="Average"/>
    <s v=" Fantasy"/>
    <x v="8"/>
  </r>
  <r>
    <s v="tt1000859"/>
    <s v="An Dreams 752"/>
    <n v="2015"/>
    <n v="2010"/>
    <x v="0"/>
    <n v="139"/>
    <s v="Long"/>
    <s v="A critically acclaimed family masterpiece."/>
    <s v="Akira Kurosawa"/>
    <s v="Harrison Ford, Tom Cruise, Robert De Niro, Samuel L. Jackson"/>
    <n v="837294"/>
    <n v="199.19"/>
    <n v="199.19"/>
    <s v="Hit"/>
    <s v="Family"/>
    <x v="10"/>
  </r>
  <r>
    <s v="tt1000859"/>
    <s v="An Dreams 752"/>
    <n v="2015"/>
    <n v="2010"/>
    <x v="0"/>
    <n v="139"/>
    <s v="Long"/>
    <s v="A critically acclaimed family masterpiece."/>
    <s v="Akira Kurosawa"/>
    <s v="Harrison Ford, Tom Cruise, Robert De Niro, Samuel L. Jackson"/>
    <n v="837294"/>
    <n v="199.19"/>
    <n v="199.19"/>
    <s v="Hit"/>
    <s v=" Sci-Fi"/>
    <x v="16"/>
  </r>
  <r>
    <s v="tt1000859"/>
    <s v="An Dreams 752"/>
    <n v="2015"/>
    <n v="2010"/>
    <x v="0"/>
    <n v="139"/>
    <s v="Long"/>
    <s v="A critically acclaimed family masterpiece."/>
    <s v="Akira Kurosawa"/>
    <s v="Harrison Ford, Tom Cruise, Robert De Niro, Samuel L. Jackson"/>
    <n v="837294"/>
    <n v="199.19"/>
    <n v="199.19"/>
    <s v="Hit"/>
    <s v=" Musical"/>
    <x v="1"/>
  </r>
  <r>
    <s v="tt1000959"/>
    <s v="Lost Destiny 852"/>
    <n v="2021"/>
    <n v="2020"/>
    <x v="3"/>
    <n v="106"/>
    <s v="Medium"/>
    <s v="A thrilling mystery adventure."/>
    <s v="Danny Boyle"/>
    <s v="Robert De Niro, Al Pacino, Keanu Reeves"/>
    <n v="45206"/>
    <n v="116.22"/>
    <n v="116.22"/>
    <s v="Hit"/>
    <s v="Mystery"/>
    <x v="4"/>
  </r>
  <r>
    <s v="tt1000959"/>
    <s v="Lost Destiny 852"/>
    <n v="2021"/>
    <n v="2020"/>
    <x v="3"/>
    <n v="106"/>
    <s v="Medium"/>
    <s v="A thrilling mystery adventure."/>
    <s v="Danny Boyle"/>
    <s v="Robert De Niro, Al Pacino, Keanu Reeves"/>
    <n v="45206"/>
    <n v="116.22"/>
    <n v="116.22"/>
    <s v="Hit"/>
    <s v=" Fantasy"/>
    <x v="8"/>
  </r>
  <r>
    <s v="tt1000628"/>
    <s v="Dark Revolution 521"/>
    <n v="2016"/>
    <n v="2010"/>
    <x v="1"/>
    <n v="119"/>
    <s v="Medium"/>
    <s v="A thrilling crime adventure."/>
    <s v="Christopher Nolan"/>
    <s v="Morgan Freeman, Gary Oldman, Samuel L. Jackson"/>
    <n v="17775"/>
    <m/>
    <n v="0"/>
    <s v="Average"/>
    <s v="Crime"/>
    <x v="6"/>
  </r>
  <r>
    <s v="tt1000628"/>
    <s v="Dark Revolution 521"/>
    <n v="2016"/>
    <n v="2010"/>
    <x v="1"/>
    <n v="119"/>
    <s v="Medium"/>
    <s v="A thrilling crime adventure."/>
    <s v="Christopher Nolan"/>
    <s v="Morgan Freeman, Gary Oldman, Samuel L. Jackson"/>
    <n v="17775"/>
    <m/>
    <n v="0"/>
    <s v="Average"/>
    <s v=" Adventure"/>
    <x v="9"/>
  </r>
  <r>
    <s v="tt1000838"/>
    <s v="First Awakening 731"/>
    <n v="2017"/>
    <n v="2010"/>
    <x v="0"/>
    <n v="117"/>
    <s v="Medium"/>
    <s v="A critically acclaimed adventure masterpiece."/>
    <s v="Ryan Coogler"/>
    <s v="Johnny Depp, Viola Davis, Harrison Ford, Gary Oldman"/>
    <n v="68107"/>
    <n v="370.25"/>
    <n v="370.25"/>
    <s v="Blockbuster"/>
    <s v="Adventure"/>
    <x v="9"/>
  </r>
  <r>
    <s v="tt1000838"/>
    <s v="First Awakening 731"/>
    <n v="2017"/>
    <n v="2010"/>
    <x v="0"/>
    <n v="117"/>
    <s v="Medium"/>
    <s v="A critically acclaimed adventure masterpiece."/>
    <s v="Ryan Coogler"/>
    <s v="Johnny Depp, Viola Davis, Harrison Ford, Gary Oldman"/>
    <n v="68107"/>
    <n v="370.25"/>
    <n v="370.25"/>
    <s v="Blockbuster"/>
    <s v=" Animation"/>
    <x v="3"/>
  </r>
  <r>
    <s v="tt1000193"/>
    <s v="Dark Mystery 86"/>
    <n v="1996"/>
    <n v="1990"/>
    <x v="1"/>
    <n v="142"/>
    <s v="Long"/>
    <s v="A thrilling biography adventure."/>
    <s v="Jordan Peele"/>
    <s v="Emma Stone, Harrison Ford, Will Smith, Mark Ruffalo"/>
    <n v="32114"/>
    <m/>
    <n v="0"/>
    <s v="Average"/>
    <s v="Biography"/>
    <x v="5"/>
  </r>
  <r>
    <s v="tt1000478"/>
    <s v="Lost Mystery 371"/>
    <n v="2020"/>
    <n v="2020"/>
    <x v="2"/>
    <n v="116"/>
    <s v="Medium"/>
    <s v="A thrilling thriller adventure."/>
    <s v="Akira Kurosawa"/>
    <s v="Matt Damon, Anthony Hopkins, Al Pacino, Emma Stone"/>
    <n v="41231"/>
    <m/>
    <n v="0"/>
    <s v="Average"/>
    <s v="Thriller"/>
    <x v="17"/>
  </r>
  <r>
    <s v="tt1000815"/>
    <s v="Final Awakening 708"/>
    <n v="2020"/>
    <n v="2020"/>
    <x v="2"/>
    <n v="125"/>
    <s v="Long"/>
    <s v="A thrilling sci-fi adventure."/>
    <s v="Taika Waititi"/>
    <s v="Brad Pitt, Florence Pugh, Amy Adams, Robert De Niro, Tom Hanks"/>
    <n v="42124"/>
    <n v="313.06"/>
    <n v="313.06"/>
    <s v="Blockbuster"/>
    <s v="Sci-Fi"/>
    <x v="16"/>
  </r>
  <r>
    <s v="tt1000815"/>
    <s v="Final Awakening 708"/>
    <n v="2020"/>
    <n v="2020"/>
    <x v="2"/>
    <n v="125"/>
    <s v="Long"/>
    <s v="A thrilling sci-fi adventure."/>
    <s v="Taika Waititi"/>
    <s v="Brad Pitt, Florence Pugh, Amy Adams, Robert De Niro, Tom Hanks"/>
    <n v="42124"/>
    <n v="313.06"/>
    <n v="313.06"/>
    <s v="Blockbuster"/>
    <s v=" Documentary"/>
    <x v="13"/>
  </r>
  <r>
    <s v="tt1000912"/>
    <s v="Final Chronicles 805"/>
    <n v="2024"/>
    <n v="2020"/>
    <x v="2"/>
    <n v="113"/>
    <s v="Medium"/>
    <s v="A thrilling war adventure."/>
    <s v="Bong Joon-ho"/>
    <s v="Amy Adams, Robert De Niro, Scarlett Johansson, Viola Davis, Mark Ruffalo"/>
    <n v="616146"/>
    <n v="24.6"/>
    <n v="24.6"/>
    <s v="Average"/>
    <s v="War"/>
    <x v="2"/>
  </r>
  <r>
    <s v="tt1000912"/>
    <s v="Final Chronicles 805"/>
    <n v="2024"/>
    <n v="2020"/>
    <x v="2"/>
    <n v="113"/>
    <s v="Medium"/>
    <s v="A thrilling war adventure."/>
    <s v="Bong Joon-ho"/>
    <s v="Amy Adams, Robert De Niro, Scarlett Johansson, Viola Davis, Mark Ruffalo"/>
    <n v="616146"/>
    <n v="24.6"/>
    <n v="24.6"/>
    <s v="Average"/>
    <s v=" Thriller"/>
    <x v="17"/>
  </r>
  <r>
    <s v="tt1000912"/>
    <s v="Final Chronicles 805"/>
    <n v="2024"/>
    <n v="2020"/>
    <x v="2"/>
    <n v="113"/>
    <s v="Medium"/>
    <s v="A thrilling war adventure."/>
    <s v="Bong Joon-ho"/>
    <s v="Amy Adams, Robert De Niro, Scarlett Johansson, Viola Davis, Mark Ruffalo"/>
    <n v="616146"/>
    <n v="24.6"/>
    <n v="24.6"/>
    <s v="Average"/>
    <s v=" Animation"/>
    <x v="3"/>
  </r>
  <r>
    <s v="tt1000483"/>
    <s v="Last Secrets 376"/>
    <n v="2016"/>
    <n v="2010"/>
    <x v="0"/>
    <n v="120"/>
    <s v="Medium"/>
    <s v="An epic family tale directed by Ron Howard."/>
    <s v="Ron Howard"/>
    <s v="Margot Robbie, Tom Cruise, Zendaya, Harrison Ford"/>
    <n v="769366"/>
    <m/>
    <n v="0"/>
    <s v="Average"/>
    <s v="Family"/>
    <x v="10"/>
  </r>
  <r>
    <s v="tt1000375"/>
    <s v="Final War 268"/>
    <n v="2011"/>
    <n v="2010"/>
    <x v="1"/>
    <n v="97"/>
    <s v="Medium"/>
    <s v="A adventure film set in 2011."/>
    <s v="Hayao Miyazaki"/>
    <s v="Robert De Niro, TimothÃ©e Chalamet, Edward Norton"/>
    <n v="19314"/>
    <m/>
    <n v="0"/>
    <s v="Average"/>
    <s v="Adventure"/>
    <x v="9"/>
  </r>
  <r>
    <s v="tt1000375"/>
    <s v="Final War 268"/>
    <n v="2011"/>
    <n v="2010"/>
    <x v="1"/>
    <n v="97"/>
    <s v="Medium"/>
    <s v="A adventure film set in 2011."/>
    <s v="Hayao Miyazaki"/>
    <s v="Robert De Niro, TimothÃ©e Chalamet, Edward Norton"/>
    <n v="19314"/>
    <m/>
    <n v="0"/>
    <s v="Average"/>
    <s v=" Family"/>
    <x v="10"/>
  </r>
  <r>
    <s v="tt1000518"/>
    <s v="Final Awakening 411"/>
    <n v="2009"/>
    <n v="2000"/>
    <x v="0"/>
    <n v="115"/>
    <s v="Medium"/>
    <s v="A critically acclaimed horror masterpiece."/>
    <s v="James Cameron"/>
    <s v="Meryl Streep, Jack Nicholson, Harrison Ford"/>
    <n v="235714"/>
    <n v="85.71"/>
    <n v="85.71"/>
    <s v="Average"/>
    <s v="Horror"/>
    <x v="12"/>
  </r>
  <r>
    <s v="tt1000242"/>
    <s v="A Empire 135"/>
    <n v="2019"/>
    <n v="2010"/>
    <x v="3"/>
    <n v="120"/>
    <s v="Medium"/>
    <s v="An epic thriller tale directed by James Cameron."/>
    <s v="James Cameron"/>
    <s v="Natalie Portman, Gary Oldman, Meryl Streep, TimothÃ©e Chalamet, Zendaya"/>
    <n v="26645"/>
    <n v="152.34"/>
    <n v="152.34"/>
    <s v="Hit"/>
    <s v="Thriller"/>
    <x v="17"/>
  </r>
  <r>
    <s v="tt1000551"/>
    <s v="Last War 444"/>
    <n v="2008"/>
    <n v="2000"/>
    <x v="3"/>
    <n v="112"/>
    <s v="Medium"/>
    <s v="A critically acclaimed fantasy masterpiece."/>
    <s v="Steven Spielberg"/>
    <s v="Florence Pugh, Tom Cruise, Margot Robbie"/>
    <n v="38441"/>
    <n v="452.31"/>
    <n v="452.31"/>
    <s v="Blockbuster"/>
    <s v="Fantasy"/>
    <x v="8"/>
  </r>
  <r>
    <s v="tt1000551"/>
    <s v="Last War 444"/>
    <n v="2008"/>
    <n v="2000"/>
    <x v="3"/>
    <n v="112"/>
    <s v="Medium"/>
    <s v="A critically acclaimed fantasy masterpiece."/>
    <s v="Steven Spielberg"/>
    <s v="Florence Pugh, Tom Cruise, Margot Robbie"/>
    <n v="38441"/>
    <n v="452.31"/>
    <n v="452.31"/>
    <s v="Blockbuster"/>
    <s v=" Drama"/>
    <x v="14"/>
  </r>
  <r>
    <s v="tt1000551"/>
    <s v="Last War 444"/>
    <n v="2008"/>
    <n v="2000"/>
    <x v="3"/>
    <n v="112"/>
    <s v="Medium"/>
    <s v="A critically acclaimed fantasy masterpiece."/>
    <s v="Steven Spielberg"/>
    <s v="Florence Pugh, Tom Cruise, Margot Robbie"/>
    <n v="38441"/>
    <n v="452.31"/>
    <n v="452.31"/>
    <s v="Blockbuster"/>
    <s v=" War"/>
    <x v="2"/>
  </r>
  <r>
    <s v="tt1000550"/>
    <s v="First Destiny 443"/>
    <n v="2006"/>
    <n v="2000"/>
    <x v="5"/>
    <n v="131"/>
    <s v="Long"/>
    <s v="A critically acclaimed biography masterpiece."/>
    <s v="Sam Mendes"/>
    <s v="Florence Pugh, Scarlett Johansson, Keanu Reeves"/>
    <n v="80143"/>
    <m/>
    <n v="0"/>
    <s v="Average"/>
    <s v="Biography"/>
    <x v="5"/>
  </r>
  <r>
    <s v="tt1000550"/>
    <s v="First Destiny 443"/>
    <n v="2006"/>
    <n v="2000"/>
    <x v="5"/>
    <n v="131"/>
    <s v="Long"/>
    <s v="A critically acclaimed biography masterpiece."/>
    <s v="Sam Mendes"/>
    <s v="Florence Pugh, Scarlett Johansson, Keanu Reeves"/>
    <n v="80143"/>
    <m/>
    <n v="0"/>
    <s v="Average"/>
    <s v=" Western"/>
    <x v="11"/>
  </r>
  <r>
    <s v="tt1000550"/>
    <s v="First Destiny 443"/>
    <n v="2006"/>
    <n v="2000"/>
    <x v="5"/>
    <n v="131"/>
    <s v="Long"/>
    <s v="A critically acclaimed biography masterpiece."/>
    <s v="Sam Mendes"/>
    <s v="Florence Pugh, Scarlett Johansson, Keanu Reeves"/>
    <n v="80143"/>
    <m/>
    <n v="0"/>
    <s v="Average"/>
    <s v=" War"/>
    <x v="2"/>
  </r>
  <r>
    <s v="tt1000361"/>
    <s v="An Adventures 254"/>
    <n v="2005"/>
    <n v="2000"/>
    <x v="2"/>
    <n v="161"/>
    <s v="Long"/>
    <s v="A thrilling drama adventure."/>
    <s v="Sam Mendes"/>
    <s v="Johnny Depp, Morgan Freeman, Chris Hemsworth, Viola Davis"/>
    <n v="114126"/>
    <n v="387.73"/>
    <n v="387.73"/>
    <s v="Blockbuster"/>
    <s v="Drama"/>
    <x v="14"/>
  </r>
  <r>
    <s v="tt1000361"/>
    <s v="An Adventures 254"/>
    <n v="2005"/>
    <n v="2000"/>
    <x v="2"/>
    <n v="161"/>
    <s v="Long"/>
    <s v="A thrilling drama adventure."/>
    <s v="Sam Mendes"/>
    <s v="Johnny Depp, Morgan Freeman, Chris Hemsworth, Viola Davis"/>
    <n v="114126"/>
    <n v="387.73"/>
    <n v="387.73"/>
    <s v="Blockbuster"/>
    <s v=" Crime"/>
    <x v="6"/>
  </r>
  <r>
    <s v="tt1000970"/>
    <s v="An Secrets 863"/>
    <n v="2000"/>
    <n v="2000"/>
    <x v="0"/>
    <n v="109"/>
    <s v="Medium"/>
    <s v="A horror film set in 2000."/>
    <s v="Ron Howard"/>
    <s v="Gary Oldman, Anthony Hopkins, Robert Downey Jr., Mark Ruffalo, Emma Stone"/>
    <n v="20001"/>
    <m/>
    <n v="0"/>
    <s v="Average"/>
    <s v="Horror"/>
    <x v="12"/>
  </r>
  <r>
    <s v="tt1000970"/>
    <s v="An Secrets 863"/>
    <n v="2000"/>
    <n v="2000"/>
    <x v="0"/>
    <n v="109"/>
    <s v="Medium"/>
    <s v="A horror film set in 2000."/>
    <s v="Ron Howard"/>
    <s v="Gary Oldman, Anthony Hopkins, Robert Downey Jr., Mark Ruffalo, Emma Stone"/>
    <n v="20001"/>
    <m/>
    <n v="0"/>
    <s v="Average"/>
    <s v=" Adventure"/>
    <x v="9"/>
  </r>
  <r>
    <s v="tt1000619"/>
    <s v="A Legend 512"/>
    <n v="2014"/>
    <n v="2010"/>
    <x v="0"/>
    <n v="114"/>
    <s v="Medium"/>
    <s v="An epic family tale directed by Stanley Kubrick."/>
    <s v="Stanley Kubrick"/>
    <s v="Mark Ruffalo, Margot Robbie, Robert De Niro, Kate Winslet"/>
    <n v="88475"/>
    <n v="28.13"/>
    <n v="28.13"/>
    <s v="Average"/>
    <s v="Family"/>
    <x v="10"/>
  </r>
  <r>
    <s v="tt1000619"/>
    <s v="A Legend 512"/>
    <n v="2014"/>
    <n v="2010"/>
    <x v="0"/>
    <n v="114"/>
    <s v="Medium"/>
    <s v="An epic family tale directed by Stanley Kubrick."/>
    <s v="Stanley Kubrick"/>
    <s v="Mark Ruffalo, Margot Robbie, Robert De Niro, Kate Winslet"/>
    <n v="88475"/>
    <n v="28.13"/>
    <n v="28.13"/>
    <s v="Average"/>
    <s v=" Crime"/>
    <x v="6"/>
  </r>
  <r>
    <s v="tt1000966"/>
    <s v="An Chronicles 859"/>
    <n v="2019"/>
    <n v="2010"/>
    <x v="1"/>
    <n v="114"/>
    <s v="Medium"/>
    <s v="A critically acclaimed sci-fi masterpiece."/>
    <s v="Francis Ford Coppola"/>
    <s v="Natalie Portman, Jack Nicholson, Matt Damon, Samuel L. Jackson"/>
    <n v="55923"/>
    <n v="436.91"/>
    <n v="436.91"/>
    <s v="Blockbuster"/>
    <s v="Sci-Fi"/>
    <x v="16"/>
  </r>
  <r>
    <s v="tt1000390"/>
    <s v="First Dreams 283"/>
    <n v="2009"/>
    <n v="2000"/>
    <x v="3"/>
    <n v="135"/>
    <s v="Long"/>
    <s v="A war film set in 2009."/>
    <s v="Greta Gerwig"/>
    <s v="Natalie Portman, Matt Damon, Viola Davis, Leonardo DiCaprio"/>
    <n v="70003"/>
    <n v="23.71"/>
    <n v="23.71"/>
    <s v="Average"/>
    <s v="War"/>
    <x v="2"/>
  </r>
  <r>
    <s v="tt1000356"/>
    <s v="Lost Mission 249"/>
    <n v="2015"/>
    <n v="2010"/>
    <x v="2"/>
    <n v="110"/>
    <s v="Medium"/>
    <s v="A thrilling western adventure."/>
    <s v="Peter Jackson"/>
    <s v="Scarlett Johansson, Matt Damon, Meryl Streep"/>
    <n v="55805"/>
    <m/>
    <n v="0"/>
    <s v="Average"/>
    <s v="Western"/>
    <x v="11"/>
  </r>
  <r>
    <s v="tt1000119"/>
    <s v="Lost Journey 12"/>
    <n v="1989"/>
    <n v="1980"/>
    <x v="1"/>
    <n v="114"/>
    <s v="Medium"/>
    <s v="A romance film set in 1989."/>
    <s v="Pedro AlmodÃ³var"/>
    <s v="Robert De Niro, Amy Adams, Cate Blanchett"/>
    <n v="10386"/>
    <n v="266.62"/>
    <n v="266.62"/>
    <s v="Blockbuster"/>
    <s v="Romance"/>
    <x v="7"/>
  </r>
  <r>
    <s v="tt1000119"/>
    <s v="Lost Journey 12"/>
    <n v="1989"/>
    <n v="1980"/>
    <x v="1"/>
    <n v="114"/>
    <s v="Medium"/>
    <s v="A romance film set in 1989."/>
    <s v="Pedro AlmodÃ³var"/>
    <s v="Robert De Niro, Amy Adams, Cate Blanchett"/>
    <n v="10386"/>
    <n v="266.62"/>
    <n v="266.62"/>
    <s v="Blockbuster"/>
    <s v=" Western"/>
    <x v="11"/>
  </r>
  <r>
    <s v="tt1000376"/>
    <s v="Final Chronicles 269"/>
    <n v="2017"/>
    <n v="2010"/>
    <x v="1"/>
    <n v="118"/>
    <s v="Medium"/>
    <s v="A thrilling biography adventure."/>
    <s v="Robert Zemeckis"/>
    <s v="Johnny Depp, Keanu Reeves, Jack Nicholson, Denzel Washington"/>
    <n v="96958"/>
    <n v="136.33000000000001"/>
    <n v="136.33000000000001"/>
    <s v="Hit"/>
    <s v="Biography"/>
    <x v="5"/>
  </r>
  <r>
    <s v="tt1000376"/>
    <s v="Final Chronicles 269"/>
    <n v="2017"/>
    <n v="2010"/>
    <x v="1"/>
    <n v="118"/>
    <s v="Medium"/>
    <s v="A thrilling biography adventure."/>
    <s v="Robert Zemeckis"/>
    <s v="Johnny Depp, Keanu Reeves, Jack Nicholson, Denzel Washington"/>
    <n v="96958"/>
    <n v="136.33000000000001"/>
    <n v="136.33000000000001"/>
    <s v="Hit"/>
    <s v=" Action"/>
    <x v="0"/>
  </r>
  <r>
    <s v="tt1000184"/>
    <s v="An Revolution 77"/>
    <n v="1981"/>
    <n v="1980"/>
    <x v="4"/>
    <n v="143"/>
    <s v="Long"/>
    <s v="A adventure film set in 1981."/>
    <s v="George Lucas"/>
    <s v="Margot Robbie, Leonardo DiCaprio, Natalie Portman, Anthony Hopkins"/>
    <n v="59609"/>
    <n v="121.15"/>
    <n v="121.15"/>
    <s v="Hit"/>
    <s v="Adventure"/>
    <x v="9"/>
  </r>
  <r>
    <s v="tt1000184"/>
    <s v="An Revolution 77"/>
    <n v="1981"/>
    <n v="1980"/>
    <x v="4"/>
    <n v="143"/>
    <s v="Long"/>
    <s v="A adventure film set in 1981."/>
    <s v="George Lucas"/>
    <s v="Margot Robbie, Leonardo DiCaprio, Natalie Portman, Anthony Hopkins"/>
    <n v="59609"/>
    <n v="121.15"/>
    <n v="121.15"/>
    <s v="Hit"/>
    <s v=" Western"/>
    <x v="11"/>
  </r>
  <r>
    <s v="tt1000877"/>
    <s v="Final Chronicles 770"/>
    <n v="2001"/>
    <n v="2000"/>
    <x v="0"/>
    <n v="129"/>
    <s v="Long"/>
    <s v="An epic biography tale directed by Spike Lee."/>
    <s v="Spike Lee"/>
    <s v="Jennifer Lawrence, Emma Stone, Matt Damon, Morgan Freeman"/>
    <n v="95507"/>
    <n v="424.8"/>
    <n v="424.8"/>
    <s v="Blockbuster"/>
    <s v="Biography"/>
    <x v="5"/>
  </r>
  <r>
    <s v="tt1000316"/>
    <s v="Lost Empire 209"/>
    <n v="2017"/>
    <n v="2010"/>
    <x v="0"/>
    <n v="119"/>
    <s v="Medium"/>
    <s v="A critically acclaimed family masterpiece."/>
    <s v="Francis Ford Coppola"/>
    <s v="Brad Pitt, Tom Hanks, Amy Adams"/>
    <n v="41695"/>
    <n v="417.39"/>
    <n v="417.39"/>
    <s v="Blockbuster"/>
    <s v="Family"/>
    <x v="10"/>
  </r>
  <r>
    <s v="tt1000316"/>
    <s v="Lost Empire 209"/>
    <n v="2017"/>
    <n v="2010"/>
    <x v="0"/>
    <n v="119"/>
    <s v="Medium"/>
    <s v="A critically acclaimed family masterpiece."/>
    <s v="Francis Ford Coppola"/>
    <s v="Brad Pitt, Tom Hanks, Amy Adams"/>
    <n v="41695"/>
    <n v="417.39"/>
    <n v="417.39"/>
    <s v="Blockbuster"/>
    <s v=" Thriller"/>
    <x v="17"/>
  </r>
  <r>
    <s v="tt1000421"/>
    <s v="Lost Kingdom 314"/>
    <n v="2009"/>
    <n v="2000"/>
    <x v="4"/>
    <n v="101"/>
    <s v="Medium"/>
    <s v="An epic adventure tale directed by Ang Lee."/>
    <s v="Ang Lee"/>
    <s v="Robert De Niro, Morgan Freeman, Johnny Depp, Brad Pitt, Cate Blanchett"/>
    <n v="7182"/>
    <n v="191.12"/>
    <n v="191.12"/>
    <s v="Hit"/>
    <s v="Adventure"/>
    <x v="9"/>
  </r>
  <r>
    <s v="tt1000421"/>
    <s v="Lost Kingdom 314"/>
    <n v="2009"/>
    <n v="2000"/>
    <x v="4"/>
    <n v="101"/>
    <s v="Medium"/>
    <s v="An epic adventure tale directed by Ang Lee."/>
    <s v="Ang Lee"/>
    <s v="Robert De Niro, Morgan Freeman, Johnny Depp, Brad Pitt, Cate Blanchett"/>
    <n v="7182"/>
    <n v="191.12"/>
    <n v="191.12"/>
    <s v="Hit"/>
    <s v=" Documentary"/>
    <x v="13"/>
  </r>
  <r>
    <s v="tt1000206"/>
    <s v="Dark Story 99"/>
    <n v="2017"/>
    <n v="2010"/>
    <x v="1"/>
    <n v="129"/>
    <s v="Long"/>
    <s v="An epic animation tale directed by Taika Waititi."/>
    <s v="Taika Waititi"/>
    <s v="Jennifer Lawrence, Margot Robbie, Robert De Niro, Harrison Ford, Anthony Hopkins"/>
    <n v="18293"/>
    <n v="10.35"/>
    <n v="10.35"/>
    <s v="Average"/>
    <s v="Animation"/>
    <x v="3"/>
  </r>
  <r>
    <s v="tt1000206"/>
    <s v="Dark Story 99"/>
    <n v="2017"/>
    <n v="2010"/>
    <x v="1"/>
    <n v="129"/>
    <s v="Long"/>
    <s v="An epic animation tale directed by Taika Waititi."/>
    <s v="Taika Waititi"/>
    <s v="Jennifer Lawrence, Margot Robbie, Robert De Niro, Harrison Ford, Anthony Hopkins"/>
    <n v="18293"/>
    <n v="10.35"/>
    <n v="10.35"/>
    <s v="Average"/>
    <s v=" Adventure"/>
    <x v="9"/>
  </r>
  <r>
    <s v="tt1000362"/>
    <s v="A Empire 255"/>
    <n v="2009"/>
    <n v="2000"/>
    <x v="1"/>
    <n v="140"/>
    <s v="Long"/>
    <s v="A thrilling biography adventure."/>
    <s v="Hayao Miyazaki"/>
    <s v="Viola Davis, Kate Winslet, Anthony Hopkins"/>
    <n v="40596"/>
    <m/>
    <n v="0"/>
    <s v="Average"/>
    <s v="Biography"/>
    <x v="5"/>
  </r>
  <r>
    <s v="tt1000362"/>
    <s v="A Empire 255"/>
    <n v="2009"/>
    <n v="2000"/>
    <x v="1"/>
    <n v="140"/>
    <s v="Long"/>
    <s v="A thrilling biography adventure."/>
    <s v="Hayao Miyazaki"/>
    <s v="Viola Davis, Kate Winslet, Anthony Hopkins"/>
    <n v="40596"/>
    <m/>
    <n v="0"/>
    <s v="Average"/>
    <s v=" Thriller"/>
    <x v="17"/>
  </r>
  <r>
    <s v="tt1000738"/>
    <s v="First Secrets 631"/>
    <n v="2008"/>
    <n v="2000"/>
    <x v="0"/>
    <n v="110"/>
    <s v="Medium"/>
    <s v="An epic thriller tale directed by Ron Howard."/>
    <s v="Ron Howard"/>
    <s v="Brad Pitt, Scarlett Johansson, Keanu Reeves"/>
    <n v="31098"/>
    <n v="331.62"/>
    <n v="331.62"/>
    <s v="Blockbuster"/>
    <s v="Thriller"/>
    <x v="17"/>
  </r>
  <r>
    <s v="tt1000738"/>
    <s v="First Secrets 631"/>
    <n v="2008"/>
    <n v="2000"/>
    <x v="0"/>
    <n v="110"/>
    <s v="Medium"/>
    <s v="An epic thriller tale directed by Ron Howard."/>
    <s v="Ron Howard"/>
    <s v="Brad Pitt, Scarlett Johansson, Keanu Reeves"/>
    <n v="31098"/>
    <n v="331.62"/>
    <n v="331.62"/>
    <s v="Blockbuster"/>
    <s v=" Musical"/>
    <x v="1"/>
  </r>
  <r>
    <s v="tt1000731"/>
    <s v="Last Empire 624"/>
    <n v="2014"/>
    <n v="2010"/>
    <x v="4"/>
    <n v="92"/>
    <s v="Medium"/>
    <s v="A critically acclaimed thriller masterpiece."/>
    <s v="Hayao Miyazaki"/>
    <s v="Tom Cruise, Morgan Freeman, Christian Bale, Natalie Portman, Viola Davis"/>
    <n v="22181"/>
    <n v="110.76"/>
    <n v="110.76"/>
    <s v="Hit"/>
    <s v="Thriller"/>
    <x v="17"/>
  </r>
  <r>
    <s v="tt1000731"/>
    <s v="Last Empire 624"/>
    <n v="2014"/>
    <n v="2010"/>
    <x v="4"/>
    <n v="92"/>
    <s v="Medium"/>
    <s v="A critically acclaimed thriller masterpiece."/>
    <s v="Hayao Miyazaki"/>
    <s v="Tom Cruise, Morgan Freeman, Christian Bale, Natalie Portman, Viola Davis"/>
    <n v="22181"/>
    <n v="110.76"/>
    <n v="110.76"/>
    <s v="Hit"/>
    <s v=" Comedy"/>
    <x v="15"/>
  </r>
  <r>
    <s v="tt1000714"/>
    <s v="First Journey 607"/>
    <n v="2020"/>
    <n v="2020"/>
    <x v="1"/>
    <n v="123"/>
    <s v="Long"/>
    <s v="A thrilling romance adventure."/>
    <s v="Coen Brothers"/>
    <s v="Will Smith, Mark Ruffalo, Keanu Reeves, Chris Hemsworth"/>
    <n v="42838"/>
    <n v="258.57"/>
    <n v="258.57"/>
    <s v="Blockbuster"/>
    <s v="Romance"/>
    <x v="7"/>
  </r>
  <r>
    <s v="tt1000714"/>
    <s v="First Journey 607"/>
    <n v="2020"/>
    <n v="2020"/>
    <x v="1"/>
    <n v="123"/>
    <s v="Long"/>
    <s v="A thrilling romance adventure."/>
    <s v="Coen Brothers"/>
    <s v="Will Smith, Mark Ruffalo, Keanu Reeves, Chris Hemsworth"/>
    <n v="42838"/>
    <n v="258.57"/>
    <n v="258.57"/>
    <s v="Blockbuster"/>
    <s v=" Horror"/>
    <x v="12"/>
  </r>
  <r>
    <s v="tt1000306"/>
    <s v="Final Awakening 199"/>
    <n v="2001"/>
    <n v="2000"/>
    <x v="0"/>
    <n v="111"/>
    <s v="Medium"/>
    <s v="A critically acclaimed animation masterpiece."/>
    <s v="Stanley Kubrick"/>
    <s v="Denzel Washington, Cate Blanchett, Tom Cruise, Scarlett Johansson"/>
    <n v="299673"/>
    <n v="279.97000000000003"/>
    <n v="279.97000000000003"/>
    <s v="Blockbuster"/>
    <s v="Animation"/>
    <x v="3"/>
  </r>
  <r>
    <s v="tt1000306"/>
    <s v="Final Awakening 199"/>
    <n v="2001"/>
    <n v="2000"/>
    <x v="0"/>
    <n v="111"/>
    <s v="Medium"/>
    <s v="A critically acclaimed animation masterpiece."/>
    <s v="Stanley Kubrick"/>
    <s v="Denzel Washington, Cate Blanchett, Tom Cruise, Scarlett Johansson"/>
    <n v="299673"/>
    <n v="279.97000000000003"/>
    <n v="279.97000000000003"/>
    <s v="Blockbuster"/>
    <s v=" Fantasy"/>
    <x v="8"/>
  </r>
  <r>
    <s v="tt1000301"/>
    <s v="The Story 194"/>
    <n v="2023"/>
    <n v="2020"/>
    <x v="1"/>
    <n v="145"/>
    <s v="Long"/>
    <s v="A thrilling fantasy adventure."/>
    <s v="George Lucas"/>
    <s v="TimothÃ©e Chalamet, Gary Oldman, Margot Robbie, Viola Davis, Tom Cruise"/>
    <n v="64193"/>
    <n v="152.84"/>
    <n v="152.84"/>
    <s v="Hit"/>
    <s v="Fantasy"/>
    <x v="8"/>
  </r>
  <r>
    <s v="tt1000393"/>
    <s v="The Mission 286"/>
    <n v="2024"/>
    <n v="2020"/>
    <x v="2"/>
    <n v="97"/>
    <s v="Medium"/>
    <s v="A thriller film set in 2024."/>
    <s v="Frank Darabont"/>
    <s v="Denzel Washington, Tom Cruise, Cate Blanchett, Amy Adams, Keanu Reeves"/>
    <n v="483111"/>
    <m/>
    <n v="0"/>
    <s v="Average"/>
    <s v="Thriller"/>
    <x v="17"/>
  </r>
  <r>
    <s v="tt1000393"/>
    <s v="The Mission 286"/>
    <n v="2024"/>
    <n v="2020"/>
    <x v="2"/>
    <n v="97"/>
    <s v="Medium"/>
    <s v="A thriller film set in 2024."/>
    <s v="Frank Darabont"/>
    <s v="Denzel Washington, Tom Cruise, Cate Blanchett, Amy Adams, Keanu Reeves"/>
    <n v="483111"/>
    <m/>
    <n v="0"/>
    <s v="Average"/>
    <s v=" Comedy"/>
    <x v="15"/>
  </r>
  <r>
    <s v="tt1000154"/>
    <s v="First Quest 47"/>
    <n v="1994"/>
    <n v="1990"/>
    <x v="0"/>
    <n v="106"/>
    <s v="Medium"/>
    <s v="A critically acclaimed adventure masterpiece."/>
    <s v="Ridley Scott"/>
    <s v="Daniel Day-Lewis, Harrison Ford, Robert Downey Jr., Johnny Depp, Chris Hemsworth"/>
    <n v="50589"/>
    <n v="247.53"/>
    <n v="247.53"/>
    <s v="Blockbuster"/>
    <s v="Adventure"/>
    <x v="9"/>
  </r>
  <r>
    <s v="tt1000720"/>
    <s v="Final Mystery 613"/>
    <n v="2006"/>
    <n v="2000"/>
    <x v="2"/>
    <n v="97"/>
    <s v="Medium"/>
    <s v="A thrilling western adventure."/>
    <s v="Coen Brothers"/>
    <s v="Margot Robbie, Amy Adams, Meryl Streep"/>
    <n v="126415"/>
    <m/>
    <n v="0"/>
    <s v="Average"/>
    <s v="Western"/>
    <x v="11"/>
  </r>
  <r>
    <s v="tt1000720"/>
    <s v="Final Mystery 613"/>
    <n v="2006"/>
    <n v="2000"/>
    <x v="2"/>
    <n v="97"/>
    <s v="Medium"/>
    <s v="A thrilling western adventure."/>
    <s v="Coen Brothers"/>
    <s v="Margot Robbie, Amy Adams, Meryl Streep"/>
    <n v="126415"/>
    <m/>
    <n v="0"/>
    <s v="Average"/>
    <s v=" Horror"/>
    <x v="12"/>
  </r>
  <r>
    <s v="tt1000686"/>
    <s v="First Empire 579"/>
    <n v="2003"/>
    <n v="2000"/>
    <x v="2"/>
    <n v="125"/>
    <s v="Long"/>
    <s v="A critically acclaimed action masterpiece."/>
    <s v="Ava DuVernay"/>
    <s v="Robert Downey Jr., Tom Hanks, Harrison Ford, Will Smith, Matt Damon"/>
    <n v="214560"/>
    <m/>
    <n v="0"/>
    <s v="Average"/>
    <s v="Action"/>
    <x v="0"/>
  </r>
  <r>
    <s v="tt1000686"/>
    <s v="First Empire 579"/>
    <n v="2003"/>
    <n v="2000"/>
    <x v="2"/>
    <n v="125"/>
    <s v="Long"/>
    <s v="A critically acclaimed action masterpiece."/>
    <s v="Ava DuVernay"/>
    <s v="Robert Downey Jr., Tom Hanks, Harrison Ford, Will Smith, Matt Damon"/>
    <n v="214560"/>
    <m/>
    <n v="0"/>
    <s v="Average"/>
    <s v=" Biography"/>
    <x v="5"/>
  </r>
  <r>
    <s v="tt1000668"/>
    <s v="First Story 561"/>
    <n v="2021"/>
    <n v="2020"/>
    <x v="2"/>
    <n v="82"/>
    <s v="Short"/>
    <s v="A thrilling sci-fi adventure."/>
    <s v="Wong Kar-wai"/>
    <s v="Will Smith, Cate Blanchett, Keanu Reeves"/>
    <n v="59982"/>
    <n v="104.54"/>
    <n v="104.54"/>
    <s v="Hit"/>
    <s v="Sci-Fi"/>
    <x v="16"/>
  </r>
  <r>
    <s v="tt1000668"/>
    <s v="First Story 561"/>
    <n v="2021"/>
    <n v="2020"/>
    <x v="2"/>
    <n v="82"/>
    <s v="Short"/>
    <s v="A thrilling sci-fi adventure."/>
    <s v="Wong Kar-wai"/>
    <s v="Will Smith, Cate Blanchett, Keanu Reeves"/>
    <n v="59982"/>
    <n v="104.54"/>
    <n v="104.54"/>
    <s v="Hit"/>
    <s v=" Horror"/>
    <x v="12"/>
  </r>
  <r>
    <s v="tt1000647"/>
    <s v="Secret Love 540"/>
    <n v="2022"/>
    <n v="2020"/>
    <x v="1"/>
    <n v="112"/>
    <s v="Medium"/>
    <s v="A animation film set in 2022."/>
    <s v="Ridley Scott"/>
    <s v="Will Smith, Al Pacino, Robert De Niro, Keanu Reeves, Gary Oldman"/>
    <n v="35782"/>
    <n v="143.5"/>
    <n v="143.5"/>
    <s v="Hit"/>
    <s v="Animation"/>
    <x v="3"/>
  </r>
  <r>
    <s v="tt1000562"/>
    <s v="Last Journey 455"/>
    <n v="2019"/>
    <n v="2010"/>
    <x v="0"/>
    <n v="110"/>
    <s v="Medium"/>
    <s v="A critically acclaimed documentary masterpiece."/>
    <s v="James Cameron"/>
    <s v="Margot Robbie, Edward Norton, Matt Damon"/>
    <n v="91576"/>
    <m/>
    <n v="0"/>
    <s v="Average"/>
    <s v="Documentary"/>
    <x v="13"/>
  </r>
  <r>
    <s v="tt1000562"/>
    <s v="Last Journey 455"/>
    <n v="2019"/>
    <n v="2010"/>
    <x v="0"/>
    <n v="110"/>
    <s v="Medium"/>
    <s v="A critically acclaimed documentary masterpiece."/>
    <s v="James Cameron"/>
    <s v="Margot Robbie, Edward Norton, Matt Damon"/>
    <n v="91576"/>
    <m/>
    <n v="0"/>
    <s v="Average"/>
    <s v=" Biography"/>
    <x v="5"/>
  </r>
  <r>
    <s v="tt1000399"/>
    <s v="Secret Chronicles 292"/>
    <n v="2004"/>
    <n v="2000"/>
    <x v="4"/>
    <n v="131"/>
    <s v="Long"/>
    <s v="An epic family tale directed by Robert Zemeckis."/>
    <s v="Robert Zemeckis"/>
    <s v="Meryl Streep, Leonardo DiCaprio, Emma Stone, Robert Downey Jr."/>
    <n v="463337"/>
    <n v="492.8"/>
    <n v="492.8"/>
    <s v="Blockbuster"/>
    <s v="Family"/>
    <x v="10"/>
  </r>
  <r>
    <s v="tt1000399"/>
    <s v="Secret Chronicles 292"/>
    <n v="2004"/>
    <n v="2000"/>
    <x v="4"/>
    <n v="131"/>
    <s v="Long"/>
    <s v="An epic family tale directed by Robert Zemeckis."/>
    <s v="Robert Zemeckis"/>
    <s v="Meryl Streep, Leonardo DiCaprio, Emma Stone, Robert Downey Jr."/>
    <n v="463337"/>
    <n v="492.8"/>
    <n v="492.8"/>
    <s v="Blockbuster"/>
    <s v=" War"/>
    <x v="2"/>
  </r>
  <r>
    <s v="tt1000915"/>
    <s v="A War 808"/>
    <n v="2009"/>
    <n v="2000"/>
    <x v="4"/>
    <n v="114"/>
    <s v="Medium"/>
    <s v="A sci-fi film set in 2009."/>
    <s v="Spike Lee"/>
    <s v="Gary Oldman, Robert De Niro, Tom Cruise, Florence Pugh"/>
    <n v="10651"/>
    <n v="62.22"/>
    <n v="62.22"/>
    <s v="Average"/>
    <s v="Sci-Fi"/>
    <x v="16"/>
  </r>
  <r>
    <s v="tt1000915"/>
    <s v="A War 808"/>
    <n v="2009"/>
    <n v="2000"/>
    <x v="4"/>
    <n v="114"/>
    <s v="Medium"/>
    <s v="A sci-fi film set in 2009."/>
    <s v="Spike Lee"/>
    <s v="Gary Oldman, Robert De Niro, Tom Cruise, Florence Pugh"/>
    <n v="10651"/>
    <n v="62.22"/>
    <n v="62.22"/>
    <s v="Average"/>
    <s v=" Horror"/>
    <x v="12"/>
  </r>
  <r>
    <s v="tt1000915"/>
    <s v="A War 808"/>
    <n v="2009"/>
    <n v="2000"/>
    <x v="4"/>
    <n v="114"/>
    <s v="Medium"/>
    <s v="A sci-fi film set in 2009."/>
    <s v="Spike Lee"/>
    <s v="Gary Oldman, Robert De Niro, Tom Cruise, Florence Pugh"/>
    <n v="10651"/>
    <n v="62.22"/>
    <n v="62.22"/>
    <s v="Average"/>
    <s v=" Animation"/>
    <x v="3"/>
  </r>
  <r>
    <s v="tt1000921"/>
    <s v="Final Quest 814"/>
    <n v="2008"/>
    <n v="2000"/>
    <x v="0"/>
    <n v="107"/>
    <s v="Medium"/>
    <s v="An epic musical tale directed by Edgar Wright."/>
    <s v="Edgar Wright"/>
    <s v="Tom Cruise, Robert Downey Jr., Zendaya"/>
    <n v="204948"/>
    <n v="367.63"/>
    <n v="367.63"/>
    <s v="Blockbuster"/>
    <s v="Musical"/>
    <x v="1"/>
  </r>
  <r>
    <s v="tt1000921"/>
    <s v="Final Quest 814"/>
    <n v="2008"/>
    <n v="2000"/>
    <x v="0"/>
    <n v="107"/>
    <s v="Medium"/>
    <s v="An epic musical tale directed by Edgar Wright."/>
    <s v="Edgar Wright"/>
    <s v="Tom Cruise, Robert Downey Jr., Zendaya"/>
    <n v="204948"/>
    <n v="367.63"/>
    <n v="367.63"/>
    <s v="Blockbuster"/>
    <s v=" Fantasy"/>
    <x v="8"/>
  </r>
  <r>
    <s v="tt1000921"/>
    <s v="Final Quest 814"/>
    <n v="2008"/>
    <n v="2000"/>
    <x v="0"/>
    <n v="107"/>
    <s v="Medium"/>
    <s v="An epic musical tale directed by Edgar Wright."/>
    <s v="Edgar Wright"/>
    <s v="Tom Cruise, Robert Downey Jr., Zendaya"/>
    <n v="204948"/>
    <n v="367.63"/>
    <n v="367.63"/>
    <s v="Blockbuster"/>
    <s v=" Action"/>
    <x v="0"/>
  </r>
  <r>
    <s v="tt1000370"/>
    <s v="Lost Destiny 263"/>
    <n v="2003"/>
    <n v="2000"/>
    <x v="3"/>
    <n v="116"/>
    <s v="Medium"/>
    <s v="A critically acclaimed musical masterpiece."/>
    <s v="Wong Kar-wai"/>
    <s v="Jennifer Lawrence, Cate Blanchett, Robert Downey Jr., Daniel Day-Lewis, Denzel Washington"/>
    <n v="220819"/>
    <n v="84.69"/>
    <n v="84.69"/>
    <s v="Average"/>
    <s v="Musical"/>
    <x v="1"/>
  </r>
  <r>
    <s v="tt1000370"/>
    <s v="Lost Destiny 263"/>
    <n v="2003"/>
    <n v="2000"/>
    <x v="3"/>
    <n v="116"/>
    <s v="Medium"/>
    <s v="A critically acclaimed musical masterpiece."/>
    <s v="Wong Kar-wai"/>
    <s v="Jennifer Lawrence, Cate Blanchett, Robert Downey Jr., Daniel Day-Lewis, Denzel Washington"/>
    <n v="220819"/>
    <n v="84.69"/>
    <n v="84.69"/>
    <s v="Average"/>
    <s v=" Family"/>
    <x v="10"/>
  </r>
  <r>
    <s v="tt1000245"/>
    <s v="Secret Mission 138"/>
    <n v="2010"/>
    <n v="2010"/>
    <x v="2"/>
    <n v="129"/>
    <s v="Long"/>
    <s v="An epic mystery tale directed by Peter Jackson."/>
    <s v="Peter Jackson"/>
    <s v="Tom Hanks, TimothÃ©e Chalamet, Anthony Hopkins, Harrison Ford"/>
    <n v="261459"/>
    <n v="19.170000000000002"/>
    <n v="19.170000000000002"/>
    <s v="Average"/>
    <s v="Mystery"/>
    <x v="4"/>
  </r>
  <r>
    <s v="tt1000245"/>
    <s v="Secret Mission 138"/>
    <n v="2010"/>
    <n v="2010"/>
    <x v="2"/>
    <n v="129"/>
    <s v="Long"/>
    <s v="An epic mystery tale directed by Peter Jackson."/>
    <s v="Peter Jackson"/>
    <s v="Tom Hanks, TimothÃ©e Chalamet, Anthony Hopkins, Harrison Ford"/>
    <n v="261459"/>
    <n v="19.170000000000002"/>
    <n v="19.170000000000002"/>
    <s v="Average"/>
    <s v=" Biography"/>
    <x v="5"/>
  </r>
  <r>
    <s v="tt1000243"/>
    <s v="First War 136"/>
    <n v="2022"/>
    <n v="2020"/>
    <x v="1"/>
    <n v="104"/>
    <s v="Medium"/>
    <s v="A critically acclaimed documentary masterpiece."/>
    <s v="James Cameron"/>
    <s v="TimothÃ©e Chalamet, Daniel Day-Lewis, Tom Hanks, Matt Damon, Cate Blanchett"/>
    <n v="13800"/>
    <n v="397.2"/>
    <n v="397.2"/>
    <s v="Blockbuster"/>
    <s v="Documentary"/>
    <x v="13"/>
  </r>
  <r>
    <s v="tt1000243"/>
    <s v="First War 136"/>
    <n v="2022"/>
    <n v="2020"/>
    <x v="1"/>
    <n v="104"/>
    <s v="Medium"/>
    <s v="A critically acclaimed documentary masterpiece."/>
    <s v="James Cameron"/>
    <s v="TimothÃ©e Chalamet, Daniel Day-Lewis, Tom Hanks, Matt Damon, Cate Blanchett"/>
    <n v="13800"/>
    <n v="397.2"/>
    <n v="397.2"/>
    <s v="Blockbuster"/>
    <s v=" Mystery"/>
    <x v="4"/>
  </r>
  <r>
    <s v="tt1000241"/>
    <s v="Dark Dreams 134"/>
    <n v="2016"/>
    <n v="2010"/>
    <x v="0"/>
    <n v="134"/>
    <s v="Long"/>
    <s v="A thrilling romance adventure."/>
    <s v="Jordan Peele"/>
    <s v="Tom Cruise, Zendaya, Brad Pitt, Viola Davis"/>
    <n v="45434"/>
    <m/>
    <n v="0"/>
    <s v="Average"/>
    <s v="Romance"/>
    <x v="7"/>
  </r>
  <r>
    <s v="tt1000241"/>
    <s v="Dark Dreams 134"/>
    <n v="2016"/>
    <n v="2010"/>
    <x v="0"/>
    <n v="134"/>
    <s v="Long"/>
    <s v="A thrilling romance adventure."/>
    <s v="Jordan Peele"/>
    <s v="Tom Cruise, Zendaya, Brad Pitt, Viola Davis"/>
    <n v="45434"/>
    <m/>
    <n v="0"/>
    <s v="Average"/>
    <s v=" War"/>
    <x v="2"/>
  </r>
  <r>
    <s v="tt1000446"/>
    <s v="A Adventures 339"/>
    <n v="2015"/>
    <n v="2010"/>
    <x v="1"/>
    <n v="112"/>
    <s v="Medium"/>
    <s v="A thrilling family adventure."/>
    <s v="Ron Howard"/>
    <s v="Samuel L. Jackson, Jack Nicholson, Margot Robbie"/>
    <n v="76180"/>
    <m/>
    <n v="0"/>
    <s v="Average"/>
    <s v="Family"/>
    <x v="10"/>
  </r>
  <r>
    <s v="tt1000854"/>
    <s v="Dark Destiny 747"/>
    <n v="2016"/>
    <n v="2010"/>
    <x v="0"/>
    <n v="101"/>
    <s v="Medium"/>
    <s v="An epic horror tale directed by Christopher Nolan."/>
    <s v="Christopher Nolan"/>
    <s v="Brad Pitt, Margot Robbie, Jennifer Lawrence, Amy Adams"/>
    <n v="15630"/>
    <m/>
    <n v="0"/>
    <s v="Average"/>
    <s v="Horror"/>
    <x v="12"/>
  </r>
  <r>
    <s v="tt1000800"/>
    <s v="Secret Love 693"/>
    <n v="2016"/>
    <n v="2010"/>
    <x v="5"/>
    <n v="105"/>
    <s v="Medium"/>
    <s v="A critically acclaimed mystery masterpiece."/>
    <s v="Quentin Tarantino"/>
    <s v="Jennifer Lawrence, Chris Hemsworth, Samuel L. Jackson, Kate Winslet, Edward Norton"/>
    <n v="26369"/>
    <m/>
    <n v="0"/>
    <s v="Average"/>
    <s v="Mystery"/>
    <x v="4"/>
  </r>
  <r>
    <s v="tt1000964"/>
    <s v="Last Kingdom 857"/>
    <n v="2010"/>
    <n v="2010"/>
    <x v="5"/>
    <n v="135"/>
    <s v="Long"/>
    <s v="A thrilling romance adventure."/>
    <s v="Martin Scorsese"/>
    <s v="Tom Hanks, TimothÃ©e Chalamet, Jennifer Lawrence, Viola Davis"/>
    <n v="128335"/>
    <n v="55.19"/>
    <n v="55.19"/>
    <s v="Average"/>
    <s v="Romance"/>
    <x v="7"/>
  </r>
  <r>
    <s v="tt1000964"/>
    <s v="Last Kingdom 857"/>
    <n v="2010"/>
    <n v="2010"/>
    <x v="5"/>
    <n v="135"/>
    <s v="Long"/>
    <s v="A thrilling romance adventure."/>
    <s v="Martin Scorsese"/>
    <s v="Tom Hanks, TimothÃ©e Chalamet, Jennifer Lawrence, Viola Davis"/>
    <n v="128335"/>
    <n v="55.19"/>
    <n v="55.19"/>
    <s v="Average"/>
    <s v=" Sci-Fi"/>
    <x v="16"/>
  </r>
  <r>
    <s v="tt1000964"/>
    <s v="Last Kingdom 857"/>
    <n v="2010"/>
    <n v="2010"/>
    <x v="5"/>
    <n v="135"/>
    <s v="Long"/>
    <s v="A thrilling romance adventure."/>
    <s v="Martin Scorsese"/>
    <s v="Tom Hanks, TimothÃ©e Chalamet, Jennifer Lawrence, Viola Davis"/>
    <n v="128335"/>
    <n v="55.19"/>
    <n v="55.19"/>
    <s v="Average"/>
    <s v=" War"/>
    <x v="2"/>
  </r>
  <r>
    <s v="tt1000993"/>
    <s v="Last Adventures 886"/>
    <n v="2019"/>
    <n v="2010"/>
    <x v="1"/>
    <n v="123"/>
    <s v="Long"/>
    <s v="A critically acclaimed adventure masterpiece."/>
    <s v="Martin Scorsese"/>
    <s v="Scarlett Johansson, Harrison Ford, Edward Norton, Samuel L. Jackson, Keanu Reeves"/>
    <n v="403741"/>
    <n v="393.84"/>
    <n v="393.84"/>
    <s v="Blockbuster"/>
    <s v="Adventure"/>
    <x v="9"/>
  </r>
  <r>
    <s v="tt1000993"/>
    <s v="Last Adventures 886"/>
    <n v="2019"/>
    <n v="2010"/>
    <x v="1"/>
    <n v="123"/>
    <s v="Long"/>
    <s v="A critically acclaimed adventure masterpiece."/>
    <s v="Martin Scorsese"/>
    <s v="Scarlett Johansson, Harrison Ford, Edward Norton, Samuel L. Jackson, Keanu Reeves"/>
    <n v="403741"/>
    <n v="393.84"/>
    <n v="393.84"/>
    <s v="Blockbuster"/>
    <s v=" Sci-Fi"/>
    <x v="16"/>
  </r>
  <r>
    <s v="tt1000993"/>
    <s v="Last Adventures 886"/>
    <n v="2019"/>
    <n v="2010"/>
    <x v="1"/>
    <n v="123"/>
    <s v="Long"/>
    <s v="A critically acclaimed adventure masterpiece."/>
    <s v="Martin Scorsese"/>
    <s v="Scarlett Johansson, Harrison Ford, Edward Norton, Samuel L. Jackson, Keanu Reeves"/>
    <n v="403741"/>
    <n v="393.84"/>
    <n v="393.84"/>
    <s v="Blockbuster"/>
    <s v=" Action"/>
    <x v="0"/>
  </r>
  <r>
    <s v="tt1000933"/>
    <s v="A Legend 826"/>
    <n v="2006"/>
    <n v="2000"/>
    <x v="1"/>
    <n v="126"/>
    <s v="Long"/>
    <s v="A thriller film set in 2006."/>
    <s v="Wes Anderson"/>
    <s v="Natalie Portman, Florence Pugh, Jack Nicholson, Meryl Streep, Samuel L. Jackson"/>
    <n v="2500000"/>
    <n v="272.14"/>
    <n v="272.14"/>
    <s v="Blockbuster"/>
    <s v="Thriller"/>
    <x v="17"/>
  </r>
  <r>
    <s v="tt1000933"/>
    <s v="A Legend 826"/>
    <n v="2006"/>
    <n v="2000"/>
    <x v="1"/>
    <n v="126"/>
    <s v="Long"/>
    <s v="A thriller film set in 2006."/>
    <s v="Wes Anderson"/>
    <s v="Natalie Portman, Florence Pugh, Jack Nicholson, Meryl Streep, Samuel L. Jackson"/>
    <n v="2500000"/>
    <n v="272.14"/>
    <n v="272.14"/>
    <s v="Blockbuster"/>
    <s v=" Western"/>
    <x v="11"/>
  </r>
  <r>
    <s v="tt1000278"/>
    <s v="Final Legend 171"/>
    <n v="2020"/>
    <n v="2020"/>
    <x v="0"/>
    <n v="119"/>
    <s v="Medium"/>
    <s v="A critically acclaimed comedy masterpiece."/>
    <s v="Denis Villeneuve"/>
    <s v="Meryl Streep, Anthony Hopkins, Cate Blanchett, Chris Hemsworth, Jack Nicholson"/>
    <n v="612773"/>
    <n v="271.97000000000003"/>
    <n v="271.97000000000003"/>
    <s v="Blockbuster"/>
    <s v="Comedy"/>
    <x v="15"/>
  </r>
  <r>
    <s v="tt1000278"/>
    <s v="Final Legend 171"/>
    <n v="2020"/>
    <n v="2020"/>
    <x v="0"/>
    <n v="119"/>
    <s v="Medium"/>
    <s v="A critically acclaimed comedy masterpiece."/>
    <s v="Denis Villeneuve"/>
    <s v="Meryl Streep, Anthony Hopkins, Cate Blanchett, Chris Hemsworth, Jack Nicholson"/>
    <n v="612773"/>
    <n v="271.97000000000003"/>
    <n v="271.97000000000003"/>
    <s v="Blockbuster"/>
    <s v=" Western"/>
    <x v="11"/>
  </r>
  <r>
    <s v="tt1000278"/>
    <s v="Final Legend 171"/>
    <n v="2020"/>
    <n v="2020"/>
    <x v="0"/>
    <n v="119"/>
    <s v="Medium"/>
    <s v="A critically acclaimed comedy masterpiece."/>
    <s v="Denis Villeneuve"/>
    <s v="Meryl Streep, Anthony Hopkins, Cate Blanchett, Chris Hemsworth, Jack Nicholson"/>
    <n v="612773"/>
    <n v="271.97000000000003"/>
    <n v="271.97000000000003"/>
    <s v="Blockbuster"/>
    <s v=" Romance"/>
    <x v="7"/>
  </r>
  <r>
    <s v="tt1000610"/>
    <s v="Lost War 503"/>
    <n v="2011"/>
    <n v="2010"/>
    <x v="0"/>
    <n v="134"/>
    <s v="Long"/>
    <s v="A fantasy film set in 2011."/>
    <s v="Wes Anderson"/>
    <s v="Harrison Ford, Meryl Streep, Leonardo DiCaprio, Jennifer Lawrence"/>
    <n v="250122"/>
    <n v="178.13"/>
    <n v="178.13"/>
    <s v="Hit"/>
    <s v="Fantasy"/>
    <x v="8"/>
  </r>
  <r>
    <s v="tt1000610"/>
    <s v="Lost War 503"/>
    <n v="2011"/>
    <n v="2010"/>
    <x v="0"/>
    <n v="134"/>
    <s v="Long"/>
    <s v="A fantasy film set in 2011."/>
    <s v="Wes Anderson"/>
    <s v="Harrison Ford, Meryl Streep, Leonardo DiCaprio, Jennifer Lawrence"/>
    <n v="250122"/>
    <n v="178.13"/>
    <n v="178.13"/>
    <s v="Hit"/>
    <s v=" Family"/>
    <x v="10"/>
  </r>
  <r>
    <s v="tt1000610"/>
    <s v="Lost War 503"/>
    <n v="2011"/>
    <n v="2010"/>
    <x v="0"/>
    <n v="134"/>
    <s v="Long"/>
    <s v="A fantasy film set in 2011."/>
    <s v="Wes Anderson"/>
    <s v="Harrison Ford, Meryl Streep, Leonardo DiCaprio, Jennifer Lawrence"/>
    <n v="250122"/>
    <n v="178.13"/>
    <n v="178.13"/>
    <s v="Hit"/>
    <s v=" Comedy"/>
    <x v="15"/>
  </r>
  <r>
    <s v="tt1000645"/>
    <s v="Last Mission 538"/>
    <n v="2016"/>
    <n v="2010"/>
    <x v="2"/>
    <n v="89"/>
    <s v="Short"/>
    <s v="An epic family tale directed by David Fincher."/>
    <s v="David Fincher"/>
    <s v="TimothÃ©e Chalamet, Gary Oldman, Natalie Portman, Mark Ruffalo"/>
    <n v="120757"/>
    <n v="272.38"/>
    <n v="272.38"/>
    <s v="Blockbuster"/>
    <s v="Family"/>
    <x v="10"/>
  </r>
  <r>
    <s v="tt1000645"/>
    <s v="Last Mission 538"/>
    <n v="2016"/>
    <n v="2010"/>
    <x v="2"/>
    <n v="89"/>
    <s v="Short"/>
    <s v="An epic family tale directed by David Fincher."/>
    <s v="David Fincher"/>
    <s v="TimothÃ©e Chalamet, Gary Oldman, Natalie Portman, Mark Ruffalo"/>
    <n v="120757"/>
    <n v="272.38"/>
    <n v="272.38"/>
    <s v="Blockbuster"/>
    <s v=" Animation"/>
    <x v="3"/>
  </r>
  <r>
    <s v="tt1000645"/>
    <s v="Last Mission 538"/>
    <n v="2016"/>
    <n v="2010"/>
    <x v="2"/>
    <n v="89"/>
    <s v="Short"/>
    <s v="An epic family tale directed by David Fincher."/>
    <s v="David Fincher"/>
    <s v="TimothÃ©e Chalamet, Gary Oldman, Natalie Portman, Mark Ruffalo"/>
    <n v="120757"/>
    <n v="272.38"/>
    <n v="272.38"/>
    <s v="Blockbuster"/>
    <s v=" Fantasy"/>
    <x v="8"/>
  </r>
  <r>
    <s v="tt1000292"/>
    <s v="Dark Adventures 185"/>
    <n v="2024"/>
    <n v="2020"/>
    <x v="2"/>
    <n v="109"/>
    <s v="Medium"/>
    <s v="A adventure film set in 2024."/>
    <s v="George Lucas"/>
    <s v="Natalie Portman, Amy Adams, Emma Stone, Will Smith"/>
    <n v="58417"/>
    <n v="444.34"/>
    <n v="444.34"/>
    <s v="Blockbuster"/>
    <s v="Adventure"/>
    <x v="9"/>
  </r>
  <r>
    <s v="tt1000292"/>
    <s v="Dark Adventures 185"/>
    <n v="2024"/>
    <n v="2020"/>
    <x v="2"/>
    <n v="109"/>
    <s v="Medium"/>
    <s v="A adventure film set in 2024."/>
    <s v="George Lucas"/>
    <s v="Natalie Portman, Amy Adams, Emma Stone, Will Smith"/>
    <n v="58417"/>
    <n v="444.34"/>
    <n v="444.34"/>
    <s v="Blockbuster"/>
    <s v=" Fantasy"/>
    <x v="8"/>
  </r>
  <r>
    <s v="tt1000572"/>
    <s v="Lost Mission 465"/>
    <n v="2010"/>
    <n v="2010"/>
    <x v="1"/>
    <n v="126"/>
    <s v="Long"/>
    <s v="A thrilling mystery adventure."/>
    <s v="Peter Jackson"/>
    <s v="Jack Nicholson, Brad Pitt, Scarlett Johansson, Florence Pugh, Anthony Hopkins"/>
    <n v="173542"/>
    <n v="299.36"/>
    <n v="299.36"/>
    <s v="Blockbuster"/>
    <s v="Mystery"/>
    <x v="4"/>
  </r>
  <r>
    <s v="tt1000572"/>
    <s v="Lost Mission 465"/>
    <n v="2010"/>
    <n v="2010"/>
    <x v="1"/>
    <n v="126"/>
    <s v="Long"/>
    <s v="A thrilling mystery adventure."/>
    <s v="Peter Jackson"/>
    <s v="Jack Nicholson, Brad Pitt, Scarlett Johansson, Florence Pugh, Anthony Hopkins"/>
    <n v="173542"/>
    <n v="299.36"/>
    <n v="299.36"/>
    <s v="Blockbuster"/>
    <s v=" Romance"/>
    <x v="7"/>
  </r>
  <r>
    <s v="tt1000252"/>
    <s v="First Quest 145"/>
    <n v="2002"/>
    <n v="2000"/>
    <x v="0"/>
    <n v="129"/>
    <s v="Long"/>
    <s v="A thrilling western adventure."/>
    <s v="Bong Joon-ho"/>
    <s v="Harrison Ford, Al Pacino, Emma Stone, Brad Pitt, Jack Nicholson"/>
    <n v="16522"/>
    <n v="97.7"/>
    <n v="97.7"/>
    <s v="Average"/>
    <s v="Western"/>
    <x v="11"/>
  </r>
  <r>
    <s v="tt1000252"/>
    <s v="First Quest 145"/>
    <n v="2002"/>
    <n v="2000"/>
    <x v="0"/>
    <n v="129"/>
    <s v="Long"/>
    <s v="A thrilling western adventure."/>
    <s v="Bong Joon-ho"/>
    <s v="Harrison Ford, Al Pacino, Emma Stone, Brad Pitt, Jack Nicholson"/>
    <n v="16522"/>
    <n v="97.7"/>
    <n v="97.7"/>
    <s v="Average"/>
    <s v=" Biography"/>
    <x v="5"/>
  </r>
  <r>
    <s v="tt1000566"/>
    <s v="Secret Destiny 459"/>
    <n v="2012"/>
    <n v="2010"/>
    <x v="2"/>
    <n v="130"/>
    <s v="Long"/>
    <s v="A thrilling mystery adventure."/>
    <s v="Alfred Hitchcock"/>
    <s v="Chris Hemsworth, Will Smith, Margot Robbie, Zendaya"/>
    <n v="101310"/>
    <n v="271.39999999999998"/>
    <n v="271.39999999999998"/>
    <s v="Blockbuster"/>
    <s v="Mystery"/>
    <x v="4"/>
  </r>
  <r>
    <s v="tt1000566"/>
    <s v="Secret Destiny 459"/>
    <n v="2012"/>
    <n v="2010"/>
    <x v="2"/>
    <n v="130"/>
    <s v="Long"/>
    <s v="A thrilling mystery adventure."/>
    <s v="Alfred Hitchcock"/>
    <s v="Chris Hemsworth, Will Smith, Margot Robbie, Zendaya"/>
    <n v="101310"/>
    <n v="271.39999999999998"/>
    <n v="271.39999999999998"/>
    <s v="Blockbuster"/>
    <s v=" Drama"/>
    <x v="14"/>
  </r>
  <r>
    <s v="tt1000219"/>
    <s v="First Story 112"/>
    <n v="2006"/>
    <n v="2000"/>
    <x v="2"/>
    <n v="119"/>
    <s v="Medium"/>
    <s v="A critically acclaimed fantasy masterpiece."/>
    <s v="Ang Lee"/>
    <s v="Al Pacino, Morgan Freeman, Gary Oldman, Edward Norton"/>
    <n v="48216"/>
    <n v="498.57"/>
    <n v="498.57"/>
    <s v="Blockbuster"/>
    <s v="Fantasy"/>
    <x v="8"/>
  </r>
  <r>
    <s v="tt1000219"/>
    <s v="First Story 112"/>
    <n v="2006"/>
    <n v="2000"/>
    <x v="2"/>
    <n v="119"/>
    <s v="Medium"/>
    <s v="A critically acclaimed fantasy masterpiece."/>
    <s v="Ang Lee"/>
    <s v="Al Pacino, Morgan Freeman, Gary Oldman, Edward Norton"/>
    <n v="48216"/>
    <n v="498.57"/>
    <n v="498.57"/>
    <s v="Blockbuster"/>
    <s v=" Comedy"/>
    <x v="15"/>
  </r>
  <r>
    <s v="tt1000799"/>
    <s v="First Chronicles 692"/>
    <n v="2021"/>
    <n v="2020"/>
    <x v="0"/>
    <n v="99"/>
    <s v="Medium"/>
    <s v="A critically acclaimed comedy masterpiece."/>
    <s v="Akira Kurosawa"/>
    <s v="Gary Oldman, Christian Bale, Florence Pugh"/>
    <n v="66437"/>
    <n v="320.77"/>
    <n v="320.77"/>
    <s v="Blockbuster"/>
    <s v="Comedy"/>
    <x v="15"/>
  </r>
  <r>
    <s v="tt1000901"/>
    <s v="Dark Secrets 794"/>
    <n v="2005"/>
    <n v="2000"/>
    <x v="2"/>
    <n v="140"/>
    <s v="Long"/>
    <s v="An epic musical tale directed by Ridley Scott."/>
    <s v="Ridley Scott"/>
    <s v="Keanu Reeves, Viola Davis, Will Smith"/>
    <n v="287113"/>
    <m/>
    <n v="0"/>
    <s v="Average"/>
    <s v="Musical"/>
    <x v="1"/>
  </r>
  <r>
    <s v="tt1000901"/>
    <s v="Dark Secrets 794"/>
    <n v="2005"/>
    <n v="2000"/>
    <x v="2"/>
    <n v="140"/>
    <s v="Long"/>
    <s v="An epic musical tale directed by Ridley Scott."/>
    <s v="Ridley Scott"/>
    <s v="Keanu Reeves, Viola Davis, Will Smith"/>
    <n v="287113"/>
    <m/>
    <n v="0"/>
    <s v="Average"/>
    <s v=" Mystery"/>
    <x v="4"/>
  </r>
  <r>
    <s v="tt1000338"/>
    <s v="Final Revolution 231"/>
    <n v="2007"/>
    <n v="2000"/>
    <x v="0"/>
    <n v="154"/>
    <s v="Long"/>
    <s v="A critically acclaimed war masterpiece."/>
    <s v="Francis Ford Coppola"/>
    <s v="Natalie Portman, Gary Oldman, Will Smith, Robert Downey Jr., Christian Bale"/>
    <n v="22536"/>
    <n v="345.8"/>
    <n v="345.8"/>
    <s v="Blockbuster"/>
    <s v="War"/>
    <x v="2"/>
  </r>
  <r>
    <s v="tt1000338"/>
    <s v="Final Revolution 231"/>
    <n v="2007"/>
    <n v="2000"/>
    <x v="0"/>
    <n v="154"/>
    <s v="Long"/>
    <s v="A critically acclaimed war masterpiece."/>
    <s v="Francis Ford Coppola"/>
    <s v="Natalie Portman, Gary Oldman, Will Smith, Robert Downey Jr., Christian Bale"/>
    <n v="22536"/>
    <n v="345.8"/>
    <n v="345.8"/>
    <s v="Blockbuster"/>
    <s v=" Family"/>
    <x v="10"/>
  </r>
  <r>
    <s v="tt1000811"/>
    <s v="A Secrets 704"/>
    <n v="2012"/>
    <n v="2010"/>
    <x v="0"/>
    <n v="116"/>
    <s v="Medium"/>
    <s v="A thrilling sci-fi adventure."/>
    <s v="Steven Spielberg"/>
    <s v="Margot Robbie, Anthony Hopkins, Johnny Depp"/>
    <n v="34396"/>
    <n v="450.55"/>
    <n v="450.55"/>
    <s v="Blockbuster"/>
    <s v="Sci-Fi"/>
    <x v="16"/>
  </r>
  <r>
    <s v="tt1000811"/>
    <s v="A Secrets 704"/>
    <n v="2012"/>
    <n v="2010"/>
    <x v="0"/>
    <n v="116"/>
    <s v="Medium"/>
    <s v="A thrilling sci-fi adventure."/>
    <s v="Steven Spielberg"/>
    <s v="Margot Robbie, Anthony Hopkins, Johnny Depp"/>
    <n v="34396"/>
    <n v="450.55"/>
    <n v="450.55"/>
    <s v="Blockbuster"/>
    <s v=" Animation"/>
    <x v="3"/>
  </r>
  <r>
    <s v="tt1000472"/>
    <s v="Dark Awakening 365"/>
    <n v="2009"/>
    <n v="2000"/>
    <x v="0"/>
    <n v="121"/>
    <s v="Long"/>
    <s v="A critically acclaimed western masterpiece."/>
    <s v="Peter Jackson"/>
    <s v="Meryl Streep, Margot Robbie, Chris Hemsworth, Keanu Reeves, Morgan Freeman"/>
    <n v="592853"/>
    <m/>
    <n v="0"/>
    <s v="Average"/>
    <s v="Western"/>
    <x v="11"/>
  </r>
  <r>
    <s v="tt1000472"/>
    <s v="Dark Awakening 365"/>
    <n v="2009"/>
    <n v="2000"/>
    <x v="0"/>
    <n v="121"/>
    <s v="Long"/>
    <s v="A critically acclaimed western masterpiece."/>
    <s v="Peter Jackson"/>
    <s v="Meryl Streep, Margot Robbie, Chris Hemsworth, Keanu Reeves, Morgan Freeman"/>
    <n v="592853"/>
    <m/>
    <n v="0"/>
    <s v="Average"/>
    <s v=" Sci-Fi"/>
    <x v="16"/>
  </r>
  <r>
    <s v="tt1000218"/>
    <s v="A Kingdom 111"/>
    <n v="2015"/>
    <n v="2010"/>
    <x v="0"/>
    <n v="171"/>
    <s v="Long"/>
    <s v="A thrilling comedy adventure."/>
    <s v="Ridley Scott"/>
    <s v="Amy Adams, Mark Ruffalo, Cate Blanchett"/>
    <n v="61138"/>
    <n v="34.159999999999997"/>
    <n v="34.159999999999997"/>
    <s v="Average"/>
    <s v="Comedy"/>
    <x v="15"/>
  </r>
  <r>
    <s v="tt1000218"/>
    <s v="A Kingdom 111"/>
    <n v="2015"/>
    <n v="2010"/>
    <x v="0"/>
    <n v="171"/>
    <s v="Long"/>
    <s v="A thrilling comedy adventure."/>
    <s v="Ridley Scott"/>
    <s v="Amy Adams, Mark Ruffalo, Cate Blanchett"/>
    <n v="61138"/>
    <n v="34.159999999999997"/>
    <n v="34.159999999999997"/>
    <s v="Average"/>
    <s v=" Animation"/>
    <x v="3"/>
  </r>
  <r>
    <s v="tt1000464"/>
    <s v="The Quest 357"/>
    <n v="2012"/>
    <n v="2010"/>
    <x v="1"/>
    <n v="160"/>
    <s v="Long"/>
    <s v="An epic thriller tale directed by Sam Mendes."/>
    <s v="Sam Mendes"/>
    <s v="Brad Pitt, Tom Hanks, Morgan Freeman, Tom Cruise, Will Smith"/>
    <n v="34614"/>
    <n v="487.9"/>
    <n v="487.9"/>
    <s v="Blockbuster"/>
    <s v="Thriller"/>
    <x v="17"/>
  </r>
  <r>
    <s v="tt1000464"/>
    <s v="The Quest 357"/>
    <n v="2012"/>
    <n v="2010"/>
    <x v="1"/>
    <n v="160"/>
    <s v="Long"/>
    <s v="An epic thriller tale directed by Sam Mendes."/>
    <s v="Sam Mendes"/>
    <s v="Brad Pitt, Tom Hanks, Morgan Freeman, Tom Cruise, Will Smith"/>
    <n v="34614"/>
    <n v="487.9"/>
    <n v="487.9"/>
    <s v="Blockbuster"/>
    <s v=" Drama"/>
    <x v="14"/>
  </r>
  <r>
    <s v="tt1000464"/>
    <s v="The Quest 357"/>
    <n v="2012"/>
    <n v="2010"/>
    <x v="1"/>
    <n v="160"/>
    <s v="Long"/>
    <s v="An epic thriller tale directed by Sam Mendes."/>
    <s v="Sam Mendes"/>
    <s v="Brad Pitt, Tom Hanks, Morgan Freeman, Tom Cruise, Will Smith"/>
    <n v="34614"/>
    <n v="487.9"/>
    <n v="487.9"/>
    <s v="Blockbuster"/>
    <s v=" Western"/>
    <x v="11"/>
  </r>
  <r>
    <s v="tt1000420"/>
    <s v="Dark Mystery 313"/>
    <n v="2010"/>
    <n v="2010"/>
    <x v="3"/>
    <n v="131"/>
    <s v="Long"/>
    <s v="A crime film set in 2010."/>
    <s v="Clint Eastwood"/>
    <s v="Tom Hanks, Brad Pitt, Anthony Hopkins"/>
    <n v="134340"/>
    <m/>
    <n v="0"/>
    <s v="Average"/>
    <s v="Crime"/>
    <x v="6"/>
  </r>
  <r>
    <s v="tt1000998"/>
    <s v="First Story 891"/>
    <n v="2020"/>
    <n v="2020"/>
    <x v="1"/>
    <n v="100"/>
    <s v="Medium"/>
    <s v="A horror film set in 2020."/>
    <s v="Taika Waititi"/>
    <s v="Anthony Hopkins, TimothÃ©e Chalamet, Emma Stone, Meryl Streep"/>
    <n v="88135"/>
    <m/>
    <n v="0"/>
    <s v="Average"/>
    <s v="Horror"/>
    <x v="12"/>
  </r>
  <r>
    <s v="tt1000998"/>
    <s v="First Story 891"/>
    <n v="2020"/>
    <n v="2020"/>
    <x v="1"/>
    <n v="100"/>
    <s v="Medium"/>
    <s v="A horror film set in 2020."/>
    <s v="Taika Waititi"/>
    <s v="Anthony Hopkins, TimothÃ©e Chalamet, Emma Stone, Meryl Streep"/>
    <n v="88135"/>
    <m/>
    <n v="0"/>
    <s v="Average"/>
    <s v=" Drama"/>
    <x v="14"/>
  </r>
  <r>
    <s v="tt1000365"/>
    <s v="Final Dreams 258"/>
    <n v="2009"/>
    <n v="2000"/>
    <x v="0"/>
    <n v="118"/>
    <s v="Medium"/>
    <s v="A critically acclaimed romance masterpiece."/>
    <s v="Martin Scorsese"/>
    <s v="Jack Nicholson, Keanu Reeves, Edward Norton, Gary Oldman, Emma Stone"/>
    <n v="2989"/>
    <m/>
    <n v="0"/>
    <s v="Average"/>
    <s v="Romance"/>
    <x v="7"/>
  </r>
  <r>
    <s v="tt1000365"/>
    <s v="Final Dreams 258"/>
    <n v="2009"/>
    <n v="2000"/>
    <x v="0"/>
    <n v="118"/>
    <s v="Medium"/>
    <s v="A critically acclaimed romance masterpiece."/>
    <s v="Martin Scorsese"/>
    <s v="Jack Nicholson, Keanu Reeves, Edward Norton, Gary Oldman, Emma Stone"/>
    <n v="2989"/>
    <m/>
    <n v="0"/>
    <s v="Average"/>
    <s v=" Action"/>
    <x v="0"/>
  </r>
  <r>
    <s v="tt1000997"/>
    <s v="An Love 890"/>
    <n v="2004"/>
    <n v="2000"/>
    <x v="0"/>
    <n v="132"/>
    <s v="Long"/>
    <s v="A thrilling documentary adventure."/>
    <s v="Akira Kurosawa"/>
    <s v="Meryl Streep, Harrison Ford, Margot Robbie, Tom Cruise, Leonardo DiCaprio"/>
    <n v="43550"/>
    <m/>
    <n v="0"/>
    <s v="Average"/>
    <s v="Documentary"/>
    <x v="13"/>
  </r>
  <r>
    <s v="tt1000342"/>
    <s v="Dark Chronicles 235"/>
    <n v="2007"/>
    <n v="2000"/>
    <x v="5"/>
    <n v="120"/>
    <s v="Medium"/>
    <s v="A critically acclaimed animation masterpiece."/>
    <s v="Guillermo del Toro"/>
    <s v="Jack Nicholson, Matt Damon, Natalie Portman"/>
    <n v="150283"/>
    <n v="388.86"/>
    <n v="388.86"/>
    <s v="Blockbuster"/>
    <s v="Animation"/>
    <x v="3"/>
  </r>
  <r>
    <s v="tt1000342"/>
    <s v="Dark Chronicles 235"/>
    <n v="2007"/>
    <n v="2000"/>
    <x v="5"/>
    <n v="120"/>
    <s v="Medium"/>
    <s v="A critically acclaimed animation masterpiece."/>
    <s v="Guillermo del Toro"/>
    <s v="Jack Nicholson, Matt Damon, Natalie Portman"/>
    <n v="150283"/>
    <n v="388.86"/>
    <n v="388.86"/>
    <s v="Blockbuster"/>
    <s v=" Fantasy"/>
    <x v="8"/>
  </r>
  <r>
    <s v="tt1000205"/>
    <s v="Last Empire 98"/>
    <n v="2006"/>
    <n v="2000"/>
    <x v="1"/>
    <n v="122"/>
    <s v="Long"/>
    <s v="A thrilling western adventure."/>
    <s v="Robert Zemeckis"/>
    <s v="Robert De Niro, Tom Cruise, Johnny Depp"/>
    <n v="177841"/>
    <n v="276.37"/>
    <n v="276.37"/>
    <s v="Blockbuster"/>
    <s v="Western"/>
    <x v="11"/>
  </r>
  <r>
    <s v="tt1000205"/>
    <s v="Last Empire 98"/>
    <n v="2006"/>
    <n v="2000"/>
    <x v="1"/>
    <n v="122"/>
    <s v="Long"/>
    <s v="A thrilling western adventure."/>
    <s v="Robert Zemeckis"/>
    <s v="Robert De Niro, Tom Cruise, Johnny Depp"/>
    <n v="177841"/>
    <n v="276.37"/>
    <n v="276.37"/>
    <s v="Blockbuster"/>
    <s v=" Horror"/>
    <x v="12"/>
  </r>
  <r>
    <s v="tt1000614"/>
    <s v="First Awakening 507"/>
    <n v="2004"/>
    <n v="2000"/>
    <x v="3"/>
    <n v="109"/>
    <s v="Medium"/>
    <s v="A western film set in 2004."/>
    <s v="Martin Scorsese"/>
    <s v="Will Smith, Anthony Hopkins, Chris Hemsworth, Al Pacino"/>
    <n v="76098"/>
    <n v="125.2"/>
    <n v="125.2"/>
    <s v="Hit"/>
    <s v="Western"/>
    <x v="11"/>
  </r>
  <r>
    <s v="tt1000614"/>
    <s v="First Awakening 507"/>
    <n v="2004"/>
    <n v="2000"/>
    <x v="3"/>
    <n v="109"/>
    <s v="Medium"/>
    <s v="A western film set in 2004."/>
    <s v="Martin Scorsese"/>
    <s v="Will Smith, Anthony Hopkins, Chris Hemsworth, Al Pacino"/>
    <n v="76098"/>
    <n v="125.2"/>
    <n v="125.2"/>
    <s v="Hit"/>
    <s v=" Thriller"/>
    <x v="17"/>
  </r>
  <r>
    <s v="tt1000087"/>
    <s v="Rain Man"/>
    <n v="1994"/>
    <n v="1990"/>
    <x v="2"/>
    <n v="118"/>
    <s v="Medium"/>
    <s v="A thrilling mystery adventure."/>
    <s v="Park Chan-wook"/>
    <s v="Christian Bale, Edward Norton, Daniel Day-Lewis"/>
    <n v="12879"/>
    <m/>
    <n v="0"/>
    <s v="Average"/>
    <s v="Mystery"/>
    <x v="4"/>
  </r>
  <r>
    <s v="tt1000267"/>
    <s v="Lost Dreams 160"/>
    <n v="2008"/>
    <n v="2000"/>
    <x v="0"/>
    <n v="109"/>
    <s v="Medium"/>
    <s v="A thrilling thriller adventure."/>
    <s v="Peter Jackson"/>
    <s v="Kate Winslet, Florence Pugh, Matt Damon, Samuel L. Jackson, Jennifer Lawrence"/>
    <n v="29929"/>
    <m/>
    <n v="0"/>
    <s v="Average"/>
    <s v="Thriller"/>
    <x v="17"/>
  </r>
  <r>
    <s v="tt1000357"/>
    <s v="Lost War 250"/>
    <n v="2014"/>
    <n v="2010"/>
    <x v="4"/>
    <n v="129"/>
    <s v="Long"/>
    <s v="A action film set in 2014."/>
    <s v="Robert Zemeckis"/>
    <s v="Emma Stone, Viola Davis, Morgan Freeman, Johnny Depp"/>
    <n v="8738"/>
    <n v="497.65"/>
    <n v="497.65"/>
    <s v="Blockbuster"/>
    <s v="Action"/>
    <x v="0"/>
  </r>
  <r>
    <s v="tt1000357"/>
    <s v="Lost War 250"/>
    <n v="2014"/>
    <n v="2010"/>
    <x v="4"/>
    <n v="129"/>
    <s v="Long"/>
    <s v="A action film set in 2014."/>
    <s v="Robert Zemeckis"/>
    <s v="Emma Stone, Viola Davis, Morgan Freeman, Johnny Depp"/>
    <n v="8738"/>
    <n v="497.65"/>
    <n v="497.65"/>
    <s v="Blockbuster"/>
    <s v=" Western"/>
    <x v="11"/>
  </r>
  <r>
    <s v="tt1000357"/>
    <s v="Lost War 250"/>
    <n v="2014"/>
    <n v="2010"/>
    <x v="4"/>
    <n v="129"/>
    <s v="Long"/>
    <s v="A action film set in 2014."/>
    <s v="Robert Zemeckis"/>
    <s v="Emma Stone, Viola Davis, Morgan Freeman, Johnny Depp"/>
    <n v="8738"/>
    <n v="497.65"/>
    <n v="497.65"/>
    <s v="Blockbuster"/>
    <s v=" Biography"/>
    <x v="5"/>
  </r>
  <r>
    <s v="tt1000673"/>
    <s v="Dark Dreams 566"/>
    <n v="2009"/>
    <n v="2000"/>
    <x v="0"/>
    <n v="95"/>
    <s v="Medium"/>
    <s v="A horror film set in 2009."/>
    <s v="Guillermo del Toro"/>
    <s v="Natalie Portman, Emma Stone, Samuel L. Jackson, Meryl Streep"/>
    <n v="90768"/>
    <n v="352.83"/>
    <n v="352.83"/>
    <s v="Blockbuster"/>
    <s v="Horror"/>
    <x v="12"/>
  </r>
  <r>
    <s v="tt1000673"/>
    <s v="Dark Dreams 566"/>
    <n v="2009"/>
    <n v="2000"/>
    <x v="0"/>
    <n v="95"/>
    <s v="Medium"/>
    <s v="A horror film set in 2009."/>
    <s v="Guillermo del Toro"/>
    <s v="Natalie Portman, Emma Stone, Samuel L. Jackson, Meryl Streep"/>
    <n v="90768"/>
    <n v="352.83"/>
    <n v="352.83"/>
    <s v="Blockbuster"/>
    <s v=" Comedy"/>
    <x v="15"/>
  </r>
  <r>
    <s v="tt1000589"/>
    <s v="The Kingdom 482"/>
    <n v="2022"/>
    <n v="2020"/>
    <x v="0"/>
    <n v="116"/>
    <s v="Medium"/>
    <s v="A western film set in 2022."/>
    <s v="Danny Boyle"/>
    <s v="Emma Stone, Tom Hanks, Mark Ruffalo, Gary Oldman"/>
    <n v="136930"/>
    <n v="468.09"/>
    <n v="468.09"/>
    <s v="Blockbuster"/>
    <s v="Western"/>
    <x v="11"/>
  </r>
  <r>
    <s v="tt1000589"/>
    <s v="The Kingdom 482"/>
    <n v="2022"/>
    <n v="2020"/>
    <x v="0"/>
    <n v="116"/>
    <s v="Medium"/>
    <s v="A western film set in 2022."/>
    <s v="Danny Boyle"/>
    <s v="Emma Stone, Tom Hanks, Mark Ruffalo, Gary Oldman"/>
    <n v="136930"/>
    <n v="468.09"/>
    <n v="468.09"/>
    <s v="Blockbuster"/>
    <s v=" Biography"/>
    <x v="5"/>
  </r>
  <r>
    <s v="tt1000281"/>
    <s v="Secret Adventures 174"/>
    <n v="2007"/>
    <n v="2000"/>
    <x v="0"/>
    <n v="127"/>
    <s v="Long"/>
    <s v="An epic sci-fi tale directed by Steven Spielberg."/>
    <s v="Steven Spielberg"/>
    <s v="Meryl Streep, Jennifer Lawrence, Brad Pitt, Leonardo DiCaprio"/>
    <n v="125326"/>
    <m/>
    <n v="0"/>
    <s v="Average"/>
    <s v="Sci-Fi"/>
    <x v="16"/>
  </r>
  <r>
    <s v="tt1000646"/>
    <s v="Secret Story 539"/>
    <n v="2001"/>
    <n v="2000"/>
    <x v="0"/>
    <n v="141"/>
    <s v="Long"/>
    <s v="A documentary film set in 2001."/>
    <s v="Akira Kurosawa"/>
    <s v="Christian Bale, Robert Downey Jr., Chris Hemsworth"/>
    <n v="95042"/>
    <m/>
    <n v="0"/>
    <s v="Average"/>
    <s v="Documentary"/>
    <x v="13"/>
  </r>
  <r>
    <s v="tt1000646"/>
    <s v="Secret Story 539"/>
    <n v="2001"/>
    <n v="2000"/>
    <x v="0"/>
    <n v="141"/>
    <s v="Long"/>
    <s v="A documentary film set in 2001."/>
    <s v="Akira Kurosawa"/>
    <s v="Christian Bale, Robert Downey Jr., Chris Hemsworth"/>
    <n v="95042"/>
    <m/>
    <n v="0"/>
    <s v="Average"/>
    <s v=" Thriller"/>
    <x v="17"/>
  </r>
  <r>
    <s v="tt1000906"/>
    <s v="Last Destiny 799"/>
    <n v="2001"/>
    <n v="2000"/>
    <x v="0"/>
    <n v="108"/>
    <s v="Medium"/>
    <s v="A critically acclaimed horror masterpiece."/>
    <s v="Greta Gerwig"/>
    <s v="Denzel Washington, Viola Davis, Natalie Portman, Harrison Ford, Mark Ruffalo"/>
    <n v="1122687"/>
    <m/>
    <n v="0"/>
    <s v="Average"/>
    <s v="Horror"/>
    <x v="12"/>
  </r>
  <r>
    <s v="tt1000906"/>
    <s v="Last Destiny 799"/>
    <n v="2001"/>
    <n v="2000"/>
    <x v="0"/>
    <n v="108"/>
    <s v="Medium"/>
    <s v="A critically acclaimed horror masterpiece."/>
    <s v="Greta Gerwig"/>
    <s v="Denzel Washington, Viola Davis, Natalie Portman, Harrison Ford, Mark Ruffalo"/>
    <n v="1122687"/>
    <m/>
    <n v="0"/>
    <s v="Average"/>
    <s v=" War"/>
    <x v="2"/>
  </r>
  <r>
    <s v="tt1000906"/>
    <s v="Last Destiny 799"/>
    <n v="2001"/>
    <n v="2000"/>
    <x v="0"/>
    <n v="108"/>
    <s v="Medium"/>
    <s v="A critically acclaimed horror masterpiece."/>
    <s v="Greta Gerwig"/>
    <s v="Denzel Washington, Viola Davis, Natalie Portman, Harrison Ford, Mark Ruffalo"/>
    <n v="1122687"/>
    <m/>
    <n v="0"/>
    <s v="Average"/>
    <s v=" Drama"/>
    <x v="14"/>
  </r>
  <r>
    <s v="tt1000431"/>
    <s v="A Mission 324"/>
    <n v="2011"/>
    <n v="2010"/>
    <x v="0"/>
    <n v="136"/>
    <s v="Long"/>
    <s v="A thrilling animation adventure."/>
    <s v="Steven Spielberg"/>
    <s v="Meryl Streep, Brad Pitt, Johnny Depp, TimothÃ©e Chalamet, Daniel Day-Lewis"/>
    <n v="51620"/>
    <n v="215.38"/>
    <n v="215.38"/>
    <s v="Blockbuster"/>
    <s v="Animation"/>
    <x v="3"/>
  </r>
  <r>
    <s v="tt1000431"/>
    <s v="A Mission 324"/>
    <n v="2011"/>
    <n v="2010"/>
    <x v="0"/>
    <n v="136"/>
    <s v="Long"/>
    <s v="A thrilling animation adventure."/>
    <s v="Steven Spielberg"/>
    <s v="Meryl Streep, Brad Pitt, Johnny Depp, TimothÃ©e Chalamet, Daniel Day-Lewis"/>
    <n v="51620"/>
    <n v="215.38"/>
    <n v="215.38"/>
    <s v="Blockbuster"/>
    <s v=" Romance"/>
    <x v="7"/>
  </r>
  <r>
    <s v="tt1000441"/>
    <s v="Secret Empire 334"/>
    <n v="2019"/>
    <n v="2010"/>
    <x v="2"/>
    <n v="129"/>
    <s v="Long"/>
    <s v="An epic animation tale directed by Christopher Nolan."/>
    <s v="Christopher Nolan"/>
    <s v="Will Smith, Johnny Depp, Kate Winslet, Zendaya, Matt Damon"/>
    <n v="3092"/>
    <n v="154.13"/>
    <n v="154.13"/>
    <s v="Hit"/>
    <s v="Animation"/>
    <x v="3"/>
  </r>
  <r>
    <s v="tt1000441"/>
    <s v="Secret Empire 334"/>
    <n v="2019"/>
    <n v="2010"/>
    <x v="2"/>
    <n v="129"/>
    <s v="Long"/>
    <s v="An epic animation tale directed by Christopher Nolan."/>
    <s v="Christopher Nolan"/>
    <s v="Will Smith, Johnny Depp, Kate Winslet, Zendaya, Matt Damon"/>
    <n v="3092"/>
    <n v="154.13"/>
    <n v="154.13"/>
    <s v="Hit"/>
    <s v=" Adventure"/>
    <x v="9"/>
  </r>
  <r>
    <s v="tt1000183"/>
    <s v="First Legend 76"/>
    <n v="1998"/>
    <n v="1990"/>
    <x v="0"/>
    <n v="107"/>
    <s v="Medium"/>
    <s v="A thrilling documentary adventure."/>
    <s v="Ron Howard"/>
    <s v="Denzel Washington, Tom Cruise, Edward Norton"/>
    <n v="47405"/>
    <m/>
    <n v="0"/>
    <s v="Average"/>
    <s v="Documentary"/>
    <x v="13"/>
  </r>
  <r>
    <s v="tt1000183"/>
    <s v="First Legend 76"/>
    <n v="1998"/>
    <n v="1990"/>
    <x v="0"/>
    <n v="107"/>
    <s v="Medium"/>
    <s v="A thrilling documentary adventure."/>
    <s v="Ron Howard"/>
    <s v="Denzel Washington, Tom Cruise, Edward Norton"/>
    <n v="47405"/>
    <m/>
    <n v="0"/>
    <s v="Average"/>
    <s v=" Horror"/>
    <x v="12"/>
  </r>
  <r>
    <s v="tt1000864"/>
    <s v="Lost Adventures 757"/>
    <n v="2013"/>
    <n v="2010"/>
    <x v="0"/>
    <n v="119"/>
    <s v="Medium"/>
    <s v="A war film set in 2013."/>
    <s v="James Cameron"/>
    <s v="Matt Damon, Morgan Freeman, Florence Pugh"/>
    <n v="213767"/>
    <n v="249.88"/>
    <n v="249.88"/>
    <s v="Blockbuster"/>
    <s v="War"/>
    <x v="2"/>
  </r>
  <r>
    <s v="tt1000872"/>
    <s v="Last Journey 765"/>
    <n v="2012"/>
    <n v="2010"/>
    <x v="0"/>
    <n v="105"/>
    <s v="Medium"/>
    <s v="A thrilling war adventure."/>
    <s v="Ryan Coogler"/>
    <s v="Will Smith, Florence Pugh, Samuel L. Jackson"/>
    <n v="118886"/>
    <n v="223.78"/>
    <n v="223.78"/>
    <s v="Blockbuster"/>
    <s v="War"/>
    <x v="2"/>
  </r>
  <r>
    <s v="tt1000872"/>
    <s v="Last Journey 765"/>
    <n v="2012"/>
    <n v="2010"/>
    <x v="0"/>
    <n v="105"/>
    <s v="Medium"/>
    <s v="A thrilling war adventure."/>
    <s v="Ryan Coogler"/>
    <s v="Will Smith, Florence Pugh, Samuel L. Jackson"/>
    <n v="118886"/>
    <n v="223.78"/>
    <n v="223.78"/>
    <s v="Blockbuster"/>
    <s v=" Comedy"/>
    <x v="15"/>
  </r>
  <r>
    <s v="tt1000636"/>
    <s v="A Mission 529"/>
    <n v="2009"/>
    <n v="2000"/>
    <x v="1"/>
    <n v="96"/>
    <s v="Medium"/>
    <s v="A critically acclaimed thriller masterpiece."/>
    <s v="Akira Kurosawa"/>
    <s v="Al Pacino, Brad Pitt, Will Smith, Morgan Freeman"/>
    <n v="805140"/>
    <m/>
    <n v="0"/>
    <s v="Average"/>
    <s v="Thriller"/>
    <x v="17"/>
  </r>
  <r>
    <s v="tt1000636"/>
    <s v="A Mission 529"/>
    <n v="2009"/>
    <n v="2000"/>
    <x v="1"/>
    <n v="96"/>
    <s v="Medium"/>
    <s v="A critically acclaimed thriller masterpiece."/>
    <s v="Akira Kurosawa"/>
    <s v="Al Pacino, Brad Pitt, Will Smith, Morgan Freeman"/>
    <n v="805140"/>
    <m/>
    <n v="0"/>
    <s v="Average"/>
    <s v=" Western"/>
    <x v="11"/>
  </r>
  <r>
    <s v="tt1000212"/>
    <s v="Secret Story 105"/>
    <n v="2010"/>
    <n v="2010"/>
    <x v="0"/>
    <n v="136"/>
    <s v="Long"/>
    <s v="A thrilling war adventure."/>
    <s v="Ron Howard"/>
    <s v="Natalie Portman, Anthony Hopkins, Mark Ruffalo, Samuel L. Jackson, Florence Pugh"/>
    <n v="8647"/>
    <n v="498.46"/>
    <n v="498.46"/>
    <s v="Blockbuster"/>
    <s v="War"/>
    <x v="2"/>
  </r>
  <r>
    <s v="tt1000212"/>
    <s v="Secret Story 105"/>
    <n v="2010"/>
    <n v="2010"/>
    <x v="0"/>
    <n v="136"/>
    <s v="Long"/>
    <s v="A thrilling war adventure."/>
    <s v="Ron Howard"/>
    <s v="Natalie Portman, Anthony Hopkins, Mark Ruffalo, Samuel L. Jackson, Florence Pugh"/>
    <n v="8647"/>
    <n v="498.46"/>
    <n v="498.46"/>
    <s v="Blockbuster"/>
    <s v=" Family"/>
    <x v="10"/>
  </r>
  <r>
    <s v="tt1000212"/>
    <s v="Secret Story 105"/>
    <n v="2010"/>
    <n v="2010"/>
    <x v="0"/>
    <n v="136"/>
    <s v="Long"/>
    <s v="A thrilling war adventure."/>
    <s v="Ron Howard"/>
    <s v="Natalie Portman, Anthony Hopkins, Mark Ruffalo, Samuel L. Jackson, Florence Pugh"/>
    <n v="8647"/>
    <n v="498.46"/>
    <n v="498.46"/>
    <s v="Blockbuster"/>
    <s v=" Mystery"/>
    <x v="4"/>
  </r>
  <r>
    <s v="tt1000209"/>
    <s v="Final Kingdom 102"/>
    <n v="2006"/>
    <n v="2000"/>
    <x v="0"/>
    <n v="117"/>
    <s v="Medium"/>
    <s v="A western film set in 2006."/>
    <s v="Danny Boyle"/>
    <s v="Denzel Washington, Will Smith, Tom Cruise, Meryl Streep"/>
    <n v="309058"/>
    <n v="464.92"/>
    <n v="464.92"/>
    <s v="Blockbuster"/>
    <s v="Western"/>
    <x v="11"/>
  </r>
  <r>
    <s v="tt1000209"/>
    <s v="Final Kingdom 102"/>
    <n v="2006"/>
    <n v="2000"/>
    <x v="0"/>
    <n v="117"/>
    <s v="Medium"/>
    <s v="A western film set in 2006."/>
    <s v="Danny Boyle"/>
    <s v="Denzel Washington, Will Smith, Tom Cruise, Meryl Streep"/>
    <n v="309058"/>
    <n v="464.92"/>
    <n v="464.92"/>
    <s v="Blockbuster"/>
    <s v=" Action"/>
    <x v="0"/>
  </r>
  <r>
    <s v="tt1000209"/>
    <s v="Final Kingdom 102"/>
    <n v="2006"/>
    <n v="2000"/>
    <x v="0"/>
    <n v="117"/>
    <s v="Medium"/>
    <s v="A western film set in 2006."/>
    <s v="Danny Boyle"/>
    <s v="Denzel Washington, Will Smith, Tom Cruise, Meryl Streep"/>
    <n v="309058"/>
    <n v="464.92"/>
    <n v="464.92"/>
    <s v="Blockbuster"/>
    <s v=" Biography"/>
    <x v="5"/>
  </r>
  <r>
    <s v="tt1000963"/>
    <s v="Secret Mystery 856"/>
    <n v="2007"/>
    <n v="2000"/>
    <x v="2"/>
    <n v="127"/>
    <s v="Long"/>
    <s v="An epic sci-fi tale directed by David Fincher."/>
    <s v="David Fincher"/>
    <s v="Keanu Reeves, Johnny Depp, Robert De Niro"/>
    <n v="2450"/>
    <n v="243.9"/>
    <n v="243.9"/>
    <s v="Blockbuster"/>
    <s v="Sci-Fi"/>
    <x v="16"/>
  </r>
  <r>
    <s v="tt1000963"/>
    <s v="Secret Mystery 856"/>
    <n v="2007"/>
    <n v="2000"/>
    <x v="2"/>
    <n v="127"/>
    <s v="Long"/>
    <s v="An epic sci-fi tale directed by David Fincher."/>
    <s v="David Fincher"/>
    <s v="Keanu Reeves, Johnny Depp, Robert De Niro"/>
    <n v="2450"/>
    <n v="243.9"/>
    <n v="243.9"/>
    <s v="Blockbuster"/>
    <s v=" War"/>
    <x v="2"/>
  </r>
  <r>
    <s v="tt1000963"/>
    <s v="Secret Mystery 856"/>
    <n v="2007"/>
    <n v="2000"/>
    <x v="2"/>
    <n v="127"/>
    <s v="Long"/>
    <s v="An epic sci-fi tale directed by David Fincher."/>
    <s v="David Fincher"/>
    <s v="Keanu Reeves, Johnny Depp, Robert De Niro"/>
    <n v="2450"/>
    <n v="243.9"/>
    <n v="243.9"/>
    <s v="Blockbuster"/>
    <s v=" Crime"/>
    <x v="6"/>
  </r>
  <r>
    <s v="tt1000307"/>
    <s v="A Destiny 200"/>
    <n v="2017"/>
    <n v="2010"/>
    <x v="0"/>
    <n v="99"/>
    <s v="Medium"/>
    <s v="An epic comedy tale directed by Akira Kurosawa."/>
    <s v="Akira Kurosawa"/>
    <s v="Keanu Reeves, Denzel Washington, Florence Pugh, Daniel Day-Lewis"/>
    <n v="20948"/>
    <m/>
    <n v="0"/>
    <s v="Average"/>
    <s v="Comedy"/>
    <x v="15"/>
  </r>
  <r>
    <s v="tt1000307"/>
    <s v="A Destiny 200"/>
    <n v="2017"/>
    <n v="2010"/>
    <x v="0"/>
    <n v="99"/>
    <s v="Medium"/>
    <s v="An epic comedy tale directed by Akira Kurosawa."/>
    <s v="Akira Kurosawa"/>
    <s v="Keanu Reeves, Denzel Washington, Florence Pugh, Daniel Day-Lewis"/>
    <n v="20948"/>
    <m/>
    <n v="0"/>
    <s v="Average"/>
    <s v=" Documentary"/>
    <x v="13"/>
  </r>
  <r>
    <s v="tt1000748"/>
    <s v="Final Mission 641"/>
    <n v="2005"/>
    <n v="2000"/>
    <x v="0"/>
    <n v="152"/>
    <s v="Long"/>
    <s v="A critically acclaimed fantasy masterpiece."/>
    <s v="Sam Mendes"/>
    <s v="Cate Blanchett, Jennifer Lawrence, Zendaya, Robert De Niro, Scarlett Johansson"/>
    <n v="15550"/>
    <m/>
    <n v="0"/>
    <s v="Average"/>
    <s v="Fantasy"/>
    <x v="8"/>
  </r>
  <r>
    <s v="tt1000748"/>
    <s v="Final Mission 641"/>
    <n v="2005"/>
    <n v="2000"/>
    <x v="0"/>
    <n v="152"/>
    <s v="Long"/>
    <s v="A critically acclaimed fantasy masterpiece."/>
    <s v="Sam Mendes"/>
    <s v="Cate Blanchett, Jennifer Lawrence, Zendaya, Robert De Niro, Scarlett Johansson"/>
    <n v="15550"/>
    <m/>
    <n v="0"/>
    <s v="Average"/>
    <s v=" Animation"/>
    <x v="3"/>
  </r>
  <r>
    <s v="tt1000748"/>
    <s v="Final Mission 641"/>
    <n v="2005"/>
    <n v="2000"/>
    <x v="0"/>
    <n v="152"/>
    <s v="Long"/>
    <s v="A critically acclaimed fantasy masterpiece."/>
    <s v="Sam Mendes"/>
    <s v="Cate Blanchett, Jennifer Lawrence, Zendaya, Robert De Niro, Scarlett Johansson"/>
    <n v="15550"/>
    <m/>
    <n v="0"/>
    <s v="Average"/>
    <s v=" Adventure"/>
    <x v="9"/>
  </r>
  <r>
    <s v="tt1000612"/>
    <s v="Dark Legend 505"/>
    <n v="2011"/>
    <n v="2010"/>
    <x v="1"/>
    <n v="97"/>
    <s v="Medium"/>
    <s v="A western film set in 2011."/>
    <s v="Kathryn Bigelow"/>
    <s v="Jennifer Lawrence, Tom Cruise, Will Smith, Margot Robbie, Harrison Ford"/>
    <n v="56962"/>
    <m/>
    <n v="0"/>
    <s v="Average"/>
    <s v="Western"/>
    <x v="11"/>
  </r>
  <r>
    <s v="tt1000612"/>
    <s v="Dark Legend 505"/>
    <n v="2011"/>
    <n v="2010"/>
    <x v="1"/>
    <n v="97"/>
    <s v="Medium"/>
    <s v="A western film set in 2011."/>
    <s v="Kathryn Bigelow"/>
    <s v="Jennifer Lawrence, Tom Cruise, Will Smith, Margot Robbie, Harrison Ford"/>
    <n v="56962"/>
    <m/>
    <n v="0"/>
    <s v="Average"/>
    <s v=" Romance"/>
    <x v="7"/>
  </r>
  <r>
    <s v="tt1000612"/>
    <s v="Dark Legend 505"/>
    <n v="2011"/>
    <n v="2010"/>
    <x v="1"/>
    <n v="97"/>
    <s v="Medium"/>
    <s v="A western film set in 2011."/>
    <s v="Kathryn Bigelow"/>
    <s v="Jennifer Lawrence, Tom Cruise, Will Smith, Margot Robbie, Harrison Ford"/>
    <n v="56962"/>
    <m/>
    <n v="0"/>
    <s v="Average"/>
    <s v=" Biography"/>
    <x v="5"/>
  </r>
  <r>
    <s v="tt1000587"/>
    <s v="Last Quest 480"/>
    <n v="2007"/>
    <n v="2000"/>
    <x v="4"/>
    <n v="134"/>
    <s v="Long"/>
    <s v="An epic war tale directed by Alfred Hitchcock."/>
    <s v="Alfred Hitchcock"/>
    <s v="Chris Hemsworth, Matt Damon, Edward Norton, Margot Robbie"/>
    <n v="5415"/>
    <m/>
    <n v="0"/>
    <s v="Average"/>
    <s v="War"/>
    <x v="2"/>
  </r>
  <r>
    <s v="tt1000587"/>
    <s v="Last Quest 480"/>
    <n v="2007"/>
    <n v="2000"/>
    <x v="4"/>
    <n v="134"/>
    <s v="Long"/>
    <s v="An epic war tale directed by Alfred Hitchcock."/>
    <s v="Alfred Hitchcock"/>
    <s v="Chris Hemsworth, Matt Damon, Edward Norton, Margot Robbie"/>
    <n v="5415"/>
    <m/>
    <n v="0"/>
    <s v="Average"/>
    <s v=" Animation"/>
    <x v="3"/>
  </r>
  <r>
    <s v="tt1000128"/>
    <s v="First Story 21"/>
    <n v="1995"/>
    <n v="1990"/>
    <x v="2"/>
    <n v="104"/>
    <s v="Medium"/>
    <s v="A critically acclaimed thriller masterpiece."/>
    <s v="Stanley Kubrick"/>
    <s v="Robert De Niro, Jack Nicholson, Samuel L. Jackson, Scarlett Johansson, Emma Stone"/>
    <n v="99970"/>
    <n v="5.81"/>
    <n v="5.81"/>
    <s v="Average"/>
    <s v="Thriller"/>
    <x v="17"/>
  </r>
  <r>
    <s v="tt1000128"/>
    <s v="First Story 21"/>
    <n v="1995"/>
    <n v="1990"/>
    <x v="2"/>
    <n v="104"/>
    <s v="Medium"/>
    <s v="A critically acclaimed thriller masterpiece."/>
    <s v="Stanley Kubrick"/>
    <s v="Robert De Niro, Jack Nicholson, Samuel L. Jackson, Scarlett Johansson, Emma Stone"/>
    <n v="99970"/>
    <n v="5.81"/>
    <n v="5.81"/>
    <s v="Average"/>
    <s v=" Musical"/>
    <x v="1"/>
  </r>
  <r>
    <s v="tt1000371"/>
    <s v="Final Mission 264"/>
    <n v="2022"/>
    <n v="2020"/>
    <x v="3"/>
    <n v="129"/>
    <s v="Long"/>
    <s v="A family film set in 2022."/>
    <s v="Sam Mendes"/>
    <s v="Keanu Reeves, Viola Davis, Scarlett Johansson, Denzel Washington"/>
    <n v="103511"/>
    <n v="213.69"/>
    <n v="213.69"/>
    <s v="Blockbuster"/>
    <s v="Family"/>
    <x v="10"/>
  </r>
  <r>
    <s v="tt1000371"/>
    <s v="Final Mission 264"/>
    <n v="2022"/>
    <n v="2020"/>
    <x v="3"/>
    <n v="129"/>
    <s v="Long"/>
    <s v="A family film set in 2022."/>
    <s v="Sam Mendes"/>
    <s v="Keanu Reeves, Viola Davis, Scarlett Johansson, Denzel Washington"/>
    <n v="103511"/>
    <n v="213.69"/>
    <n v="213.69"/>
    <s v="Blockbuster"/>
    <s v=" Romance"/>
    <x v="7"/>
  </r>
  <r>
    <s v="tt1000713"/>
    <s v="Dark Empire 606"/>
    <n v="2017"/>
    <n v="2010"/>
    <x v="0"/>
    <n v="90"/>
    <s v="Medium"/>
    <s v="A thrilling drama adventure."/>
    <s v="James Cameron"/>
    <s v="Kate Winslet, Cate Blanchett, Emma Stone, Leonardo DiCaprio, Samuel L. Jackson"/>
    <n v="64623"/>
    <n v="303.16000000000003"/>
    <n v="303.16000000000003"/>
    <s v="Blockbuster"/>
    <s v="Drama"/>
    <x v="14"/>
  </r>
  <r>
    <s v="tt1000535"/>
    <s v="Last Secrets 428"/>
    <n v="2019"/>
    <n v="2010"/>
    <x v="2"/>
    <n v="100"/>
    <s v="Medium"/>
    <s v="An epic animation tale directed by Francis Ford Coppola."/>
    <s v="Francis Ford Coppola"/>
    <s v="Viola Davis, Jack Nicholson, Leonardo DiCaprio"/>
    <n v="684892"/>
    <m/>
    <n v="0"/>
    <s v="Average"/>
    <s v="Animation"/>
    <x v="3"/>
  </r>
  <r>
    <s v="tt1000535"/>
    <s v="Last Secrets 428"/>
    <n v="2019"/>
    <n v="2010"/>
    <x v="2"/>
    <n v="100"/>
    <s v="Medium"/>
    <s v="An epic animation tale directed by Francis Ford Coppola."/>
    <s v="Francis Ford Coppola"/>
    <s v="Viola Davis, Jack Nicholson, Leonardo DiCaprio"/>
    <n v="684892"/>
    <m/>
    <n v="0"/>
    <s v="Average"/>
    <s v=" Fantasy"/>
    <x v="8"/>
  </r>
  <r>
    <s v="tt1000323"/>
    <s v="Lost Secrets 216"/>
    <n v="2009"/>
    <n v="2000"/>
    <x v="0"/>
    <n v="91"/>
    <s v="Medium"/>
    <s v="An epic western tale directed by Kathryn Bigelow."/>
    <s v="Kathryn Bigelow"/>
    <s v="Cate Blanchett, Robert De Niro, Amy Adams, Florence Pugh"/>
    <n v="21556"/>
    <n v="370.73"/>
    <n v="370.73"/>
    <s v="Blockbuster"/>
    <s v="Western"/>
    <x v="11"/>
  </r>
  <r>
    <s v="tt1000323"/>
    <s v="Lost Secrets 216"/>
    <n v="2009"/>
    <n v="2000"/>
    <x v="0"/>
    <n v="91"/>
    <s v="Medium"/>
    <s v="An epic western tale directed by Kathryn Bigelow."/>
    <s v="Kathryn Bigelow"/>
    <s v="Cate Blanchett, Robert De Niro, Amy Adams, Florence Pugh"/>
    <n v="21556"/>
    <n v="370.73"/>
    <n v="370.73"/>
    <s v="Blockbuster"/>
    <s v=" Fantasy"/>
    <x v="8"/>
  </r>
  <r>
    <s v="tt1000724"/>
    <s v="Final Kingdom 617"/>
    <n v="2010"/>
    <n v="2010"/>
    <x v="2"/>
    <n v="113"/>
    <s v="Medium"/>
    <s v="A drama film set in 2010."/>
    <s v="Danny Boyle"/>
    <s v="Daniel Day-Lewis, Viola Davis, Denzel Washington, Tom Cruise"/>
    <n v="17107"/>
    <n v="486"/>
    <n v="486"/>
    <s v="Blockbuster"/>
    <s v="Drama"/>
    <x v="14"/>
  </r>
  <r>
    <s v="tt1000560"/>
    <s v="A Kingdom 453"/>
    <n v="2008"/>
    <n v="2000"/>
    <x v="0"/>
    <n v="128"/>
    <s v="Long"/>
    <s v="A thrilling horror adventure."/>
    <s v="Greta Gerwig"/>
    <s v="Natalie Portman, Viola Davis, Edward Norton"/>
    <n v="15435"/>
    <n v="346.66"/>
    <n v="346.66"/>
    <s v="Blockbuster"/>
    <s v="Horror"/>
    <x v="12"/>
  </r>
  <r>
    <s v="tt1000560"/>
    <s v="A Kingdom 453"/>
    <n v="2008"/>
    <n v="2000"/>
    <x v="0"/>
    <n v="128"/>
    <s v="Long"/>
    <s v="A thrilling horror adventure."/>
    <s v="Greta Gerwig"/>
    <s v="Natalie Portman, Viola Davis, Edward Norton"/>
    <n v="15435"/>
    <n v="346.66"/>
    <n v="346.66"/>
    <s v="Blockbuster"/>
    <s v=" Animation"/>
    <x v="3"/>
  </r>
  <r>
    <s v="tt1000560"/>
    <s v="A Kingdom 453"/>
    <n v="2008"/>
    <n v="2000"/>
    <x v="0"/>
    <n v="128"/>
    <s v="Long"/>
    <s v="A thrilling horror adventure."/>
    <s v="Greta Gerwig"/>
    <s v="Natalie Portman, Viola Davis, Edward Norton"/>
    <n v="15435"/>
    <n v="346.66"/>
    <n v="346.66"/>
    <s v="Blockbuster"/>
    <s v=" Thriller"/>
    <x v="17"/>
  </r>
  <r>
    <s v="tt1000577"/>
    <s v="The War 470"/>
    <n v="2019"/>
    <n v="2010"/>
    <x v="0"/>
    <n v="113"/>
    <s v="Medium"/>
    <s v="A fantasy film set in 2019."/>
    <s v="David Fincher"/>
    <s v="Zendaya, Robert Downey Jr., Leonardo DiCaprio"/>
    <n v="37995"/>
    <n v="208.23"/>
    <n v="208.23"/>
    <s v="Blockbuster"/>
    <s v="Fantasy"/>
    <x v="8"/>
  </r>
  <r>
    <s v="tt1000577"/>
    <s v="The War 470"/>
    <n v="2019"/>
    <n v="2010"/>
    <x v="0"/>
    <n v="113"/>
    <s v="Medium"/>
    <s v="A fantasy film set in 2019."/>
    <s v="David Fincher"/>
    <s v="Zendaya, Robert Downey Jr., Leonardo DiCaprio"/>
    <n v="37995"/>
    <n v="208.23"/>
    <n v="208.23"/>
    <s v="Blockbuster"/>
    <s v=" Horror"/>
    <x v="12"/>
  </r>
  <r>
    <s v="tt1000682"/>
    <s v="An Quest 575"/>
    <n v="2013"/>
    <n v="2010"/>
    <x v="2"/>
    <n v="120"/>
    <s v="Medium"/>
    <s v="An epic sci-fi tale directed by Edgar Wright."/>
    <s v="Edgar Wright"/>
    <s v="Amy Adams, Meryl Streep, Samuel L. Jackson, Gary Oldman, Matt Damon"/>
    <n v="36612"/>
    <n v="198.19"/>
    <n v="198.19"/>
    <s v="Hit"/>
    <s v="Sci-Fi"/>
    <x v="16"/>
  </r>
  <r>
    <s v="tt1000794"/>
    <s v="A War 687"/>
    <n v="2004"/>
    <n v="2000"/>
    <x v="1"/>
    <n v="126"/>
    <s v="Long"/>
    <s v="A critically acclaimed documentary masterpiece."/>
    <s v="Francis Ford Coppola"/>
    <s v="Tom Hanks, Leonardo DiCaprio, Denzel Washington"/>
    <n v="62893"/>
    <m/>
    <n v="0"/>
    <s v="Average"/>
    <s v="Documentary"/>
    <x v="13"/>
  </r>
  <r>
    <s v="tt1000794"/>
    <s v="A War 687"/>
    <n v="2004"/>
    <n v="2000"/>
    <x v="1"/>
    <n v="126"/>
    <s v="Long"/>
    <s v="A critically acclaimed documentary masterpiece."/>
    <s v="Francis Ford Coppola"/>
    <s v="Tom Hanks, Leonardo DiCaprio, Denzel Washington"/>
    <n v="62893"/>
    <m/>
    <n v="0"/>
    <s v="Average"/>
    <s v=" Action"/>
    <x v="0"/>
  </r>
  <r>
    <s v="tt1000401"/>
    <s v="Lost Story 294"/>
    <n v="2003"/>
    <n v="2000"/>
    <x v="2"/>
    <n v="130"/>
    <s v="Long"/>
    <s v="An epic horror tale directed by Hayao Miyazaki."/>
    <s v="Hayao Miyazaki"/>
    <s v="TimothÃ©e Chalamet, Samuel L. Jackson, Kate Winslet, Will Smith"/>
    <n v="63633"/>
    <m/>
    <n v="0"/>
    <s v="Average"/>
    <s v="Horror"/>
    <x v="12"/>
  </r>
  <r>
    <s v="tt1000401"/>
    <s v="Lost Story 294"/>
    <n v="2003"/>
    <n v="2000"/>
    <x v="2"/>
    <n v="130"/>
    <s v="Long"/>
    <s v="An epic horror tale directed by Hayao Miyazaki."/>
    <s v="Hayao Miyazaki"/>
    <s v="TimothÃ©e Chalamet, Samuel L. Jackson, Kate Winslet, Will Smith"/>
    <n v="63633"/>
    <m/>
    <n v="0"/>
    <s v="Average"/>
    <s v=" War"/>
    <x v="2"/>
  </r>
  <r>
    <s v="tt1000291"/>
    <s v="The Revolution 184"/>
    <n v="2023"/>
    <n v="2020"/>
    <x v="2"/>
    <n v="105"/>
    <s v="Medium"/>
    <s v="A thrilling mystery adventure."/>
    <s v="Ron Howard"/>
    <s v="Will Smith, Brad Pitt, Morgan Freeman"/>
    <n v="883668"/>
    <n v="185.71"/>
    <n v="185.71"/>
    <s v="Hit"/>
    <s v="Mystery"/>
    <x v="4"/>
  </r>
  <r>
    <s v="tt1000717"/>
    <s v="Lost War 610"/>
    <n v="2005"/>
    <n v="2000"/>
    <x v="2"/>
    <n v="153"/>
    <s v="Long"/>
    <s v="A critically acclaimed musical masterpiece."/>
    <s v="Clint Eastwood"/>
    <s v="Chris Hemsworth, Florence Pugh, Johnny Depp, TimothÃ©e Chalamet"/>
    <n v="84630"/>
    <n v="87"/>
    <n v="87"/>
    <s v="Average"/>
    <s v="Musical"/>
    <x v="1"/>
  </r>
  <r>
    <s v="tt1000717"/>
    <s v="Lost War 610"/>
    <n v="2005"/>
    <n v="2000"/>
    <x v="2"/>
    <n v="153"/>
    <s v="Long"/>
    <s v="A critically acclaimed musical masterpiece."/>
    <s v="Clint Eastwood"/>
    <s v="Chris Hemsworth, Florence Pugh, Johnny Depp, TimothÃ©e Chalamet"/>
    <n v="84630"/>
    <n v="87"/>
    <n v="87"/>
    <s v="Average"/>
    <s v=" War"/>
    <x v="2"/>
  </r>
  <r>
    <s v="tt1000717"/>
    <s v="Lost War 610"/>
    <n v="2005"/>
    <n v="2000"/>
    <x v="2"/>
    <n v="153"/>
    <s v="Long"/>
    <s v="A critically acclaimed musical masterpiece."/>
    <s v="Clint Eastwood"/>
    <s v="Chris Hemsworth, Florence Pugh, Johnny Depp, TimothÃ©e Chalamet"/>
    <n v="84630"/>
    <n v="87"/>
    <n v="87"/>
    <s v="Average"/>
    <s v=" Horror"/>
    <x v="12"/>
  </r>
  <r>
    <s v="tt1000123"/>
    <s v="Secret Story 16"/>
    <n v="1991"/>
    <n v="1990"/>
    <x v="2"/>
    <n v="104"/>
    <s v="Medium"/>
    <s v="A thrilling romance adventure."/>
    <s v="Martin Scorsese"/>
    <s v="Robert Downey Jr., Emma Stone, Tom Cruise, TimothÃ©e Chalamet"/>
    <n v="126373"/>
    <n v="35.299999999999997"/>
    <n v="35.299999999999997"/>
    <s v="Average"/>
    <s v="Romance"/>
    <x v="7"/>
  </r>
  <r>
    <s v="tt1000123"/>
    <s v="Secret Story 16"/>
    <n v="1991"/>
    <n v="1990"/>
    <x v="2"/>
    <n v="104"/>
    <s v="Medium"/>
    <s v="A thrilling romance adventure."/>
    <s v="Martin Scorsese"/>
    <s v="Robert Downey Jr., Emma Stone, Tom Cruise, TimothÃ©e Chalamet"/>
    <n v="126373"/>
    <n v="35.299999999999997"/>
    <n v="35.299999999999997"/>
    <s v="Average"/>
    <s v=" Adventure"/>
    <x v="9"/>
  </r>
  <r>
    <s v="tt1000266"/>
    <s v="First Revolution 159"/>
    <n v="2005"/>
    <n v="2000"/>
    <x v="2"/>
    <n v="120"/>
    <s v="Medium"/>
    <s v="A critically acclaimed drama masterpiece."/>
    <s v="Stanley Kubrick"/>
    <s v="Keanu Reeves, Robert De Niro, Will Smith"/>
    <n v="244611"/>
    <n v="331.6"/>
    <n v="331.6"/>
    <s v="Blockbuster"/>
    <s v="Drama"/>
    <x v="14"/>
  </r>
  <r>
    <s v="tt1000941"/>
    <s v="Lost Quest 834"/>
    <n v="2024"/>
    <n v="2020"/>
    <x v="2"/>
    <n v="91"/>
    <s v="Medium"/>
    <s v="An epic thriller tale directed by Frank Darabont."/>
    <s v="Frank Darabont"/>
    <s v="Mark Ruffalo, Amy Adams, Daniel Day-Lewis"/>
    <n v="771551"/>
    <n v="464.35"/>
    <n v="464.35"/>
    <s v="Blockbuster"/>
    <s v="Thriller"/>
    <x v="17"/>
  </r>
  <r>
    <s v="tt1000941"/>
    <s v="Lost Quest 834"/>
    <n v="2024"/>
    <n v="2020"/>
    <x v="2"/>
    <n v="91"/>
    <s v="Medium"/>
    <s v="An epic thriller tale directed by Frank Darabont."/>
    <s v="Frank Darabont"/>
    <s v="Mark Ruffalo, Amy Adams, Daniel Day-Lewis"/>
    <n v="771551"/>
    <n v="464.35"/>
    <n v="464.35"/>
    <s v="Blockbuster"/>
    <s v=" Sci-Fi"/>
    <x v="16"/>
  </r>
  <r>
    <s v="tt1000941"/>
    <s v="Lost Quest 834"/>
    <n v="2024"/>
    <n v="2020"/>
    <x v="2"/>
    <n v="91"/>
    <s v="Medium"/>
    <s v="An epic thriller tale directed by Frank Darabont."/>
    <s v="Frank Darabont"/>
    <s v="Mark Ruffalo, Amy Adams, Daniel Day-Lewis"/>
    <n v="771551"/>
    <n v="464.35"/>
    <n v="464.35"/>
    <s v="Blockbuster"/>
    <s v=" Action"/>
    <x v="0"/>
  </r>
  <r>
    <s v="tt1000931"/>
    <s v="Last Love 824"/>
    <n v="2015"/>
    <n v="2010"/>
    <x v="1"/>
    <n v="101"/>
    <s v="Medium"/>
    <s v="A thrilling war adventure."/>
    <s v="Spike Lee"/>
    <s v="Cate Blanchett, Daniel Day-Lewis, Zendaya, Jack Nicholson, Anthony Hopkins"/>
    <n v="16770"/>
    <n v="63.15"/>
    <n v="63.15"/>
    <s v="Average"/>
    <s v="War"/>
    <x v="2"/>
  </r>
  <r>
    <s v="tt1000931"/>
    <s v="Last Love 824"/>
    <n v="2015"/>
    <n v="2010"/>
    <x v="1"/>
    <n v="101"/>
    <s v="Medium"/>
    <s v="A thrilling war adventure."/>
    <s v="Spike Lee"/>
    <s v="Cate Blanchett, Daniel Day-Lewis, Zendaya, Jack Nicholson, Anthony Hopkins"/>
    <n v="16770"/>
    <n v="63.15"/>
    <n v="63.15"/>
    <s v="Average"/>
    <s v=" Horror"/>
    <x v="12"/>
  </r>
  <r>
    <s v="tt1000265"/>
    <s v="Dark Quest 158"/>
    <n v="2010"/>
    <n v="2010"/>
    <x v="0"/>
    <n v="141"/>
    <s v="Long"/>
    <s v="A musical film set in 2010."/>
    <s v="Kathryn Bigelow"/>
    <s v="Christian Bale, Meryl Streep, Chris Hemsworth, Samuel L. Jackson"/>
    <n v="166416"/>
    <n v="15.28"/>
    <n v="15.28"/>
    <s v="Average"/>
    <s v="Musical"/>
    <x v="1"/>
  </r>
  <r>
    <s v="tt1000265"/>
    <s v="Dark Quest 158"/>
    <n v="2010"/>
    <n v="2010"/>
    <x v="0"/>
    <n v="141"/>
    <s v="Long"/>
    <s v="A musical film set in 2010."/>
    <s v="Kathryn Bigelow"/>
    <s v="Christian Bale, Meryl Streep, Chris Hemsworth, Samuel L. Jackson"/>
    <n v="166416"/>
    <n v="15.28"/>
    <n v="15.28"/>
    <s v="Average"/>
    <s v=" Mystery"/>
    <x v="4"/>
  </r>
  <r>
    <s v="tt1000665"/>
    <s v="The Chronicles 558"/>
    <n v="2015"/>
    <n v="2010"/>
    <x v="0"/>
    <n v="141"/>
    <s v="Long"/>
    <s v="An epic musical tale directed by Frank Darabont."/>
    <s v="Frank Darabont"/>
    <s v="Meryl Streep, Florence Pugh, Tom Hanks"/>
    <n v="15949"/>
    <m/>
    <n v="0"/>
    <s v="Average"/>
    <s v="Musical"/>
    <x v="1"/>
  </r>
  <r>
    <s v="tt1000665"/>
    <s v="The Chronicles 558"/>
    <n v="2015"/>
    <n v="2010"/>
    <x v="0"/>
    <n v="141"/>
    <s v="Long"/>
    <s v="An epic musical tale directed by Frank Darabont."/>
    <s v="Frank Darabont"/>
    <s v="Meryl Streep, Florence Pugh, Tom Hanks"/>
    <n v="15949"/>
    <m/>
    <n v="0"/>
    <s v="Average"/>
    <s v=" Adventure"/>
    <x v="9"/>
  </r>
  <r>
    <s v="tt1000592"/>
    <s v="Secret Secrets 485"/>
    <n v="2016"/>
    <n v="2010"/>
    <x v="0"/>
    <n v="107"/>
    <s v="Medium"/>
    <s v="A fantasy film set in 2016."/>
    <s v="Greta Gerwig"/>
    <s v="Leonardo DiCaprio, Viola Davis, Cate Blanchett, Morgan Freeman, Robert De Niro"/>
    <n v="31446"/>
    <n v="372.81"/>
    <n v="372.81"/>
    <s v="Blockbuster"/>
    <s v="Fantasy"/>
    <x v="8"/>
  </r>
  <r>
    <s v="tt1000592"/>
    <s v="Secret Secrets 485"/>
    <n v="2016"/>
    <n v="2010"/>
    <x v="0"/>
    <n v="107"/>
    <s v="Medium"/>
    <s v="A fantasy film set in 2016."/>
    <s v="Greta Gerwig"/>
    <s v="Leonardo DiCaprio, Viola Davis, Cate Blanchett, Morgan Freeman, Robert De Niro"/>
    <n v="31446"/>
    <n v="372.81"/>
    <n v="372.81"/>
    <s v="Blockbuster"/>
    <s v=" Sci-Fi"/>
    <x v="16"/>
  </r>
  <r>
    <s v="tt1000653"/>
    <s v="Secret Mission 546"/>
    <n v="2015"/>
    <n v="2010"/>
    <x v="1"/>
    <n v="124"/>
    <s v="Long"/>
    <s v="A comedy film set in 2015."/>
    <s v="Edgar Wright"/>
    <s v="Leonardo DiCaprio, Christian Bale, Tom Cruise"/>
    <n v="91888"/>
    <n v="430.74"/>
    <n v="430.74"/>
    <s v="Blockbuster"/>
    <s v="Comedy"/>
    <x v="15"/>
  </r>
  <r>
    <s v="tt1000653"/>
    <s v="Secret Mission 546"/>
    <n v="2015"/>
    <n v="2010"/>
    <x v="1"/>
    <n v="124"/>
    <s v="Long"/>
    <s v="A comedy film set in 2015."/>
    <s v="Edgar Wright"/>
    <s v="Leonardo DiCaprio, Christian Bale, Tom Cruise"/>
    <n v="91888"/>
    <n v="430.74"/>
    <n v="430.74"/>
    <s v="Blockbuster"/>
    <s v=" Thriller"/>
    <x v="17"/>
  </r>
  <r>
    <s v="tt1000653"/>
    <s v="Secret Mission 546"/>
    <n v="2015"/>
    <n v="2010"/>
    <x v="1"/>
    <n v="124"/>
    <s v="Long"/>
    <s v="A comedy film set in 2015."/>
    <s v="Edgar Wright"/>
    <s v="Leonardo DiCaprio, Christian Bale, Tom Cruise"/>
    <n v="91888"/>
    <n v="430.74"/>
    <n v="430.74"/>
    <s v="Blockbuster"/>
    <s v=" War"/>
    <x v="2"/>
  </r>
  <r>
    <s v="tt1000693"/>
    <s v="A War 586"/>
    <n v="2017"/>
    <n v="2010"/>
    <x v="0"/>
    <n v="110"/>
    <s v="Medium"/>
    <s v="An epic mystery tale directed by Wong Kar-wai."/>
    <s v="Wong Kar-wai"/>
    <s v="Emma Stone, Viola Davis, Natalie Portman"/>
    <n v="147533"/>
    <n v="465.64"/>
    <n v="465.64"/>
    <s v="Blockbuster"/>
    <s v="Mystery"/>
    <x v="4"/>
  </r>
  <r>
    <s v="tt1000255"/>
    <s v="Secret Secrets 148"/>
    <n v="2007"/>
    <n v="2000"/>
    <x v="2"/>
    <n v="105"/>
    <s v="Medium"/>
    <s v="A animation film set in 2007."/>
    <s v="Ang Lee"/>
    <s v="TimothÃ©e Chalamet, Harrison Ford, Jennifer Lawrence, Matt Damon"/>
    <n v="852732"/>
    <n v="278.5"/>
    <n v="278.5"/>
    <s v="Blockbuster"/>
    <s v="Animation"/>
    <x v="3"/>
  </r>
  <r>
    <s v="tt1000255"/>
    <s v="Secret Secrets 148"/>
    <n v="2007"/>
    <n v="2000"/>
    <x v="2"/>
    <n v="105"/>
    <s v="Medium"/>
    <s v="A animation film set in 2007."/>
    <s v="Ang Lee"/>
    <s v="TimothÃ©e Chalamet, Harrison Ford, Jennifer Lawrence, Matt Damon"/>
    <n v="852732"/>
    <n v="278.5"/>
    <n v="278.5"/>
    <s v="Blockbuster"/>
    <s v=" Comedy"/>
    <x v="15"/>
  </r>
  <r>
    <s v="tt1000255"/>
    <s v="Secret Secrets 148"/>
    <n v="2007"/>
    <n v="2000"/>
    <x v="2"/>
    <n v="105"/>
    <s v="Medium"/>
    <s v="A animation film set in 2007."/>
    <s v="Ang Lee"/>
    <s v="TimothÃ©e Chalamet, Harrison Ford, Jennifer Lawrence, Matt Damon"/>
    <n v="852732"/>
    <n v="278.5"/>
    <n v="278.5"/>
    <s v="Blockbuster"/>
    <s v=" Mystery"/>
    <x v="4"/>
  </r>
  <r>
    <s v="tt1000679"/>
    <s v="Last Mystery 572"/>
    <n v="2024"/>
    <n v="2020"/>
    <x v="1"/>
    <n v="109"/>
    <s v="Medium"/>
    <s v="A critically acclaimed musical masterpiece."/>
    <s v="Pedro AlmodÃ³var"/>
    <s v="Anthony Hopkins, Emma Stone, Jennifer Lawrence, Jack Nicholson, Brad Pitt"/>
    <n v="4214"/>
    <n v="243.9"/>
    <n v="243.9"/>
    <s v="Blockbuster"/>
    <s v="Musical"/>
    <x v="1"/>
  </r>
  <r>
    <s v="tt1000679"/>
    <s v="Last Mystery 572"/>
    <n v="2024"/>
    <n v="2020"/>
    <x v="1"/>
    <n v="109"/>
    <s v="Medium"/>
    <s v="A critically acclaimed musical masterpiece."/>
    <s v="Pedro AlmodÃ³var"/>
    <s v="Anthony Hopkins, Emma Stone, Jennifer Lawrence, Jack Nicholson, Brad Pitt"/>
    <n v="4214"/>
    <n v="243.9"/>
    <n v="243.9"/>
    <s v="Blockbuster"/>
    <s v=" Animation"/>
    <x v="3"/>
  </r>
  <r>
    <s v="tt1000707"/>
    <s v="A Awakening 600"/>
    <n v="2012"/>
    <n v="2010"/>
    <x v="2"/>
    <n v="135"/>
    <s v="Long"/>
    <s v="An epic romance tale directed by Hayao Miyazaki."/>
    <s v="Hayao Miyazaki"/>
    <s v="Tom Cruise, Daniel Day-Lewis, Amy Adams, Christian Bale, Zendaya"/>
    <n v="40362"/>
    <n v="121.68"/>
    <n v="121.68"/>
    <s v="Hit"/>
    <s v="Romance"/>
    <x v="7"/>
  </r>
  <r>
    <s v="tt1000707"/>
    <s v="A Awakening 600"/>
    <n v="2012"/>
    <n v="2010"/>
    <x v="2"/>
    <n v="135"/>
    <s v="Long"/>
    <s v="An epic romance tale directed by Hayao Miyazaki."/>
    <s v="Hayao Miyazaki"/>
    <s v="Tom Cruise, Daniel Day-Lewis, Amy Adams, Christian Bale, Zendaya"/>
    <n v="40362"/>
    <n v="121.68"/>
    <n v="121.68"/>
    <s v="Hit"/>
    <s v=" Sci-Fi"/>
    <x v="16"/>
  </r>
  <r>
    <s v="tt1000707"/>
    <s v="A Awakening 600"/>
    <n v="2012"/>
    <n v="2010"/>
    <x v="2"/>
    <n v="135"/>
    <s v="Long"/>
    <s v="An epic romance tale directed by Hayao Miyazaki."/>
    <s v="Hayao Miyazaki"/>
    <s v="Tom Cruise, Daniel Day-Lewis, Amy Adams, Christian Bale, Zendaya"/>
    <n v="40362"/>
    <n v="121.68"/>
    <n v="121.68"/>
    <s v="Hit"/>
    <s v=" Drama"/>
    <x v="14"/>
  </r>
  <r>
    <s v="tt1000779"/>
    <s v="A Revolution 672"/>
    <n v="2021"/>
    <n v="2020"/>
    <x v="0"/>
    <n v="120"/>
    <s v="Medium"/>
    <s v="A thrilling adventure adventure."/>
    <s v="Sam Mendes"/>
    <s v="Johnny Depp, Jennifer Lawrence, Samuel L. Jackson"/>
    <n v="22237"/>
    <m/>
    <n v="0"/>
    <s v="Average"/>
    <s v="Adventure"/>
    <x v="9"/>
  </r>
  <r>
    <s v="tt1000779"/>
    <s v="A Revolution 672"/>
    <n v="2021"/>
    <n v="2020"/>
    <x v="0"/>
    <n v="120"/>
    <s v="Medium"/>
    <s v="A thrilling adventure adventure."/>
    <s v="Sam Mendes"/>
    <s v="Johnny Depp, Jennifer Lawrence, Samuel L. Jackson"/>
    <n v="22237"/>
    <m/>
    <n v="0"/>
    <s v="Average"/>
    <s v=" Animation"/>
    <x v="3"/>
  </r>
  <r>
    <s v="tt1000779"/>
    <s v="A Revolution 672"/>
    <n v="2021"/>
    <n v="2020"/>
    <x v="0"/>
    <n v="120"/>
    <s v="Medium"/>
    <s v="A thrilling adventure adventure."/>
    <s v="Sam Mendes"/>
    <s v="Johnny Depp, Jennifer Lawrence, Samuel L. Jackson"/>
    <n v="22237"/>
    <m/>
    <n v="0"/>
    <s v="Average"/>
    <s v=" Fantasy"/>
    <x v="8"/>
  </r>
  <r>
    <s v="tt1000736"/>
    <s v="Final Story 629"/>
    <n v="2008"/>
    <n v="2000"/>
    <x v="1"/>
    <n v="113"/>
    <s v="Medium"/>
    <s v="An epic drama tale directed by Martin Scorsese."/>
    <s v="Martin Scorsese"/>
    <s v="Johnny Depp, Gary Oldman, Meryl Streep, Harrison Ford, Anthony Hopkins"/>
    <n v="9176"/>
    <n v="23.95"/>
    <n v="23.95"/>
    <s v="Average"/>
    <s v="Drama"/>
    <x v="14"/>
  </r>
  <r>
    <s v="tt1000146"/>
    <s v="Dark Dreams 39"/>
    <n v="1986"/>
    <n v="1980"/>
    <x v="1"/>
    <n v="85"/>
    <s v="Short"/>
    <s v="A critically acclaimed adventure masterpiece."/>
    <s v="James Cameron"/>
    <s v="Meryl Streep, Edward Norton, Will Smith, Mark Ruffalo"/>
    <n v="63912"/>
    <n v="57.34"/>
    <n v="57.34"/>
    <s v="Average"/>
    <s v="Adventure"/>
    <x v="9"/>
  </r>
  <r>
    <s v="tt1000146"/>
    <s v="Dark Dreams 39"/>
    <n v="1986"/>
    <n v="1980"/>
    <x v="1"/>
    <n v="85"/>
    <s v="Short"/>
    <s v="A critically acclaimed adventure masterpiece."/>
    <s v="James Cameron"/>
    <s v="Meryl Streep, Edward Norton, Will Smith, Mark Ruffalo"/>
    <n v="63912"/>
    <n v="57.34"/>
    <n v="57.34"/>
    <s v="Average"/>
    <s v=" Family"/>
    <x v="10"/>
  </r>
  <r>
    <s v="tt1000852"/>
    <s v="The Destiny 745"/>
    <n v="2021"/>
    <n v="2020"/>
    <x v="2"/>
    <n v="70"/>
    <s v="Short"/>
    <s v="A critically acclaimed sci-fi masterpiece."/>
    <s v="Ron Howard"/>
    <s v="Cate Blanchett, Kate Winslet, Harrison Ford"/>
    <n v="97902"/>
    <n v="206.65"/>
    <n v="206.65"/>
    <s v="Blockbuster"/>
    <s v="Sci-Fi"/>
    <x v="16"/>
  </r>
  <r>
    <s v="tt1000852"/>
    <s v="The Destiny 745"/>
    <n v="2021"/>
    <n v="2020"/>
    <x v="2"/>
    <n v="70"/>
    <s v="Short"/>
    <s v="A critically acclaimed sci-fi masterpiece."/>
    <s v="Ron Howard"/>
    <s v="Cate Blanchett, Kate Winslet, Harrison Ford"/>
    <n v="97902"/>
    <n v="206.65"/>
    <n v="206.65"/>
    <s v="Blockbuster"/>
    <s v=" Thriller"/>
    <x v="17"/>
  </r>
  <r>
    <s v="tt1000852"/>
    <s v="The Destiny 745"/>
    <n v="2021"/>
    <n v="2020"/>
    <x v="2"/>
    <n v="70"/>
    <s v="Short"/>
    <s v="A critically acclaimed sci-fi masterpiece."/>
    <s v="Ron Howard"/>
    <s v="Cate Blanchett, Kate Winslet, Harrison Ford"/>
    <n v="97902"/>
    <n v="206.65"/>
    <n v="206.65"/>
    <s v="Blockbuster"/>
    <s v=" Drama"/>
    <x v="14"/>
  </r>
  <r>
    <s v="tt1000169"/>
    <s v="The Quest 62"/>
    <n v="1996"/>
    <n v="1990"/>
    <x v="5"/>
    <n v="102"/>
    <s v="Medium"/>
    <s v="A adventure film set in 1996."/>
    <s v="Martin Scorsese"/>
    <s v="Keanu Reeves, Morgan Freeman, Al Pacino, Amy Adams, Brad Pitt"/>
    <n v="17215"/>
    <n v="248.82"/>
    <n v="248.82"/>
    <s v="Blockbuster"/>
    <s v="Adventure"/>
    <x v="9"/>
  </r>
  <r>
    <s v="tt1000169"/>
    <s v="The Quest 62"/>
    <n v="1996"/>
    <n v="1990"/>
    <x v="5"/>
    <n v="102"/>
    <s v="Medium"/>
    <s v="A adventure film set in 1996."/>
    <s v="Martin Scorsese"/>
    <s v="Keanu Reeves, Morgan Freeman, Al Pacino, Amy Adams, Brad Pitt"/>
    <n v="17215"/>
    <n v="248.82"/>
    <n v="248.82"/>
    <s v="Blockbuster"/>
    <s v=" Musical"/>
    <x v="1"/>
  </r>
  <r>
    <s v="tt1000364"/>
    <s v="First Kingdom 257"/>
    <n v="2004"/>
    <n v="2000"/>
    <x v="2"/>
    <n v="134"/>
    <s v="Long"/>
    <s v="An epic documentary tale directed by Ang Lee."/>
    <s v="Ang Lee"/>
    <s v="Amy Adams, Chris Hemsworth, Johnny Depp"/>
    <n v="179684"/>
    <m/>
    <n v="0"/>
    <s v="Average"/>
    <s v="Documentary"/>
    <x v="13"/>
  </r>
  <r>
    <s v="tt1000364"/>
    <s v="First Kingdom 257"/>
    <n v="2004"/>
    <n v="2000"/>
    <x v="2"/>
    <n v="134"/>
    <s v="Long"/>
    <s v="An epic documentary tale directed by Ang Lee."/>
    <s v="Ang Lee"/>
    <s v="Amy Adams, Chris Hemsworth, Johnny Depp"/>
    <n v="179684"/>
    <m/>
    <n v="0"/>
    <s v="Average"/>
    <s v=" Comedy"/>
    <x v="15"/>
  </r>
  <r>
    <s v="tt1000453"/>
    <s v="Lost Mission 346"/>
    <n v="2014"/>
    <n v="2010"/>
    <x v="3"/>
    <n v="123"/>
    <s v="Long"/>
    <s v="An epic sci-fi tale directed by Edgar Wright."/>
    <s v="Edgar Wright"/>
    <s v="Al Pacino, Chris Hemsworth, Harrison Ford, Johnny Depp"/>
    <n v="142762"/>
    <n v="308.60000000000002"/>
    <n v="308.60000000000002"/>
    <s v="Blockbuster"/>
    <s v="Sci-Fi"/>
    <x v="16"/>
  </r>
  <r>
    <s v="tt1000453"/>
    <s v="Lost Mission 346"/>
    <n v="2014"/>
    <n v="2010"/>
    <x v="3"/>
    <n v="123"/>
    <s v="Long"/>
    <s v="An epic sci-fi tale directed by Edgar Wright."/>
    <s v="Edgar Wright"/>
    <s v="Al Pacino, Chris Hemsworth, Harrison Ford, Johnny Depp"/>
    <n v="142762"/>
    <n v="308.60000000000002"/>
    <n v="308.60000000000002"/>
    <s v="Blockbuster"/>
    <s v=" Musical"/>
    <x v="1"/>
  </r>
  <r>
    <s v="tt1000846"/>
    <s v="An Quest 739"/>
    <n v="2024"/>
    <n v="2020"/>
    <x v="2"/>
    <n v="95"/>
    <s v="Medium"/>
    <s v="A family film set in 2024."/>
    <s v="Alfred Hitchcock"/>
    <s v="Anthony Hopkins, TimothÃ©e Chalamet, Jennifer Lawrence, Amy Adams"/>
    <n v="20653"/>
    <m/>
    <n v="0"/>
    <s v="Average"/>
    <s v="Family"/>
    <x v="10"/>
  </r>
  <r>
    <s v="tt1000846"/>
    <s v="An Quest 739"/>
    <n v="2024"/>
    <n v="2020"/>
    <x v="2"/>
    <n v="95"/>
    <s v="Medium"/>
    <s v="A family film set in 2024."/>
    <s v="Alfred Hitchcock"/>
    <s v="Anthony Hopkins, TimothÃ©e Chalamet, Jennifer Lawrence, Amy Adams"/>
    <n v="20653"/>
    <m/>
    <n v="0"/>
    <s v="Average"/>
    <s v=" Comedy"/>
    <x v="15"/>
  </r>
  <r>
    <s v="tt1000455"/>
    <s v="Lost Journey 348"/>
    <n v="2023"/>
    <n v="2020"/>
    <x v="4"/>
    <n v="116"/>
    <s v="Medium"/>
    <s v="A war film set in 2023."/>
    <s v="Taika Waititi"/>
    <s v="Viola Davis, Chris Hemsworth, Robert De Niro, Gary Oldman"/>
    <n v="14766"/>
    <m/>
    <n v="0"/>
    <s v="Average"/>
    <s v="War"/>
    <x v="2"/>
  </r>
  <r>
    <s v="tt1000455"/>
    <s v="Lost Journey 348"/>
    <n v="2023"/>
    <n v="2020"/>
    <x v="4"/>
    <n v="116"/>
    <s v="Medium"/>
    <s v="A war film set in 2023."/>
    <s v="Taika Waititi"/>
    <s v="Viola Davis, Chris Hemsworth, Robert De Niro, Gary Oldman"/>
    <n v="14766"/>
    <m/>
    <n v="0"/>
    <s v="Average"/>
    <s v=" Animation"/>
    <x v="3"/>
  </r>
  <r>
    <s v="tt1000134"/>
    <s v="A Mission 27"/>
    <n v="1997"/>
    <n v="1990"/>
    <x v="0"/>
    <n v="120"/>
    <s v="Medium"/>
    <s v="An epic drama tale directed by Pedro AlmodÃ³var."/>
    <s v="Pedro AlmodÃ³var"/>
    <s v="Christian Bale, Robert De Niro, Viola Davis, Margot Robbie"/>
    <n v="30482"/>
    <m/>
    <n v="0"/>
    <s v="Average"/>
    <s v="Drama"/>
    <x v="14"/>
  </r>
  <r>
    <s v="tt1000134"/>
    <s v="A Mission 27"/>
    <n v="1997"/>
    <n v="1990"/>
    <x v="0"/>
    <n v="120"/>
    <s v="Medium"/>
    <s v="An epic drama tale directed by Pedro AlmodÃ³var."/>
    <s v="Pedro AlmodÃ³var"/>
    <s v="Christian Bale, Robert De Niro, Viola Davis, Margot Robbie"/>
    <n v="30482"/>
    <m/>
    <n v="0"/>
    <s v="Average"/>
    <s v=" Adventure"/>
    <x v="9"/>
  </r>
  <r>
    <s v="tt1000178"/>
    <s v="A Love 71"/>
    <n v="1988"/>
    <n v="1980"/>
    <x v="2"/>
    <n v="106"/>
    <s v="Medium"/>
    <s v="A critically acclaimed animation masterpiece."/>
    <s v="Danny Boyle"/>
    <s v="Jack Nicholson, Mark Ruffalo, Robert De Niro, Keanu Reeves, Robert Downey Jr."/>
    <n v="9882"/>
    <n v="289.10000000000002"/>
    <n v="289.10000000000002"/>
    <s v="Blockbuster"/>
    <s v="Animation"/>
    <x v="3"/>
  </r>
  <r>
    <s v="tt1000178"/>
    <s v="A Love 71"/>
    <n v="1988"/>
    <n v="1980"/>
    <x v="2"/>
    <n v="106"/>
    <s v="Medium"/>
    <s v="A critically acclaimed animation masterpiece."/>
    <s v="Danny Boyle"/>
    <s v="Jack Nicholson, Mark Ruffalo, Robert De Niro, Keanu Reeves, Robert Downey Jr."/>
    <n v="9882"/>
    <n v="289.10000000000002"/>
    <n v="289.10000000000002"/>
    <s v="Blockbuster"/>
    <s v=" Drama"/>
    <x v="14"/>
  </r>
  <r>
    <s v="tt1000829"/>
    <s v="Last Dreams 722"/>
    <n v="2012"/>
    <n v="2010"/>
    <x v="1"/>
    <n v="119"/>
    <s v="Medium"/>
    <s v="A documentary film set in 2012."/>
    <s v="Guillermo del Toro"/>
    <s v="Morgan Freeman, Meryl Streep, Anthony Hopkins"/>
    <n v="3362"/>
    <n v="149.84"/>
    <n v="149.84"/>
    <s v="Hit"/>
    <s v="Documentary"/>
    <x v="13"/>
  </r>
  <r>
    <s v="tt1000415"/>
    <s v="Final Chronicles 308"/>
    <n v="2013"/>
    <n v="2010"/>
    <x v="2"/>
    <n v="95"/>
    <s v="Medium"/>
    <s v="An epic family tale directed by Greta Gerwig."/>
    <s v="Greta Gerwig"/>
    <s v="TimothÃ©e Chalamet, Robert Downey Jr., Florence Pugh, Leonardo DiCaprio, Tom Cruise"/>
    <n v="18864"/>
    <n v="329.34"/>
    <n v="329.34"/>
    <s v="Blockbuster"/>
    <s v="Family"/>
    <x v="10"/>
  </r>
  <r>
    <s v="tt1000415"/>
    <s v="Final Chronicles 308"/>
    <n v="2013"/>
    <n v="2010"/>
    <x v="2"/>
    <n v="95"/>
    <s v="Medium"/>
    <s v="An epic family tale directed by Greta Gerwig."/>
    <s v="Greta Gerwig"/>
    <s v="TimothÃ©e Chalamet, Robert Downey Jr., Florence Pugh, Leonardo DiCaprio, Tom Cruise"/>
    <n v="18864"/>
    <n v="329.34"/>
    <n v="329.34"/>
    <s v="Blockbuster"/>
    <s v=" Sci-Fi"/>
    <x v="16"/>
  </r>
  <r>
    <s v="tt1000908"/>
    <s v="Last Revolution 801"/>
    <n v="2000"/>
    <n v="2000"/>
    <x v="1"/>
    <n v="159"/>
    <s v="Long"/>
    <s v="A critically acclaimed adventure masterpiece."/>
    <s v="Danny Boyle"/>
    <s v="Edward Norton, Natalie Portman, Christian Bale"/>
    <n v="272991"/>
    <n v="279.67"/>
    <n v="279.67"/>
    <s v="Blockbuster"/>
    <s v="Adventure"/>
    <x v="9"/>
  </r>
  <r>
    <s v="tt1000908"/>
    <s v="Last Revolution 801"/>
    <n v="2000"/>
    <n v="2000"/>
    <x v="1"/>
    <n v="159"/>
    <s v="Long"/>
    <s v="A critically acclaimed adventure masterpiece."/>
    <s v="Danny Boyle"/>
    <s v="Edward Norton, Natalie Portman, Christian Bale"/>
    <n v="272991"/>
    <n v="279.67"/>
    <n v="279.67"/>
    <s v="Blockbuster"/>
    <s v=" Romance"/>
    <x v="7"/>
  </r>
  <r>
    <s v="tt1000822"/>
    <s v="A Secrets 715"/>
    <n v="2000"/>
    <n v="2000"/>
    <x v="0"/>
    <n v="104"/>
    <s v="Medium"/>
    <s v="A critically acclaimed biography masterpiece."/>
    <s v="Edgar Wright"/>
    <s v="Tom Hanks, Edward Norton, Margot Robbie, Daniel Day-Lewis, Matt Damon"/>
    <n v="166873"/>
    <n v="260.98"/>
    <n v="260.98"/>
    <s v="Blockbuster"/>
    <s v="Biography"/>
    <x v="5"/>
  </r>
  <r>
    <s v="tt1000822"/>
    <s v="A Secrets 715"/>
    <n v="2000"/>
    <n v="2000"/>
    <x v="0"/>
    <n v="104"/>
    <s v="Medium"/>
    <s v="A critically acclaimed biography masterpiece."/>
    <s v="Edgar Wright"/>
    <s v="Tom Hanks, Edward Norton, Margot Robbie, Daniel Day-Lewis, Matt Damon"/>
    <n v="166873"/>
    <n v="260.98"/>
    <n v="260.98"/>
    <s v="Blockbuster"/>
    <s v=" Sci-Fi"/>
    <x v="16"/>
  </r>
  <r>
    <s v="tt1000897"/>
    <s v="The War 790"/>
    <n v="2011"/>
    <n v="2010"/>
    <x v="1"/>
    <n v="115"/>
    <s v="Medium"/>
    <s v="An epic animation tale directed by Coen Brothers."/>
    <s v="Coen Brothers"/>
    <s v="Margot Robbie, Natalie Portman, Jennifer Lawrence, Emma Stone"/>
    <n v="48935"/>
    <m/>
    <n v="0"/>
    <s v="Average"/>
    <s v="Animation"/>
    <x v="3"/>
  </r>
  <r>
    <s v="tt1000897"/>
    <s v="The War 790"/>
    <n v="2011"/>
    <n v="2010"/>
    <x v="1"/>
    <n v="115"/>
    <s v="Medium"/>
    <s v="An epic animation tale directed by Coen Brothers."/>
    <s v="Coen Brothers"/>
    <s v="Margot Robbie, Natalie Portman, Jennifer Lawrence, Emma Stone"/>
    <n v="48935"/>
    <m/>
    <n v="0"/>
    <s v="Average"/>
    <s v=" War"/>
    <x v="2"/>
  </r>
  <r>
    <s v="tt1000902"/>
    <s v="Secret Dreams 795"/>
    <n v="2013"/>
    <n v="2010"/>
    <x v="0"/>
    <n v="122"/>
    <s v="Long"/>
    <s v="A critically acclaimed mystery masterpiece."/>
    <s v="Alfred Hitchcock"/>
    <s v="Keanu Reeves, Cate Blanchett, Natalie Portman, Johnny Depp"/>
    <n v="35343"/>
    <n v="14.52"/>
    <n v="14.52"/>
    <s v="Average"/>
    <s v="Mystery"/>
    <x v="4"/>
  </r>
  <r>
    <s v="tt1000902"/>
    <s v="Secret Dreams 795"/>
    <n v="2013"/>
    <n v="2010"/>
    <x v="0"/>
    <n v="122"/>
    <s v="Long"/>
    <s v="A critically acclaimed mystery masterpiece."/>
    <s v="Alfred Hitchcock"/>
    <s v="Keanu Reeves, Cate Blanchett, Natalie Portman, Johnny Depp"/>
    <n v="35343"/>
    <n v="14.52"/>
    <n v="14.52"/>
    <s v="Average"/>
    <s v=" Biography"/>
    <x v="5"/>
  </r>
  <r>
    <s v="tt1000163"/>
    <s v="Last Awakening 56"/>
    <n v="1991"/>
    <n v="1990"/>
    <x v="0"/>
    <n v="137"/>
    <s v="Long"/>
    <s v="A critically acclaimed biography masterpiece."/>
    <s v="Park Chan-wook"/>
    <s v="Meryl Streep, Margot Robbie, Jack Nicholson"/>
    <n v="551234"/>
    <n v="202.23"/>
    <n v="202.23"/>
    <s v="Blockbuster"/>
    <s v="Biography"/>
    <x v="5"/>
  </r>
  <r>
    <s v="tt1000163"/>
    <s v="Last Awakening 56"/>
    <n v="1991"/>
    <n v="1990"/>
    <x v="0"/>
    <n v="137"/>
    <s v="Long"/>
    <s v="A critically acclaimed biography masterpiece."/>
    <s v="Park Chan-wook"/>
    <s v="Meryl Streep, Margot Robbie, Jack Nicholson"/>
    <n v="551234"/>
    <n v="202.23"/>
    <n v="202.23"/>
    <s v="Blockbuster"/>
    <s v=" Animation"/>
    <x v="3"/>
  </r>
  <r>
    <s v="tt1000170"/>
    <s v="First Chronicles 63"/>
    <n v="2000"/>
    <n v="2000"/>
    <x v="5"/>
    <n v="125"/>
    <s v="Long"/>
    <s v="A critically acclaimed documentary masterpiece."/>
    <s v="Pedro AlmodÃ³var"/>
    <s v="Zendaya, Jack Nicholson, Edward Norton, Brad Pitt"/>
    <n v="41838"/>
    <n v="129.1"/>
    <n v="129.1"/>
    <s v="Hit"/>
    <s v="Documentary"/>
    <x v="13"/>
  </r>
  <r>
    <s v="tt1000170"/>
    <s v="First Chronicles 63"/>
    <n v="2000"/>
    <n v="2000"/>
    <x v="5"/>
    <n v="125"/>
    <s v="Long"/>
    <s v="A critically acclaimed documentary masterpiece."/>
    <s v="Pedro AlmodÃ³var"/>
    <s v="Zendaya, Jack Nicholson, Edward Norton, Brad Pitt"/>
    <n v="41838"/>
    <n v="129.1"/>
    <n v="129.1"/>
    <s v="Hit"/>
    <s v=" War"/>
    <x v="2"/>
  </r>
  <r>
    <s v="tt1000170"/>
    <s v="First Chronicles 63"/>
    <n v="2000"/>
    <n v="2000"/>
    <x v="5"/>
    <n v="125"/>
    <s v="Long"/>
    <s v="A critically acclaimed documentary masterpiece."/>
    <s v="Pedro AlmodÃ³var"/>
    <s v="Zendaya, Jack Nicholson, Edward Norton, Brad Pitt"/>
    <n v="41838"/>
    <n v="129.1"/>
    <n v="129.1"/>
    <s v="Hit"/>
    <s v=" Fantasy"/>
    <x v="8"/>
  </r>
  <r>
    <s v="tt1000630"/>
    <s v="Dark Mystery 523"/>
    <n v="2003"/>
    <n v="2000"/>
    <x v="2"/>
    <n v="130"/>
    <s v="Long"/>
    <s v="A thrilling thriller adventure."/>
    <s v="Ryan Coogler"/>
    <s v="Gary Oldman, Kate Winslet, Edward Norton, Robert Downey Jr."/>
    <n v="31114"/>
    <n v="414.11"/>
    <n v="414.11"/>
    <s v="Blockbuster"/>
    <s v="Thriller"/>
    <x v="17"/>
  </r>
  <r>
    <s v="tt1000630"/>
    <s v="Dark Mystery 523"/>
    <n v="2003"/>
    <n v="2000"/>
    <x v="2"/>
    <n v="130"/>
    <s v="Long"/>
    <s v="A thrilling thriller adventure."/>
    <s v="Ryan Coogler"/>
    <s v="Gary Oldman, Kate Winslet, Edward Norton, Robert Downey Jr."/>
    <n v="31114"/>
    <n v="414.11"/>
    <n v="414.11"/>
    <s v="Blockbuster"/>
    <s v=" Action"/>
    <x v="0"/>
  </r>
  <r>
    <s v="tt1000435"/>
    <s v="Last Journey 328"/>
    <n v="2022"/>
    <n v="2020"/>
    <x v="0"/>
    <n v="102"/>
    <s v="Medium"/>
    <s v="A romance film set in 2022."/>
    <s v="Park Chan-wook"/>
    <s v="Cate Blanchett, Leonardo DiCaprio, Johnny Depp, Kate Winslet"/>
    <n v="59060"/>
    <n v="87.8"/>
    <n v="87.8"/>
    <s v="Average"/>
    <s v="Romance"/>
    <x v="7"/>
  </r>
  <r>
    <s v="tt1000435"/>
    <s v="Last Journey 328"/>
    <n v="2022"/>
    <n v="2020"/>
    <x v="0"/>
    <n v="102"/>
    <s v="Medium"/>
    <s v="A romance film set in 2022."/>
    <s v="Park Chan-wook"/>
    <s v="Cate Blanchett, Leonardo DiCaprio, Johnny Depp, Kate Winslet"/>
    <n v="59060"/>
    <n v="87.8"/>
    <n v="87.8"/>
    <s v="Average"/>
    <s v=" Crime"/>
    <x v="6"/>
  </r>
  <r>
    <s v="tt1000101"/>
    <s v="The Godfather Part II"/>
    <n v="1992"/>
    <n v="1990"/>
    <x v="3"/>
    <n v="132"/>
    <s v="Long"/>
    <s v="An epic biography tale directed by Stanley Kubrick."/>
    <s v="Stanley Kubrick"/>
    <s v="Amy Adams, Cate Blanchett, Jack Nicholson, Tom Hanks"/>
    <n v="71395"/>
    <n v="252.76"/>
    <n v="252.76"/>
    <s v="Blockbuster"/>
    <s v="Biography"/>
    <x v="5"/>
  </r>
  <r>
    <s v="tt1000732"/>
    <s v="Last Kingdom 625"/>
    <n v="2010"/>
    <n v="2010"/>
    <x v="0"/>
    <n v="128"/>
    <s v="Long"/>
    <s v="A thrilling documentary adventure."/>
    <s v="Clint Eastwood"/>
    <s v="Morgan Freeman, Emma Stone, Tom Hanks, Leonardo DiCaprio, Anthony Hopkins"/>
    <n v="22874"/>
    <n v="113.06"/>
    <n v="113.06"/>
    <s v="Hit"/>
    <s v="Documentary"/>
    <x v="13"/>
  </r>
  <r>
    <s v="tt1000710"/>
    <s v="A Love 603"/>
    <n v="2010"/>
    <n v="2010"/>
    <x v="0"/>
    <n v="128"/>
    <s v="Long"/>
    <s v="An epic family tale directed by George Lucas."/>
    <s v="George Lucas"/>
    <s v="Jennifer Lawrence, Samuel L. Jackson, Matt Damon"/>
    <n v="164274"/>
    <n v="143.02000000000001"/>
    <n v="143.02000000000001"/>
    <s v="Hit"/>
    <s v="Family"/>
    <x v="10"/>
  </r>
  <r>
    <s v="tt1000710"/>
    <s v="A Love 603"/>
    <n v="2010"/>
    <n v="2010"/>
    <x v="0"/>
    <n v="128"/>
    <s v="Long"/>
    <s v="An epic family tale directed by George Lucas."/>
    <s v="George Lucas"/>
    <s v="Jennifer Lawrence, Samuel L. Jackson, Matt Damon"/>
    <n v="164274"/>
    <n v="143.02000000000001"/>
    <n v="143.02000000000001"/>
    <s v="Hit"/>
    <s v=" Comedy"/>
    <x v="15"/>
  </r>
  <r>
    <s v="tt1000710"/>
    <s v="A Love 603"/>
    <n v="2010"/>
    <n v="2010"/>
    <x v="0"/>
    <n v="128"/>
    <s v="Long"/>
    <s v="An epic family tale directed by George Lucas."/>
    <s v="George Lucas"/>
    <s v="Jennifer Lawrence, Samuel L. Jackson, Matt Damon"/>
    <n v="164274"/>
    <n v="143.02000000000001"/>
    <n v="143.02000000000001"/>
    <s v="Hit"/>
    <s v=" Action"/>
    <x v="0"/>
  </r>
  <r>
    <s v="tt1000122"/>
    <s v="An Adventures 15"/>
    <n v="1992"/>
    <n v="1990"/>
    <x v="1"/>
    <n v="124"/>
    <s v="Long"/>
    <s v="An epic drama tale directed by George Lucas."/>
    <s v="George Lucas"/>
    <s v="Tom Hanks, Leonardo DiCaprio, Jennifer Lawrence"/>
    <n v="69321"/>
    <n v="162.47"/>
    <n v="162.47"/>
    <s v="Hit"/>
    <s v="Drama"/>
    <x v="14"/>
  </r>
  <r>
    <s v="tt1000122"/>
    <s v="An Adventures 15"/>
    <n v="1992"/>
    <n v="1990"/>
    <x v="1"/>
    <n v="124"/>
    <s v="Long"/>
    <s v="An epic drama tale directed by George Lucas."/>
    <s v="George Lucas"/>
    <s v="Tom Hanks, Leonardo DiCaprio, Jennifer Lawrence"/>
    <n v="69321"/>
    <n v="162.47"/>
    <n v="162.47"/>
    <s v="Hit"/>
    <s v=" Mystery"/>
    <x v="4"/>
  </r>
  <r>
    <s v="tt1000513"/>
    <s v="Last Secrets 406"/>
    <n v="2017"/>
    <n v="2010"/>
    <x v="1"/>
    <n v="70"/>
    <s v="Short"/>
    <s v="A critically acclaimed thriller masterpiece."/>
    <s v="Robert Zemeckis"/>
    <s v="Kate Winslet, Scarlett Johansson, Margot Robbie"/>
    <n v="854590"/>
    <n v="435.31"/>
    <n v="435.31"/>
    <s v="Blockbuster"/>
    <s v="Thriller"/>
    <x v="17"/>
  </r>
  <r>
    <s v="tt1000513"/>
    <s v="Last Secrets 406"/>
    <n v="2017"/>
    <n v="2010"/>
    <x v="1"/>
    <n v="70"/>
    <s v="Short"/>
    <s v="A critically acclaimed thriller masterpiece."/>
    <s v="Robert Zemeckis"/>
    <s v="Kate Winslet, Scarlett Johansson, Margot Robbie"/>
    <n v="854590"/>
    <n v="435.31"/>
    <n v="435.31"/>
    <s v="Blockbuster"/>
    <s v=" Animation"/>
    <x v="3"/>
  </r>
  <r>
    <s v="tt1000513"/>
    <s v="Last Secrets 406"/>
    <n v="2017"/>
    <n v="2010"/>
    <x v="1"/>
    <n v="70"/>
    <s v="Short"/>
    <s v="A critically acclaimed thriller masterpiece."/>
    <s v="Robert Zemeckis"/>
    <s v="Kate Winslet, Scarlett Johansson, Margot Robbie"/>
    <n v="854590"/>
    <n v="435.31"/>
    <n v="435.31"/>
    <s v="Blockbuster"/>
    <s v=" Horror"/>
    <x v="12"/>
  </r>
  <r>
    <s v="tt1000745"/>
    <s v="A Journey 638"/>
    <n v="2011"/>
    <n v="2010"/>
    <x v="3"/>
    <n v="134"/>
    <s v="Long"/>
    <s v="A critically acclaimed documentary masterpiece."/>
    <s v="Frank Darabont"/>
    <s v="Harrison Ford, Scarlett Johansson, Tom Cruise, Christian Bale"/>
    <n v="14315"/>
    <n v="392.17"/>
    <n v="392.17"/>
    <s v="Blockbuster"/>
    <s v="Documentary"/>
    <x v="13"/>
  </r>
  <r>
    <s v="tt1000745"/>
    <s v="A Journey 638"/>
    <n v="2011"/>
    <n v="2010"/>
    <x v="3"/>
    <n v="134"/>
    <s v="Long"/>
    <s v="A critically acclaimed documentary masterpiece."/>
    <s v="Frank Darabont"/>
    <s v="Harrison Ford, Scarlett Johansson, Tom Cruise, Christian Bale"/>
    <n v="14315"/>
    <n v="392.17"/>
    <n v="392.17"/>
    <s v="Blockbuster"/>
    <s v=" Family"/>
    <x v="10"/>
  </r>
  <r>
    <s v="tt1000726"/>
    <s v="Secret Secrets 619"/>
    <n v="2002"/>
    <n v="2000"/>
    <x v="1"/>
    <n v="160"/>
    <s v="Long"/>
    <s v="A crime film set in 2002."/>
    <s v="Ang Lee"/>
    <s v="Emma Stone, Kate Winslet, Johnny Depp, TimothÃ©e Chalamet"/>
    <n v="45023"/>
    <n v="239.54"/>
    <n v="239.54"/>
    <s v="Blockbuster"/>
    <s v="Crime"/>
    <x v="6"/>
  </r>
  <r>
    <s v="tt1000726"/>
    <s v="Secret Secrets 619"/>
    <n v="2002"/>
    <n v="2000"/>
    <x v="1"/>
    <n v="160"/>
    <s v="Long"/>
    <s v="A crime film set in 2002."/>
    <s v="Ang Lee"/>
    <s v="Emma Stone, Kate Winslet, Johnny Depp, TimothÃ©e Chalamet"/>
    <n v="45023"/>
    <n v="239.54"/>
    <n v="239.54"/>
    <s v="Blockbuster"/>
    <s v=" Comedy"/>
    <x v="15"/>
  </r>
  <r>
    <s v="tt1000177"/>
    <s v="Last Journey 70"/>
    <n v="1991"/>
    <n v="1990"/>
    <x v="1"/>
    <n v="86"/>
    <s v="Short"/>
    <s v="A critically acclaimed drama masterpiece."/>
    <s v="Francis Ford Coppola"/>
    <s v="Mark Ruffalo, Robert Downey Jr., Zendaya"/>
    <n v="9734"/>
    <n v="124.61"/>
    <n v="124.61"/>
    <s v="Hit"/>
    <s v="Drama"/>
    <x v="14"/>
  </r>
  <r>
    <s v="tt1000817"/>
    <s v="Secret Secrets 710"/>
    <n v="2019"/>
    <n v="2010"/>
    <x v="0"/>
    <n v="103"/>
    <s v="Medium"/>
    <s v="A thrilling musical adventure."/>
    <s v="Alfred Hitchcock"/>
    <s v="Johnny Depp, Margot Robbie, Al Pacino, Tom Cruise"/>
    <n v="20462"/>
    <n v="411.63"/>
    <n v="411.63"/>
    <s v="Blockbuster"/>
    <s v="Musical"/>
    <x v="1"/>
  </r>
  <r>
    <s v="tt1000817"/>
    <s v="Secret Secrets 710"/>
    <n v="2019"/>
    <n v="2010"/>
    <x v="0"/>
    <n v="103"/>
    <s v="Medium"/>
    <s v="A thrilling musical adventure."/>
    <s v="Alfred Hitchcock"/>
    <s v="Johnny Depp, Margot Robbie, Al Pacino, Tom Cruise"/>
    <n v="20462"/>
    <n v="411.63"/>
    <n v="411.63"/>
    <s v="Blockbuster"/>
    <s v=" Drama"/>
    <x v="14"/>
  </r>
  <r>
    <s v="tt1000946"/>
    <s v="Last Chronicles 839"/>
    <n v="2016"/>
    <n v="2010"/>
    <x v="0"/>
    <n v="164"/>
    <s v="Long"/>
    <s v="A comedy film set in 2016."/>
    <s v="Peter Jackson"/>
    <s v="Harrison Ford, Amy Adams, Robert Downey Jr., Viola Davis, Tom Cruise"/>
    <n v="93287"/>
    <n v="378.74"/>
    <n v="378.74"/>
    <s v="Blockbuster"/>
    <s v="Comedy"/>
    <x v="15"/>
  </r>
  <r>
    <s v="tt1000995"/>
    <s v="Secret War 888"/>
    <n v="2007"/>
    <n v="2000"/>
    <x v="2"/>
    <n v="100"/>
    <s v="Medium"/>
    <s v="A animation film set in 2007."/>
    <s v="Denis Villeneuve"/>
    <s v="Kate Winslet, Will Smith, Anthony Hopkins"/>
    <n v="68875"/>
    <m/>
    <n v="0"/>
    <s v="Average"/>
    <s v="Animation"/>
    <x v="3"/>
  </r>
  <r>
    <s v="tt1000995"/>
    <s v="Secret War 888"/>
    <n v="2007"/>
    <n v="2000"/>
    <x v="2"/>
    <n v="100"/>
    <s v="Medium"/>
    <s v="A animation film set in 2007."/>
    <s v="Denis Villeneuve"/>
    <s v="Kate Winslet, Will Smith, Anthony Hopkins"/>
    <n v="68875"/>
    <m/>
    <n v="0"/>
    <s v="Average"/>
    <s v=" Musical"/>
    <x v="1"/>
  </r>
  <r>
    <s v="tt1000942"/>
    <s v="Last Adventures 835"/>
    <n v="2017"/>
    <n v="2010"/>
    <x v="0"/>
    <n v="144"/>
    <s v="Long"/>
    <s v="A fantasy film set in 2017."/>
    <s v="Frank Darabont"/>
    <s v="Jennifer Lawrence, Harrison Ford, Mark Ruffalo"/>
    <n v="249489"/>
    <m/>
    <n v="0"/>
    <s v="Average"/>
    <s v="Fantasy"/>
    <x v="8"/>
  </r>
  <r>
    <s v="tt1000942"/>
    <s v="Last Adventures 835"/>
    <n v="2017"/>
    <n v="2010"/>
    <x v="0"/>
    <n v="144"/>
    <s v="Long"/>
    <s v="A fantasy film set in 2017."/>
    <s v="Frank Darabont"/>
    <s v="Jennifer Lawrence, Harrison Ford, Mark Ruffalo"/>
    <n v="249489"/>
    <m/>
    <n v="0"/>
    <s v="Average"/>
    <s v=" Action"/>
    <x v="0"/>
  </r>
  <r>
    <s v="tt1000314"/>
    <s v="Secret Story 207"/>
    <n v="2002"/>
    <n v="2000"/>
    <x v="0"/>
    <n v="133"/>
    <s v="Long"/>
    <s v="A critically acclaimed thriller masterpiece."/>
    <s v="David Fincher"/>
    <s v="Margot Robbie, Chris Hemsworth, Will Smith, Florence Pugh, Jack Nicholson"/>
    <n v="955466"/>
    <n v="385.56"/>
    <n v="385.56"/>
    <s v="Blockbuster"/>
    <s v="Thriller"/>
    <x v="17"/>
  </r>
  <r>
    <s v="tt1000631"/>
    <s v="Last Secrets 524"/>
    <n v="2023"/>
    <n v="2020"/>
    <x v="1"/>
    <n v="117"/>
    <s v="Medium"/>
    <s v="A critically acclaimed documentary masterpiece."/>
    <s v="Taika Waititi"/>
    <s v="Emma Stone, Anthony Hopkins, Margot Robbie, Kate Winslet, Matt Damon"/>
    <n v="34371"/>
    <n v="385.32"/>
    <n v="385.32"/>
    <s v="Blockbuster"/>
    <s v="Documentary"/>
    <x v="13"/>
  </r>
  <r>
    <s v="tt1000631"/>
    <s v="Last Secrets 524"/>
    <n v="2023"/>
    <n v="2020"/>
    <x v="1"/>
    <n v="117"/>
    <s v="Medium"/>
    <s v="A critically acclaimed documentary masterpiece."/>
    <s v="Taika Waititi"/>
    <s v="Emma Stone, Anthony Hopkins, Margot Robbie, Kate Winslet, Matt Damon"/>
    <n v="34371"/>
    <n v="385.32"/>
    <n v="385.32"/>
    <s v="Blockbuster"/>
    <s v=" Comedy"/>
    <x v="15"/>
  </r>
  <r>
    <s v="tt1000631"/>
    <s v="Last Secrets 524"/>
    <n v="2023"/>
    <n v="2020"/>
    <x v="1"/>
    <n v="117"/>
    <s v="Medium"/>
    <s v="A critically acclaimed documentary masterpiece."/>
    <s v="Taika Waititi"/>
    <s v="Emma Stone, Anthony Hopkins, Margot Robbie, Kate Winslet, Matt Damon"/>
    <n v="34371"/>
    <n v="385.32"/>
    <n v="385.32"/>
    <s v="Blockbuster"/>
    <s v=" Sci-Fi"/>
    <x v="16"/>
  </r>
  <r>
    <s v="tt1000975"/>
    <s v="Lost Adventures 868"/>
    <n v="2011"/>
    <n v="2010"/>
    <x v="0"/>
    <n v="125"/>
    <s v="Long"/>
    <s v="A thrilling comedy adventure."/>
    <s v="Ryan Coogler"/>
    <s v="Robert De Niro, Natalie Portman, Leonardo DiCaprio, Mark Ruffalo"/>
    <n v="82625"/>
    <n v="81.84"/>
    <n v="81.84"/>
    <s v="Average"/>
    <s v="Comedy"/>
    <x v="15"/>
  </r>
  <r>
    <s v="tt1000975"/>
    <s v="Lost Adventures 868"/>
    <n v="2011"/>
    <n v="2010"/>
    <x v="0"/>
    <n v="125"/>
    <s v="Long"/>
    <s v="A thrilling comedy adventure."/>
    <s v="Ryan Coogler"/>
    <s v="Robert De Niro, Natalie Portman, Leonardo DiCaprio, Mark Ruffalo"/>
    <n v="82625"/>
    <n v="81.84"/>
    <n v="81.84"/>
    <s v="Average"/>
    <s v=" Animation"/>
    <x v="3"/>
  </r>
  <r>
    <s v="tt1000974"/>
    <s v="Lost Mystery 867"/>
    <n v="2017"/>
    <n v="2010"/>
    <x v="4"/>
    <n v="116"/>
    <s v="Medium"/>
    <s v="An epic romance tale directed by James Cameron."/>
    <s v="James Cameron"/>
    <s v="Edward Norton, TimothÃ©e Chalamet, Tom Hanks"/>
    <n v="68708"/>
    <m/>
    <n v="0"/>
    <s v="Average"/>
    <s v="Romance"/>
    <x v="7"/>
  </r>
  <r>
    <s v="tt1000974"/>
    <s v="Lost Mystery 867"/>
    <n v="2017"/>
    <n v="2010"/>
    <x v="4"/>
    <n v="116"/>
    <s v="Medium"/>
    <s v="An epic romance tale directed by James Cameron."/>
    <s v="James Cameron"/>
    <s v="Edward Norton, TimothÃ©e Chalamet, Tom Hanks"/>
    <n v="68708"/>
    <m/>
    <n v="0"/>
    <s v="Average"/>
    <s v=" Drama"/>
    <x v="14"/>
  </r>
  <r>
    <s v="tt1000974"/>
    <s v="Lost Mystery 867"/>
    <n v="2017"/>
    <n v="2010"/>
    <x v="4"/>
    <n v="116"/>
    <s v="Medium"/>
    <s v="An epic romance tale directed by James Cameron."/>
    <s v="James Cameron"/>
    <s v="Edward Norton, TimothÃ©e Chalamet, Tom Hanks"/>
    <n v="68708"/>
    <m/>
    <n v="0"/>
    <s v="Average"/>
    <s v=" Biography"/>
    <x v="5"/>
  </r>
  <r>
    <s v="tt1000600"/>
    <s v="Final Quest 493"/>
    <n v="2012"/>
    <n v="2010"/>
    <x v="0"/>
    <n v="158"/>
    <s v="Long"/>
    <s v="A comedy film set in 2012."/>
    <s v="James Cameron"/>
    <s v="Robert De Niro, Kate Winslet, Florence Pugh"/>
    <n v="20689"/>
    <m/>
    <n v="0"/>
    <s v="Average"/>
    <s v="Comedy"/>
    <x v="15"/>
  </r>
  <r>
    <s v="tt1000600"/>
    <s v="Final Quest 493"/>
    <n v="2012"/>
    <n v="2010"/>
    <x v="0"/>
    <n v="158"/>
    <s v="Long"/>
    <s v="A comedy film set in 2012."/>
    <s v="James Cameron"/>
    <s v="Robert De Niro, Kate Winslet, Florence Pugh"/>
    <n v="20689"/>
    <m/>
    <n v="0"/>
    <s v="Average"/>
    <s v=" Action"/>
    <x v="0"/>
  </r>
  <r>
    <s v="tt1000585"/>
    <s v="Dark Revolution 478"/>
    <n v="2002"/>
    <n v="2000"/>
    <x v="2"/>
    <n v="147"/>
    <s v="Long"/>
    <s v="A thrilling action adventure."/>
    <s v="James Cameron"/>
    <s v="Viola Davis, Chris Hemsworth, Leonardo DiCaprio"/>
    <n v="250023"/>
    <m/>
    <n v="0"/>
    <s v="Average"/>
    <s v="Action"/>
    <x v="0"/>
  </r>
  <r>
    <s v="tt1000254"/>
    <s v="A Mission 147"/>
    <n v="2015"/>
    <n v="2010"/>
    <x v="0"/>
    <n v="171"/>
    <s v="Long"/>
    <s v="A thrilling romance adventure."/>
    <s v="Sam Mendes"/>
    <s v="Jack Nicholson, Margot Robbie, Mark Ruffalo, Robert De Niro, Chris Hemsworth"/>
    <n v="335678"/>
    <n v="244.54"/>
    <n v="244.54"/>
    <s v="Blockbuster"/>
    <s v="Romance"/>
    <x v="7"/>
  </r>
  <r>
    <s v="tt1000254"/>
    <s v="A Mission 147"/>
    <n v="2015"/>
    <n v="2010"/>
    <x v="0"/>
    <n v="171"/>
    <s v="Long"/>
    <s v="A thrilling romance adventure."/>
    <s v="Sam Mendes"/>
    <s v="Jack Nicholson, Margot Robbie, Mark Ruffalo, Robert De Niro, Chris Hemsworth"/>
    <n v="335678"/>
    <n v="244.54"/>
    <n v="244.54"/>
    <s v="Blockbuster"/>
    <s v=" Biography"/>
    <x v="5"/>
  </r>
  <r>
    <s v="tt1000254"/>
    <s v="A Mission 147"/>
    <n v="2015"/>
    <n v="2010"/>
    <x v="0"/>
    <n v="171"/>
    <s v="Long"/>
    <s v="A thrilling romance adventure."/>
    <s v="Sam Mendes"/>
    <s v="Jack Nicholson, Margot Robbie, Mark Ruffalo, Robert De Niro, Chris Hemsworth"/>
    <n v="335678"/>
    <n v="244.54"/>
    <n v="244.54"/>
    <s v="Blockbuster"/>
    <s v=" Sci-Fi"/>
    <x v="16"/>
  </r>
  <r>
    <s v="tt1000570"/>
    <s v="First Dreams 463"/>
    <n v="2003"/>
    <n v="2000"/>
    <x v="0"/>
    <n v="142"/>
    <s v="Long"/>
    <s v="A musical film set in 2003."/>
    <s v="Pedro AlmodÃ³var"/>
    <s v="Al Pacino, Samuel L. Jackson, Robert Downey Jr."/>
    <n v="2300"/>
    <n v="127.86"/>
    <n v="127.86"/>
    <s v="Hit"/>
    <s v="Musical"/>
    <x v="1"/>
  </r>
  <r>
    <s v="tt1000570"/>
    <s v="First Dreams 463"/>
    <n v="2003"/>
    <n v="2000"/>
    <x v="0"/>
    <n v="142"/>
    <s v="Long"/>
    <s v="A musical film set in 2003."/>
    <s v="Pedro AlmodÃ³var"/>
    <s v="Al Pacino, Samuel L. Jackson, Robert Downey Jr."/>
    <n v="2300"/>
    <n v="127.86"/>
    <n v="127.86"/>
    <s v="Hit"/>
    <s v=" Horror"/>
    <x v="12"/>
  </r>
  <r>
    <s v="tt1000609"/>
    <s v="An Mystery 502"/>
    <n v="2006"/>
    <n v="2000"/>
    <x v="2"/>
    <n v="148"/>
    <s v="Long"/>
    <s v="A drama film set in 2006."/>
    <s v="Edgar Wright"/>
    <s v="Brad Pitt, Edward Norton, Mark Ruffalo, Morgan Freeman, Kate Winslet"/>
    <n v="61591"/>
    <n v="431.54"/>
    <n v="431.54"/>
    <s v="Blockbuster"/>
    <s v="Drama"/>
    <x v="14"/>
  </r>
  <r>
    <s v="tt1000609"/>
    <s v="An Mystery 502"/>
    <n v="2006"/>
    <n v="2000"/>
    <x v="2"/>
    <n v="148"/>
    <s v="Long"/>
    <s v="A drama film set in 2006."/>
    <s v="Edgar Wright"/>
    <s v="Brad Pitt, Edward Norton, Mark Ruffalo, Morgan Freeman, Kate Winslet"/>
    <n v="61591"/>
    <n v="431.54"/>
    <n v="431.54"/>
    <s v="Blockbuster"/>
    <s v=" Musical"/>
    <x v="1"/>
  </r>
  <r>
    <s v="tt1000935"/>
    <s v="Final War 828"/>
    <n v="2017"/>
    <n v="2010"/>
    <x v="1"/>
    <n v="84"/>
    <s v="Short"/>
    <s v="A critically acclaimed musical masterpiece."/>
    <s v="Ava DuVernay"/>
    <s v="Al Pacino, Keanu Reeves, Scarlett Johansson"/>
    <n v="17161"/>
    <n v="381.09"/>
    <n v="381.09"/>
    <s v="Blockbuster"/>
    <s v="Musical"/>
    <x v="1"/>
  </r>
  <r>
    <s v="tt1000935"/>
    <s v="Final War 828"/>
    <n v="2017"/>
    <n v="2010"/>
    <x v="1"/>
    <n v="84"/>
    <s v="Short"/>
    <s v="A critically acclaimed musical masterpiece."/>
    <s v="Ava DuVernay"/>
    <s v="Al Pacino, Keanu Reeves, Scarlett Johansson"/>
    <n v="17161"/>
    <n v="381.09"/>
    <n v="381.09"/>
    <s v="Blockbuster"/>
    <s v=" Crime"/>
    <x v="6"/>
  </r>
  <r>
    <s v="tt1000990"/>
    <s v="A Dreams 883"/>
    <n v="2001"/>
    <n v="2000"/>
    <x v="0"/>
    <n v="81"/>
    <s v="Short"/>
    <s v="An epic animation tale directed by Peter Jackson."/>
    <s v="Peter Jackson"/>
    <s v="Florence Pugh, Leonardo DiCaprio, Anthony Hopkins"/>
    <n v="7688"/>
    <n v="469.72"/>
    <n v="469.72"/>
    <s v="Blockbuster"/>
    <s v="Animation"/>
    <x v="3"/>
  </r>
  <r>
    <s v="tt1000613"/>
    <s v="First Love 506"/>
    <n v="2013"/>
    <n v="2010"/>
    <x v="2"/>
    <n v="115"/>
    <s v="Medium"/>
    <s v="A critically acclaimed horror masterpiece."/>
    <s v="Ridley Scott"/>
    <s v="Scarlett Johansson, Chris Hemsworth, Mark Ruffalo, Natalie Portman, Morgan Freeman"/>
    <n v="3558"/>
    <m/>
    <n v="0"/>
    <s v="Average"/>
    <s v="Horror"/>
    <x v="12"/>
  </r>
  <r>
    <s v="tt1000613"/>
    <s v="First Love 506"/>
    <n v="2013"/>
    <n v="2010"/>
    <x v="2"/>
    <n v="115"/>
    <s v="Medium"/>
    <s v="A critically acclaimed horror masterpiece."/>
    <s v="Ridley Scott"/>
    <s v="Scarlett Johansson, Chris Hemsworth, Mark Ruffalo, Natalie Portman, Morgan Freeman"/>
    <n v="3558"/>
    <m/>
    <n v="0"/>
    <s v="Average"/>
    <s v=" Comedy"/>
    <x v="15"/>
  </r>
  <r>
    <s v="tt1000698"/>
    <s v="A Mystery 591"/>
    <n v="2014"/>
    <n v="2010"/>
    <x v="1"/>
    <n v="140"/>
    <s v="Long"/>
    <s v="An epic drama tale directed by Denis Villeneuve."/>
    <s v="Denis Villeneuve"/>
    <s v="Jack Nicholson, Anthony Hopkins, Gary Oldman, Cate Blanchett, Tom Hanks"/>
    <n v="163688"/>
    <n v="437.94"/>
    <n v="437.94"/>
    <s v="Blockbuster"/>
    <s v="Drama"/>
    <x v="14"/>
  </r>
  <r>
    <s v="tt1000698"/>
    <s v="A Mystery 591"/>
    <n v="2014"/>
    <n v="2010"/>
    <x v="1"/>
    <n v="140"/>
    <s v="Long"/>
    <s v="An epic drama tale directed by Denis Villeneuve."/>
    <s v="Denis Villeneuve"/>
    <s v="Jack Nicholson, Anthony Hopkins, Gary Oldman, Cate Blanchett, Tom Hanks"/>
    <n v="163688"/>
    <n v="437.94"/>
    <n v="437.94"/>
    <s v="Blockbuster"/>
    <s v=" Mystery"/>
    <x v="4"/>
  </r>
  <r>
    <s v="tt1000597"/>
    <s v="Dark Destiny 490"/>
    <n v="2016"/>
    <n v="2010"/>
    <x v="2"/>
    <n v="122"/>
    <s v="Long"/>
    <s v="A critically acclaimed documentary masterpiece."/>
    <s v="Peter Jackson"/>
    <s v="TimothÃ©e Chalamet, Emma Stone, Brad Pitt, Will Smith"/>
    <n v="163899"/>
    <n v="452.25"/>
    <n v="452.25"/>
    <s v="Blockbuster"/>
    <s v="Documentary"/>
    <x v="13"/>
  </r>
  <r>
    <s v="tt1000597"/>
    <s v="Dark Destiny 490"/>
    <n v="2016"/>
    <n v="2010"/>
    <x v="2"/>
    <n v="122"/>
    <s v="Long"/>
    <s v="A critically acclaimed documentary masterpiece."/>
    <s v="Peter Jackson"/>
    <s v="TimothÃ©e Chalamet, Emma Stone, Brad Pitt, Will Smith"/>
    <n v="163899"/>
    <n v="452.25"/>
    <n v="452.25"/>
    <s v="Blockbuster"/>
    <s v=" Comedy"/>
    <x v="15"/>
  </r>
  <r>
    <s v="tt1000392"/>
    <s v="A Dreams 285"/>
    <n v="2010"/>
    <n v="2010"/>
    <x v="5"/>
    <n v="86"/>
    <s v="Short"/>
    <s v="A animation film set in 2010."/>
    <s v="Ava DuVernay"/>
    <s v="Meryl Streep, Kate Winslet, Will Smith, Al Pacino, Christian Bale"/>
    <n v="13590"/>
    <n v="316.14"/>
    <n v="316.14"/>
    <s v="Blockbuster"/>
    <s v="Animation"/>
    <x v="3"/>
  </r>
  <r>
    <s v="tt1000392"/>
    <s v="A Dreams 285"/>
    <n v="2010"/>
    <n v="2010"/>
    <x v="5"/>
    <n v="86"/>
    <s v="Short"/>
    <s v="A animation film set in 2010."/>
    <s v="Ava DuVernay"/>
    <s v="Meryl Streep, Kate Winslet, Will Smith, Al Pacino, Christian Bale"/>
    <n v="13590"/>
    <n v="316.14"/>
    <n v="316.14"/>
    <s v="Blockbuster"/>
    <s v=" Fantasy"/>
    <x v="8"/>
  </r>
  <r>
    <s v="tt1000259"/>
    <s v="First Secrets 152"/>
    <n v="2001"/>
    <n v="2000"/>
    <x v="1"/>
    <n v="115"/>
    <s v="Medium"/>
    <s v="A thrilling family adventure."/>
    <s v="Ryan Coogler"/>
    <s v="Robert Downey Jr., Tom Hanks, Jennifer Lawrence"/>
    <n v="151904"/>
    <n v="278.95"/>
    <n v="278.95"/>
    <s v="Blockbuster"/>
    <s v="Family"/>
    <x v="10"/>
  </r>
  <r>
    <s v="tt1000569"/>
    <s v="Secret Revolution 462"/>
    <n v="2002"/>
    <n v="2000"/>
    <x v="1"/>
    <n v="157"/>
    <s v="Long"/>
    <s v="A thrilling animation adventure."/>
    <s v="Ridley Scott"/>
    <s v="Emma Stone, Morgan Freeman, Brad Pitt, Margot Robbie, Johnny Depp"/>
    <n v="13880"/>
    <n v="347.08"/>
    <n v="347.08"/>
    <s v="Blockbuster"/>
    <s v="Animation"/>
    <x v="3"/>
  </r>
  <r>
    <s v="tt1000569"/>
    <s v="Secret Revolution 462"/>
    <n v="2002"/>
    <n v="2000"/>
    <x v="1"/>
    <n v="157"/>
    <s v="Long"/>
    <s v="A thrilling animation adventure."/>
    <s v="Ridley Scott"/>
    <s v="Emma Stone, Morgan Freeman, Brad Pitt, Margot Robbie, Johnny Depp"/>
    <n v="13880"/>
    <n v="347.08"/>
    <n v="347.08"/>
    <s v="Blockbuster"/>
    <s v=" Horror"/>
    <x v="12"/>
  </r>
  <r>
    <s v="tt1000547"/>
    <s v="An Kingdom 440"/>
    <n v="2021"/>
    <n v="2020"/>
    <x v="0"/>
    <n v="148"/>
    <s v="Long"/>
    <s v="A thrilling drama adventure."/>
    <s v="James Cameron"/>
    <s v="Viola Davis, Emma Stone, Gary Oldman, Zendaya, Harrison Ford"/>
    <n v="118013"/>
    <n v="17.04"/>
    <n v="17.04"/>
    <s v="Average"/>
    <s v="Drama"/>
    <x v="14"/>
  </r>
  <r>
    <s v="tt1000547"/>
    <s v="An Kingdom 440"/>
    <n v="2021"/>
    <n v="2020"/>
    <x v="0"/>
    <n v="148"/>
    <s v="Long"/>
    <s v="A thrilling drama adventure."/>
    <s v="James Cameron"/>
    <s v="Viola Davis, Emma Stone, Gary Oldman, Zendaya, Harrison Ford"/>
    <n v="118013"/>
    <n v="17.04"/>
    <n v="17.04"/>
    <s v="Average"/>
    <s v=" Romance"/>
    <x v="7"/>
  </r>
  <r>
    <s v="tt1000547"/>
    <s v="An Kingdom 440"/>
    <n v="2021"/>
    <n v="2020"/>
    <x v="0"/>
    <n v="148"/>
    <s v="Long"/>
    <s v="A thrilling drama adventure."/>
    <s v="James Cameron"/>
    <s v="Viola Davis, Emma Stone, Gary Oldman, Zendaya, Harrison Ford"/>
    <n v="118013"/>
    <n v="17.04"/>
    <n v="17.04"/>
    <s v="Average"/>
    <s v=" Documentary"/>
    <x v="13"/>
  </r>
  <r>
    <s v="tt1000408"/>
    <s v="First Empire 301"/>
    <n v="2024"/>
    <n v="2020"/>
    <x v="0"/>
    <n v="116"/>
    <s v="Medium"/>
    <s v="A war film set in 2024."/>
    <s v="Jordan Peele"/>
    <s v="Daniel Day-Lewis, Cate Blanchett, TimothÃ©e Chalamet"/>
    <n v="63941"/>
    <n v="363.4"/>
    <n v="363.4"/>
    <s v="Blockbuster"/>
    <s v="War"/>
    <x v="2"/>
  </r>
  <r>
    <s v="tt1000756"/>
    <s v="A Destiny 649"/>
    <n v="2020"/>
    <n v="2020"/>
    <x v="0"/>
    <n v="109"/>
    <s v="Medium"/>
    <s v="A critically acclaimed family masterpiece."/>
    <s v="Sam Mendes"/>
    <s v="Matt Damon, Viola Davis, Al Pacino, TimothÃ©e Chalamet"/>
    <n v="100862"/>
    <n v="398.88"/>
    <n v="398.88"/>
    <s v="Blockbuster"/>
    <s v="Family"/>
    <x v="10"/>
  </r>
  <r>
    <s v="tt1000372"/>
    <s v="Last Mission 265"/>
    <n v="2017"/>
    <n v="2010"/>
    <x v="0"/>
    <n v="168"/>
    <s v="Long"/>
    <s v="An epic musical tale directed by Ryan Coogler."/>
    <s v="Ryan Coogler"/>
    <s v="Edward Norton, Tom Hanks, Christian Bale, Robert Downey Jr."/>
    <n v="80954"/>
    <n v="447.51"/>
    <n v="447.51"/>
    <s v="Blockbuster"/>
    <s v="Musical"/>
    <x v="1"/>
  </r>
  <r>
    <s v="tt1000372"/>
    <s v="Last Mission 265"/>
    <n v="2017"/>
    <n v="2010"/>
    <x v="0"/>
    <n v="168"/>
    <s v="Long"/>
    <s v="An epic musical tale directed by Ryan Coogler."/>
    <s v="Ryan Coogler"/>
    <s v="Edward Norton, Tom Hanks, Christian Bale, Robert Downey Jr."/>
    <n v="80954"/>
    <n v="447.51"/>
    <n v="447.51"/>
    <s v="Blockbuster"/>
    <s v=" Thriller"/>
    <x v="17"/>
  </r>
  <r>
    <s v="tt1000106"/>
    <s v="Oliver!"/>
    <n v="1993"/>
    <n v="1990"/>
    <x v="0"/>
    <n v="126"/>
    <s v="Long"/>
    <s v="A critically acclaimed horror masterpiece."/>
    <s v="Francis Ford Coppola"/>
    <s v="Anthony Hopkins, Mark Ruffalo, Daniel Day-Lewis"/>
    <n v="69251"/>
    <n v="247.66"/>
    <n v="247.66"/>
    <s v="Blockbuster"/>
    <s v="Horror"/>
    <x v="12"/>
  </r>
  <r>
    <s v="tt1000442"/>
    <s v="First War 335"/>
    <n v="2021"/>
    <n v="2020"/>
    <x v="0"/>
    <n v="101"/>
    <s v="Medium"/>
    <s v="A documentary film set in 2021."/>
    <s v="Alfred Hitchcock"/>
    <s v="Chris Hemsworth, Kate Winslet, Denzel Washington, Leonardo DiCaprio"/>
    <n v="9754"/>
    <n v="226.61"/>
    <n v="226.61"/>
    <s v="Blockbuster"/>
    <s v="Documentary"/>
    <x v="13"/>
  </r>
  <r>
    <s v="tt1000321"/>
    <s v="Lost Destiny 214"/>
    <n v="2005"/>
    <n v="2000"/>
    <x v="5"/>
    <n v="134"/>
    <s v="Long"/>
    <s v="A thrilling thriller adventure."/>
    <s v="Pedro AlmodÃ³var"/>
    <s v="Matt Damon, Kate Winslet, Jack Nicholson, Zendaya"/>
    <n v="519268"/>
    <m/>
    <n v="0"/>
    <s v="Average"/>
    <s v="Thriller"/>
    <x v="17"/>
  </r>
  <r>
    <s v="tt1000321"/>
    <s v="Lost Destiny 214"/>
    <n v="2005"/>
    <n v="2000"/>
    <x v="5"/>
    <n v="134"/>
    <s v="Long"/>
    <s v="A thrilling thriller adventure."/>
    <s v="Pedro AlmodÃ³var"/>
    <s v="Matt Damon, Kate Winslet, Jack Nicholson, Zendaya"/>
    <n v="519268"/>
    <m/>
    <n v="0"/>
    <s v="Average"/>
    <s v=" Crime"/>
    <x v="6"/>
  </r>
  <r>
    <s v="tt1000363"/>
    <s v="Final War 256"/>
    <n v="2013"/>
    <n v="2010"/>
    <x v="0"/>
    <n v="116"/>
    <s v="Medium"/>
    <s v="An epic adventure tale directed by Stanley Kubrick."/>
    <s v="Stanley Kubrick"/>
    <s v="Keanu Reeves, TimothÃ©e Chalamet, Emma Stone"/>
    <n v="56622"/>
    <n v="217.04"/>
    <n v="217.04"/>
    <s v="Blockbuster"/>
    <s v="Adventure"/>
    <x v="9"/>
  </r>
  <r>
    <s v="tt1000363"/>
    <s v="Final War 256"/>
    <n v="2013"/>
    <n v="2010"/>
    <x v="0"/>
    <n v="116"/>
    <s v="Medium"/>
    <s v="An epic adventure tale directed by Stanley Kubrick."/>
    <s v="Stanley Kubrick"/>
    <s v="Keanu Reeves, TimothÃ©e Chalamet, Emma Stone"/>
    <n v="56622"/>
    <n v="217.04"/>
    <n v="217.04"/>
    <s v="Blockbuster"/>
    <s v=" War"/>
    <x v="2"/>
  </r>
  <r>
    <s v="tt1000644"/>
    <s v="Dark Kingdom 537"/>
    <n v="2017"/>
    <n v="2010"/>
    <x v="4"/>
    <n v="110"/>
    <s v="Medium"/>
    <s v="A mystery film set in 2017."/>
    <s v="Steven Spielberg"/>
    <s v="Al Pacino, TimothÃ©e Chalamet, Zendaya, Mark Ruffalo"/>
    <n v="2500000"/>
    <n v="316.39"/>
    <n v="316.39"/>
    <s v="Blockbuster"/>
    <s v="Mystery"/>
    <x v="4"/>
  </r>
  <r>
    <s v="tt1000644"/>
    <s v="Dark Kingdom 537"/>
    <n v="2017"/>
    <n v="2010"/>
    <x v="4"/>
    <n v="110"/>
    <s v="Medium"/>
    <s v="A mystery film set in 2017."/>
    <s v="Steven Spielberg"/>
    <s v="Al Pacino, TimothÃ©e Chalamet, Zendaya, Mark Ruffalo"/>
    <n v="2500000"/>
    <n v="316.39"/>
    <n v="316.39"/>
    <s v="Blockbuster"/>
    <s v=" Sci-Fi"/>
    <x v="16"/>
  </r>
  <r>
    <s v="tt1000644"/>
    <s v="Dark Kingdom 537"/>
    <n v="2017"/>
    <n v="2010"/>
    <x v="4"/>
    <n v="110"/>
    <s v="Medium"/>
    <s v="A mystery film set in 2017."/>
    <s v="Steven Spielberg"/>
    <s v="Al Pacino, TimothÃ©e Chalamet, Zendaya, Mark Ruffalo"/>
    <n v="2500000"/>
    <n v="316.39"/>
    <n v="316.39"/>
    <s v="Blockbuster"/>
    <s v=" Drama"/>
    <x v="14"/>
  </r>
  <r>
    <s v="tt1000639"/>
    <s v="Secret Empire 532"/>
    <n v="2023"/>
    <n v="2020"/>
    <x v="1"/>
    <n v="107"/>
    <s v="Medium"/>
    <s v="An epic comedy tale directed by Guillermo del Toro."/>
    <s v="Guillermo del Toro"/>
    <s v="Edward Norton, Robert De Niro, Viola Davis"/>
    <n v="29491"/>
    <n v="74.58"/>
    <n v="74.58"/>
    <s v="Average"/>
    <s v="Comedy"/>
    <x v="15"/>
  </r>
  <r>
    <s v="tt1000639"/>
    <s v="Secret Empire 532"/>
    <n v="2023"/>
    <n v="2020"/>
    <x v="1"/>
    <n v="107"/>
    <s v="Medium"/>
    <s v="An epic comedy tale directed by Guillermo del Toro."/>
    <s v="Guillermo del Toro"/>
    <s v="Edward Norton, Robert De Niro, Viola Davis"/>
    <n v="29491"/>
    <n v="74.58"/>
    <n v="74.58"/>
    <s v="Average"/>
    <s v=" Documentary"/>
    <x v="13"/>
  </r>
  <r>
    <s v="tt1000952"/>
    <s v="First Mission 845"/>
    <n v="2007"/>
    <n v="2000"/>
    <x v="0"/>
    <n v="105"/>
    <s v="Medium"/>
    <s v="A critically acclaimed documentary masterpiece."/>
    <s v="Coen Brothers"/>
    <s v="Robert De Niro, Johnny Depp, Daniel Day-Lewis"/>
    <n v="351367"/>
    <n v="195.26"/>
    <n v="195.26"/>
    <s v="Hit"/>
    <s v="Documentary"/>
    <x v="13"/>
  </r>
  <r>
    <s v="tt1000952"/>
    <s v="First Mission 845"/>
    <n v="2007"/>
    <n v="2000"/>
    <x v="0"/>
    <n v="105"/>
    <s v="Medium"/>
    <s v="A critically acclaimed documentary masterpiece."/>
    <s v="Coen Brothers"/>
    <s v="Robert De Niro, Johnny Depp, Daniel Day-Lewis"/>
    <n v="351367"/>
    <n v="195.26"/>
    <n v="195.26"/>
    <s v="Hit"/>
    <s v=" Comedy"/>
    <x v="15"/>
  </r>
  <r>
    <s v="tt1000607"/>
    <s v="Lost Kingdom 500"/>
    <n v="2010"/>
    <n v="2010"/>
    <x v="0"/>
    <n v="121"/>
    <s v="Long"/>
    <s v="A thrilling action adventure."/>
    <s v="Ron Howard"/>
    <s v="Meryl Streep, Zendaya, Robert De Niro, Gary Oldman, Al Pacino"/>
    <n v="22583"/>
    <m/>
    <n v="0"/>
    <s v="Average"/>
    <s v="Action"/>
    <x v="0"/>
  </r>
  <r>
    <s v="tt1000607"/>
    <s v="Lost Kingdom 500"/>
    <n v="2010"/>
    <n v="2010"/>
    <x v="0"/>
    <n v="121"/>
    <s v="Long"/>
    <s v="A thrilling action adventure."/>
    <s v="Ron Howard"/>
    <s v="Meryl Streep, Zendaya, Robert De Niro, Gary Oldman, Al Pacino"/>
    <n v="22583"/>
    <m/>
    <n v="0"/>
    <s v="Average"/>
    <s v=" Fantasy"/>
    <x v="8"/>
  </r>
  <r>
    <s v="tt1000944"/>
    <s v="Dark Story 837"/>
    <n v="2013"/>
    <n v="2010"/>
    <x v="2"/>
    <n v="151"/>
    <s v="Long"/>
    <s v="A critically acclaimed mystery masterpiece."/>
    <s v="Spike Lee"/>
    <s v="Tom Hanks, Meryl Streep, Leonardo DiCaprio, Al Pacino"/>
    <n v="41561"/>
    <m/>
    <n v="0"/>
    <s v="Average"/>
    <s v="Mystery"/>
    <x v="4"/>
  </r>
  <r>
    <s v="tt1000944"/>
    <s v="Dark Story 837"/>
    <n v="2013"/>
    <n v="2010"/>
    <x v="2"/>
    <n v="151"/>
    <s v="Long"/>
    <s v="A critically acclaimed mystery masterpiece."/>
    <s v="Spike Lee"/>
    <s v="Tom Hanks, Meryl Streep, Leonardo DiCaprio, Al Pacino"/>
    <n v="41561"/>
    <m/>
    <n v="0"/>
    <s v="Average"/>
    <s v=" Western"/>
    <x v="11"/>
  </r>
  <r>
    <s v="tt1000868"/>
    <s v="Lost Story 761"/>
    <n v="2005"/>
    <n v="2000"/>
    <x v="2"/>
    <n v="107"/>
    <s v="Medium"/>
    <s v="A horror film set in 2005."/>
    <s v="Greta Gerwig"/>
    <s v="Anthony Hopkins, Kate Winslet, Natalie Portman, Scarlett Johansson"/>
    <n v="24170"/>
    <m/>
    <n v="0"/>
    <s v="Average"/>
    <s v="Horror"/>
    <x v="12"/>
  </r>
  <r>
    <s v="tt1000868"/>
    <s v="Lost Story 761"/>
    <n v="2005"/>
    <n v="2000"/>
    <x v="2"/>
    <n v="107"/>
    <s v="Medium"/>
    <s v="A horror film set in 2005."/>
    <s v="Greta Gerwig"/>
    <s v="Anthony Hopkins, Kate Winslet, Natalie Portman, Scarlett Johansson"/>
    <n v="24170"/>
    <m/>
    <n v="0"/>
    <s v="Average"/>
    <s v=" Thriller"/>
    <x v="17"/>
  </r>
  <r>
    <s v="tt1000868"/>
    <s v="Lost Story 761"/>
    <n v="2005"/>
    <n v="2000"/>
    <x v="2"/>
    <n v="107"/>
    <s v="Medium"/>
    <s v="A horror film set in 2005."/>
    <s v="Greta Gerwig"/>
    <s v="Anthony Hopkins, Kate Winslet, Natalie Portman, Scarlett Johansson"/>
    <n v="24170"/>
    <m/>
    <n v="0"/>
    <s v="Average"/>
    <s v=" Drama"/>
    <x v="14"/>
  </r>
  <r>
    <s v="tt1000182"/>
    <s v="Last Mystery 75"/>
    <n v="1999"/>
    <n v="1990"/>
    <x v="1"/>
    <n v="131"/>
    <s v="Long"/>
    <s v="A critically acclaimed comedy masterpiece."/>
    <s v="Akira Kurosawa"/>
    <s v="Leonardo DiCaprio, Harrison Ford, Meryl Streep, Amy Adams, Florence Pugh"/>
    <n v="104476"/>
    <n v="234.79"/>
    <n v="234.79"/>
    <s v="Blockbuster"/>
    <s v="Comedy"/>
    <x v="15"/>
  </r>
  <r>
    <s v="tt1000343"/>
    <s v="First Kingdom 236"/>
    <n v="2018"/>
    <n v="2010"/>
    <x v="0"/>
    <n v="99"/>
    <s v="Medium"/>
    <s v="A critically acclaimed thriller masterpiece."/>
    <s v="Pedro AlmodÃ³var"/>
    <s v="Jennifer Lawrence, Will Smith, Johnny Depp, Florence Pugh, Amy Adams"/>
    <n v="4900"/>
    <n v="271.39999999999998"/>
    <n v="271.39999999999998"/>
    <s v="Blockbuster"/>
    <s v="Thriller"/>
    <x v="17"/>
  </r>
  <r>
    <s v="tt1000343"/>
    <s v="First Kingdom 236"/>
    <n v="2018"/>
    <n v="2010"/>
    <x v="0"/>
    <n v="99"/>
    <s v="Medium"/>
    <s v="A critically acclaimed thriller masterpiece."/>
    <s v="Pedro AlmodÃ³var"/>
    <s v="Jennifer Lawrence, Will Smith, Johnny Depp, Florence Pugh, Amy Adams"/>
    <n v="4900"/>
    <n v="271.39999999999998"/>
    <n v="271.39999999999998"/>
    <s v="Blockbuster"/>
    <s v=" Mystery"/>
    <x v="4"/>
  </r>
  <r>
    <s v="tt1000856"/>
    <s v="Dark Journey 749"/>
    <n v="2020"/>
    <n v="2020"/>
    <x v="1"/>
    <n v="137"/>
    <s v="Long"/>
    <s v="A thrilling action adventure."/>
    <s v="Martin Scorsese"/>
    <s v="Daniel Day-Lewis, Tom Hanks, Cate Blanchett, Florence Pugh"/>
    <n v="63408"/>
    <n v="120.42"/>
    <n v="120.42"/>
    <s v="Hit"/>
    <s v="Action"/>
    <x v="0"/>
  </r>
  <r>
    <s v="tt1000487"/>
    <s v="Dark Quest 380"/>
    <n v="2003"/>
    <n v="2000"/>
    <x v="5"/>
    <n v="95"/>
    <s v="Medium"/>
    <s v="A comedy film set in 2003."/>
    <s v="Spike Lee"/>
    <s v="Scarlett Johansson, Will Smith, Leonardo DiCaprio"/>
    <n v="16717"/>
    <n v="209.32"/>
    <n v="209.32"/>
    <s v="Blockbuster"/>
    <s v="Comedy"/>
    <x v="15"/>
  </r>
  <r>
    <s v="tt1000487"/>
    <s v="Dark Quest 380"/>
    <n v="2003"/>
    <n v="2000"/>
    <x v="5"/>
    <n v="95"/>
    <s v="Medium"/>
    <s v="A comedy film set in 2003."/>
    <s v="Spike Lee"/>
    <s v="Scarlett Johansson, Will Smith, Leonardo DiCaprio"/>
    <n v="16717"/>
    <n v="209.32"/>
    <n v="209.32"/>
    <s v="Blockbuster"/>
    <s v=" Biography"/>
    <x v="5"/>
  </r>
  <r>
    <s v="tt1000329"/>
    <s v="A Secrets 222"/>
    <n v="2021"/>
    <n v="2020"/>
    <x v="0"/>
    <n v="137"/>
    <s v="Long"/>
    <s v="A thrilling adventure adventure."/>
    <s v="Greta Gerwig"/>
    <s v="Anthony Hopkins, Viola Davis, Morgan Freeman, Mark Ruffalo, Harrison Ford"/>
    <n v="62338"/>
    <m/>
    <n v="0"/>
    <s v="Average"/>
    <s v="Adventure"/>
    <x v="9"/>
  </r>
  <r>
    <s v="tt1000329"/>
    <s v="A Secrets 222"/>
    <n v="2021"/>
    <n v="2020"/>
    <x v="0"/>
    <n v="137"/>
    <s v="Long"/>
    <s v="A thrilling adventure adventure."/>
    <s v="Greta Gerwig"/>
    <s v="Anthony Hopkins, Viola Davis, Morgan Freeman, Mark Ruffalo, Harrison Ford"/>
    <n v="62338"/>
    <m/>
    <n v="0"/>
    <s v="Average"/>
    <s v=" Musical"/>
    <x v="1"/>
  </r>
  <r>
    <s v="tt1000217"/>
    <s v="Last Mission 110"/>
    <n v="2010"/>
    <n v="2010"/>
    <x v="4"/>
    <n v="142"/>
    <s v="Long"/>
    <s v="An epic animation tale directed by Ron Howard."/>
    <s v="Ron Howard"/>
    <s v="Al Pacino, Scarlett Johansson, Edward Norton, Robert Downey Jr., Daniel Day-Lewis"/>
    <n v="11386"/>
    <n v="118.19"/>
    <n v="118.19"/>
    <s v="Hit"/>
    <s v="Animation"/>
    <x v="3"/>
  </r>
  <r>
    <s v="tt1000825"/>
    <s v="The War 718"/>
    <n v="2022"/>
    <n v="2020"/>
    <x v="1"/>
    <n v="134"/>
    <s v="Long"/>
    <s v="A western film set in 2022."/>
    <s v="Clint Eastwood"/>
    <s v="Jennifer Lawrence, Denzel Washington, Mark Ruffalo"/>
    <n v="529607"/>
    <n v="413.19"/>
    <n v="413.19"/>
    <s v="Blockbuster"/>
    <s v="Western"/>
    <x v="11"/>
  </r>
  <r>
    <s v="tt1000825"/>
    <s v="The War 718"/>
    <n v="2022"/>
    <n v="2020"/>
    <x v="1"/>
    <n v="134"/>
    <s v="Long"/>
    <s v="A western film set in 2022."/>
    <s v="Clint Eastwood"/>
    <s v="Jennifer Lawrence, Denzel Washington, Mark Ruffalo"/>
    <n v="529607"/>
    <n v="413.19"/>
    <n v="413.19"/>
    <s v="Blockbuster"/>
    <s v=" Adventure"/>
    <x v="9"/>
  </r>
  <r>
    <s v="tt1000825"/>
    <s v="The War 718"/>
    <n v="2022"/>
    <n v="2020"/>
    <x v="1"/>
    <n v="134"/>
    <s v="Long"/>
    <s v="A western film set in 2022."/>
    <s v="Clint Eastwood"/>
    <s v="Jennifer Lawrence, Denzel Washington, Mark Ruffalo"/>
    <n v="529607"/>
    <n v="413.19"/>
    <n v="413.19"/>
    <s v="Blockbuster"/>
    <s v=" Thriller"/>
    <x v="17"/>
  </r>
  <r>
    <s v="tt1000476"/>
    <s v="The Story 369"/>
    <n v="2022"/>
    <n v="2020"/>
    <x v="2"/>
    <n v="115"/>
    <s v="Medium"/>
    <s v="A critically acclaimed western masterpiece."/>
    <s v="Peter Jackson"/>
    <s v="Natalie Portman, Cate Blanchett, Leonardo DiCaprio"/>
    <n v="94950"/>
    <n v="330.77"/>
    <n v="330.77"/>
    <s v="Blockbuster"/>
    <s v="Western"/>
    <x v="11"/>
  </r>
  <r>
    <s v="tt1000476"/>
    <s v="The Story 369"/>
    <n v="2022"/>
    <n v="2020"/>
    <x v="2"/>
    <n v="115"/>
    <s v="Medium"/>
    <s v="A critically acclaimed western masterpiece."/>
    <s v="Peter Jackson"/>
    <s v="Natalie Portman, Cate Blanchett, Leonardo DiCaprio"/>
    <n v="94950"/>
    <n v="330.77"/>
    <n v="330.77"/>
    <s v="Blockbuster"/>
    <s v=" Musical"/>
    <x v="1"/>
  </r>
  <r>
    <s v="tt1000807"/>
    <s v="An War 700"/>
    <n v="2008"/>
    <n v="2000"/>
    <x v="2"/>
    <n v="143"/>
    <s v="Long"/>
    <s v="A thrilling thriller adventure."/>
    <s v="Jordan Peele"/>
    <s v="Christian Bale, Daniel Day-Lewis, Robert Downey Jr."/>
    <n v="56094"/>
    <n v="275.58"/>
    <n v="275.58"/>
    <s v="Blockbuster"/>
    <s v="Thriller"/>
    <x v="17"/>
  </r>
  <r>
    <s v="tt1000807"/>
    <s v="An War 700"/>
    <n v="2008"/>
    <n v="2000"/>
    <x v="2"/>
    <n v="143"/>
    <s v="Long"/>
    <s v="A thrilling thriller adventure."/>
    <s v="Jordan Peele"/>
    <s v="Christian Bale, Daniel Day-Lewis, Robert Downey Jr."/>
    <n v="56094"/>
    <n v="275.58"/>
    <n v="275.58"/>
    <s v="Blockbuster"/>
    <s v=" Comedy"/>
    <x v="15"/>
  </r>
  <r>
    <s v="tt1000807"/>
    <s v="An War 700"/>
    <n v="2008"/>
    <n v="2000"/>
    <x v="2"/>
    <n v="143"/>
    <s v="Long"/>
    <s v="A thrilling thriller adventure."/>
    <s v="Jordan Peele"/>
    <s v="Christian Bale, Daniel Day-Lewis, Robert Downey Jr."/>
    <n v="56094"/>
    <n v="275.58"/>
    <n v="275.58"/>
    <s v="Blockbuster"/>
    <s v=" Crime"/>
    <x v="6"/>
  </r>
  <r>
    <s v="tt1000795"/>
    <s v="A Awakening 688"/>
    <n v="2010"/>
    <n v="2010"/>
    <x v="0"/>
    <n v="104"/>
    <s v="Medium"/>
    <s v="An epic sci-fi tale directed by Francis Ford Coppola."/>
    <s v="Francis Ford Coppola"/>
    <s v="Margot Robbie, Kate Winslet, Amy Adams, TimothÃ©e Chalamet"/>
    <n v="14967"/>
    <m/>
    <n v="0"/>
    <s v="Average"/>
    <s v="Sci-Fi"/>
    <x v="16"/>
  </r>
  <r>
    <s v="tt1000795"/>
    <s v="A Awakening 688"/>
    <n v="2010"/>
    <n v="2010"/>
    <x v="0"/>
    <n v="104"/>
    <s v="Medium"/>
    <s v="An epic sci-fi tale directed by Francis Ford Coppola."/>
    <s v="Francis Ford Coppola"/>
    <s v="Margot Robbie, Kate Winslet, Amy Adams, TimothÃ©e Chalamet"/>
    <n v="14967"/>
    <m/>
    <n v="0"/>
    <s v="Average"/>
    <s v=" Crime"/>
    <x v="6"/>
  </r>
  <r>
    <s v="tt1000862"/>
    <s v="Last Journey 755"/>
    <n v="2009"/>
    <n v="2000"/>
    <x v="1"/>
    <n v="93"/>
    <s v="Medium"/>
    <s v="A thrilling mystery adventure."/>
    <s v="Akira Kurosawa"/>
    <s v="Jennifer Lawrence, Daniel Day-Lewis, Amy Adams, Will Smith"/>
    <n v="18032"/>
    <n v="110.81"/>
    <n v="110.81"/>
    <s v="Hit"/>
    <s v="Mystery"/>
    <x v="4"/>
  </r>
  <r>
    <s v="tt1000862"/>
    <s v="Last Journey 755"/>
    <n v="2009"/>
    <n v="2000"/>
    <x v="1"/>
    <n v="93"/>
    <s v="Medium"/>
    <s v="A thrilling mystery adventure."/>
    <s v="Akira Kurosawa"/>
    <s v="Jennifer Lawrence, Daniel Day-Lewis, Amy Adams, Will Smith"/>
    <n v="18032"/>
    <n v="110.81"/>
    <n v="110.81"/>
    <s v="Hit"/>
    <s v=" Adventure"/>
    <x v="9"/>
  </r>
  <r>
    <s v="tt1000880"/>
    <s v="First Awakening 773"/>
    <n v="2003"/>
    <n v="2000"/>
    <x v="0"/>
    <n v="156"/>
    <s v="Long"/>
    <s v="A thrilling biography adventure."/>
    <s v="Bong Joon-ho"/>
    <s v="Natalie Portman, Edward Norton, Johnny Depp"/>
    <n v="16790"/>
    <n v="212.08"/>
    <n v="212.08"/>
    <s v="Blockbuster"/>
    <s v="Biography"/>
    <x v="5"/>
  </r>
  <r>
    <s v="tt1000880"/>
    <s v="First Awakening 773"/>
    <n v="2003"/>
    <n v="2000"/>
    <x v="0"/>
    <n v="156"/>
    <s v="Long"/>
    <s v="A thrilling biography adventure."/>
    <s v="Bong Joon-ho"/>
    <s v="Natalie Portman, Edward Norton, Johnny Depp"/>
    <n v="16790"/>
    <n v="212.08"/>
    <n v="212.08"/>
    <s v="Blockbuster"/>
    <s v=" Drama"/>
    <x v="14"/>
  </r>
  <r>
    <s v="tt1000458"/>
    <s v="The Secrets 351"/>
    <n v="2012"/>
    <n v="2010"/>
    <x v="2"/>
    <n v="149"/>
    <s v="Long"/>
    <s v="A critically acclaimed documentary masterpiece."/>
    <s v="Ang Lee"/>
    <s v="Chris Hemsworth, Keanu Reeves, Harrison Ford, Anthony Hopkins"/>
    <n v="21947"/>
    <n v="297.22000000000003"/>
    <n v="297.22000000000003"/>
    <s v="Blockbuster"/>
    <s v="Documentary"/>
    <x v="13"/>
  </r>
  <r>
    <s v="tt1000458"/>
    <s v="The Secrets 351"/>
    <n v="2012"/>
    <n v="2010"/>
    <x v="2"/>
    <n v="149"/>
    <s v="Long"/>
    <s v="A critically acclaimed documentary masterpiece."/>
    <s v="Ang Lee"/>
    <s v="Chris Hemsworth, Keanu Reeves, Harrison Ford, Anthony Hopkins"/>
    <n v="21947"/>
    <n v="297.22000000000003"/>
    <n v="297.22000000000003"/>
    <s v="Blockbuster"/>
    <s v=" Crime"/>
    <x v="6"/>
  </r>
  <r>
    <s v="tt1000458"/>
    <s v="The Secrets 351"/>
    <n v="2012"/>
    <n v="2010"/>
    <x v="2"/>
    <n v="149"/>
    <s v="Long"/>
    <s v="A critically acclaimed documentary masterpiece."/>
    <s v="Ang Lee"/>
    <s v="Chris Hemsworth, Keanu Reeves, Harrison Ford, Anthony Hopkins"/>
    <n v="21947"/>
    <n v="297.22000000000003"/>
    <n v="297.22000000000003"/>
    <s v="Blockbuster"/>
    <s v=" War"/>
    <x v="2"/>
  </r>
  <r>
    <s v="tt1000847"/>
    <s v="Last Awakening 740"/>
    <n v="2024"/>
    <n v="2020"/>
    <x v="3"/>
    <n v="94"/>
    <s v="Medium"/>
    <s v="A thrilling war adventure."/>
    <s v="Ridley Scott"/>
    <s v="Tom Hanks, Keanu Reeves, Kate Winslet, Robert De Niro, Matt Damon"/>
    <n v="37694"/>
    <m/>
    <n v="0"/>
    <s v="Average"/>
    <s v="War"/>
    <x v="2"/>
  </r>
  <r>
    <s v="tt1000847"/>
    <s v="Last Awakening 740"/>
    <n v="2024"/>
    <n v="2020"/>
    <x v="3"/>
    <n v="94"/>
    <s v="Medium"/>
    <s v="A thrilling war adventure."/>
    <s v="Ridley Scott"/>
    <s v="Tom Hanks, Keanu Reeves, Kate Winslet, Robert De Niro, Matt Damon"/>
    <n v="37694"/>
    <m/>
    <n v="0"/>
    <s v="Average"/>
    <s v=" Thriller"/>
    <x v="17"/>
  </r>
  <r>
    <s v="tt1000839"/>
    <s v="Final Chronicles 732"/>
    <n v="2002"/>
    <n v="2000"/>
    <x v="0"/>
    <n v="75"/>
    <s v="Short"/>
    <s v="A critically acclaimed biography masterpiece."/>
    <s v="Frank Darabont"/>
    <s v="Christian Bale, Meryl Streep, TimothÃ©e Chalamet, Keanu Reeves, Johnny Depp"/>
    <n v="16695"/>
    <n v="443.54"/>
    <n v="443.54"/>
    <s v="Blockbuster"/>
    <s v="Biography"/>
    <x v="5"/>
  </r>
  <r>
    <s v="tt1000839"/>
    <s v="Final Chronicles 732"/>
    <n v="2002"/>
    <n v="2000"/>
    <x v="0"/>
    <n v="75"/>
    <s v="Short"/>
    <s v="A critically acclaimed biography masterpiece."/>
    <s v="Frank Darabont"/>
    <s v="Christian Bale, Meryl Streep, TimothÃ©e Chalamet, Keanu Reeves, Johnny Depp"/>
    <n v="16695"/>
    <n v="443.54"/>
    <n v="443.54"/>
    <s v="Blockbuster"/>
    <s v=" Western"/>
    <x v="11"/>
  </r>
  <r>
    <s v="tt1000727"/>
    <s v="Secret Mystery 620"/>
    <n v="2010"/>
    <n v="2010"/>
    <x v="0"/>
    <n v="112"/>
    <s v="Medium"/>
    <s v="An epic war tale directed by Kathryn Bigelow."/>
    <s v="Kathryn Bigelow"/>
    <s v="Anthony Hopkins, Tom Hanks, Leonardo DiCaprio"/>
    <n v="469429"/>
    <n v="392.75"/>
    <n v="392.75"/>
    <s v="Blockbuster"/>
    <s v="War"/>
    <x v="2"/>
  </r>
  <r>
    <s v="tt1000727"/>
    <s v="Secret Mystery 620"/>
    <n v="2010"/>
    <n v="2010"/>
    <x v="0"/>
    <n v="112"/>
    <s v="Medium"/>
    <s v="An epic war tale directed by Kathryn Bigelow."/>
    <s v="Kathryn Bigelow"/>
    <s v="Anthony Hopkins, Tom Hanks, Leonardo DiCaprio"/>
    <n v="469429"/>
    <n v="392.75"/>
    <n v="392.75"/>
    <s v="Blockbuster"/>
    <s v=" Drama"/>
    <x v="14"/>
  </r>
  <r>
    <s v="tt1000116"/>
    <s v="First Adventures 9"/>
    <n v="2000"/>
    <n v="2000"/>
    <x v="2"/>
    <n v="105"/>
    <s v="Medium"/>
    <s v="A romance film set in 2000."/>
    <s v="Coen Brothers"/>
    <s v="Daniel Day-Lewis, Margot Robbie, Brad Pitt"/>
    <n v="95450"/>
    <n v="86.68"/>
    <n v="86.68"/>
    <s v="Average"/>
    <s v="Romance"/>
    <x v="7"/>
  </r>
  <r>
    <s v="tt1000116"/>
    <s v="First Adventures 9"/>
    <n v="2000"/>
    <n v="2000"/>
    <x v="2"/>
    <n v="105"/>
    <s v="Medium"/>
    <s v="A romance film set in 2000."/>
    <s v="Coen Brothers"/>
    <s v="Daniel Day-Lewis, Margot Robbie, Brad Pitt"/>
    <n v="95450"/>
    <n v="86.68"/>
    <n v="86.68"/>
    <s v="Average"/>
    <s v=" Crime"/>
    <x v="6"/>
  </r>
  <r>
    <s v="tt1000501"/>
    <s v="The Mystery 394"/>
    <n v="2013"/>
    <n v="2010"/>
    <x v="1"/>
    <n v="119"/>
    <s v="Medium"/>
    <s v="An epic fantasy tale directed by Clint Eastwood."/>
    <s v="Clint Eastwood"/>
    <s v="Jennifer Lawrence, Edward Norton, Cate Blanchett, Amy Adams, Jack Nicholson"/>
    <n v="30338"/>
    <n v="84.72"/>
    <n v="84.72"/>
    <s v="Average"/>
    <s v="Fantasy"/>
    <x v="8"/>
  </r>
  <r>
    <s v="tt1000501"/>
    <s v="The Mystery 394"/>
    <n v="2013"/>
    <n v="2010"/>
    <x v="1"/>
    <n v="119"/>
    <s v="Medium"/>
    <s v="An epic fantasy tale directed by Clint Eastwood."/>
    <s v="Clint Eastwood"/>
    <s v="Jennifer Lawrence, Edward Norton, Cate Blanchett, Amy Adams, Jack Nicholson"/>
    <n v="30338"/>
    <n v="84.72"/>
    <n v="84.72"/>
    <s v="Average"/>
    <s v=" Horror"/>
    <x v="12"/>
  </r>
  <r>
    <s v="tt1000507"/>
    <s v="Final Revolution 400"/>
    <n v="2024"/>
    <n v="2020"/>
    <x v="0"/>
    <n v="131"/>
    <s v="Long"/>
    <s v="A crime film set in 2024."/>
    <s v="Clint Eastwood"/>
    <s v="Zendaya, Florence Pugh, Kate Winslet, Morgan Freeman, Edward Norton"/>
    <n v="14197"/>
    <n v="363.18"/>
    <n v="363.18"/>
    <s v="Blockbuster"/>
    <s v="Crime"/>
    <x v="6"/>
  </r>
  <r>
    <s v="tt1000568"/>
    <s v="First Destiny 461"/>
    <n v="2022"/>
    <n v="2020"/>
    <x v="2"/>
    <n v="128"/>
    <s v="Long"/>
    <s v="A comedy film set in 2022."/>
    <s v="Taika Waititi"/>
    <s v="Leonardo DiCaprio, Denzel Washington, Samuel L. Jackson, Meryl Streep, Morgan Freeman"/>
    <n v="164203"/>
    <m/>
    <n v="0"/>
    <s v="Average"/>
    <s v="Comedy"/>
    <x v="15"/>
  </r>
  <r>
    <s v="tt1000705"/>
    <s v="The Secrets 598"/>
    <n v="2022"/>
    <n v="2020"/>
    <x v="0"/>
    <n v="109"/>
    <s v="Medium"/>
    <s v="An epic fantasy tale directed by Wong Kar-wai."/>
    <s v="Wong Kar-wai"/>
    <s v="Kate Winslet, Samuel L. Jackson, Will Smith, Meryl Streep"/>
    <n v="13473"/>
    <n v="450.61"/>
    <n v="450.61"/>
    <s v="Blockbuster"/>
    <s v="Fantasy"/>
    <x v="8"/>
  </r>
  <r>
    <s v="tt1000705"/>
    <s v="The Secrets 598"/>
    <n v="2022"/>
    <n v="2020"/>
    <x v="0"/>
    <n v="109"/>
    <s v="Medium"/>
    <s v="An epic fantasy tale directed by Wong Kar-wai."/>
    <s v="Wong Kar-wai"/>
    <s v="Kate Winslet, Samuel L. Jackson, Will Smith, Meryl Streep"/>
    <n v="13473"/>
    <n v="450.61"/>
    <n v="450.61"/>
    <s v="Blockbuster"/>
    <s v=" Horror"/>
    <x v="12"/>
  </r>
  <r>
    <s v="tt1000706"/>
    <s v="Lost Love 599"/>
    <n v="2000"/>
    <n v="2000"/>
    <x v="5"/>
    <n v="70"/>
    <s v="Short"/>
    <s v="An epic romance tale directed by David Fincher."/>
    <s v="David Fincher"/>
    <s v="Chris Hemsworth, Amy Adams, Kate Winslet, Robert Downey Jr., Johnny Depp"/>
    <n v="2233148"/>
    <n v="114.4"/>
    <n v="114.4"/>
    <s v="Hit"/>
    <s v="Romance"/>
    <x v="7"/>
  </r>
  <r>
    <s v="tt1000706"/>
    <s v="Lost Love 599"/>
    <n v="2000"/>
    <n v="2000"/>
    <x v="5"/>
    <n v="70"/>
    <s v="Short"/>
    <s v="An epic romance tale directed by David Fincher."/>
    <s v="David Fincher"/>
    <s v="Chris Hemsworth, Amy Adams, Kate Winslet, Robert Downey Jr., Johnny Depp"/>
    <n v="2233148"/>
    <n v="114.4"/>
    <n v="114.4"/>
    <s v="Hit"/>
    <s v=" Family"/>
    <x v="10"/>
  </r>
  <r>
    <s v="tt1000916"/>
    <s v="Lost Secrets 809"/>
    <n v="2009"/>
    <n v="2000"/>
    <x v="1"/>
    <n v="127"/>
    <s v="Long"/>
    <s v="A critically acclaimed adventure masterpiece."/>
    <s v="Ridley Scott"/>
    <s v="Jack Nicholson, Florence Pugh, Morgan Freeman, Samuel L. Jackson, TimothÃ©e Chalamet"/>
    <n v="833353"/>
    <n v="22.81"/>
    <n v="22.81"/>
    <s v="Average"/>
    <s v="Adventure"/>
    <x v="9"/>
  </r>
  <r>
    <s v="tt1000536"/>
    <s v="First Quest 429"/>
    <n v="2009"/>
    <n v="2000"/>
    <x v="2"/>
    <n v="126"/>
    <s v="Long"/>
    <s v="A critically acclaimed comedy masterpiece."/>
    <s v="Jordan Peele"/>
    <s v="Robert Downey Jr., Christian Bale, Robert De Niro"/>
    <n v="38649"/>
    <n v="484.78"/>
    <n v="484.78"/>
    <s v="Blockbuster"/>
    <s v="Comedy"/>
    <x v="15"/>
  </r>
  <r>
    <s v="tt1000536"/>
    <s v="First Quest 429"/>
    <n v="2009"/>
    <n v="2000"/>
    <x v="2"/>
    <n v="126"/>
    <s v="Long"/>
    <s v="A critically acclaimed comedy masterpiece."/>
    <s v="Jordan Peele"/>
    <s v="Robert Downey Jr., Christian Bale, Robert De Niro"/>
    <n v="38649"/>
    <n v="484.78"/>
    <n v="484.78"/>
    <s v="Blockbuster"/>
    <s v=" Musical"/>
    <x v="1"/>
  </r>
  <r>
    <s v="tt1000533"/>
    <s v="A Kingdom 426"/>
    <n v="2023"/>
    <n v="2020"/>
    <x v="1"/>
    <n v="105"/>
    <s v="Medium"/>
    <s v="A thrilling mystery adventure."/>
    <s v="Hayao Miyazaki"/>
    <s v="Keanu Reeves, Johnny Depp, Tom Hanks"/>
    <n v="470859"/>
    <n v="73.459999999999994"/>
    <n v="73.459999999999994"/>
    <s v="Average"/>
    <s v="Mystery"/>
    <x v="4"/>
  </r>
  <r>
    <s v="tt1000533"/>
    <s v="A Kingdom 426"/>
    <n v="2023"/>
    <n v="2020"/>
    <x v="1"/>
    <n v="105"/>
    <s v="Medium"/>
    <s v="A thrilling mystery adventure."/>
    <s v="Hayao Miyazaki"/>
    <s v="Keanu Reeves, Johnny Depp, Tom Hanks"/>
    <n v="470859"/>
    <n v="73.459999999999994"/>
    <n v="73.459999999999994"/>
    <s v="Average"/>
    <s v=" War"/>
    <x v="2"/>
  </r>
  <r>
    <s v="tt1000158"/>
    <s v="Last Mystery 51"/>
    <n v="1999"/>
    <n v="1990"/>
    <x v="1"/>
    <n v="152"/>
    <s v="Long"/>
    <s v="An epic biography tale directed by Ang Lee."/>
    <s v="Ang Lee"/>
    <s v="Leonardo DiCaprio, Margot Robbie, Jennifer Lawrence"/>
    <n v="142178"/>
    <n v="209.57"/>
    <n v="209.57"/>
    <s v="Blockbuster"/>
    <s v="Biography"/>
    <x v="5"/>
  </r>
  <r>
    <s v="tt1000103"/>
    <s v="The French Connection"/>
    <n v="1991"/>
    <n v="1990"/>
    <x v="1"/>
    <n v="115"/>
    <s v="Medium"/>
    <s v="A critically acclaimed horror masterpiece."/>
    <s v="Ron Howard"/>
    <s v="Johnny Depp, Jack Nicholson, Al Pacino"/>
    <n v="311191"/>
    <n v="18.16"/>
    <n v="18.16"/>
    <s v="Average"/>
    <s v="Horror"/>
    <x v="12"/>
  </r>
  <r>
    <s v="tt1000103"/>
    <s v="The French Connection"/>
    <n v="1991"/>
    <n v="1990"/>
    <x v="1"/>
    <n v="115"/>
    <s v="Medium"/>
    <s v="A critically acclaimed horror masterpiece."/>
    <s v="Ron Howard"/>
    <s v="Johnny Depp, Jack Nicholson, Al Pacino"/>
    <n v="311191"/>
    <n v="18.16"/>
    <n v="18.16"/>
    <s v="Average"/>
    <s v=" Fantasy"/>
    <x v="8"/>
  </r>
  <r>
    <s v="tt1000749"/>
    <s v="First Love 642"/>
    <n v="2003"/>
    <n v="2000"/>
    <x v="0"/>
    <n v="93"/>
    <s v="Medium"/>
    <s v="A sci-fi film set in 2003."/>
    <s v="Spike Lee"/>
    <s v="Leonardo DiCaprio, Morgan Freeman, Tom Cruise, Chris Hemsworth"/>
    <n v="238583"/>
    <m/>
    <n v="0"/>
    <s v="Average"/>
    <s v="Sci-Fi"/>
    <x v="16"/>
  </r>
  <r>
    <s v="tt1000749"/>
    <s v="First Love 642"/>
    <n v="2003"/>
    <n v="2000"/>
    <x v="0"/>
    <n v="93"/>
    <s v="Medium"/>
    <s v="A sci-fi film set in 2003."/>
    <s v="Spike Lee"/>
    <s v="Leonardo DiCaprio, Morgan Freeman, Tom Cruise, Chris Hemsworth"/>
    <n v="238583"/>
    <m/>
    <n v="0"/>
    <s v="Average"/>
    <s v=" Crime"/>
    <x v="6"/>
  </r>
  <r>
    <s v="tt1000762"/>
    <s v="Final Awakening 655"/>
    <n v="2012"/>
    <n v="2010"/>
    <x v="0"/>
    <n v="135"/>
    <s v="Long"/>
    <s v="A biography film set in 2012."/>
    <s v="Taika Waititi"/>
    <s v="Margot Robbie, Harrison Ford, Zendaya"/>
    <n v="24434"/>
    <m/>
    <n v="0"/>
    <s v="Average"/>
    <s v="Biography"/>
    <x v="5"/>
  </r>
  <r>
    <s v="tt1000762"/>
    <s v="Final Awakening 655"/>
    <n v="2012"/>
    <n v="2010"/>
    <x v="0"/>
    <n v="135"/>
    <s v="Long"/>
    <s v="A biography film set in 2012."/>
    <s v="Taika Waititi"/>
    <s v="Margot Robbie, Harrison Ford, Zendaya"/>
    <n v="24434"/>
    <m/>
    <n v="0"/>
    <s v="Average"/>
    <s v=" Horror"/>
    <x v="12"/>
  </r>
  <r>
    <s v="tt1000655"/>
    <s v="A Adventures 548"/>
    <n v="2023"/>
    <n v="2020"/>
    <x v="0"/>
    <n v="121"/>
    <s v="Long"/>
    <s v="A critically acclaimed documentary masterpiece."/>
    <s v="Taika Waititi"/>
    <s v="Christian Bale, Johnny Depp, Robert Downey Jr., Tom Cruise, Natalie Portman"/>
    <n v="47719"/>
    <m/>
    <n v="0"/>
    <s v="Average"/>
    <s v="Documentary"/>
    <x v="13"/>
  </r>
  <r>
    <s v="tt1000655"/>
    <s v="A Adventures 548"/>
    <n v="2023"/>
    <n v="2020"/>
    <x v="0"/>
    <n v="121"/>
    <s v="Long"/>
    <s v="A critically acclaimed documentary masterpiece."/>
    <s v="Taika Waititi"/>
    <s v="Christian Bale, Johnny Depp, Robert Downey Jr., Tom Cruise, Natalie Portman"/>
    <n v="47719"/>
    <m/>
    <n v="0"/>
    <s v="Average"/>
    <s v=" Mystery"/>
    <x v="4"/>
  </r>
  <r>
    <s v="tt1000580"/>
    <s v="Final Legend 473"/>
    <n v="2000"/>
    <n v="2000"/>
    <x v="1"/>
    <n v="117"/>
    <s v="Medium"/>
    <s v="A thrilling documentary adventure."/>
    <s v="Alfred Hitchcock"/>
    <s v="Chris Hemsworth, TimothÃ©e Chalamet, Kate Winslet"/>
    <n v="66508"/>
    <n v="297.17"/>
    <n v="297.17"/>
    <s v="Blockbuster"/>
    <s v="Documentary"/>
    <x v="13"/>
  </r>
  <r>
    <s v="tt1000580"/>
    <s v="Final Legend 473"/>
    <n v="2000"/>
    <n v="2000"/>
    <x v="1"/>
    <n v="117"/>
    <s v="Medium"/>
    <s v="A thrilling documentary adventure."/>
    <s v="Alfred Hitchcock"/>
    <s v="Chris Hemsworth, TimothÃ©e Chalamet, Kate Winslet"/>
    <n v="66508"/>
    <n v="297.17"/>
    <n v="297.17"/>
    <s v="Blockbuster"/>
    <s v=" Family"/>
    <x v="10"/>
  </r>
  <r>
    <s v="tt1000580"/>
    <s v="Final Legend 473"/>
    <n v="2000"/>
    <n v="2000"/>
    <x v="1"/>
    <n v="117"/>
    <s v="Medium"/>
    <s v="A thrilling documentary adventure."/>
    <s v="Alfred Hitchcock"/>
    <s v="Chris Hemsworth, TimothÃ©e Chalamet, Kate Winslet"/>
    <n v="66508"/>
    <n v="297.17"/>
    <n v="297.17"/>
    <s v="Blockbuster"/>
    <s v=" Adventure"/>
    <x v="9"/>
  </r>
  <r>
    <s v="tt1000381"/>
    <s v="An Kingdom 274"/>
    <n v="2005"/>
    <n v="2000"/>
    <x v="5"/>
    <n v="122"/>
    <s v="Long"/>
    <s v="A critically acclaimed sci-fi masterpiece."/>
    <s v="Quentin Tarantino"/>
    <s v="Tom Cruise, Robert Downey Jr., Gary Oldman, Daniel Day-Lewis, Mark Ruffalo"/>
    <n v="61289"/>
    <n v="202.7"/>
    <n v="202.7"/>
    <s v="Blockbuster"/>
    <s v="Sci-Fi"/>
    <x v="16"/>
  </r>
  <r>
    <s v="tt1000923"/>
    <s v="Final Love 816"/>
    <n v="2008"/>
    <n v="2000"/>
    <x v="1"/>
    <n v="116"/>
    <s v="Medium"/>
    <s v="An epic thriller tale directed by Wes Anderson."/>
    <s v="Wes Anderson"/>
    <s v="Meryl Streep, Robert De Niro, Daniel Day-Lewis"/>
    <n v="19538"/>
    <n v="292.54000000000002"/>
    <n v="292.54000000000002"/>
    <s v="Blockbuster"/>
    <s v="Thriller"/>
    <x v="17"/>
  </r>
  <r>
    <s v="tt1000923"/>
    <s v="Final Love 816"/>
    <n v="2008"/>
    <n v="2000"/>
    <x v="1"/>
    <n v="116"/>
    <s v="Medium"/>
    <s v="An epic thriller tale directed by Wes Anderson."/>
    <s v="Wes Anderson"/>
    <s v="Meryl Streep, Robert De Niro, Daniel Day-Lewis"/>
    <n v="19538"/>
    <n v="292.54000000000002"/>
    <n v="292.54000000000002"/>
    <s v="Blockbuster"/>
    <s v=" Fantasy"/>
    <x v="8"/>
  </r>
  <r>
    <s v="tt1000923"/>
    <s v="Final Love 816"/>
    <n v="2008"/>
    <n v="2000"/>
    <x v="1"/>
    <n v="116"/>
    <s v="Medium"/>
    <s v="An epic thriller tale directed by Wes Anderson."/>
    <s v="Wes Anderson"/>
    <s v="Meryl Streep, Robert De Niro, Daniel Day-Lewis"/>
    <n v="19538"/>
    <n v="292.54000000000002"/>
    <n v="292.54000000000002"/>
    <s v="Blockbuster"/>
    <s v=" Sci-Fi"/>
    <x v="16"/>
  </r>
  <r>
    <s v="tt1000925"/>
    <s v="The Legend 818"/>
    <n v="2003"/>
    <n v="2000"/>
    <x v="1"/>
    <n v="114"/>
    <s v="Medium"/>
    <s v="A critically acclaimed war masterpiece."/>
    <s v="Spike Lee"/>
    <s v="Cate Blanchett, Johnny Depp, Natalie Portman, Anthony Hopkins"/>
    <n v="41679"/>
    <m/>
    <n v="0"/>
    <s v="Average"/>
    <s v="War"/>
    <x v="2"/>
  </r>
  <r>
    <s v="tt1000925"/>
    <s v="The Legend 818"/>
    <n v="2003"/>
    <n v="2000"/>
    <x v="1"/>
    <n v="114"/>
    <s v="Medium"/>
    <s v="A critically acclaimed war masterpiece."/>
    <s v="Spike Lee"/>
    <s v="Cate Blanchett, Johnny Depp, Natalie Portman, Anthony Hopkins"/>
    <n v="41679"/>
    <m/>
    <n v="0"/>
    <s v="Average"/>
    <s v=" Animation"/>
    <x v="3"/>
  </r>
  <r>
    <s v="tt1000988"/>
    <s v="Dark Destiny 881"/>
    <n v="2008"/>
    <n v="2000"/>
    <x v="0"/>
    <n v="144"/>
    <s v="Long"/>
    <s v="A family film set in 2008."/>
    <s v="Akira Kurosawa"/>
    <s v="Kate Winslet, Scarlett Johansson, Edward Norton, Harrison Ford, Jennifer Lawrence"/>
    <n v="101595"/>
    <n v="487.1"/>
    <n v="487.1"/>
    <s v="Blockbuster"/>
    <s v="Family"/>
    <x v="10"/>
  </r>
  <r>
    <s v="tt1000268"/>
    <s v="A Empire 161"/>
    <n v="2001"/>
    <n v="2000"/>
    <x v="1"/>
    <n v="111"/>
    <s v="Medium"/>
    <s v="A critically acclaimed sci-fi masterpiece."/>
    <s v="Danny Boyle"/>
    <s v="Jennifer Lawrence, Kate Winslet, Christian Bale, Natalie Portman"/>
    <n v="83550"/>
    <n v="51.36"/>
    <n v="51.36"/>
    <s v="Average"/>
    <s v="Sci-Fi"/>
    <x v="16"/>
  </r>
  <r>
    <s v="tt1000213"/>
    <s v="Dark Adventures 106"/>
    <n v="2000"/>
    <n v="2000"/>
    <x v="4"/>
    <n v="94"/>
    <s v="Medium"/>
    <s v="A critically acclaimed drama masterpiece."/>
    <s v="Greta Gerwig"/>
    <s v="Chris Hemsworth, Scarlett Johansson, Natalie Portman"/>
    <n v="731997"/>
    <m/>
    <n v="0"/>
    <s v="Average"/>
    <s v="Drama"/>
    <x v="14"/>
  </r>
  <r>
    <s v="tt1000213"/>
    <s v="Dark Adventures 106"/>
    <n v="2000"/>
    <n v="2000"/>
    <x v="4"/>
    <n v="94"/>
    <s v="Medium"/>
    <s v="A critically acclaimed drama masterpiece."/>
    <s v="Greta Gerwig"/>
    <s v="Chris Hemsworth, Scarlett Johansson, Natalie Portman"/>
    <n v="731997"/>
    <m/>
    <n v="0"/>
    <s v="Average"/>
    <s v=" Documentary"/>
    <x v="13"/>
  </r>
  <r>
    <s v="tt1000213"/>
    <s v="Dark Adventures 106"/>
    <n v="2000"/>
    <n v="2000"/>
    <x v="4"/>
    <n v="94"/>
    <s v="Medium"/>
    <s v="A critically acclaimed drama masterpiece."/>
    <s v="Greta Gerwig"/>
    <s v="Chris Hemsworth, Scarlett Johansson, Natalie Portman"/>
    <n v="731997"/>
    <m/>
    <n v="0"/>
    <s v="Average"/>
    <s v=" Sci-Fi"/>
    <x v="16"/>
  </r>
  <r>
    <s v="tt1000658"/>
    <s v="The Quest 551"/>
    <n v="2013"/>
    <n v="2010"/>
    <x v="0"/>
    <n v="119"/>
    <s v="Medium"/>
    <s v="A critically acclaimed animation masterpiece."/>
    <s v="Bong Joon-ho"/>
    <s v="Johnny Depp, Jack Nicholson, Natalie Portman"/>
    <n v="323246"/>
    <n v="159.82"/>
    <n v="159.82"/>
    <s v="Hit"/>
    <s v="Animation"/>
    <x v="3"/>
  </r>
  <r>
    <s v="tt1000658"/>
    <s v="The Quest 551"/>
    <n v="2013"/>
    <n v="2010"/>
    <x v="0"/>
    <n v="119"/>
    <s v="Medium"/>
    <s v="A critically acclaimed animation masterpiece."/>
    <s v="Bong Joon-ho"/>
    <s v="Johnny Depp, Jack Nicholson, Natalie Portman"/>
    <n v="323246"/>
    <n v="159.82"/>
    <n v="159.82"/>
    <s v="Hit"/>
    <s v=" Horror"/>
    <x v="12"/>
  </r>
  <r>
    <s v="tt1000832"/>
    <s v="Lost Kingdom 725"/>
    <n v="2021"/>
    <n v="2020"/>
    <x v="1"/>
    <n v="114"/>
    <s v="Medium"/>
    <s v="A thrilling thriller adventure."/>
    <s v="Steven Spielberg"/>
    <s v="Denzel Washington, Leonardo DiCaprio, Will Smith, Chris Hemsworth, Kate Winslet"/>
    <n v="195938"/>
    <m/>
    <n v="0"/>
    <s v="Average"/>
    <s v="Thriller"/>
    <x v="17"/>
  </r>
  <r>
    <s v="tt1000424"/>
    <s v="The Revolution 317"/>
    <n v="2010"/>
    <n v="2010"/>
    <x v="0"/>
    <n v="98"/>
    <s v="Medium"/>
    <s v="An epic musical tale directed by Sam Mendes."/>
    <s v="Sam Mendes"/>
    <s v="Meryl Streep, Natalie Portman, Scarlett Johansson, Cate Blanchett, Kate Winslet"/>
    <n v="369404"/>
    <m/>
    <n v="0"/>
    <s v="Average"/>
    <s v="Musical"/>
    <x v="1"/>
  </r>
  <r>
    <s v="tt1000424"/>
    <s v="The Revolution 317"/>
    <n v="2010"/>
    <n v="2010"/>
    <x v="0"/>
    <n v="98"/>
    <s v="Medium"/>
    <s v="An epic musical tale directed by Sam Mendes."/>
    <s v="Sam Mendes"/>
    <s v="Meryl Streep, Natalie Portman, Scarlett Johansson, Cate Blanchett, Kate Winslet"/>
    <n v="369404"/>
    <m/>
    <n v="0"/>
    <s v="Average"/>
    <s v=" Family"/>
    <x v="10"/>
  </r>
  <r>
    <s v="tt1000426"/>
    <s v="Last Adventures 319"/>
    <n v="2014"/>
    <n v="2010"/>
    <x v="0"/>
    <n v="123"/>
    <s v="Long"/>
    <s v="A thrilling war adventure."/>
    <s v="Akira Kurosawa"/>
    <s v="Will Smith, Anthony Hopkins, Tom Hanks, Matt Damon"/>
    <n v="73153"/>
    <n v="174.82"/>
    <n v="174.82"/>
    <s v="Hit"/>
    <s v="War"/>
    <x v="2"/>
  </r>
  <r>
    <s v="tt1000426"/>
    <s v="Last Adventures 319"/>
    <n v="2014"/>
    <n v="2010"/>
    <x v="0"/>
    <n v="123"/>
    <s v="Long"/>
    <s v="A thrilling war adventure."/>
    <s v="Akira Kurosawa"/>
    <s v="Will Smith, Anthony Hopkins, Tom Hanks, Matt Damon"/>
    <n v="73153"/>
    <n v="174.82"/>
    <n v="174.82"/>
    <s v="Hit"/>
    <s v=" Family"/>
    <x v="10"/>
  </r>
  <r>
    <s v="tt1000432"/>
    <s v="Final Revolution 325"/>
    <n v="2002"/>
    <n v="2000"/>
    <x v="0"/>
    <n v="138"/>
    <s v="Long"/>
    <s v="An epic western tale directed by Greta Gerwig."/>
    <s v="Greta Gerwig"/>
    <s v="Christian Bale, Jack Nicholson, Mark Ruffalo"/>
    <n v="89419"/>
    <n v="102.29"/>
    <n v="102.29"/>
    <s v="Hit"/>
    <s v="Western"/>
    <x v="11"/>
  </r>
  <r>
    <s v="tt1000595"/>
    <s v="Dark Destiny 488"/>
    <n v="2009"/>
    <n v="2000"/>
    <x v="0"/>
    <n v="90"/>
    <s v="Medium"/>
    <s v="A critically acclaimed horror masterpiece."/>
    <s v="Alfred Hitchcock"/>
    <s v="Gary Oldman, Edward Norton, Johnny Depp, Tom Hanks"/>
    <n v="19375"/>
    <n v="479.95"/>
    <n v="479.95"/>
    <s v="Blockbuster"/>
    <s v="Horror"/>
    <x v="12"/>
  </r>
  <r>
    <s v="tt1000595"/>
    <s v="Dark Destiny 488"/>
    <n v="2009"/>
    <n v="2000"/>
    <x v="0"/>
    <n v="90"/>
    <s v="Medium"/>
    <s v="A critically acclaimed horror masterpiece."/>
    <s v="Alfred Hitchcock"/>
    <s v="Gary Oldman, Edward Norton, Johnny Depp, Tom Hanks"/>
    <n v="19375"/>
    <n v="479.95"/>
    <n v="479.95"/>
    <s v="Blockbuster"/>
    <s v=" Animation"/>
    <x v="3"/>
  </r>
  <r>
    <s v="tt1000857"/>
    <s v="Secret Story 750"/>
    <n v="2007"/>
    <n v="2000"/>
    <x v="1"/>
    <n v="91"/>
    <s v="Medium"/>
    <s v="A documentary film set in 2007."/>
    <s v="David Fincher"/>
    <s v="Tom Cruise, Robert Downey Jr., Viola Davis"/>
    <n v="55530"/>
    <m/>
    <n v="0"/>
    <s v="Average"/>
    <s v="Documentary"/>
    <x v="13"/>
  </r>
  <r>
    <s v="tt1000276"/>
    <s v="An Dreams 169"/>
    <n v="2004"/>
    <n v="2000"/>
    <x v="2"/>
    <n v="111"/>
    <s v="Medium"/>
    <s v="A thrilling animation adventure."/>
    <s v="Ava DuVernay"/>
    <s v="Leonardo DiCaprio, Keanu Reeves, Viola Davis, Amy Adams"/>
    <n v="7969"/>
    <n v="10.43"/>
    <n v="10.43"/>
    <s v="Average"/>
    <s v="Animation"/>
    <x v="3"/>
  </r>
  <r>
    <s v="tt1000274"/>
    <s v="First Journey 167"/>
    <n v="2008"/>
    <n v="2000"/>
    <x v="2"/>
    <n v="165"/>
    <s v="Long"/>
    <s v="An epic mystery tale directed by Clint Eastwood."/>
    <s v="Clint Eastwood"/>
    <s v="Kate Winslet, Robert De Niro, Viola Davis"/>
    <n v="30691"/>
    <m/>
    <n v="0"/>
    <s v="Average"/>
    <s v="Mystery"/>
    <x v="4"/>
  </r>
  <r>
    <s v="tt1000274"/>
    <s v="First Journey 167"/>
    <n v="2008"/>
    <n v="2000"/>
    <x v="2"/>
    <n v="165"/>
    <s v="Long"/>
    <s v="An epic mystery tale directed by Clint Eastwood."/>
    <s v="Clint Eastwood"/>
    <s v="Kate Winslet, Robert De Niro, Viola Davis"/>
    <n v="30691"/>
    <m/>
    <n v="0"/>
    <s v="Average"/>
    <s v=" Action"/>
    <x v="0"/>
  </r>
  <r>
    <s v="tt1000224"/>
    <s v="Dark Destiny 117"/>
    <n v="2016"/>
    <n v="2010"/>
    <x v="0"/>
    <n v="113"/>
    <s v="Medium"/>
    <s v="A thrilling mystery adventure."/>
    <s v="Frank Darabont"/>
    <s v="Matt Damon, Cate Blanchett, Keanu Reeves"/>
    <n v="7249"/>
    <m/>
    <n v="0"/>
    <s v="Average"/>
    <s v="Mystery"/>
    <x v="4"/>
  </r>
  <r>
    <s v="tt1000469"/>
    <s v="An Secrets 362"/>
    <n v="2024"/>
    <n v="2020"/>
    <x v="0"/>
    <n v="150"/>
    <s v="Long"/>
    <s v="A critically acclaimed mystery masterpiece."/>
    <s v="Edgar Wright"/>
    <s v="Mark Ruffalo, Edward Norton, Scarlett Johansson, Samuel L. Jackson, Morgan Freeman"/>
    <n v="41099"/>
    <m/>
    <n v="0"/>
    <s v="Average"/>
    <s v="Mystery"/>
    <x v="4"/>
  </r>
  <r>
    <s v="tt1000648"/>
    <s v="The Destiny 541"/>
    <n v="2017"/>
    <n v="2010"/>
    <x v="1"/>
    <n v="132"/>
    <s v="Long"/>
    <s v="A critically acclaimed animation masterpiece."/>
    <s v="Greta Gerwig"/>
    <s v="Edward Norton, Keanu Reeves, Tom Hanks, Chris Hemsworth"/>
    <n v="105413"/>
    <n v="84.41"/>
    <n v="84.41"/>
    <s v="Average"/>
    <s v="Animation"/>
    <x v="3"/>
  </r>
  <r>
    <s v="tt1000648"/>
    <s v="The Destiny 541"/>
    <n v="2017"/>
    <n v="2010"/>
    <x v="1"/>
    <n v="132"/>
    <s v="Long"/>
    <s v="A critically acclaimed animation masterpiece."/>
    <s v="Greta Gerwig"/>
    <s v="Edward Norton, Keanu Reeves, Tom Hanks, Chris Hemsworth"/>
    <n v="105413"/>
    <n v="84.41"/>
    <n v="84.41"/>
    <s v="Average"/>
    <s v=" Crime"/>
    <x v="6"/>
  </r>
  <r>
    <s v="tt1000684"/>
    <s v="Final Awakening 577"/>
    <n v="2000"/>
    <n v="2000"/>
    <x v="0"/>
    <n v="106"/>
    <s v="Medium"/>
    <s v="A critically acclaimed action masterpiece."/>
    <s v="James Cameron"/>
    <s v="Kate Winslet, Keanu Reeves, Florence Pugh, Amy Adams, TimothÃ©e Chalamet"/>
    <n v="7952"/>
    <n v="288.18"/>
    <n v="288.18"/>
    <s v="Blockbuster"/>
    <s v="Action"/>
    <x v="0"/>
  </r>
  <r>
    <s v="tt1000684"/>
    <s v="Final Awakening 577"/>
    <n v="2000"/>
    <n v="2000"/>
    <x v="0"/>
    <n v="106"/>
    <s v="Medium"/>
    <s v="A critically acclaimed action masterpiece."/>
    <s v="James Cameron"/>
    <s v="Kate Winslet, Keanu Reeves, Florence Pugh, Amy Adams, TimothÃ©e Chalamet"/>
    <n v="7952"/>
    <n v="288.18"/>
    <n v="288.18"/>
    <s v="Blockbuster"/>
    <s v=" Romance"/>
    <x v="7"/>
  </r>
  <r>
    <s v="tt1000642"/>
    <s v="Final Quest 535"/>
    <n v="2022"/>
    <n v="2020"/>
    <x v="3"/>
    <n v="70"/>
    <s v="Short"/>
    <s v="A critically acclaimed musical masterpiece."/>
    <s v="Spike Lee"/>
    <s v="Natalie Portman, Gary Oldman, Denzel Washington, Mark Ruffalo, Margot Robbie"/>
    <n v="312212"/>
    <n v="442.26"/>
    <n v="442.26"/>
    <s v="Blockbuster"/>
    <s v="Musical"/>
    <x v="1"/>
  </r>
  <r>
    <s v="tt1000642"/>
    <s v="Final Quest 535"/>
    <n v="2022"/>
    <n v="2020"/>
    <x v="3"/>
    <n v="70"/>
    <s v="Short"/>
    <s v="A critically acclaimed musical masterpiece."/>
    <s v="Spike Lee"/>
    <s v="Natalie Portman, Gary Oldman, Denzel Washington, Mark Ruffalo, Margot Robbie"/>
    <n v="312212"/>
    <n v="442.26"/>
    <n v="442.26"/>
    <s v="Blockbuster"/>
    <s v=" War"/>
    <x v="2"/>
  </r>
  <r>
    <s v="tt1000642"/>
    <s v="Final Quest 535"/>
    <n v="2022"/>
    <n v="2020"/>
    <x v="3"/>
    <n v="70"/>
    <s v="Short"/>
    <s v="A critically acclaimed musical masterpiece."/>
    <s v="Spike Lee"/>
    <s v="Natalie Portman, Gary Oldman, Denzel Washington, Mark Ruffalo, Margot Robbie"/>
    <n v="312212"/>
    <n v="442.26"/>
    <n v="442.26"/>
    <s v="Blockbuster"/>
    <s v=" Fantasy"/>
    <x v="8"/>
  </r>
  <r>
    <s v="tt1000386"/>
    <s v="Secret Destiny 279"/>
    <n v="2022"/>
    <n v="2020"/>
    <x v="0"/>
    <n v="139"/>
    <s v="Long"/>
    <s v="A thrilling fantasy adventure."/>
    <s v="Bong Joon-ho"/>
    <s v="Emma Stone, Jack Nicholson, Johnny Depp, Edward Norton"/>
    <n v="1409"/>
    <n v="78.59"/>
    <n v="78.59"/>
    <s v="Average"/>
    <s v="Fantasy"/>
    <x v="8"/>
  </r>
  <r>
    <s v="tt1000386"/>
    <s v="Secret Destiny 279"/>
    <n v="2022"/>
    <n v="2020"/>
    <x v="0"/>
    <n v="139"/>
    <s v="Long"/>
    <s v="A thrilling fantasy adventure."/>
    <s v="Bong Joon-ho"/>
    <s v="Emma Stone, Jack Nicholson, Johnny Depp, Edward Norton"/>
    <n v="1409"/>
    <n v="78.59"/>
    <n v="78.59"/>
    <s v="Average"/>
    <s v=" Thriller"/>
    <x v="17"/>
  </r>
  <r>
    <s v="tt1000928"/>
    <s v="Dark Love 821"/>
    <n v="2008"/>
    <n v="2000"/>
    <x v="2"/>
    <n v="110"/>
    <s v="Medium"/>
    <s v="An epic horror tale directed by Ridley Scott."/>
    <s v="Ridley Scott"/>
    <s v="Jennifer Lawrence, Viola Davis, Anthony Hopkins"/>
    <n v="18863"/>
    <m/>
    <n v="0"/>
    <s v="Average"/>
    <s v="Horror"/>
    <x v="12"/>
  </r>
  <r>
    <s v="tt1000928"/>
    <s v="Dark Love 821"/>
    <n v="2008"/>
    <n v="2000"/>
    <x v="2"/>
    <n v="110"/>
    <s v="Medium"/>
    <s v="An epic horror tale directed by Ridley Scott."/>
    <s v="Ridley Scott"/>
    <s v="Jennifer Lawrence, Viola Davis, Anthony Hopkins"/>
    <n v="18863"/>
    <m/>
    <n v="0"/>
    <s v="Average"/>
    <s v=" Adventure"/>
    <x v="9"/>
  </r>
  <r>
    <s v="tt1000928"/>
    <s v="Dark Love 821"/>
    <n v="2008"/>
    <n v="2000"/>
    <x v="2"/>
    <n v="110"/>
    <s v="Medium"/>
    <s v="An epic horror tale directed by Ridley Scott."/>
    <s v="Ridley Scott"/>
    <s v="Jennifer Lawrence, Viola Davis, Anthony Hopkins"/>
    <n v="18863"/>
    <m/>
    <n v="0"/>
    <s v="Average"/>
    <s v=" Musical"/>
    <x v="1"/>
  </r>
  <r>
    <s v="tt1000360"/>
    <s v="Dark Destiny 253"/>
    <n v="2008"/>
    <n v="2000"/>
    <x v="2"/>
    <n v="113"/>
    <s v="Medium"/>
    <s v="A thrilling western adventure."/>
    <s v="Quentin Tarantino"/>
    <s v="Robert Downey Jr., Margot Robbie, Denzel Washington, Robert De Niro, Mark Ruffalo"/>
    <n v="36958"/>
    <n v="12.84"/>
    <n v="12.84"/>
    <s v="Average"/>
    <s v="Western"/>
    <x v="11"/>
  </r>
  <r>
    <s v="tt1000360"/>
    <s v="Dark Destiny 253"/>
    <n v="2008"/>
    <n v="2000"/>
    <x v="2"/>
    <n v="113"/>
    <s v="Medium"/>
    <s v="A thrilling western adventure."/>
    <s v="Quentin Tarantino"/>
    <s v="Robert Downey Jr., Margot Robbie, Denzel Washington, Robert De Niro, Mark Ruffalo"/>
    <n v="36958"/>
    <n v="12.84"/>
    <n v="12.84"/>
    <s v="Average"/>
    <s v=" Mystery"/>
    <x v="4"/>
  </r>
  <r>
    <s v="tt1000360"/>
    <s v="Dark Destiny 253"/>
    <n v="2008"/>
    <n v="2000"/>
    <x v="2"/>
    <n v="113"/>
    <s v="Medium"/>
    <s v="A thrilling western adventure."/>
    <s v="Quentin Tarantino"/>
    <s v="Robert Downey Jr., Margot Robbie, Denzel Washington, Robert De Niro, Mark Ruffalo"/>
    <n v="36958"/>
    <n v="12.84"/>
    <n v="12.84"/>
    <s v="Average"/>
    <s v=" Sci-Fi"/>
    <x v="16"/>
  </r>
  <r>
    <s v="tt1000558"/>
    <s v="The Legend 451"/>
    <n v="2008"/>
    <n v="2000"/>
    <x v="0"/>
    <n v="152"/>
    <s v="Long"/>
    <s v="A critically acclaimed drama masterpiece."/>
    <s v="George Lucas"/>
    <s v="Johnny Depp, Natalie Portman, Florence Pugh, Morgan Freeman, Tom Hanks"/>
    <n v="371661"/>
    <m/>
    <n v="0"/>
    <s v="Average"/>
    <s v="Drama"/>
    <x v="14"/>
  </r>
  <r>
    <s v="tt1000288"/>
    <s v="Final Mission 181"/>
    <n v="2021"/>
    <n v="2020"/>
    <x v="2"/>
    <n v="107"/>
    <s v="Medium"/>
    <s v="A biography film set in 2021."/>
    <s v="Ang Lee"/>
    <s v="TimothÃ©e Chalamet, Emma Stone, Meryl Streep, Jack Nicholson"/>
    <n v="91931"/>
    <m/>
    <n v="0"/>
    <s v="Average"/>
    <s v="Biography"/>
    <x v="5"/>
  </r>
  <r>
    <s v="tt1000112"/>
    <s v="Final Dreams 5"/>
    <n v="1986"/>
    <n v="1980"/>
    <x v="2"/>
    <n v="103"/>
    <s v="Medium"/>
    <s v="A critically acclaimed thriller masterpiece."/>
    <s v="Akira Kurosawa"/>
    <s v="Kate Winslet, Matt Damon, Amy Adams, Mark Ruffalo, Zendaya"/>
    <n v="66740"/>
    <n v="247.93"/>
    <n v="247.93"/>
    <s v="Blockbuster"/>
    <s v="Thriller"/>
    <x v="17"/>
  </r>
  <r>
    <s v="tt1000112"/>
    <s v="Final Dreams 5"/>
    <n v="1986"/>
    <n v="1980"/>
    <x v="2"/>
    <n v="103"/>
    <s v="Medium"/>
    <s v="A critically acclaimed thriller masterpiece."/>
    <s v="Akira Kurosawa"/>
    <s v="Kate Winslet, Matt Damon, Amy Adams, Mark Ruffalo, Zendaya"/>
    <n v="66740"/>
    <n v="247.93"/>
    <n v="247.93"/>
    <s v="Blockbuster"/>
    <s v=" Drama"/>
    <x v="14"/>
  </r>
  <r>
    <s v="tt1000767"/>
    <s v="First Story 660"/>
    <n v="2011"/>
    <n v="2010"/>
    <x v="0"/>
    <n v="100"/>
    <s v="Medium"/>
    <s v="A comedy film set in 2011."/>
    <s v="David Fincher"/>
    <s v="Cate Blanchett, Jennifer Lawrence, Matt Damon, Tom Hanks, Viola Davis"/>
    <n v="87142"/>
    <n v="389.56"/>
    <n v="389.56"/>
    <s v="Blockbuster"/>
    <s v="Comedy"/>
    <x v="15"/>
  </r>
  <r>
    <s v="tt1000303"/>
    <s v="Lost Dreams 196"/>
    <n v="2019"/>
    <n v="2010"/>
    <x v="4"/>
    <n v="163"/>
    <s v="Long"/>
    <s v="A critically acclaimed romance masterpiece."/>
    <s v="Peter Jackson"/>
    <s v="Jennifer Lawrence, Morgan Freeman, Meryl Streep"/>
    <n v="83176"/>
    <m/>
    <n v="0"/>
    <s v="Average"/>
    <s v="Romance"/>
    <x v="7"/>
  </r>
  <r>
    <s v="tt1000303"/>
    <s v="Lost Dreams 196"/>
    <n v="2019"/>
    <n v="2010"/>
    <x v="4"/>
    <n v="163"/>
    <s v="Long"/>
    <s v="A critically acclaimed romance masterpiece."/>
    <s v="Peter Jackson"/>
    <s v="Jennifer Lawrence, Morgan Freeman, Meryl Streep"/>
    <n v="83176"/>
    <m/>
    <n v="0"/>
    <s v="Average"/>
    <s v=" Adventure"/>
    <x v="9"/>
  </r>
  <r>
    <s v="tt1000239"/>
    <s v="A Mission 132"/>
    <n v="2005"/>
    <n v="2000"/>
    <x v="4"/>
    <n v="123"/>
    <s v="Long"/>
    <s v="A critically acclaimed family masterpiece."/>
    <s v="Taika Waititi"/>
    <s v="Al Pacino, Chris Hemsworth, Margot Robbie"/>
    <n v="54972"/>
    <n v="149.35"/>
    <n v="149.35"/>
    <s v="Hit"/>
    <s v="Family"/>
    <x v="10"/>
  </r>
  <r>
    <s v="tt1000239"/>
    <s v="A Mission 132"/>
    <n v="2005"/>
    <n v="2000"/>
    <x v="4"/>
    <n v="123"/>
    <s v="Long"/>
    <s v="A critically acclaimed family masterpiece."/>
    <s v="Taika Waititi"/>
    <s v="Al Pacino, Chris Hemsworth, Margot Robbie"/>
    <n v="54972"/>
    <n v="149.35"/>
    <n v="149.35"/>
    <s v="Hit"/>
    <s v=" Adventure"/>
    <x v="9"/>
  </r>
  <r>
    <s v="tt1000413"/>
    <s v="Final Love 306"/>
    <n v="2021"/>
    <n v="2020"/>
    <x v="0"/>
    <n v="152"/>
    <s v="Long"/>
    <s v="A war film set in 2021."/>
    <s v="Steven Spielberg"/>
    <s v="Tom Cruise, TimothÃ©e Chalamet, Cate Blanchett, Jack Nicholson"/>
    <n v="44118"/>
    <n v="232.17"/>
    <n v="232.17"/>
    <s v="Blockbuster"/>
    <s v="War"/>
    <x v="2"/>
  </r>
  <r>
    <s v="tt1000413"/>
    <s v="Final Love 306"/>
    <n v="2021"/>
    <n v="2020"/>
    <x v="0"/>
    <n v="152"/>
    <s v="Long"/>
    <s v="A war film set in 2021."/>
    <s v="Steven Spielberg"/>
    <s v="Tom Cruise, TimothÃ©e Chalamet, Cate Blanchett, Jack Nicholson"/>
    <n v="44118"/>
    <n v="232.17"/>
    <n v="232.17"/>
    <s v="Blockbuster"/>
    <s v=" Thriller"/>
    <x v="17"/>
  </r>
  <r>
    <s v="tt1000785"/>
    <s v="The Dreams 678"/>
    <n v="2008"/>
    <n v="2000"/>
    <x v="0"/>
    <n v="125"/>
    <s v="Long"/>
    <s v="An epic crime tale directed by Peter Jackson."/>
    <s v="Peter Jackson"/>
    <s v="Keanu Reeves, Robert De Niro, Scarlett Johansson, Matt Damon"/>
    <n v="74241"/>
    <m/>
    <n v="0"/>
    <s v="Average"/>
    <s v="Crime"/>
    <x v="6"/>
  </r>
  <r>
    <s v="tt1000785"/>
    <s v="The Dreams 678"/>
    <n v="2008"/>
    <n v="2000"/>
    <x v="0"/>
    <n v="125"/>
    <s v="Long"/>
    <s v="An epic crime tale directed by Peter Jackson."/>
    <s v="Peter Jackson"/>
    <s v="Keanu Reeves, Robert De Niro, Scarlett Johansson, Matt Damon"/>
    <n v="74241"/>
    <m/>
    <n v="0"/>
    <s v="Average"/>
    <s v=" Action"/>
    <x v="0"/>
  </r>
  <r>
    <s v="tt1000339"/>
    <s v="Final Mission 232"/>
    <n v="2007"/>
    <n v="2000"/>
    <x v="1"/>
    <n v="110"/>
    <s v="Medium"/>
    <s v="An epic fantasy tale directed by Greta Gerwig."/>
    <s v="Greta Gerwig"/>
    <s v="Viola Davis, Mark Ruffalo, Edward Norton, Meryl Streep"/>
    <n v="113125"/>
    <n v="65.64"/>
    <n v="65.64"/>
    <s v="Average"/>
    <s v="Fantasy"/>
    <x v="8"/>
  </r>
  <r>
    <s v="tt1000711"/>
    <s v="First Love 604"/>
    <n v="2014"/>
    <n v="2010"/>
    <x v="2"/>
    <n v="131"/>
    <s v="Long"/>
    <s v="An epic horror tale directed by Bong Joon-ho."/>
    <s v="Bong Joon-ho"/>
    <s v="Robert De Niro, Brad Pitt, Tom Cruise, Chris Hemsworth, Denzel Washington"/>
    <n v="25326"/>
    <n v="489.89"/>
    <n v="489.89"/>
    <s v="Blockbuster"/>
    <s v="Horror"/>
    <x v="12"/>
  </r>
  <r>
    <s v="tt1000494"/>
    <s v="Last Story 387"/>
    <n v="2001"/>
    <n v="2000"/>
    <x v="5"/>
    <n v="154"/>
    <s v="Long"/>
    <s v="An epic thriller tale directed by Coen Brothers."/>
    <s v="Coen Brothers"/>
    <s v="Morgan Freeman, Robert Downey Jr., Chris Hemsworth, Amy Adams, Samuel L. Jackson"/>
    <n v="83870"/>
    <n v="195.76"/>
    <n v="195.76"/>
    <s v="Hit"/>
    <s v="Thriller"/>
    <x v="17"/>
  </r>
  <r>
    <s v="tt1000494"/>
    <s v="Last Story 387"/>
    <n v="2001"/>
    <n v="2000"/>
    <x v="5"/>
    <n v="154"/>
    <s v="Long"/>
    <s v="An epic thriller tale directed by Coen Brothers."/>
    <s v="Coen Brothers"/>
    <s v="Morgan Freeman, Robert Downey Jr., Chris Hemsworth, Amy Adams, Samuel L. Jackson"/>
    <n v="83870"/>
    <n v="195.76"/>
    <n v="195.76"/>
    <s v="Hit"/>
    <s v=" Mystery"/>
    <x v="4"/>
  </r>
  <r>
    <s v="tt1000557"/>
    <s v="An Revolution 450"/>
    <n v="2020"/>
    <n v="2020"/>
    <x v="5"/>
    <n v="112"/>
    <s v="Medium"/>
    <s v="A adventure film set in 2020."/>
    <s v="Ron Howard"/>
    <s v="Meryl Streep, Morgan Freeman, TimothÃ©e Chalamet, Zendaya, Amy Adams"/>
    <n v="15008"/>
    <m/>
    <n v="0"/>
    <s v="Average"/>
    <s v="Adventure"/>
    <x v="9"/>
  </r>
  <r>
    <s v="tt1000557"/>
    <s v="An Revolution 450"/>
    <n v="2020"/>
    <n v="2020"/>
    <x v="5"/>
    <n v="112"/>
    <s v="Medium"/>
    <s v="A adventure film set in 2020."/>
    <s v="Ron Howard"/>
    <s v="Meryl Streep, Morgan Freeman, TimothÃ©e Chalamet, Zendaya, Amy Adams"/>
    <n v="15008"/>
    <m/>
    <n v="0"/>
    <s v="Average"/>
    <s v=" Romance"/>
    <x v="7"/>
  </r>
  <r>
    <s v="tt1000557"/>
    <s v="An Revolution 450"/>
    <n v="2020"/>
    <n v="2020"/>
    <x v="5"/>
    <n v="112"/>
    <s v="Medium"/>
    <s v="A adventure film set in 2020."/>
    <s v="Ron Howard"/>
    <s v="Meryl Streep, Morgan Freeman, TimothÃ©e Chalamet, Zendaya, Amy Adams"/>
    <n v="15008"/>
    <m/>
    <n v="0"/>
    <s v="Average"/>
    <s v=" Drama"/>
    <x v="14"/>
  </r>
  <r>
    <s v="tt1000918"/>
    <s v="An Kingdom 811"/>
    <n v="2001"/>
    <n v="2000"/>
    <x v="2"/>
    <n v="118"/>
    <s v="Medium"/>
    <s v="A mystery film set in 2001."/>
    <s v="Quentin Tarantino"/>
    <s v="Robert De Niro, Jack Nicholson, Leonardo DiCaprio"/>
    <n v="80220"/>
    <n v="440.2"/>
    <n v="440.2"/>
    <s v="Blockbuster"/>
    <s v="Mystery"/>
    <x v="4"/>
  </r>
  <r>
    <s v="tt1000270"/>
    <s v="The War 163"/>
    <n v="2013"/>
    <n v="2010"/>
    <x v="1"/>
    <n v="116"/>
    <s v="Medium"/>
    <s v="A critically acclaimed mystery masterpiece."/>
    <s v="Martin Scorsese"/>
    <s v="Harrison Ford, Zendaya, Edward Norton"/>
    <n v="524639"/>
    <n v="464.34"/>
    <n v="464.34"/>
    <s v="Blockbuster"/>
    <s v="Mystery"/>
    <x v="4"/>
  </r>
  <r>
    <s v="tt1000270"/>
    <s v="The War 163"/>
    <n v="2013"/>
    <n v="2010"/>
    <x v="1"/>
    <n v="116"/>
    <s v="Medium"/>
    <s v="A critically acclaimed mystery masterpiece."/>
    <s v="Martin Scorsese"/>
    <s v="Harrison Ford, Zendaya, Edward Norton"/>
    <n v="524639"/>
    <n v="464.34"/>
    <n v="464.34"/>
    <s v="Blockbuster"/>
    <s v=" Documentary"/>
    <x v="13"/>
  </r>
  <r>
    <s v="tt1000980"/>
    <s v="An Chronicles 873"/>
    <n v="2014"/>
    <n v="2010"/>
    <x v="2"/>
    <n v="139"/>
    <s v="Long"/>
    <s v="A thrilling biography adventure."/>
    <s v="Spike Lee"/>
    <s v="Tom Hanks, Viola Davis, Kate Winslet, Robert Downey Jr."/>
    <n v="156485"/>
    <n v="317.22000000000003"/>
    <n v="317.22000000000003"/>
    <s v="Blockbuster"/>
    <s v="Biography"/>
    <x v="5"/>
  </r>
  <r>
    <s v="tt1000199"/>
    <s v="The War 92"/>
    <n v="1995"/>
    <n v="1990"/>
    <x v="0"/>
    <n v="100"/>
    <s v="Medium"/>
    <s v="A thrilling musical adventure."/>
    <s v="Martin Scorsese"/>
    <s v="Al Pacino, Johnny Depp, Denzel Washington, Will Smith"/>
    <n v="105445"/>
    <n v="128.97"/>
    <n v="128.97"/>
    <s v="Hit"/>
    <s v="Musical"/>
    <x v="1"/>
  </r>
  <r>
    <s v="tt1000199"/>
    <s v="The War 92"/>
    <n v="1995"/>
    <n v="1990"/>
    <x v="0"/>
    <n v="100"/>
    <s v="Medium"/>
    <s v="A thrilling musical adventure."/>
    <s v="Martin Scorsese"/>
    <s v="Al Pacino, Johnny Depp, Denzel Washington, Will Smith"/>
    <n v="105445"/>
    <n v="128.97"/>
    <n v="128.97"/>
    <s v="Hit"/>
    <s v=" Biography"/>
    <x v="5"/>
  </r>
  <r>
    <s v="tt1000358"/>
    <s v="Secret Mystery 251"/>
    <n v="2009"/>
    <n v="2000"/>
    <x v="0"/>
    <n v="139"/>
    <s v="Long"/>
    <s v="A horror film set in 2009."/>
    <s v="Christopher Nolan"/>
    <s v="Matt Damon, Gary Oldman, Robert De Niro, Jennifer Lawrence, Viola Davis"/>
    <n v="5797"/>
    <n v="92.46"/>
    <n v="92.46"/>
    <s v="Average"/>
    <s v="Horror"/>
    <x v="12"/>
  </r>
  <r>
    <s v="tt1000358"/>
    <s v="Secret Mystery 251"/>
    <n v="2009"/>
    <n v="2000"/>
    <x v="0"/>
    <n v="139"/>
    <s v="Long"/>
    <s v="A horror film set in 2009."/>
    <s v="Christopher Nolan"/>
    <s v="Matt Damon, Gary Oldman, Robert De Niro, Jennifer Lawrence, Viola Davis"/>
    <n v="5797"/>
    <n v="92.46"/>
    <n v="92.46"/>
    <s v="Average"/>
    <s v=" Crime"/>
    <x v="6"/>
  </r>
  <r>
    <s v="tt1000300"/>
    <s v="Final War 193"/>
    <n v="2002"/>
    <n v="2000"/>
    <x v="1"/>
    <n v="127"/>
    <s v="Long"/>
    <s v="A thrilling musical adventure."/>
    <s v="George Lucas"/>
    <s v="Tom Hanks, Robert Downey Jr., Gary Oldman, Harrison Ford, Brad Pitt"/>
    <n v="62512"/>
    <n v="145.21"/>
    <n v="145.21"/>
    <s v="Hit"/>
    <s v="Musical"/>
    <x v="1"/>
  </r>
  <r>
    <s v="tt1000300"/>
    <s v="Final War 193"/>
    <n v="2002"/>
    <n v="2000"/>
    <x v="1"/>
    <n v="127"/>
    <s v="Long"/>
    <s v="A thrilling musical adventure."/>
    <s v="George Lucas"/>
    <s v="Tom Hanks, Robert Downey Jr., Gary Oldman, Harrison Ford, Brad Pitt"/>
    <n v="62512"/>
    <n v="145.21"/>
    <n v="145.21"/>
    <s v="Hit"/>
    <s v=" Sci-Fi"/>
    <x v="16"/>
  </r>
  <r>
    <s v="tt1000460"/>
    <s v="A Journey 353"/>
    <n v="2015"/>
    <n v="2010"/>
    <x v="1"/>
    <n v="133"/>
    <s v="Long"/>
    <s v="An epic documentary tale directed by Ang Lee."/>
    <s v="Ang Lee"/>
    <s v="Matt Damon, Florence Pugh, Brad Pitt"/>
    <n v="1522649"/>
    <n v="44.22"/>
    <n v="44.22"/>
    <s v="Average"/>
    <s v="Documentary"/>
    <x v="13"/>
  </r>
  <r>
    <s v="tt1000460"/>
    <s v="A Journey 353"/>
    <n v="2015"/>
    <n v="2010"/>
    <x v="1"/>
    <n v="133"/>
    <s v="Long"/>
    <s v="An epic documentary tale directed by Ang Lee."/>
    <s v="Ang Lee"/>
    <s v="Matt Damon, Florence Pugh, Brad Pitt"/>
    <n v="1522649"/>
    <n v="44.22"/>
    <n v="44.22"/>
    <s v="Average"/>
    <s v=" War"/>
    <x v="2"/>
  </r>
  <r>
    <s v="tt1000680"/>
    <s v="A War 573"/>
    <n v="2004"/>
    <n v="2000"/>
    <x v="0"/>
    <n v="106"/>
    <s v="Medium"/>
    <s v="An epic war tale directed by Frank Darabont."/>
    <s v="Frank Darabont"/>
    <s v="Zendaya, Viola Davis, Tom Hanks"/>
    <n v="27278"/>
    <n v="170.28"/>
    <n v="170.28"/>
    <s v="Hit"/>
    <s v="War"/>
    <x v="2"/>
  </r>
  <r>
    <s v="tt1000866"/>
    <s v="Final Story 759"/>
    <n v="2023"/>
    <n v="2020"/>
    <x v="5"/>
    <n v="144"/>
    <s v="Long"/>
    <s v="A critically acclaimed horror masterpiece."/>
    <s v="Ryan Coogler"/>
    <s v="Johnny Depp, Tom Hanks, Mark Ruffalo"/>
    <n v="3587"/>
    <n v="220.6"/>
    <n v="220.6"/>
    <s v="Blockbuster"/>
    <s v="Horror"/>
    <x v="12"/>
  </r>
  <r>
    <s v="tt1000685"/>
    <s v="Lost Kingdom 578"/>
    <n v="2013"/>
    <n v="2010"/>
    <x v="0"/>
    <n v="103"/>
    <s v="Medium"/>
    <s v="A sci-fi film set in 2013."/>
    <s v="Clint Eastwood"/>
    <s v="Keanu Reeves, Emma Stone, Edward Norton"/>
    <n v="222255"/>
    <n v="197.9"/>
    <n v="197.9"/>
    <s v="Hit"/>
    <s v="Sci-Fi"/>
    <x v="16"/>
  </r>
  <r>
    <s v="tt1000685"/>
    <s v="Lost Kingdom 578"/>
    <n v="2013"/>
    <n v="2010"/>
    <x v="0"/>
    <n v="103"/>
    <s v="Medium"/>
    <s v="A sci-fi film set in 2013."/>
    <s v="Clint Eastwood"/>
    <s v="Keanu Reeves, Emma Stone, Edward Norton"/>
    <n v="222255"/>
    <n v="197.9"/>
    <n v="197.9"/>
    <s v="Hit"/>
    <s v=" Drama"/>
    <x v="14"/>
  </r>
  <r>
    <s v="tt1000676"/>
    <s v="The Revolution 569"/>
    <n v="2019"/>
    <n v="2010"/>
    <x v="2"/>
    <n v="124"/>
    <s v="Long"/>
    <s v="An epic fantasy tale directed by Ang Lee."/>
    <s v="Ang Lee"/>
    <s v="Daniel Day-Lewis, Tom Hanks, Christian Bale, Keanu Reeves"/>
    <n v="200924"/>
    <n v="342.49"/>
    <n v="342.49"/>
    <s v="Blockbuster"/>
    <s v="Fantasy"/>
    <x v="8"/>
  </r>
  <r>
    <s v="tt1000676"/>
    <s v="The Revolution 569"/>
    <n v="2019"/>
    <n v="2010"/>
    <x v="2"/>
    <n v="124"/>
    <s v="Long"/>
    <s v="An epic fantasy tale directed by Ang Lee."/>
    <s v="Ang Lee"/>
    <s v="Daniel Day-Lewis, Tom Hanks, Christian Bale, Keanu Reeves"/>
    <n v="200924"/>
    <n v="342.49"/>
    <n v="342.49"/>
    <s v="Blockbuster"/>
    <s v=" Documentary"/>
    <x v="13"/>
  </r>
  <r>
    <s v="tt1000876"/>
    <s v="Secret Mission 769"/>
    <n v="2017"/>
    <n v="2010"/>
    <x v="2"/>
    <n v="111"/>
    <s v="Medium"/>
    <s v="A sci-fi film set in 2017."/>
    <s v="Christopher Nolan"/>
    <s v="Christian Bale, Will Smith, Keanu Reeves, Tom Hanks"/>
    <n v="93420"/>
    <m/>
    <n v="0"/>
    <s v="Average"/>
    <s v="Sci-Fi"/>
    <x v="16"/>
  </r>
  <r>
    <s v="tt1000876"/>
    <s v="Secret Mission 769"/>
    <n v="2017"/>
    <n v="2010"/>
    <x v="2"/>
    <n v="111"/>
    <s v="Medium"/>
    <s v="A sci-fi film set in 2017."/>
    <s v="Christopher Nolan"/>
    <s v="Christian Bale, Will Smith, Keanu Reeves, Tom Hanks"/>
    <n v="93420"/>
    <m/>
    <n v="0"/>
    <s v="Average"/>
    <s v=" Adventure"/>
    <x v="9"/>
  </r>
  <r>
    <s v="tt1000195"/>
    <s v="First Mission 88"/>
    <n v="1993"/>
    <n v="1990"/>
    <x v="0"/>
    <n v="124"/>
    <s v="Long"/>
    <s v="A critically acclaimed sci-fi masterpiece."/>
    <s v="Pedro AlmodÃ³var"/>
    <s v="Leonardo DiCaprio, Viola Davis, Amy Adams, Chris Hemsworth, Edward Norton"/>
    <n v="16734"/>
    <n v="94.55"/>
    <n v="94.55"/>
    <s v="Average"/>
    <s v="Sci-Fi"/>
    <x v="16"/>
  </r>
  <r>
    <s v="tt1000729"/>
    <s v="An Dreams 622"/>
    <n v="2019"/>
    <n v="2010"/>
    <x v="0"/>
    <n v="114"/>
    <s v="Medium"/>
    <s v="A critically acclaimed sci-fi masterpiece."/>
    <s v="Francis Ford Coppola"/>
    <s v="Margot Robbie, Scarlett Johansson, Natalie Portman, Cate Blanchett"/>
    <n v="144759"/>
    <m/>
    <n v="0"/>
    <s v="Average"/>
    <s v="Sci-Fi"/>
    <x v="16"/>
  </r>
  <r>
    <s v="tt1000929"/>
    <s v="Secret Destiny 822"/>
    <n v="2017"/>
    <n v="2010"/>
    <x v="0"/>
    <n v="94"/>
    <s v="Medium"/>
    <s v="A biography film set in 2017."/>
    <s v="Alfred Hitchcock"/>
    <s v="Tom Cruise, Chris Hemsworth, Daniel Day-Lewis, Tom Hanks"/>
    <n v="78601"/>
    <n v="467.65"/>
    <n v="467.65"/>
    <s v="Blockbuster"/>
    <s v="Biography"/>
    <x v="5"/>
  </r>
  <r>
    <s v="tt1000917"/>
    <s v="Last Empire 810"/>
    <n v="2005"/>
    <n v="2000"/>
    <x v="2"/>
    <n v="151"/>
    <s v="Long"/>
    <s v="A thrilling action adventure."/>
    <s v="Robert Zemeckis"/>
    <s v="Al Pacino, Mark Ruffalo, Harrison Ford, Chris Hemsworth, Jack Nicholson"/>
    <n v="47750"/>
    <n v="295.29000000000002"/>
    <n v="295.29000000000002"/>
    <s v="Blockbuster"/>
    <s v="Action"/>
    <x v="0"/>
  </r>
  <r>
    <s v="tt1000603"/>
    <s v="Dark Love 496"/>
    <n v="2023"/>
    <n v="2020"/>
    <x v="0"/>
    <n v="137"/>
    <s v="Long"/>
    <s v="A thrilling musical adventure."/>
    <s v="Robert Zemeckis"/>
    <s v="Robert De Niro, Kate Winslet, Edward Norton"/>
    <n v="74621"/>
    <n v="253.13"/>
    <n v="253.13"/>
    <s v="Blockbuster"/>
    <s v="Musical"/>
    <x v="1"/>
  </r>
  <r>
    <s v="tt1000603"/>
    <s v="Dark Love 496"/>
    <n v="2023"/>
    <n v="2020"/>
    <x v="0"/>
    <n v="137"/>
    <s v="Long"/>
    <s v="A thrilling musical adventure."/>
    <s v="Robert Zemeckis"/>
    <s v="Robert De Niro, Kate Winslet, Edward Norton"/>
    <n v="74621"/>
    <n v="253.13"/>
    <n v="253.13"/>
    <s v="Blockbuster"/>
    <s v=" Documentary"/>
    <x v="13"/>
  </r>
  <r>
    <s v="tt1000603"/>
    <s v="Dark Love 496"/>
    <n v="2023"/>
    <n v="2020"/>
    <x v="0"/>
    <n v="137"/>
    <s v="Long"/>
    <s v="A thrilling musical adventure."/>
    <s v="Robert Zemeckis"/>
    <s v="Robert De Niro, Kate Winslet, Edward Norton"/>
    <n v="74621"/>
    <n v="253.13"/>
    <n v="253.13"/>
    <s v="Blockbuster"/>
    <s v=" Biography"/>
    <x v="5"/>
  </r>
  <r>
    <s v="tt1000969"/>
    <s v="A Awakening 862"/>
    <n v="2019"/>
    <n v="2010"/>
    <x v="0"/>
    <n v="97"/>
    <s v="Medium"/>
    <s v="A critically acclaimed biography masterpiece."/>
    <s v="Steven Spielberg"/>
    <s v="Denzel Washington, Keanu Reeves, Florence Pugh, Robert De Niro, Robert Downey Jr."/>
    <n v="394637"/>
    <m/>
    <n v="0"/>
    <s v="Average"/>
    <s v="Biography"/>
    <x v="5"/>
  </r>
  <r>
    <s v="tt1000168"/>
    <s v="An Kingdom 61"/>
    <n v="1995"/>
    <n v="1990"/>
    <x v="2"/>
    <n v="106"/>
    <s v="Medium"/>
    <s v="A adventure film set in 1995."/>
    <s v="Ava DuVernay"/>
    <s v="Robert De Niro, Scarlett Johansson, Anthony Hopkins, Brad Pitt"/>
    <n v="24622"/>
    <n v="249.96"/>
    <n v="249.96"/>
    <s v="Blockbuster"/>
    <s v="Adventure"/>
    <x v="9"/>
  </r>
  <r>
    <s v="tt1000168"/>
    <s v="An Kingdom 61"/>
    <n v="1995"/>
    <n v="1990"/>
    <x v="2"/>
    <n v="106"/>
    <s v="Medium"/>
    <s v="A adventure film set in 1995."/>
    <s v="Ava DuVernay"/>
    <s v="Robert De Niro, Scarlett Johansson, Anthony Hopkins, Brad Pitt"/>
    <n v="24622"/>
    <n v="249.96"/>
    <n v="249.96"/>
    <s v="Blockbuster"/>
    <s v=" Documentary"/>
    <x v="13"/>
  </r>
  <r>
    <s v="tt1000629"/>
    <s v="The War 522"/>
    <n v="2004"/>
    <n v="2000"/>
    <x v="2"/>
    <n v="128"/>
    <s v="Long"/>
    <s v="An epic drama tale directed by George Lucas."/>
    <s v="George Lucas"/>
    <s v="Edward Norton, Zendaya, Brad Pitt, Daniel Day-Lewis"/>
    <n v="58590"/>
    <m/>
    <n v="0"/>
    <s v="Average"/>
    <s v="Drama"/>
    <x v="14"/>
  </r>
  <r>
    <s v="tt1000629"/>
    <s v="The War 522"/>
    <n v="2004"/>
    <n v="2000"/>
    <x v="2"/>
    <n v="128"/>
    <s v="Long"/>
    <s v="An epic drama tale directed by George Lucas."/>
    <s v="George Lucas"/>
    <s v="Edward Norton, Zendaya, Brad Pitt, Daniel Day-Lewis"/>
    <n v="58590"/>
    <m/>
    <n v="0"/>
    <s v="Average"/>
    <s v=" Adventure"/>
    <x v="9"/>
  </r>
  <r>
    <s v="tt1000629"/>
    <s v="The War 522"/>
    <n v="2004"/>
    <n v="2000"/>
    <x v="2"/>
    <n v="128"/>
    <s v="Long"/>
    <s v="An epic drama tale directed by George Lucas."/>
    <s v="George Lucas"/>
    <s v="Edward Norton, Zendaya, Brad Pitt, Daniel Day-Lewis"/>
    <n v="58590"/>
    <m/>
    <n v="0"/>
    <s v="Average"/>
    <s v=" Comedy"/>
    <x v="15"/>
  </r>
  <r>
    <s v="tt1000511"/>
    <s v="A Chronicles 404"/>
    <n v="2009"/>
    <n v="2000"/>
    <x v="0"/>
    <n v="117"/>
    <s v="Medium"/>
    <s v="A critically acclaimed sci-fi masterpiece."/>
    <s v="Coen Brothers"/>
    <s v="Harrison Ford, Morgan Freeman, Leonardo DiCaprio"/>
    <n v="5474"/>
    <n v="82.59"/>
    <n v="82.59"/>
    <s v="Average"/>
    <s v="Sci-Fi"/>
    <x v="16"/>
  </r>
  <r>
    <s v="tt1000511"/>
    <s v="A Chronicles 404"/>
    <n v="2009"/>
    <n v="2000"/>
    <x v="0"/>
    <n v="117"/>
    <s v="Medium"/>
    <s v="A critically acclaimed sci-fi masterpiece."/>
    <s v="Coen Brothers"/>
    <s v="Harrison Ford, Morgan Freeman, Leonardo DiCaprio"/>
    <n v="5474"/>
    <n v="82.59"/>
    <n v="82.59"/>
    <s v="Average"/>
    <s v=" Horror"/>
    <x v="12"/>
  </r>
  <r>
    <s v="tt1000511"/>
    <s v="A Chronicles 404"/>
    <n v="2009"/>
    <n v="2000"/>
    <x v="0"/>
    <n v="117"/>
    <s v="Medium"/>
    <s v="A critically acclaimed sci-fi masterpiece."/>
    <s v="Coen Brothers"/>
    <s v="Harrison Ford, Morgan Freeman, Leonardo DiCaprio"/>
    <n v="5474"/>
    <n v="82.59"/>
    <n v="82.59"/>
    <s v="Average"/>
    <s v=" Action"/>
    <x v="0"/>
  </r>
  <r>
    <s v="tt1000514"/>
    <s v="Final Dreams 407"/>
    <n v="2024"/>
    <n v="2020"/>
    <x v="2"/>
    <n v="153"/>
    <s v="Long"/>
    <s v="An epic war tale directed by Pedro AlmodÃ³var."/>
    <s v="Pedro AlmodÃ³var"/>
    <s v="Viola Davis, Matt Damon, Emma Stone"/>
    <n v="24262"/>
    <n v="228.57"/>
    <n v="228.57"/>
    <s v="Blockbuster"/>
    <s v="War"/>
    <x v="2"/>
  </r>
  <r>
    <s v="tt1000514"/>
    <s v="Final Dreams 407"/>
    <n v="2024"/>
    <n v="2020"/>
    <x v="2"/>
    <n v="153"/>
    <s v="Long"/>
    <s v="An epic war tale directed by Pedro AlmodÃ³var."/>
    <s v="Pedro AlmodÃ³var"/>
    <s v="Viola Davis, Matt Damon, Emma Stone"/>
    <n v="24262"/>
    <n v="228.57"/>
    <n v="228.57"/>
    <s v="Blockbuster"/>
    <s v=" Biography"/>
    <x v="5"/>
  </r>
  <r>
    <s v="tt1000761"/>
    <s v="Dark Empire 654"/>
    <n v="2006"/>
    <n v="2000"/>
    <x v="0"/>
    <n v="100"/>
    <s v="Medium"/>
    <s v="A thrilling musical adventure."/>
    <s v="Ron Howard"/>
    <s v="Gary Oldman, Matt Damon, Tom Cruise"/>
    <n v="119741"/>
    <n v="155.43"/>
    <n v="155.43"/>
    <s v="Hit"/>
    <s v="Musical"/>
    <x v="1"/>
  </r>
  <r>
    <s v="tt1000761"/>
    <s v="Dark Empire 654"/>
    <n v="2006"/>
    <n v="2000"/>
    <x v="0"/>
    <n v="100"/>
    <s v="Medium"/>
    <s v="A thrilling musical adventure."/>
    <s v="Ron Howard"/>
    <s v="Gary Oldman, Matt Damon, Tom Cruise"/>
    <n v="119741"/>
    <n v="155.43"/>
    <n v="155.43"/>
    <s v="Hit"/>
    <s v=" Western"/>
    <x v="11"/>
  </r>
  <r>
    <s v="tt1000761"/>
    <s v="Dark Empire 654"/>
    <n v="2006"/>
    <n v="2000"/>
    <x v="0"/>
    <n v="100"/>
    <s v="Medium"/>
    <s v="A thrilling musical adventure."/>
    <s v="Ron Howard"/>
    <s v="Gary Oldman, Matt Damon, Tom Cruise"/>
    <n v="119741"/>
    <n v="155.43"/>
    <n v="155.43"/>
    <s v="Hit"/>
    <s v=" War"/>
    <x v="2"/>
  </r>
  <r>
    <s v="tt1000185"/>
    <s v="First Chronicles 78"/>
    <n v="1988"/>
    <n v="1980"/>
    <x v="0"/>
    <n v="111"/>
    <s v="Medium"/>
    <s v="A critically acclaimed mystery masterpiece."/>
    <s v="Akira Kurosawa"/>
    <s v="Natalie Portman, Gary Oldman, Florence Pugh, Daniel Day-Lewis"/>
    <n v="18775"/>
    <n v="82.54"/>
    <n v="82.54"/>
    <s v="Average"/>
    <s v="Mystery"/>
    <x v="4"/>
  </r>
  <r>
    <s v="tt1000188"/>
    <s v="First Adventures 81"/>
    <n v="1983"/>
    <n v="1980"/>
    <x v="0"/>
    <n v="144"/>
    <s v="Long"/>
    <s v="An epic family tale directed by Danny Boyle."/>
    <s v="Danny Boyle"/>
    <s v="Zendaya, Cate Blanchett, Harrison Ford"/>
    <n v="1689"/>
    <n v="103.72"/>
    <n v="103.72"/>
    <s v="Hit"/>
    <s v="Family"/>
    <x v="10"/>
  </r>
  <r>
    <s v="tt1000188"/>
    <s v="First Adventures 81"/>
    <n v="1983"/>
    <n v="1980"/>
    <x v="0"/>
    <n v="144"/>
    <s v="Long"/>
    <s v="An epic family tale directed by Danny Boyle."/>
    <s v="Danny Boyle"/>
    <s v="Zendaya, Cate Blanchett, Harrison Ford"/>
    <n v="1689"/>
    <n v="103.72"/>
    <n v="103.72"/>
    <s v="Hit"/>
    <s v=" Horror"/>
    <x v="12"/>
  </r>
  <r>
    <s v="tt1000186"/>
    <s v="Lost Awakening 79"/>
    <n v="1984"/>
    <n v="1980"/>
    <x v="1"/>
    <n v="127"/>
    <s v="Long"/>
    <s v="A thriller film set in 1984."/>
    <s v="Robert Zemeckis"/>
    <s v="Anthony Hopkins, Cate Blanchett, Johnny Depp, Amy Adams"/>
    <n v="55483"/>
    <m/>
    <n v="0"/>
    <s v="Average"/>
    <s v="Thriller"/>
    <x v="17"/>
  </r>
  <r>
    <s v="tt1000186"/>
    <s v="Lost Awakening 79"/>
    <n v="1984"/>
    <n v="1980"/>
    <x v="1"/>
    <n v="127"/>
    <s v="Long"/>
    <s v="A thriller film set in 1984."/>
    <s v="Robert Zemeckis"/>
    <s v="Anthony Hopkins, Cate Blanchett, Johnny Depp, Amy Adams"/>
    <n v="55483"/>
    <m/>
    <n v="0"/>
    <s v="Average"/>
    <s v=" Horror"/>
    <x v="12"/>
  </r>
  <r>
    <s v="tt1000325"/>
    <s v="Secret Kingdom 218"/>
    <n v="2012"/>
    <n v="2010"/>
    <x v="1"/>
    <n v="82"/>
    <s v="Short"/>
    <s v="A critically acclaimed horror masterpiece."/>
    <s v="Sam Mendes"/>
    <s v="Amy Adams, Daniel Day-Lewis, Viola Davis, Keanu Reeves"/>
    <n v="1578"/>
    <n v="420.67"/>
    <n v="420.67"/>
    <s v="Blockbuster"/>
    <s v="Horror"/>
    <x v="12"/>
  </r>
  <r>
    <s v="tt1000325"/>
    <s v="Secret Kingdom 218"/>
    <n v="2012"/>
    <n v="2010"/>
    <x v="1"/>
    <n v="82"/>
    <s v="Short"/>
    <s v="A critically acclaimed horror masterpiece."/>
    <s v="Sam Mendes"/>
    <s v="Amy Adams, Daniel Day-Lewis, Viola Davis, Keanu Reeves"/>
    <n v="1578"/>
    <n v="420.67"/>
    <n v="420.67"/>
    <s v="Blockbuster"/>
    <s v=" Family"/>
    <x v="10"/>
  </r>
  <r>
    <s v="tt1000400"/>
    <s v="A Chronicles 293"/>
    <n v="2015"/>
    <n v="2010"/>
    <x v="0"/>
    <n v="122"/>
    <s v="Long"/>
    <s v="A critically acclaimed biography masterpiece."/>
    <s v="Hayao Miyazaki"/>
    <s v="Meryl Streep, Christian Bale, Harrison Ford, Robert De Niro"/>
    <n v="71929"/>
    <n v="132.94"/>
    <n v="132.94"/>
    <s v="Hit"/>
    <s v="Biography"/>
    <x v="5"/>
  </r>
  <r>
    <s v="tt1000400"/>
    <s v="A Chronicles 293"/>
    <n v="2015"/>
    <n v="2010"/>
    <x v="0"/>
    <n v="122"/>
    <s v="Long"/>
    <s v="A critically acclaimed biography masterpiece."/>
    <s v="Hayao Miyazaki"/>
    <s v="Meryl Streep, Christian Bale, Harrison Ford, Robert De Niro"/>
    <n v="71929"/>
    <n v="132.94"/>
    <n v="132.94"/>
    <s v="Hit"/>
    <s v=" Crime"/>
    <x v="6"/>
  </r>
  <r>
    <s v="tt1000539"/>
    <s v="Last Legend 432"/>
    <n v="2021"/>
    <n v="2020"/>
    <x v="1"/>
    <n v="104"/>
    <s v="Medium"/>
    <s v="A thrilling fantasy adventure."/>
    <s v="Robert Zemeckis"/>
    <s v="Johnny Depp, Jack Nicholson, Robert Downey Jr."/>
    <n v="335262"/>
    <n v="488.94"/>
    <n v="488.94"/>
    <s v="Blockbuster"/>
    <s v="Fantasy"/>
    <x v="8"/>
  </r>
  <r>
    <s v="tt1000752"/>
    <s v="The Kingdom 645"/>
    <n v="2003"/>
    <n v="2000"/>
    <x v="5"/>
    <n v="137"/>
    <s v="Long"/>
    <s v="A horror film set in 2003."/>
    <s v="Hayao Miyazaki"/>
    <s v="Gary Oldman, Samuel L. Jackson, Zendaya, Al Pacino"/>
    <n v="1204"/>
    <m/>
    <n v="0"/>
    <s v="Average"/>
    <s v="Horror"/>
    <x v="12"/>
  </r>
  <r>
    <s v="tt1000509"/>
    <s v="Secret Empire 402"/>
    <n v="2016"/>
    <n v="2010"/>
    <x v="0"/>
    <n v="150"/>
    <s v="Long"/>
    <s v="An epic documentary tale directed by Edgar Wright."/>
    <s v="Edgar Wright"/>
    <s v="Will Smith, Natalie Portman, Matt Damon, Leonardo DiCaprio"/>
    <n v="11165"/>
    <m/>
    <n v="0"/>
    <s v="Average"/>
    <s v="Documentary"/>
    <x v="13"/>
  </r>
  <r>
    <s v="tt1000227"/>
    <s v="Final Quest 120"/>
    <n v="2013"/>
    <n v="2010"/>
    <x v="2"/>
    <n v="97"/>
    <s v="Medium"/>
    <s v="An epic mystery tale directed by Ridley Scott."/>
    <s v="Ridley Scott"/>
    <s v="Harrison Ford, Cate Blanchett, Brad Pitt, Chris Hemsworth, Tom Cruise"/>
    <n v="124749"/>
    <m/>
    <n v="0"/>
    <s v="Average"/>
    <s v="Mystery"/>
    <x v="4"/>
  </r>
  <r>
    <s v="tt1000227"/>
    <s v="Final Quest 120"/>
    <n v="2013"/>
    <n v="2010"/>
    <x v="2"/>
    <n v="97"/>
    <s v="Medium"/>
    <s v="An epic mystery tale directed by Ridley Scott."/>
    <s v="Ridley Scott"/>
    <s v="Harrison Ford, Cate Blanchett, Brad Pitt, Chris Hemsworth, Tom Cruise"/>
    <n v="124749"/>
    <m/>
    <n v="0"/>
    <s v="Average"/>
    <s v=" Western"/>
    <x v="11"/>
  </r>
  <r>
    <s v="tt1000227"/>
    <s v="Final Quest 120"/>
    <n v="2013"/>
    <n v="2010"/>
    <x v="2"/>
    <n v="97"/>
    <s v="Medium"/>
    <s v="An epic mystery tale directed by Ridley Scott."/>
    <s v="Ridley Scott"/>
    <s v="Harrison Ford, Cate Blanchett, Brad Pitt, Chris Hemsworth, Tom Cruise"/>
    <n v="124749"/>
    <m/>
    <n v="0"/>
    <s v="Average"/>
    <s v=" Sci-Fi"/>
    <x v="16"/>
  </r>
  <r>
    <s v="tt1000688"/>
    <s v="First Adventures 581"/>
    <n v="2020"/>
    <n v="2020"/>
    <x v="5"/>
    <n v="125"/>
    <s v="Long"/>
    <s v="A western film set in 2020."/>
    <s v="George Lucas"/>
    <s v="Emma Stone, Meryl Streep, Robert De Niro, Margot Robbie, Florence Pugh"/>
    <n v="1543"/>
    <n v="447.43"/>
    <n v="447.43"/>
    <s v="Blockbuster"/>
    <s v="Western"/>
    <x v="11"/>
  </r>
  <r>
    <s v="tt1000688"/>
    <s v="First Adventures 581"/>
    <n v="2020"/>
    <n v="2020"/>
    <x v="5"/>
    <n v="125"/>
    <s v="Long"/>
    <s v="A western film set in 2020."/>
    <s v="George Lucas"/>
    <s v="Emma Stone, Meryl Streep, Robert De Niro, Margot Robbie, Florence Pugh"/>
    <n v="1543"/>
    <n v="447.43"/>
    <n v="447.43"/>
    <s v="Blockbuster"/>
    <s v=" Fantasy"/>
    <x v="8"/>
  </r>
  <r>
    <s v="tt1000451"/>
    <s v="First Secrets 344"/>
    <n v="2001"/>
    <n v="2000"/>
    <x v="2"/>
    <n v="135"/>
    <s v="Long"/>
    <s v="A thrilling comedy adventure."/>
    <s v="Robert Zemeckis"/>
    <s v="Jennifer Lawrence, Keanu Reeves, Al Pacino"/>
    <n v="1228"/>
    <n v="79.349999999999994"/>
    <n v="79.349999999999994"/>
    <s v="Average"/>
    <s v="Comedy"/>
    <x v="15"/>
  </r>
  <r>
    <s v="tt1000273"/>
    <s v="First Empire 166"/>
    <n v="2020"/>
    <n v="2020"/>
    <x v="0"/>
    <n v="141"/>
    <s v="Long"/>
    <s v="An epic adventure tale directed by Francis Ford Coppola."/>
    <s v="Francis Ford Coppola"/>
    <s v="Emma Stone, Will Smith, Edward Norton, Margot Robbie, Samuel L. Jackson"/>
    <n v="495846"/>
    <n v="483.91"/>
    <n v="483.91"/>
    <s v="Blockbuster"/>
    <s v="Adventure"/>
    <x v="9"/>
  </r>
  <r>
    <s v="tt1000273"/>
    <s v="First Empire 166"/>
    <n v="2020"/>
    <n v="2020"/>
    <x v="0"/>
    <n v="141"/>
    <s v="Long"/>
    <s v="An epic adventure tale directed by Francis Ford Coppola."/>
    <s v="Francis Ford Coppola"/>
    <s v="Emma Stone, Will Smith, Edward Norton, Margot Robbie, Samuel L. Jackson"/>
    <n v="495846"/>
    <n v="483.91"/>
    <n v="483.91"/>
    <s v="Blockbuster"/>
    <s v=" Horror"/>
    <x v="12"/>
  </r>
  <r>
    <s v="tt1000273"/>
    <s v="First Empire 166"/>
    <n v="2020"/>
    <n v="2020"/>
    <x v="0"/>
    <n v="141"/>
    <s v="Long"/>
    <s v="An epic adventure tale directed by Francis Ford Coppola."/>
    <s v="Francis Ford Coppola"/>
    <s v="Emma Stone, Will Smith, Edward Norton, Margot Robbie, Samuel L. Jackson"/>
    <n v="495846"/>
    <n v="483.91"/>
    <n v="483.91"/>
    <s v="Blockbuster"/>
    <s v=" Romance"/>
    <x v="7"/>
  </r>
  <r>
    <s v="tt1000459"/>
    <s v="An Revolution 352"/>
    <n v="2024"/>
    <n v="2020"/>
    <x v="0"/>
    <n v="140"/>
    <s v="Long"/>
    <s v="A critically acclaimed comedy masterpiece."/>
    <s v="Ryan Coogler"/>
    <s v="Will Smith, Natalie Portman, Daniel Day-Lewis"/>
    <n v="926356"/>
    <m/>
    <n v="0"/>
    <s v="Average"/>
    <s v="Comedy"/>
    <x v="15"/>
  </r>
  <r>
    <s v="tt1000459"/>
    <s v="An Revolution 352"/>
    <n v="2024"/>
    <n v="2020"/>
    <x v="0"/>
    <n v="140"/>
    <s v="Long"/>
    <s v="A critically acclaimed comedy masterpiece."/>
    <s v="Ryan Coogler"/>
    <s v="Will Smith, Natalie Portman, Daniel Day-Lewis"/>
    <n v="926356"/>
    <m/>
    <n v="0"/>
    <s v="Average"/>
    <s v=" Thriller"/>
    <x v="17"/>
  </r>
  <r>
    <s v="tt1000865"/>
    <s v="An Awakening 758"/>
    <n v="2008"/>
    <n v="2000"/>
    <x v="5"/>
    <n v="75"/>
    <s v="Short"/>
    <s v="A thriller film set in 2008."/>
    <s v="Ang Lee"/>
    <s v="Meryl Streep, Denzel Washington, Leonardo DiCaprio"/>
    <n v="82201"/>
    <n v="272.26"/>
    <n v="272.26"/>
    <s v="Blockbuster"/>
    <s v="Thriller"/>
    <x v="17"/>
  </r>
  <r>
    <s v="tt1000625"/>
    <s v="Last Love 518"/>
    <n v="2016"/>
    <n v="2010"/>
    <x v="0"/>
    <n v="147"/>
    <s v="Long"/>
    <s v="An epic documentary tale directed by Spike Lee."/>
    <s v="Spike Lee"/>
    <s v="Robert Downey Jr., Jennifer Lawrence, TimothÃ©e Chalamet"/>
    <n v="43746"/>
    <m/>
    <n v="0"/>
    <s v="Average"/>
    <s v="Documentary"/>
    <x v="13"/>
  </r>
  <r>
    <s v="tt1000625"/>
    <s v="Last Love 518"/>
    <n v="2016"/>
    <n v="2010"/>
    <x v="0"/>
    <n v="147"/>
    <s v="Long"/>
    <s v="An epic documentary tale directed by Spike Lee."/>
    <s v="Spike Lee"/>
    <s v="Robert Downey Jr., Jennifer Lawrence, TimothÃ©e Chalamet"/>
    <n v="43746"/>
    <m/>
    <n v="0"/>
    <s v="Average"/>
    <s v=" Family"/>
    <x v="10"/>
  </r>
  <r>
    <s v="tt1000651"/>
    <s v="A Adventures 544"/>
    <n v="2004"/>
    <n v="2000"/>
    <x v="1"/>
    <n v="106"/>
    <s v="Medium"/>
    <s v="An epic thriller tale directed by Akira Kurosawa."/>
    <s v="Akira Kurosawa"/>
    <s v="Jennifer Lawrence, Al Pacino, Johnny Depp, Daniel Day-Lewis, Amy Adams"/>
    <n v="470549"/>
    <m/>
    <n v="0"/>
    <s v="Average"/>
    <s v="Thriller"/>
    <x v="17"/>
  </r>
  <r>
    <s v="tt1000651"/>
    <s v="A Adventures 544"/>
    <n v="2004"/>
    <n v="2000"/>
    <x v="1"/>
    <n v="106"/>
    <s v="Medium"/>
    <s v="An epic thriller tale directed by Akira Kurosawa."/>
    <s v="Akira Kurosawa"/>
    <s v="Jennifer Lawrence, Al Pacino, Johnny Depp, Daniel Day-Lewis, Amy Adams"/>
    <n v="470549"/>
    <m/>
    <n v="0"/>
    <s v="Average"/>
    <s v=" Adventure"/>
    <x v="9"/>
  </r>
  <r>
    <s v="tt1000651"/>
    <s v="A Adventures 544"/>
    <n v="2004"/>
    <n v="2000"/>
    <x v="1"/>
    <n v="106"/>
    <s v="Medium"/>
    <s v="An epic thriller tale directed by Akira Kurosawa."/>
    <s v="Akira Kurosawa"/>
    <s v="Jennifer Lawrence, Al Pacino, Johnny Depp, Daniel Day-Lewis, Amy Adams"/>
    <n v="470549"/>
    <m/>
    <n v="0"/>
    <s v="Average"/>
    <s v=" Crime"/>
    <x v="6"/>
  </r>
  <r>
    <s v="tt1000967"/>
    <s v="An Empire 860"/>
    <n v="2013"/>
    <n v="2010"/>
    <x v="0"/>
    <n v="111"/>
    <s v="Medium"/>
    <s v="A musical film set in 2013."/>
    <s v="Robert Zemeckis"/>
    <s v="Johnny Depp, Natalie Portman, Tom Cruise, Samuel L. Jackson, Robert Downey Jr."/>
    <n v="98151"/>
    <n v="99.87"/>
    <n v="99.87"/>
    <s v="Average"/>
    <s v="Musical"/>
    <x v="1"/>
  </r>
  <r>
    <s v="tt1000967"/>
    <s v="An Empire 860"/>
    <n v="2013"/>
    <n v="2010"/>
    <x v="0"/>
    <n v="111"/>
    <s v="Medium"/>
    <s v="A musical film set in 2013."/>
    <s v="Robert Zemeckis"/>
    <s v="Johnny Depp, Natalie Portman, Tom Cruise, Samuel L. Jackson, Robert Downey Jr."/>
    <n v="98151"/>
    <n v="99.87"/>
    <n v="99.87"/>
    <s v="Average"/>
    <s v=" Family"/>
    <x v="10"/>
  </r>
  <r>
    <s v="tt1000198"/>
    <s v="Dark Mystery 91"/>
    <n v="1999"/>
    <n v="1990"/>
    <x v="3"/>
    <n v="140"/>
    <s v="Long"/>
    <s v="An epic family tale directed by Alfred Hitchcock."/>
    <s v="Alfred Hitchcock"/>
    <s v="Will Smith, Brad Pitt, Kate Winslet, Leonardo DiCaprio"/>
    <n v="39942"/>
    <n v="99.59"/>
    <n v="99.59"/>
    <s v="Average"/>
    <s v="Family"/>
    <x v="10"/>
  </r>
  <r>
    <s v="tt1000439"/>
    <s v="Secret Revolution 332"/>
    <n v="2008"/>
    <n v="2000"/>
    <x v="0"/>
    <n v="113"/>
    <s v="Medium"/>
    <s v="A critically acclaimed western masterpiece."/>
    <s v="Sam Mendes"/>
    <s v="Daniel Day-Lewis, Meryl Streep, Leonardo DiCaprio"/>
    <n v="45231"/>
    <n v="31.87"/>
    <n v="31.87"/>
    <s v="Average"/>
    <s v="Western"/>
    <x v="11"/>
  </r>
  <r>
    <s v="tt1000987"/>
    <s v="Lost Revolution 880"/>
    <n v="2014"/>
    <n v="2010"/>
    <x v="5"/>
    <n v="107"/>
    <s v="Medium"/>
    <s v="An epic documentary tale directed by Francis Ford Coppola."/>
    <s v="Francis Ford Coppola"/>
    <s v="Christian Bale, Al Pacino, Viola Davis"/>
    <n v="12273"/>
    <m/>
    <n v="0"/>
    <s v="Average"/>
    <s v="Documentary"/>
    <x v="13"/>
  </r>
  <r>
    <s v="tt1000987"/>
    <s v="Lost Revolution 880"/>
    <n v="2014"/>
    <n v="2010"/>
    <x v="5"/>
    <n v="107"/>
    <s v="Medium"/>
    <s v="An epic documentary tale directed by Francis Ford Coppola."/>
    <s v="Francis Ford Coppola"/>
    <s v="Christian Bale, Al Pacino, Viola Davis"/>
    <n v="12273"/>
    <m/>
    <n v="0"/>
    <s v="Average"/>
    <s v=" Adventure"/>
    <x v="9"/>
  </r>
  <r>
    <s v="tt1000208"/>
    <s v="Secret Empire 101"/>
    <n v="2003"/>
    <n v="2000"/>
    <x v="0"/>
    <n v="151"/>
    <s v="Long"/>
    <s v="A musical film set in 2003."/>
    <s v="Clint Eastwood"/>
    <s v="Florence Pugh, Scarlett Johansson, Robert De Niro"/>
    <n v="13569"/>
    <n v="324.45999999999998"/>
    <n v="324.45999999999998"/>
    <s v="Blockbuster"/>
    <s v="Musical"/>
    <x v="1"/>
  </r>
  <r>
    <s v="tt1000208"/>
    <s v="Secret Empire 101"/>
    <n v="2003"/>
    <n v="2000"/>
    <x v="0"/>
    <n v="151"/>
    <s v="Long"/>
    <s v="A musical film set in 2003."/>
    <s v="Clint Eastwood"/>
    <s v="Florence Pugh, Scarlett Johansson, Robert De Niro"/>
    <n v="13569"/>
    <n v="324.45999999999998"/>
    <n v="324.45999999999998"/>
    <s v="Blockbuster"/>
    <s v=" Documentary"/>
    <x v="13"/>
  </r>
  <r>
    <s v="tt1000397"/>
    <s v="A Adventures 290"/>
    <n v="2003"/>
    <n v="2000"/>
    <x v="0"/>
    <n v="93"/>
    <s v="Medium"/>
    <s v="A thrilling fantasy adventure."/>
    <s v="Hayao Miyazaki"/>
    <s v="Morgan Freeman, Will Smith, Denzel Washington, Margot Robbie"/>
    <n v="96729"/>
    <n v="127.42"/>
    <n v="127.42"/>
    <s v="Hit"/>
    <s v="Fantasy"/>
    <x v="8"/>
  </r>
  <r>
    <s v="tt1000397"/>
    <s v="A Adventures 290"/>
    <n v="2003"/>
    <n v="2000"/>
    <x v="0"/>
    <n v="93"/>
    <s v="Medium"/>
    <s v="A thrilling fantasy adventure."/>
    <s v="Hayao Miyazaki"/>
    <s v="Morgan Freeman, Will Smith, Denzel Washington, Margot Robbie"/>
    <n v="96729"/>
    <n v="127.42"/>
    <n v="127.42"/>
    <s v="Hit"/>
    <s v=" Musical"/>
    <x v="1"/>
  </r>
  <r>
    <s v="tt1000703"/>
    <s v="A Empire 596"/>
    <n v="2001"/>
    <n v="2000"/>
    <x v="1"/>
    <n v="132"/>
    <s v="Long"/>
    <s v="A critically acclaimed action masterpiece."/>
    <s v="Hayao Miyazaki"/>
    <s v="Kate Winslet, Edward Norton, Morgan Freeman, Jack Nicholson, Johnny Depp"/>
    <n v="46901"/>
    <n v="205.21"/>
    <n v="205.21"/>
    <s v="Blockbuster"/>
    <s v="Action"/>
    <x v="0"/>
  </r>
  <r>
    <s v="tt1000703"/>
    <s v="A Empire 596"/>
    <n v="2001"/>
    <n v="2000"/>
    <x v="1"/>
    <n v="132"/>
    <s v="Long"/>
    <s v="A critically acclaimed action masterpiece."/>
    <s v="Hayao Miyazaki"/>
    <s v="Kate Winslet, Edward Norton, Morgan Freeman, Jack Nicholson, Johnny Depp"/>
    <n v="46901"/>
    <n v="205.21"/>
    <n v="205.21"/>
    <s v="Blockbuster"/>
    <s v=" Biography"/>
    <x v="5"/>
  </r>
  <r>
    <s v="tt1000703"/>
    <s v="A Empire 596"/>
    <n v="2001"/>
    <n v="2000"/>
    <x v="1"/>
    <n v="132"/>
    <s v="Long"/>
    <s v="A critically acclaimed action masterpiece."/>
    <s v="Hayao Miyazaki"/>
    <s v="Kate Winslet, Edward Norton, Morgan Freeman, Jack Nicholson, Johnny Depp"/>
    <n v="46901"/>
    <n v="205.21"/>
    <n v="205.21"/>
    <s v="Blockbuster"/>
    <s v=" Animation"/>
    <x v="3"/>
  </r>
  <r>
    <s v="tt1000220"/>
    <s v="The Journey 113"/>
    <n v="2011"/>
    <n v="2010"/>
    <x v="0"/>
    <n v="108"/>
    <s v="Medium"/>
    <s v="An epic biography tale directed by Wong Kar-wai."/>
    <s v="Wong Kar-wai"/>
    <s v="Scarlett Johansson, Cate Blanchett, Florence Pugh"/>
    <n v="57003"/>
    <n v="21.86"/>
    <n v="21.86"/>
    <s v="Average"/>
    <s v="Biography"/>
    <x v="5"/>
  </r>
  <r>
    <s v="tt1000220"/>
    <s v="The Journey 113"/>
    <n v="2011"/>
    <n v="2010"/>
    <x v="0"/>
    <n v="108"/>
    <s v="Medium"/>
    <s v="An epic biography tale directed by Wong Kar-wai."/>
    <s v="Wong Kar-wai"/>
    <s v="Scarlett Johansson, Cate Blanchett, Florence Pugh"/>
    <n v="57003"/>
    <n v="21.86"/>
    <n v="21.86"/>
    <s v="Average"/>
    <s v=" Western"/>
    <x v="11"/>
  </r>
  <r>
    <s v="tt1000114"/>
    <s v="Dark Mission 7"/>
    <n v="1980"/>
    <n v="1980"/>
    <x v="2"/>
    <n v="124"/>
    <s v="Long"/>
    <s v="A critically acclaimed drama masterpiece."/>
    <s v="Greta Gerwig"/>
    <s v="Will Smith, Edward Norton, Anthony Hopkins, Zendaya, Emma Stone"/>
    <n v="17722"/>
    <n v="44.03"/>
    <n v="44.03"/>
    <s v="Average"/>
    <s v="Drama"/>
    <x v="14"/>
  </r>
  <r>
    <s v="tt1000571"/>
    <s v="A Mission 464"/>
    <n v="2007"/>
    <n v="2000"/>
    <x v="2"/>
    <n v="136"/>
    <s v="Long"/>
    <s v="A thrilling comedy adventure."/>
    <s v="Akira Kurosawa"/>
    <s v="Natalie Portman, Leonardo DiCaprio, Emma Stone"/>
    <n v="52271"/>
    <n v="370.28"/>
    <n v="370.28"/>
    <s v="Blockbuster"/>
    <s v="Comedy"/>
    <x v="15"/>
  </r>
  <r>
    <s v="tt1000742"/>
    <s v="Lost Adventures 635"/>
    <n v="2020"/>
    <n v="2020"/>
    <x v="0"/>
    <n v="148"/>
    <s v="Long"/>
    <s v="A mystery film set in 2020."/>
    <s v="Akira Kurosawa"/>
    <s v="Emma Stone, Jack Nicholson, TimothÃ©e Chalamet, Tom Cruise, Samuel L. Jackson"/>
    <n v="3641"/>
    <m/>
    <n v="0"/>
    <s v="Average"/>
    <s v="Mystery"/>
    <x v="4"/>
  </r>
  <r>
    <s v="tt1000742"/>
    <s v="Lost Adventures 635"/>
    <n v="2020"/>
    <n v="2020"/>
    <x v="0"/>
    <n v="148"/>
    <s v="Long"/>
    <s v="A mystery film set in 2020."/>
    <s v="Akira Kurosawa"/>
    <s v="Emma Stone, Jack Nicholson, TimothÃ©e Chalamet, Tom Cruise, Samuel L. Jackson"/>
    <n v="3641"/>
    <m/>
    <n v="0"/>
    <s v="Average"/>
    <s v=" Adventure"/>
    <x v="9"/>
  </r>
  <r>
    <s v="tt1000742"/>
    <s v="Lost Adventures 635"/>
    <n v="2020"/>
    <n v="2020"/>
    <x v="0"/>
    <n v="148"/>
    <s v="Long"/>
    <s v="A mystery film set in 2020."/>
    <s v="Akira Kurosawa"/>
    <s v="Emma Stone, Jack Nicholson, TimothÃ©e Chalamet, Tom Cruise, Samuel L. Jackson"/>
    <n v="3641"/>
    <m/>
    <n v="0"/>
    <s v="Average"/>
    <s v=" Horror"/>
    <x v="12"/>
  </r>
  <r>
    <s v="tt1000233"/>
    <s v="Secret Dreams 126"/>
    <n v="2024"/>
    <n v="2020"/>
    <x v="1"/>
    <n v="116"/>
    <s v="Medium"/>
    <s v="An epic animation tale directed by Kathryn Bigelow."/>
    <s v="Kathryn Bigelow"/>
    <s v="Christian Bale, Edward Norton, Robert Downey Jr., Denzel Washington"/>
    <n v="288806"/>
    <n v="34.15"/>
    <n v="34.15"/>
    <s v="Average"/>
    <s v="Animation"/>
    <x v="3"/>
  </r>
  <r>
    <s v="tt1000575"/>
    <s v="Last Chronicles 468"/>
    <n v="2016"/>
    <n v="2010"/>
    <x v="1"/>
    <n v="141"/>
    <s v="Long"/>
    <s v="An epic action tale directed by Ang Lee."/>
    <s v="Ang Lee"/>
    <s v="Robert Downey Jr., Cate Blanchett, Daniel Day-Lewis"/>
    <n v="201206"/>
    <n v="226.26"/>
    <n v="226.26"/>
    <s v="Blockbuster"/>
    <s v="Action"/>
    <x v="0"/>
  </r>
  <r>
    <s v="tt1000575"/>
    <s v="Last Chronicles 468"/>
    <n v="2016"/>
    <n v="2010"/>
    <x v="1"/>
    <n v="141"/>
    <s v="Long"/>
    <s v="An epic action tale directed by Ang Lee."/>
    <s v="Ang Lee"/>
    <s v="Robert Downey Jr., Cate Blanchett, Daniel Day-Lewis"/>
    <n v="201206"/>
    <n v="226.26"/>
    <n v="226.26"/>
    <s v="Blockbuster"/>
    <s v=" Animation"/>
    <x v="3"/>
  </r>
  <r>
    <s v="tt1000490"/>
    <s v="An Quest 383"/>
    <n v="2008"/>
    <n v="2000"/>
    <x v="2"/>
    <n v="143"/>
    <s v="Long"/>
    <s v="An epic fantasy tale directed by Ryan Coogler."/>
    <s v="Ryan Coogler"/>
    <s v="Keanu Reeves, Robert Downey Jr., Will Smith, Edward Norton"/>
    <n v="48970"/>
    <n v="365.46"/>
    <n v="365.46"/>
    <s v="Blockbuster"/>
    <s v="Fantasy"/>
    <x v="8"/>
  </r>
  <r>
    <s v="tt1000490"/>
    <s v="An Quest 383"/>
    <n v="2008"/>
    <n v="2000"/>
    <x v="2"/>
    <n v="143"/>
    <s v="Long"/>
    <s v="An epic fantasy tale directed by Ryan Coogler."/>
    <s v="Ryan Coogler"/>
    <s v="Keanu Reeves, Robert Downey Jr., Will Smith, Edward Norton"/>
    <n v="48970"/>
    <n v="365.46"/>
    <n v="365.46"/>
    <s v="Blockbuster"/>
    <s v=" War"/>
    <x v="2"/>
  </r>
  <r>
    <s v="tt1000490"/>
    <s v="An Quest 383"/>
    <n v="2008"/>
    <n v="2000"/>
    <x v="2"/>
    <n v="143"/>
    <s v="Long"/>
    <s v="An epic fantasy tale directed by Ryan Coogler."/>
    <s v="Ryan Coogler"/>
    <s v="Keanu Reeves, Robert Downey Jr., Will Smith, Edward Norton"/>
    <n v="48970"/>
    <n v="365.46"/>
    <n v="365.46"/>
    <s v="Blockbuster"/>
    <s v=" Western"/>
    <x v="11"/>
  </r>
  <r>
    <s v="tt1000237"/>
    <s v="First Mystery 130"/>
    <n v="2006"/>
    <n v="2000"/>
    <x v="1"/>
    <n v="118"/>
    <s v="Medium"/>
    <s v="A thrilling musical adventure."/>
    <s v="Frank Darabont"/>
    <s v="Viola Davis, Jennifer Lawrence, Natalie Portman"/>
    <n v="108956"/>
    <n v="385.04"/>
    <n v="385.04"/>
    <s v="Blockbuster"/>
    <s v="Musical"/>
    <x v="1"/>
  </r>
  <r>
    <s v="tt1000412"/>
    <s v="Last Story 305"/>
    <n v="2001"/>
    <n v="2000"/>
    <x v="2"/>
    <n v="153"/>
    <s v="Long"/>
    <s v="A thrilling romance adventure."/>
    <s v="Quentin Tarantino"/>
    <s v="Denzel Washington, Robert Downey Jr., Anthony Hopkins, Daniel Day-Lewis, Jack Nicholson"/>
    <n v="140571"/>
    <m/>
    <n v="0"/>
    <s v="Average"/>
    <s v="Romance"/>
    <x v="7"/>
  </r>
  <r>
    <s v="tt1000412"/>
    <s v="Last Story 305"/>
    <n v="2001"/>
    <n v="2000"/>
    <x v="2"/>
    <n v="153"/>
    <s v="Long"/>
    <s v="A thrilling romance adventure."/>
    <s v="Quentin Tarantino"/>
    <s v="Denzel Washington, Robert Downey Jr., Anthony Hopkins, Daniel Day-Lewis, Jack Nicholson"/>
    <n v="140571"/>
    <m/>
    <n v="0"/>
    <s v="Average"/>
    <s v=" War"/>
    <x v="2"/>
  </r>
  <r>
    <s v="tt1000790"/>
    <s v="Last Adventures 683"/>
    <n v="2004"/>
    <n v="2000"/>
    <x v="1"/>
    <n v="116"/>
    <s v="Medium"/>
    <s v="A thrilling fantasy adventure."/>
    <s v="Ryan Coogler"/>
    <s v="Daniel Day-Lewis, Gary Oldman, Emma Stone"/>
    <n v="76117"/>
    <n v="211.08"/>
    <n v="211.08"/>
    <s v="Blockbuster"/>
    <s v="Fantasy"/>
    <x v="8"/>
  </r>
  <r>
    <s v="tt1000790"/>
    <s v="Last Adventures 683"/>
    <n v="2004"/>
    <n v="2000"/>
    <x v="1"/>
    <n v="116"/>
    <s v="Medium"/>
    <s v="A thrilling fantasy adventure."/>
    <s v="Ryan Coogler"/>
    <s v="Daniel Day-Lewis, Gary Oldman, Emma Stone"/>
    <n v="76117"/>
    <n v="211.08"/>
    <n v="211.08"/>
    <s v="Blockbuster"/>
    <s v=" Animation"/>
    <x v="3"/>
  </r>
  <r>
    <s v="tt1000790"/>
    <s v="Last Adventures 683"/>
    <n v="2004"/>
    <n v="2000"/>
    <x v="1"/>
    <n v="116"/>
    <s v="Medium"/>
    <s v="A thrilling fantasy adventure."/>
    <s v="Ryan Coogler"/>
    <s v="Daniel Day-Lewis, Gary Oldman, Emma Stone"/>
    <n v="76117"/>
    <n v="211.08"/>
    <n v="211.08"/>
    <s v="Blockbuster"/>
    <s v=" Sci-Fi"/>
    <x v="16"/>
  </r>
  <r>
    <s v="tt1000497"/>
    <s v="First Revolution 390"/>
    <n v="2000"/>
    <n v="2000"/>
    <x v="0"/>
    <n v="171"/>
    <s v="Long"/>
    <s v="A thrilling animation adventure."/>
    <s v="Taika Waititi"/>
    <s v="Matt Damon, Harrison Ford, Will Smith, Jack Nicholson"/>
    <n v="78970"/>
    <n v="198.71"/>
    <n v="198.71"/>
    <s v="Hit"/>
    <s v="Animation"/>
    <x v="3"/>
  </r>
  <r>
    <s v="tt1000695"/>
    <s v="Lost Love 588"/>
    <n v="2014"/>
    <n v="2010"/>
    <x v="0"/>
    <n v="95"/>
    <s v="Medium"/>
    <s v="An epic adventure tale directed by Danny Boyle."/>
    <s v="Danny Boyle"/>
    <s v="Robert Downey Jr., Mark Ruffalo, Viola Davis"/>
    <n v="47969"/>
    <n v="24.49"/>
    <n v="24.49"/>
    <s v="Average"/>
    <s v="Adventure"/>
    <x v="9"/>
  </r>
  <r>
    <s v="tt1000695"/>
    <s v="Lost Love 588"/>
    <n v="2014"/>
    <n v="2010"/>
    <x v="0"/>
    <n v="95"/>
    <s v="Medium"/>
    <s v="An epic adventure tale directed by Danny Boyle."/>
    <s v="Danny Boyle"/>
    <s v="Robert Downey Jr., Mark Ruffalo, Viola Davis"/>
    <n v="47969"/>
    <n v="24.49"/>
    <n v="24.49"/>
    <s v="Average"/>
    <s v=" Biography"/>
    <x v="5"/>
  </r>
  <r>
    <s v="tt1000102"/>
    <s v="The Sting"/>
    <n v="1982"/>
    <n v="1980"/>
    <x v="1"/>
    <n v="145"/>
    <s v="Long"/>
    <s v="A critically acclaimed musical masterpiece."/>
    <s v="Clint Eastwood"/>
    <s v="Harrison Ford, Anthony Hopkins, Matt Damon"/>
    <n v="81619"/>
    <n v="39.08"/>
    <n v="39.08"/>
    <s v="Average"/>
    <s v="Musical"/>
    <x v="1"/>
  </r>
  <r>
    <s v="tt1000102"/>
    <s v="The Sting"/>
    <n v="1982"/>
    <n v="1980"/>
    <x v="1"/>
    <n v="145"/>
    <s v="Long"/>
    <s v="A critically acclaimed musical masterpiece."/>
    <s v="Clint Eastwood"/>
    <s v="Harrison Ford, Anthony Hopkins, Matt Damon"/>
    <n v="81619"/>
    <n v="39.08"/>
    <n v="39.08"/>
    <s v="Average"/>
    <s v=" Family"/>
    <x v="10"/>
  </r>
  <r>
    <s v="tt1000500"/>
    <s v="Secret Quest 393"/>
    <n v="2000"/>
    <n v="2000"/>
    <x v="2"/>
    <n v="135"/>
    <s v="Long"/>
    <s v="A critically acclaimed fantasy masterpiece."/>
    <s v="Ava DuVernay"/>
    <s v="Leonardo DiCaprio, Edward Norton, Amy Adams, Robert Downey Jr."/>
    <n v="17548"/>
    <n v="106.52"/>
    <n v="106.52"/>
    <s v="Hit"/>
    <s v="Fantasy"/>
    <x v="8"/>
  </r>
  <r>
    <s v="tt1000100"/>
    <s v="One Flew Over the Cuckoo's Nest"/>
    <n v="1985"/>
    <n v="1980"/>
    <x v="2"/>
    <n v="103"/>
    <s v="Medium"/>
    <s v="A critically acclaimed mystery masterpiece."/>
    <s v="Bong Joon-ho"/>
    <s v="Mark Ruffalo, Harrison Ford, Samuel L. Jackson, Robert Downey Jr."/>
    <n v="110206"/>
    <n v="133.09"/>
    <n v="133.09"/>
    <s v="Hit"/>
    <s v="Mystery"/>
    <x v="4"/>
  </r>
  <r>
    <s v="tt1000156"/>
    <s v="Secret Mission 49"/>
    <n v="1996"/>
    <n v="1990"/>
    <x v="2"/>
    <n v="109"/>
    <s v="Medium"/>
    <s v="A critically acclaimed horror masterpiece."/>
    <s v="Ron Howard"/>
    <s v="Mark Ruffalo, Emma Stone, Robert De Niro"/>
    <n v="39633"/>
    <n v="59.28"/>
    <n v="59.28"/>
    <s v="Average"/>
    <s v="Horror"/>
    <x v="12"/>
  </r>
  <r>
    <s v="tt1000156"/>
    <s v="Secret Mission 49"/>
    <n v="1996"/>
    <n v="1990"/>
    <x v="2"/>
    <n v="109"/>
    <s v="Medium"/>
    <s v="A critically acclaimed horror masterpiece."/>
    <s v="Ron Howard"/>
    <s v="Mark Ruffalo, Emma Stone, Robert De Niro"/>
    <n v="39633"/>
    <n v="59.28"/>
    <n v="59.28"/>
    <s v="Average"/>
    <s v=" Crime"/>
    <x v="6"/>
  </r>
  <r>
    <s v="tt1000149"/>
    <s v="Dark War 42"/>
    <n v="1999"/>
    <n v="1990"/>
    <x v="0"/>
    <n v="101"/>
    <s v="Medium"/>
    <s v="A thrilling drama adventure."/>
    <s v="Coen Brothers"/>
    <s v="Margot Robbie, Anthony Hopkins, Morgan Freeman"/>
    <n v="12224"/>
    <n v="299.01"/>
    <n v="299.01"/>
    <s v="Blockbuster"/>
    <s v="Drama"/>
    <x v="14"/>
  </r>
  <r>
    <s v="tt1000149"/>
    <s v="Dark War 42"/>
    <n v="1999"/>
    <n v="1990"/>
    <x v="0"/>
    <n v="101"/>
    <s v="Medium"/>
    <s v="A thrilling drama adventure."/>
    <s v="Coen Brothers"/>
    <s v="Margot Robbie, Anthony Hopkins, Morgan Freeman"/>
    <n v="12224"/>
    <n v="299.01"/>
    <n v="299.01"/>
    <s v="Blockbuster"/>
    <s v=" Thriller"/>
    <x v="17"/>
  </r>
  <r>
    <s v="tt1000149"/>
    <s v="Dark War 42"/>
    <n v="1999"/>
    <n v="1990"/>
    <x v="0"/>
    <n v="101"/>
    <s v="Medium"/>
    <s v="A thrilling drama adventure."/>
    <s v="Coen Brothers"/>
    <s v="Margot Robbie, Anthony Hopkins, Morgan Freeman"/>
    <n v="12224"/>
    <n v="299.01"/>
    <n v="299.01"/>
    <s v="Blockbuster"/>
    <s v=" Biography"/>
    <x v="5"/>
  </r>
  <r>
    <s v="tt1000151"/>
    <s v="Final Kingdom 44"/>
    <n v="1997"/>
    <n v="1990"/>
    <x v="1"/>
    <n v="130"/>
    <s v="Long"/>
    <s v="A crime film set in 1997."/>
    <s v="Ang Lee"/>
    <s v="Natalie Portman, Harrison Ford, Edward Norton"/>
    <n v="18227"/>
    <n v="189.95"/>
    <n v="189.95"/>
    <s v="Hit"/>
    <s v="Crime"/>
    <x v="6"/>
  </r>
  <r>
    <s v="tt1000512"/>
    <s v="Secret Empire 405"/>
    <n v="2010"/>
    <n v="2010"/>
    <x v="1"/>
    <n v="130"/>
    <s v="Long"/>
    <s v="A critically acclaimed sci-fi masterpiece."/>
    <s v="Kathryn Bigelow"/>
    <s v="Denzel Washington, Leonardo DiCaprio, Zendaya, Scarlett Johansson"/>
    <n v="10353"/>
    <n v="355.68"/>
    <n v="355.68"/>
    <s v="Blockbuster"/>
    <s v="Sci-Fi"/>
    <x v="16"/>
  </r>
  <r>
    <s v="tt1000512"/>
    <s v="Secret Empire 405"/>
    <n v="2010"/>
    <n v="2010"/>
    <x v="1"/>
    <n v="130"/>
    <s v="Long"/>
    <s v="A critically acclaimed sci-fi masterpiece."/>
    <s v="Kathryn Bigelow"/>
    <s v="Denzel Washington, Leonardo DiCaprio, Zendaya, Scarlett Johansson"/>
    <n v="10353"/>
    <n v="355.68"/>
    <n v="355.68"/>
    <s v="Blockbuster"/>
    <s v=" War"/>
    <x v="2"/>
  </r>
  <r>
    <s v="tt1000554"/>
    <s v="Final Dreams 447"/>
    <n v="2004"/>
    <n v="2000"/>
    <x v="1"/>
    <n v="77"/>
    <s v="Short"/>
    <s v="A critically acclaimed comedy masterpiece."/>
    <s v="Ridley Scott"/>
    <s v="Zendaya, Matt Damon, Jennifer Lawrence, Scarlett Johansson"/>
    <n v="418943"/>
    <n v="356.71"/>
    <n v="356.71"/>
    <s v="Blockbuster"/>
    <s v="Comedy"/>
    <x v="15"/>
  </r>
  <r>
    <s v="tt1000554"/>
    <s v="Final Dreams 447"/>
    <n v="2004"/>
    <n v="2000"/>
    <x v="1"/>
    <n v="77"/>
    <s v="Short"/>
    <s v="A critically acclaimed comedy masterpiece."/>
    <s v="Ridley Scott"/>
    <s v="Zendaya, Matt Damon, Jennifer Lawrence, Scarlett Johansson"/>
    <n v="418943"/>
    <n v="356.71"/>
    <n v="356.71"/>
    <s v="Blockbuster"/>
    <s v=" Animation"/>
    <x v="3"/>
  </r>
  <r>
    <s v="tt1000554"/>
    <s v="Final Dreams 447"/>
    <n v="2004"/>
    <n v="2000"/>
    <x v="1"/>
    <n v="77"/>
    <s v="Short"/>
    <s v="A critically acclaimed comedy masterpiece."/>
    <s v="Ridley Scott"/>
    <s v="Zendaya, Matt Damon, Jennifer Lawrence, Scarlett Johansson"/>
    <n v="418943"/>
    <n v="356.71"/>
    <n v="356.71"/>
    <s v="Blockbuster"/>
    <s v=" Drama"/>
    <x v="14"/>
  </r>
  <r>
    <s v="tt1000336"/>
    <s v="A Kingdom 229"/>
    <n v="2020"/>
    <n v="2020"/>
    <x v="1"/>
    <n v="140"/>
    <s v="Long"/>
    <s v="A thrilling romance adventure."/>
    <s v="Jordan Peele"/>
    <s v="Gary Oldman, Daniel Day-Lewis, Samuel L. Jackson"/>
    <n v="431961"/>
    <m/>
    <n v="0"/>
    <s v="Average"/>
    <s v="Romance"/>
    <x v="7"/>
  </r>
  <r>
    <s v="tt1000336"/>
    <s v="A Kingdom 229"/>
    <n v="2020"/>
    <n v="2020"/>
    <x v="1"/>
    <n v="140"/>
    <s v="Long"/>
    <s v="A thrilling romance adventure."/>
    <s v="Jordan Peele"/>
    <s v="Gary Oldman, Daniel Day-Lewis, Samuel L. Jackson"/>
    <n v="431961"/>
    <m/>
    <n v="0"/>
    <s v="Average"/>
    <s v=" War"/>
    <x v="2"/>
  </r>
  <r>
    <s v="tt1000340"/>
    <s v="An Journey 233"/>
    <n v="2000"/>
    <n v="2000"/>
    <x v="4"/>
    <n v="130"/>
    <s v="Long"/>
    <s v="A critically acclaimed adventure masterpiece."/>
    <s v="Akira Kurosawa"/>
    <s v="Denzel Washington, Al Pacino, Margot Robbie"/>
    <n v="57726"/>
    <n v="242.04"/>
    <n v="242.04"/>
    <s v="Blockbuster"/>
    <s v="Adventure"/>
    <x v="9"/>
  </r>
  <r>
    <s v="tt1000340"/>
    <s v="An Journey 233"/>
    <n v="2000"/>
    <n v="2000"/>
    <x v="4"/>
    <n v="130"/>
    <s v="Long"/>
    <s v="A critically acclaimed adventure masterpiece."/>
    <s v="Akira Kurosawa"/>
    <s v="Denzel Washington, Al Pacino, Margot Robbie"/>
    <n v="57726"/>
    <n v="242.04"/>
    <n v="242.04"/>
    <s v="Blockbuster"/>
    <s v=" Action"/>
    <x v="0"/>
  </r>
  <r>
    <s v="tt1000253"/>
    <s v="An Love 146"/>
    <n v="2022"/>
    <n v="2020"/>
    <x v="1"/>
    <n v="134"/>
    <s v="Long"/>
    <s v="A thrilling fantasy adventure."/>
    <s v="Clint Eastwood"/>
    <s v="Daniel Day-Lewis, Matt Damon, TimothÃ©e Chalamet, Margot Robbie"/>
    <n v="71898"/>
    <m/>
    <n v="0"/>
    <s v="Average"/>
    <s v="Fantasy"/>
    <x v="8"/>
  </r>
  <r>
    <s v="tt1000253"/>
    <s v="An Love 146"/>
    <n v="2022"/>
    <n v="2020"/>
    <x v="1"/>
    <n v="134"/>
    <s v="Long"/>
    <s v="A thrilling fantasy adventure."/>
    <s v="Clint Eastwood"/>
    <s v="Daniel Day-Lewis, Matt Damon, TimothÃ©e Chalamet, Margot Robbie"/>
    <n v="71898"/>
    <m/>
    <n v="0"/>
    <s v="Average"/>
    <s v=" Sci-Fi"/>
    <x v="16"/>
  </r>
  <r>
    <s v="tt1000351"/>
    <s v="Last Quest 244"/>
    <n v="2008"/>
    <n v="2000"/>
    <x v="0"/>
    <n v="125"/>
    <s v="Long"/>
    <s v="A critically acclaimed crime masterpiece."/>
    <s v="Kathryn Bigelow"/>
    <s v="Cate Blanchett, Gary Oldman, Matt Damon, Johnny Depp, Tom Hanks"/>
    <n v="21863"/>
    <n v="252.14"/>
    <n v="252.14"/>
    <s v="Blockbuster"/>
    <s v="Crime"/>
    <x v="6"/>
  </r>
  <r>
    <s v="tt1000949"/>
    <s v="A Secrets 842"/>
    <n v="2016"/>
    <n v="2010"/>
    <x v="1"/>
    <n v="103"/>
    <s v="Medium"/>
    <s v="A thrilling biography adventure."/>
    <s v="Ron Howard"/>
    <s v="Meryl Streep, Mark Ruffalo, Amy Adams, Denzel Washington"/>
    <n v="26670"/>
    <n v="167.6"/>
    <n v="167.6"/>
    <s v="Hit"/>
    <s v="Biography"/>
    <x v="5"/>
  </r>
  <r>
    <s v="tt1000949"/>
    <s v="A Secrets 842"/>
    <n v="2016"/>
    <n v="2010"/>
    <x v="1"/>
    <n v="103"/>
    <s v="Medium"/>
    <s v="A thrilling biography adventure."/>
    <s v="Ron Howard"/>
    <s v="Meryl Streep, Mark Ruffalo, Amy Adams, Denzel Washington"/>
    <n v="26670"/>
    <n v="167.6"/>
    <n v="167.6"/>
    <s v="Hit"/>
    <s v=" Romance"/>
    <x v="7"/>
  </r>
  <r>
    <s v="tt1000953"/>
    <s v="A Adventures 846"/>
    <n v="2016"/>
    <n v="2010"/>
    <x v="2"/>
    <n v="123"/>
    <s v="Long"/>
    <s v="An epic war tale directed by Coen Brothers."/>
    <s v="Coen Brothers"/>
    <s v="Brad Pitt, Florence Pugh, Tom Cruise, Edward Norton"/>
    <n v="123724"/>
    <n v="338.05"/>
    <n v="338.05"/>
    <s v="Blockbuster"/>
    <s v="War"/>
    <x v="2"/>
  </r>
  <r>
    <s v="tt1000953"/>
    <s v="A Adventures 846"/>
    <n v="2016"/>
    <n v="2010"/>
    <x v="2"/>
    <n v="123"/>
    <s v="Long"/>
    <s v="An epic war tale directed by Coen Brothers."/>
    <s v="Coen Brothers"/>
    <s v="Brad Pitt, Florence Pugh, Tom Cruise, Edward Norton"/>
    <n v="123724"/>
    <n v="338.05"/>
    <n v="338.05"/>
    <s v="Blockbuster"/>
    <s v=" Romance"/>
    <x v="7"/>
  </r>
  <r>
    <s v="tt1000171"/>
    <s v="First Story 64"/>
    <n v="1982"/>
    <n v="1980"/>
    <x v="1"/>
    <n v="101"/>
    <s v="Medium"/>
    <s v="A critically acclaimed crime masterpiece."/>
    <s v="Christopher Nolan"/>
    <s v="Tom Cruise, Morgan Freeman, Leonardo DiCaprio, Anthony Hopkins, Natalie Portman"/>
    <n v="111553"/>
    <n v="263.64999999999998"/>
    <n v="263.64999999999998"/>
    <s v="Blockbuster"/>
    <s v="Crime"/>
    <x v="6"/>
  </r>
  <r>
    <s v="tt1000171"/>
    <s v="First Story 64"/>
    <n v="1982"/>
    <n v="1980"/>
    <x v="1"/>
    <n v="101"/>
    <s v="Medium"/>
    <s v="A critically acclaimed crime masterpiece."/>
    <s v="Christopher Nolan"/>
    <s v="Tom Cruise, Morgan Freeman, Leonardo DiCaprio, Anthony Hopkins, Natalie Portman"/>
    <n v="111553"/>
    <n v="263.64999999999998"/>
    <n v="263.64999999999998"/>
    <s v="Blockbuster"/>
    <s v=" Drama"/>
    <x v="14"/>
  </r>
  <r>
    <s v="tt1000638"/>
    <s v="Final Kingdom 531"/>
    <n v="2016"/>
    <n v="2010"/>
    <x v="2"/>
    <n v="83"/>
    <s v="Short"/>
    <s v="An epic action tale directed by Edgar Wright."/>
    <s v="Edgar Wright"/>
    <s v="Cate Blanchett, Samuel L. Jackson, Amy Adams"/>
    <n v="18367"/>
    <n v="422.3"/>
    <n v="422.3"/>
    <s v="Blockbuster"/>
    <s v="Action"/>
    <x v="0"/>
  </r>
  <r>
    <s v="tt1000638"/>
    <s v="Final Kingdom 531"/>
    <n v="2016"/>
    <n v="2010"/>
    <x v="2"/>
    <n v="83"/>
    <s v="Short"/>
    <s v="An epic action tale directed by Edgar Wright."/>
    <s v="Edgar Wright"/>
    <s v="Cate Blanchett, Samuel L. Jackson, Amy Adams"/>
    <n v="18367"/>
    <n v="422.3"/>
    <n v="422.3"/>
    <s v="Blockbuster"/>
    <s v=" Drama"/>
    <x v="14"/>
  </r>
  <r>
    <s v="tt1000930"/>
    <s v="The Legend 823"/>
    <n v="2003"/>
    <n v="2000"/>
    <x v="0"/>
    <n v="131"/>
    <s v="Long"/>
    <s v="A thrilling family adventure."/>
    <s v="George Lucas"/>
    <s v="Johnny Depp, Tom Hanks, Margot Robbie"/>
    <n v="32225"/>
    <n v="148.58000000000001"/>
    <n v="148.58000000000001"/>
    <s v="Hit"/>
    <s v="Family"/>
    <x v="10"/>
  </r>
  <r>
    <s v="tt1000930"/>
    <s v="The Legend 823"/>
    <n v="2003"/>
    <n v="2000"/>
    <x v="0"/>
    <n v="131"/>
    <s v="Long"/>
    <s v="A thrilling family adventure."/>
    <s v="George Lucas"/>
    <s v="Johnny Depp, Tom Hanks, Margot Robbie"/>
    <n v="32225"/>
    <n v="148.58000000000001"/>
    <n v="148.58000000000001"/>
    <s v="Hit"/>
    <s v=" Documentary"/>
    <x v="13"/>
  </r>
  <r>
    <s v="tt1000930"/>
    <s v="The Legend 823"/>
    <n v="2003"/>
    <n v="2000"/>
    <x v="0"/>
    <n v="131"/>
    <s v="Long"/>
    <s v="A thrilling family adventure."/>
    <s v="George Lucas"/>
    <s v="Johnny Depp, Tom Hanks, Margot Robbie"/>
    <n v="32225"/>
    <n v="148.58000000000001"/>
    <n v="148.58000000000001"/>
    <s v="Hit"/>
    <s v=" Adventure"/>
    <x v="9"/>
  </r>
  <r>
    <s v="tt1000936"/>
    <s v="Lost Mission 829"/>
    <n v="2011"/>
    <n v="2010"/>
    <x v="3"/>
    <n v="138"/>
    <s v="Long"/>
    <s v="An epic family tale directed by Alfred Hitchcock."/>
    <s v="Alfred Hitchcock"/>
    <s v="Tom Hanks, Will Smith, Cate Blanchett, Matt Damon, Christian Bale"/>
    <n v="50254"/>
    <m/>
    <n v="0"/>
    <s v="Average"/>
    <s v="Family"/>
    <x v="10"/>
  </r>
  <r>
    <s v="tt1000936"/>
    <s v="Lost Mission 829"/>
    <n v="2011"/>
    <n v="2010"/>
    <x v="3"/>
    <n v="138"/>
    <s v="Long"/>
    <s v="An epic family tale directed by Alfred Hitchcock."/>
    <s v="Alfred Hitchcock"/>
    <s v="Tom Hanks, Will Smith, Cate Blanchett, Matt Damon, Christian Bale"/>
    <n v="50254"/>
    <m/>
    <n v="0"/>
    <s v="Average"/>
    <s v=" Adventure"/>
    <x v="9"/>
  </r>
  <r>
    <s v="tt1000385"/>
    <s v="Last War 278"/>
    <n v="2003"/>
    <n v="2000"/>
    <x v="0"/>
    <n v="140"/>
    <s v="Long"/>
    <s v="A critically acclaimed romance masterpiece."/>
    <s v="Christopher Nolan"/>
    <s v="TimothÃ©e Chalamet, Jennifer Lawrence, Harrison Ford, Scarlett Johansson"/>
    <n v="1756183"/>
    <n v="328.97"/>
    <n v="328.97"/>
    <s v="Blockbuster"/>
    <s v="Romance"/>
    <x v="7"/>
  </r>
  <r>
    <s v="tt1000611"/>
    <s v="Final Chronicles 504"/>
    <n v="2014"/>
    <n v="2010"/>
    <x v="2"/>
    <n v="125"/>
    <s v="Long"/>
    <s v="An epic fantasy tale directed by Sam Mendes."/>
    <s v="Sam Mendes"/>
    <s v="Morgan Freeman, Robert De Niro, Samuel L. Jackson, Harrison Ford"/>
    <n v="102976"/>
    <n v="31.42"/>
    <n v="31.42"/>
    <s v="Average"/>
    <s v="Fantasy"/>
    <x v="8"/>
  </r>
  <r>
    <s v="tt1000611"/>
    <s v="Final Chronicles 504"/>
    <n v="2014"/>
    <n v="2010"/>
    <x v="2"/>
    <n v="125"/>
    <s v="Long"/>
    <s v="An epic fantasy tale directed by Sam Mendes."/>
    <s v="Sam Mendes"/>
    <s v="Morgan Freeman, Robert De Niro, Samuel L. Jackson, Harrison Ford"/>
    <n v="102976"/>
    <n v="31.42"/>
    <n v="31.42"/>
    <s v="Average"/>
    <s v=" Romance"/>
    <x v="7"/>
  </r>
  <r>
    <s v="tt1000973"/>
    <s v="Secret Awakening 866"/>
    <n v="2003"/>
    <n v="2000"/>
    <x v="0"/>
    <n v="145"/>
    <s v="Long"/>
    <s v="An epic western tale directed by Wes Anderson."/>
    <s v="Wes Anderson"/>
    <s v="Scarlett Johansson, Margot Robbie, Florence Pugh, Jennifer Lawrence, Tom Cruise"/>
    <n v="183048"/>
    <n v="214.67"/>
    <n v="214.67"/>
    <s v="Blockbuster"/>
    <s v="Western"/>
    <x v="11"/>
  </r>
  <r>
    <s v="tt1000973"/>
    <s v="Secret Awakening 866"/>
    <n v="2003"/>
    <n v="2000"/>
    <x v="0"/>
    <n v="145"/>
    <s v="Long"/>
    <s v="An epic western tale directed by Wes Anderson."/>
    <s v="Wes Anderson"/>
    <s v="Scarlett Johansson, Margot Robbie, Florence Pugh, Jennifer Lawrence, Tom Cruise"/>
    <n v="183048"/>
    <n v="214.67"/>
    <n v="214.67"/>
    <s v="Blockbuster"/>
    <s v=" Adventure"/>
    <x v="9"/>
  </r>
  <r>
    <s v="tt1000973"/>
    <s v="Secret Awakening 866"/>
    <n v="2003"/>
    <n v="2000"/>
    <x v="0"/>
    <n v="145"/>
    <s v="Long"/>
    <s v="An epic western tale directed by Wes Anderson."/>
    <s v="Wes Anderson"/>
    <s v="Scarlett Johansson, Margot Robbie, Florence Pugh, Jennifer Lawrence, Tom Cruise"/>
    <n v="183048"/>
    <n v="214.67"/>
    <n v="214.67"/>
    <s v="Blockbuster"/>
    <s v=" Crime"/>
    <x v="6"/>
  </r>
  <r>
    <s v="tt1000369"/>
    <s v="The Love 262"/>
    <n v="2022"/>
    <n v="2020"/>
    <x v="0"/>
    <n v="98"/>
    <s v="Medium"/>
    <s v="An epic crime tale directed by Ang Lee."/>
    <s v="Ang Lee"/>
    <s v="Harrison Ford, Cate Blanchett, Al Pacino, Chris Hemsworth, Emma Stone"/>
    <n v="1057107"/>
    <m/>
    <n v="0"/>
    <s v="Average"/>
    <s v="Crime"/>
    <x v="6"/>
  </r>
  <r>
    <s v="tt1000369"/>
    <s v="The Love 262"/>
    <n v="2022"/>
    <n v="2020"/>
    <x v="0"/>
    <n v="98"/>
    <s v="Medium"/>
    <s v="An epic crime tale directed by Ang Lee."/>
    <s v="Ang Lee"/>
    <s v="Harrison Ford, Cate Blanchett, Al Pacino, Chris Hemsworth, Emma Stone"/>
    <n v="1057107"/>
    <m/>
    <n v="0"/>
    <s v="Average"/>
    <s v=" Musical"/>
    <x v="1"/>
  </r>
  <r>
    <s v="tt1000369"/>
    <s v="The Love 262"/>
    <n v="2022"/>
    <n v="2020"/>
    <x v="0"/>
    <n v="98"/>
    <s v="Medium"/>
    <s v="An epic crime tale directed by Ang Lee."/>
    <s v="Ang Lee"/>
    <s v="Harrison Ford, Cate Blanchett, Al Pacino, Chris Hemsworth, Emma Stone"/>
    <n v="1057107"/>
    <m/>
    <n v="0"/>
    <s v="Average"/>
    <s v=" Sci-Fi"/>
    <x v="16"/>
  </r>
  <r>
    <s v="tt1000740"/>
    <s v="Final Dreams 633"/>
    <n v="2021"/>
    <n v="2020"/>
    <x v="0"/>
    <n v="112"/>
    <s v="Medium"/>
    <s v="A horror film set in 2021."/>
    <s v="Peter Jackson"/>
    <s v="Meryl Streep, Anthony Hopkins, Denzel Washington, Cate Blanchett, Matt Damon"/>
    <n v="182825"/>
    <n v="263.27999999999997"/>
    <n v="263.27999999999997"/>
    <s v="Blockbuster"/>
    <s v="Horror"/>
    <x v="12"/>
  </r>
  <r>
    <s v="tt1000740"/>
    <s v="Final Dreams 633"/>
    <n v="2021"/>
    <n v="2020"/>
    <x v="0"/>
    <n v="112"/>
    <s v="Medium"/>
    <s v="A horror film set in 2021."/>
    <s v="Peter Jackson"/>
    <s v="Meryl Streep, Anthony Hopkins, Denzel Washington, Cate Blanchett, Matt Damon"/>
    <n v="182825"/>
    <n v="263.27999999999997"/>
    <n v="263.27999999999997"/>
    <s v="Blockbuster"/>
    <s v=" Sci-Fi"/>
    <x v="16"/>
  </r>
  <r>
    <s v="tt1000740"/>
    <s v="Final Dreams 633"/>
    <n v="2021"/>
    <n v="2020"/>
    <x v="0"/>
    <n v="112"/>
    <s v="Medium"/>
    <s v="A horror film set in 2021."/>
    <s v="Peter Jackson"/>
    <s v="Meryl Streep, Anthony Hopkins, Denzel Washington, Cate Blanchett, Matt Damon"/>
    <n v="182825"/>
    <n v="263.27999999999997"/>
    <n v="263.27999999999997"/>
    <s v="Blockbuster"/>
    <s v=" Mystery"/>
    <x v="4"/>
  </r>
  <r>
    <s v="tt1000718"/>
    <s v="Secret Journey 611"/>
    <n v="2010"/>
    <n v="2010"/>
    <x v="1"/>
    <n v="94"/>
    <s v="Medium"/>
    <s v="A thrilling war adventure."/>
    <s v="Sam Mendes"/>
    <s v="Gary Oldman, Zendaya, Brad Pitt"/>
    <n v="34105"/>
    <n v="218.4"/>
    <n v="218.4"/>
    <s v="Blockbuster"/>
    <s v="War"/>
    <x v="2"/>
  </r>
  <r>
    <s v="tt1000718"/>
    <s v="Secret Journey 611"/>
    <n v="2010"/>
    <n v="2010"/>
    <x v="1"/>
    <n v="94"/>
    <s v="Medium"/>
    <s v="A thrilling war adventure."/>
    <s v="Sam Mendes"/>
    <s v="Gary Oldman, Zendaya, Brad Pitt"/>
    <n v="34105"/>
    <n v="218.4"/>
    <n v="218.4"/>
    <s v="Blockbuster"/>
    <s v=" Drama"/>
    <x v="14"/>
  </r>
  <r>
    <s v="tt1000445"/>
    <s v="Lost Mission 338"/>
    <n v="2000"/>
    <n v="2000"/>
    <x v="2"/>
    <n v="113"/>
    <s v="Medium"/>
    <s v="A critically acclaimed western masterpiece."/>
    <s v="Spike Lee"/>
    <s v="Florence Pugh, Meryl Streep, Robert De Niro, Natalie Portman, Gary Oldman"/>
    <n v="38036"/>
    <n v="98.29"/>
    <n v="98.29"/>
    <s v="Average"/>
    <s v="Western"/>
    <x v="11"/>
  </r>
  <r>
    <s v="tt1000445"/>
    <s v="Lost Mission 338"/>
    <n v="2000"/>
    <n v="2000"/>
    <x v="2"/>
    <n v="113"/>
    <s v="Medium"/>
    <s v="A critically acclaimed western masterpiece."/>
    <s v="Spike Lee"/>
    <s v="Florence Pugh, Meryl Streep, Robert De Niro, Natalie Portman, Gary Oldman"/>
    <n v="38036"/>
    <n v="98.29"/>
    <n v="98.29"/>
    <s v="Average"/>
    <s v=" Fantasy"/>
    <x v="8"/>
  </r>
  <r>
    <s v="tt1000867"/>
    <s v="Lost Mission 760"/>
    <n v="2005"/>
    <n v="2000"/>
    <x v="2"/>
    <n v="132"/>
    <s v="Long"/>
    <s v="An epic crime tale directed by Spike Lee."/>
    <s v="Spike Lee"/>
    <s v="Morgan Freeman, Jack Nicholson, Jennifer Lawrence, Gary Oldman"/>
    <n v="10051"/>
    <m/>
    <n v="0"/>
    <s v="Average"/>
    <s v="Crime"/>
    <x v="6"/>
  </r>
  <r>
    <s v="tt1000867"/>
    <s v="Lost Mission 760"/>
    <n v="2005"/>
    <n v="2000"/>
    <x v="2"/>
    <n v="132"/>
    <s v="Long"/>
    <s v="An epic crime tale directed by Spike Lee."/>
    <s v="Spike Lee"/>
    <s v="Morgan Freeman, Jack Nicholson, Jennifer Lawrence, Gary Oldman"/>
    <n v="10051"/>
    <m/>
    <n v="0"/>
    <s v="Average"/>
    <s v=" Drama"/>
    <x v="14"/>
  </r>
  <r>
    <s v="tt1000867"/>
    <s v="Lost Mission 760"/>
    <n v="2005"/>
    <n v="2000"/>
    <x v="2"/>
    <n v="132"/>
    <s v="Long"/>
    <s v="An epic crime tale directed by Spike Lee."/>
    <s v="Spike Lee"/>
    <s v="Morgan Freeman, Jack Nicholson, Jennifer Lawrence, Gary Oldman"/>
    <n v="10051"/>
    <m/>
    <n v="0"/>
    <s v="Average"/>
    <s v=" Adventure"/>
    <x v="9"/>
  </r>
  <r>
    <s v="tt1000466"/>
    <s v="A Destiny 359"/>
    <n v="2012"/>
    <n v="2010"/>
    <x v="5"/>
    <n v="144"/>
    <s v="Long"/>
    <s v="A biography film set in 2012."/>
    <s v="Pedro AlmodÃ³var"/>
    <s v="Jack Nicholson, Anthony Hopkins, Robert Downey Jr., Cate Blanchett, Johnny Depp"/>
    <n v="12451"/>
    <m/>
    <n v="0"/>
    <s v="Average"/>
    <s v="Biography"/>
    <x v="5"/>
  </r>
  <r>
    <s v="tt1000466"/>
    <s v="A Destiny 359"/>
    <n v="2012"/>
    <n v="2010"/>
    <x v="5"/>
    <n v="144"/>
    <s v="Long"/>
    <s v="A biography film set in 2012."/>
    <s v="Pedro AlmodÃ³var"/>
    <s v="Jack Nicholson, Anthony Hopkins, Robert Downey Jr., Cate Blanchett, Johnny Depp"/>
    <n v="12451"/>
    <m/>
    <n v="0"/>
    <s v="Average"/>
    <s v=" War"/>
    <x v="2"/>
  </r>
  <r>
    <s v="tt1000221"/>
    <s v="A Mission 114"/>
    <n v="2002"/>
    <n v="2000"/>
    <x v="0"/>
    <n v="109"/>
    <s v="Medium"/>
    <s v="An epic sci-fi tale directed by James Cameron."/>
    <s v="James Cameron"/>
    <s v="Kate Winslet, Amy Adams, Tom Hanks, TimothÃ©e Chalamet"/>
    <n v="70238"/>
    <n v="36.72"/>
    <n v="36.72"/>
    <s v="Average"/>
    <s v="Sci-Fi"/>
    <x v="16"/>
  </r>
  <r>
    <s v="tt1000221"/>
    <s v="A Mission 114"/>
    <n v="2002"/>
    <n v="2000"/>
    <x v="0"/>
    <n v="109"/>
    <s v="Medium"/>
    <s v="An epic sci-fi tale directed by James Cameron."/>
    <s v="James Cameron"/>
    <s v="Kate Winslet, Amy Adams, Tom Hanks, TimothÃ©e Chalamet"/>
    <n v="70238"/>
    <n v="36.72"/>
    <n v="36.72"/>
    <s v="Average"/>
    <s v=" Romance"/>
    <x v="7"/>
  </r>
  <r>
    <s v="tt1000221"/>
    <s v="A Mission 114"/>
    <n v="2002"/>
    <n v="2000"/>
    <x v="0"/>
    <n v="109"/>
    <s v="Medium"/>
    <s v="An epic sci-fi tale directed by James Cameron."/>
    <s v="James Cameron"/>
    <s v="Kate Winslet, Amy Adams, Tom Hanks, TimothÃ©e Chalamet"/>
    <n v="70238"/>
    <n v="36.72"/>
    <n v="36.72"/>
    <s v="Average"/>
    <s v=" Drama"/>
    <x v="14"/>
  </r>
  <r>
    <s v="tt1000419"/>
    <s v="Lost War 312"/>
    <n v="2004"/>
    <n v="2000"/>
    <x v="4"/>
    <n v="128"/>
    <s v="Long"/>
    <s v="A critically acclaimed biography masterpiece."/>
    <s v="Bong Joon-ho"/>
    <s v="Robert Downey Jr., Matt Damon, Scarlett Johansson"/>
    <n v="55069"/>
    <n v="105.26"/>
    <n v="105.26"/>
    <s v="Hit"/>
    <s v="Biography"/>
    <x v="5"/>
  </r>
  <r>
    <s v="tt1000419"/>
    <s v="Lost War 312"/>
    <n v="2004"/>
    <n v="2000"/>
    <x v="4"/>
    <n v="128"/>
    <s v="Long"/>
    <s v="A critically acclaimed biography masterpiece."/>
    <s v="Bong Joon-ho"/>
    <s v="Robert Downey Jr., Matt Damon, Scarlett Johansson"/>
    <n v="55069"/>
    <n v="105.26"/>
    <n v="105.26"/>
    <s v="Hit"/>
    <s v=" Action"/>
    <x v="0"/>
  </r>
  <r>
    <s v="tt1000691"/>
    <s v="Secret Kingdom 584"/>
    <n v="2006"/>
    <n v="2000"/>
    <x v="0"/>
    <n v="123"/>
    <s v="Long"/>
    <s v="A thrilling adventure adventure."/>
    <s v="Martin Scorsese"/>
    <s v="Daniel Day-Lewis, Matt Damon, Robert Downey Jr., Will Smith, Leonardo DiCaprio"/>
    <n v="37268"/>
    <m/>
    <n v="0"/>
    <s v="Average"/>
    <s v="Adventure"/>
    <x v="9"/>
  </r>
  <r>
    <s v="tt1000691"/>
    <s v="Secret Kingdom 584"/>
    <n v="2006"/>
    <n v="2000"/>
    <x v="0"/>
    <n v="123"/>
    <s v="Long"/>
    <s v="A thrilling adventure adventure."/>
    <s v="Martin Scorsese"/>
    <s v="Daniel Day-Lewis, Matt Damon, Robert Downey Jr., Will Smith, Leonardo DiCaprio"/>
    <n v="37268"/>
    <m/>
    <n v="0"/>
    <s v="Average"/>
    <s v=" Horror"/>
    <x v="12"/>
  </r>
  <r>
    <s v="tt1000405"/>
    <s v="Dark Story 298"/>
    <n v="2011"/>
    <n v="2010"/>
    <x v="2"/>
    <n v="144"/>
    <s v="Long"/>
    <s v="An epic crime tale directed by Sam Mendes."/>
    <s v="Sam Mendes"/>
    <s v="Will Smith, Keanu Reeves, Viola Davis"/>
    <n v="90988"/>
    <n v="251.49"/>
    <n v="251.49"/>
    <s v="Blockbuster"/>
    <s v="Crime"/>
    <x v="6"/>
  </r>
  <r>
    <s v="tt1000405"/>
    <s v="Dark Story 298"/>
    <n v="2011"/>
    <n v="2010"/>
    <x v="2"/>
    <n v="144"/>
    <s v="Long"/>
    <s v="An epic crime tale directed by Sam Mendes."/>
    <s v="Sam Mendes"/>
    <s v="Will Smith, Keanu Reeves, Viola Davis"/>
    <n v="90988"/>
    <n v="251.49"/>
    <n v="251.49"/>
    <s v="Blockbuster"/>
    <s v=" Drama"/>
    <x v="14"/>
  </r>
  <r>
    <s v="tt1000247"/>
    <s v="An Secrets 140"/>
    <n v="2003"/>
    <n v="2000"/>
    <x v="0"/>
    <n v="94"/>
    <s v="Medium"/>
    <s v="A thrilling comedy adventure."/>
    <s v="Steven Spielberg"/>
    <s v="Keanu Reeves, Johnny Depp, Cate Blanchett, TimothÃ©e Chalamet"/>
    <n v="62263"/>
    <n v="28.32"/>
    <n v="28.32"/>
    <s v="Average"/>
    <s v="Comedy"/>
    <x v="15"/>
  </r>
  <r>
    <s v="tt1000324"/>
    <s v="Dark Empire 217"/>
    <n v="2015"/>
    <n v="2010"/>
    <x v="2"/>
    <n v="136"/>
    <s v="Long"/>
    <s v="A critically acclaimed comedy masterpiece."/>
    <s v="Sam Mendes"/>
    <s v="Jack Nicholson, Christian Bale, Robert De Niro, Florence Pugh, Cate Blanchett"/>
    <n v="30660"/>
    <n v="204.22"/>
    <n v="204.22"/>
    <s v="Blockbuster"/>
    <s v="Comedy"/>
    <x v="15"/>
  </r>
  <r>
    <s v="tt1000324"/>
    <s v="Dark Empire 217"/>
    <n v="2015"/>
    <n v="2010"/>
    <x v="2"/>
    <n v="136"/>
    <s v="Long"/>
    <s v="A critically acclaimed comedy masterpiece."/>
    <s v="Sam Mendes"/>
    <s v="Jack Nicholson, Christian Bale, Robert De Niro, Florence Pugh, Cate Blanchett"/>
    <n v="30660"/>
    <n v="204.22"/>
    <n v="204.22"/>
    <s v="Blockbuster"/>
    <s v=" Thriller"/>
    <x v="17"/>
  </r>
  <r>
    <s v="tt1000402"/>
    <s v="The Secrets 295"/>
    <n v="2010"/>
    <n v="2010"/>
    <x v="0"/>
    <n v="105"/>
    <s v="Medium"/>
    <s v="A thrilling drama adventure."/>
    <s v="Christopher Nolan"/>
    <s v="Amy Adams, Leonardo DiCaprio, Matt Damon, Gary Oldman, Mark Ruffalo"/>
    <n v="7303"/>
    <n v="235.3"/>
    <n v="235.3"/>
    <s v="Blockbuster"/>
    <s v="Drama"/>
    <x v="14"/>
  </r>
  <r>
    <s v="tt1000402"/>
    <s v="The Secrets 295"/>
    <n v="2010"/>
    <n v="2010"/>
    <x v="0"/>
    <n v="105"/>
    <s v="Medium"/>
    <s v="A thrilling drama adventure."/>
    <s v="Christopher Nolan"/>
    <s v="Amy Adams, Leonardo DiCaprio, Matt Damon, Gary Oldman, Mark Ruffalo"/>
    <n v="7303"/>
    <n v="235.3"/>
    <n v="235.3"/>
    <s v="Blockbuster"/>
    <s v=" Sci-Fi"/>
    <x v="16"/>
  </r>
  <r>
    <s v="tt1000741"/>
    <s v="The Adventures 634"/>
    <n v="2007"/>
    <n v="2000"/>
    <x v="2"/>
    <n v="116"/>
    <s v="Medium"/>
    <s v="A thrilling musical adventure."/>
    <s v="Ron Howard"/>
    <s v="Kate Winslet, Natalie Portman, Emma Stone, Samuel L. Jackson"/>
    <n v="434502"/>
    <n v="168.04"/>
    <n v="168.04"/>
    <s v="Hit"/>
    <s v="Musical"/>
    <x v="1"/>
  </r>
  <r>
    <s v="tt1000741"/>
    <s v="The Adventures 634"/>
    <n v="2007"/>
    <n v="2000"/>
    <x v="2"/>
    <n v="116"/>
    <s v="Medium"/>
    <s v="A thrilling musical adventure."/>
    <s v="Ron Howard"/>
    <s v="Kate Winslet, Natalie Portman, Emma Stone, Samuel L. Jackson"/>
    <n v="434502"/>
    <n v="168.04"/>
    <n v="168.04"/>
    <s v="Hit"/>
    <s v=" Biography"/>
    <x v="5"/>
  </r>
  <r>
    <s v="tt1000772"/>
    <s v="An Quest 665"/>
    <n v="2014"/>
    <n v="2010"/>
    <x v="5"/>
    <n v="136"/>
    <s v="Long"/>
    <s v="A thrilling thriller adventure."/>
    <s v="Alfred Hitchcock"/>
    <s v="Matt Damon, Tom Cruise, Christian Bale, Jack Nicholson"/>
    <n v="25914"/>
    <n v="29"/>
    <n v="29"/>
    <s v="Average"/>
    <s v="Thriller"/>
    <x v="17"/>
  </r>
  <r>
    <s v="tt1000772"/>
    <s v="An Quest 665"/>
    <n v="2014"/>
    <n v="2010"/>
    <x v="5"/>
    <n v="136"/>
    <s v="Long"/>
    <s v="A thrilling thriller adventure."/>
    <s v="Alfred Hitchcock"/>
    <s v="Matt Damon, Tom Cruise, Christian Bale, Jack Nicholson"/>
    <n v="25914"/>
    <n v="29"/>
    <n v="29"/>
    <s v="Average"/>
    <s v=" Romance"/>
    <x v="7"/>
  </r>
  <r>
    <s v="tt1000743"/>
    <s v="An Quest 636"/>
    <n v="2013"/>
    <n v="2010"/>
    <x v="4"/>
    <n v="140"/>
    <s v="Long"/>
    <s v="A critically acclaimed fantasy masterpiece."/>
    <s v="James Cameron"/>
    <s v="Mark Ruffalo, Robert Downey Jr., Brad Pitt"/>
    <n v="196013"/>
    <n v="482.73"/>
    <n v="482.73"/>
    <s v="Blockbuster"/>
    <s v="Fantasy"/>
    <x v="8"/>
  </r>
  <r>
    <s v="tt1000760"/>
    <s v="Final Story 653"/>
    <n v="2010"/>
    <n v="2010"/>
    <x v="0"/>
    <n v="85"/>
    <s v="Short"/>
    <s v="An epic action tale directed by Spike Lee."/>
    <s v="Spike Lee"/>
    <s v="Viola Davis, Scarlett Johansson, Jennifer Lawrence"/>
    <n v="359031"/>
    <m/>
    <n v="0"/>
    <s v="Average"/>
    <s v="Action"/>
    <x v="0"/>
  </r>
  <r>
    <s v="tt1000760"/>
    <s v="Final Story 653"/>
    <n v="2010"/>
    <n v="2010"/>
    <x v="0"/>
    <n v="85"/>
    <s v="Short"/>
    <s v="An epic action tale directed by Spike Lee."/>
    <s v="Spike Lee"/>
    <s v="Viola Davis, Scarlett Johansson, Jennifer Lawrence"/>
    <n v="359031"/>
    <m/>
    <n v="0"/>
    <s v="Average"/>
    <s v=" Fantasy"/>
    <x v="8"/>
  </r>
  <r>
    <s v="tt1000757"/>
    <s v="The War 650"/>
    <n v="2007"/>
    <n v="2000"/>
    <x v="0"/>
    <n v="110"/>
    <s v="Medium"/>
    <s v="A critically acclaimed comedy masterpiece."/>
    <s v="Denis Villeneuve"/>
    <s v="Cate Blanchett, Samuel L. Jackson, Viola Davis, Zendaya"/>
    <n v="63021"/>
    <n v="159.86000000000001"/>
    <n v="159.86000000000001"/>
    <s v="Hit"/>
    <s v="Comedy"/>
    <x v="15"/>
  </r>
  <r>
    <s v="tt1000757"/>
    <s v="The War 650"/>
    <n v="2007"/>
    <n v="2000"/>
    <x v="0"/>
    <n v="110"/>
    <s v="Medium"/>
    <s v="A critically acclaimed comedy masterpiece."/>
    <s v="Denis Villeneuve"/>
    <s v="Cate Blanchett, Samuel L. Jackson, Viola Davis, Zendaya"/>
    <n v="63021"/>
    <n v="159.86000000000001"/>
    <n v="159.86000000000001"/>
    <s v="Hit"/>
    <s v=" Animation"/>
    <x v="3"/>
  </r>
  <r>
    <s v="tt1000757"/>
    <s v="The War 650"/>
    <n v="2007"/>
    <n v="2000"/>
    <x v="0"/>
    <n v="110"/>
    <s v="Medium"/>
    <s v="A critically acclaimed comedy masterpiece."/>
    <s v="Denis Villeneuve"/>
    <s v="Cate Blanchett, Samuel L. Jackson, Viola Davis, Zendaya"/>
    <n v="63021"/>
    <n v="159.86000000000001"/>
    <n v="159.86000000000001"/>
    <s v="Hit"/>
    <s v=" Mystery"/>
    <x v="4"/>
  </r>
  <r>
    <s v="tt1000283"/>
    <s v="Secret Empire 176"/>
    <n v="2013"/>
    <n v="2010"/>
    <x v="2"/>
    <n v="109"/>
    <s v="Medium"/>
    <s v="A critically acclaimed animation masterpiece."/>
    <s v="Ron Howard"/>
    <s v="Brad Pitt, Margot Robbie, Natalie Portman, Meryl Streep, Matt Damon"/>
    <n v="26024"/>
    <n v="419.59"/>
    <n v="419.59"/>
    <s v="Blockbuster"/>
    <s v="Animation"/>
    <x v="3"/>
  </r>
  <r>
    <s v="tt1000283"/>
    <s v="Secret Empire 176"/>
    <n v="2013"/>
    <n v="2010"/>
    <x v="2"/>
    <n v="109"/>
    <s v="Medium"/>
    <s v="A critically acclaimed animation masterpiece."/>
    <s v="Ron Howard"/>
    <s v="Brad Pitt, Margot Robbie, Natalie Portman, Meryl Streep, Matt Damon"/>
    <n v="26024"/>
    <n v="419.59"/>
    <n v="419.59"/>
    <s v="Blockbuster"/>
    <s v=" Mystery"/>
    <x v="4"/>
  </r>
  <r>
    <s v="tt1000249"/>
    <s v="A Journey 142"/>
    <n v="2001"/>
    <n v="2000"/>
    <x v="1"/>
    <n v="104"/>
    <s v="Medium"/>
    <s v="An epic western tale directed by Alfred Hitchcock."/>
    <s v="Alfred Hitchcock"/>
    <s v="Chris Hemsworth, Tom Hanks, Natalie Portman, Margot Robbie, Cate Blanchett"/>
    <n v="7259"/>
    <n v="301.2"/>
    <n v="301.2"/>
    <s v="Blockbuster"/>
    <s v="Western"/>
    <x v="11"/>
  </r>
  <r>
    <s v="tt1000334"/>
    <s v="The Dreams 227"/>
    <n v="2011"/>
    <n v="2010"/>
    <x v="1"/>
    <n v="121"/>
    <s v="Long"/>
    <s v="A critically acclaimed comedy masterpiece."/>
    <s v="Frank Darabont"/>
    <s v="Robert Downey Jr., Samuel L. Jackson, Denzel Washington"/>
    <n v="170644"/>
    <m/>
    <n v="0"/>
    <s v="Average"/>
    <s v="Comedy"/>
    <x v="15"/>
  </r>
  <r>
    <s v="tt1000471"/>
    <s v="A Empire 364"/>
    <n v="2010"/>
    <n v="2010"/>
    <x v="1"/>
    <n v="163"/>
    <s v="Long"/>
    <s v="A thrilling sci-fi adventure."/>
    <s v="Wes Anderson"/>
    <s v="Daniel Day-Lewis, Leonardo DiCaprio, Harrison Ford"/>
    <n v="240809"/>
    <m/>
    <n v="0"/>
    <s v="Average"/>
    <s v="Sci-Fi"/>
    <x v="16"/>
  </r>
  <r>
    <s v="tt1000471"/>
    <s v="A Empire 364"/>
    <n v="2010"/>
    <n v="2010"/>
    <x v="1"/>
    <n v="163"/>
    <s v="Long"/>
    <s v="A thrilling sci-fi adventure."/>
    <s v="Wes Anderson"/>
    <s v="Daniel Day-Lewis, Leonardo DiCaprio, Harrison Ford"/>
    <n v="240809"/>
    <m/>
    <n v="0"/>
    <s v="Average"/>
    <s v=" Documentary"/>
    <x v="13"/>
  </r>
  <r>
    <s v="tt1000834"/>
    <s v="Lost Revolution 727"/>
    <n v="2006"/>
    <n v="2000"/>
    <x v="3"/>
    <n v="113"/>
    <s v="Medium"/>
    <s v="A thrilling drama adventure."/>
    <s v="Stanley Kubrick"/>
    <s v="Jennifer Lawrence, Emma Stone, Mark Ruffalo, Will Smith, Tom Hanks"/>
    <n v="11757"/>
    <n v="321.99"/>
    <n v="321.99"/>
    <s v="Blockbuster"/>
    <s v="Drama"/>
    <x v="14"/>
  </r>
  <r>
    <s v="tt1000834"/>
    <s v="Lost Revolution 727"/>
    <n v="2006"/>
    <n v="2000"/>
    <x v="3"/>
    <n v="113"/>
    <s v="Medium"/>
    <s v="A thrilling drama adventure."/>
    <s v="Stanley Kubrick"/>
    <s v="Jennifer Lawrence, Emma Stone, Mark Ruffalo, Will Smith, Tom Hanks"/>
    <n v="11757"/>
    <n v="321.99"/>
    <n v="321.99"/>
    <s v="Blockbuster"/>
    <s v=" Musical"/>
    <x v="1"/>
  </r>
  <r>
    <s v="tt1000834"/>
    <s v="Lost Revolution 727"/>
    <n v="2006"/>
    <n v="2000"/>
    <x v="3"/>
    <n v="113"/>
    <s v="Medium"/>
    <s v="A thrilling drama adventure."/>
    <s v="Stanley Kubrick"/>
    <s v="Jennifer Lawrence, Emma Stone, Mark Ruffalo, Will Smith, Tom Hanks"/>
    <n v="11757"/>
    <n v="321.99"/>
    <n v="321.99"/>
    <s v="Blockbuster"/>
    <s v=" Adventure"/>
    <x v="9"/>
  </r>
  <r>
    <s v="tt1000816"/>
    <s v="Secret Journey 709"/>
    <n v="2006"/>
    <n v="2000"/>
    <x v="1"/>
    <n v="104"/>
    <s v="Medium"/>
    <s v="An epic mystery tale directed by Robert Zemeckis."/>
    <s v="Robert Zemeckis"/>
    <s v="TimothÃ©e Chalamet, Cate Blanchett, Brad Pitt, Margot Robbie"/>
    <n v="15149"/>
    <m/>
    <n v="0"/>
    <s v="Average"/>
    <s v="Mystery"/>
    <x v="4"/>
  </r>
  <r>
    <s v="tt1000816"/>
    <s v="Secret Journey 709"/>
    <n v="2006"/>
    <n v="2000"/>
    <x v="1"/>
    <n v="104"/>
    <s v="Medium"/>
    <s v="An epic mystery tale directed by Robert Zemeckis."/>
    <s v="Robert Zemeckis"/>
    <s v="TimothÃ©e Chalamet, Cate Blanchett, Brad Pitt, Margot Robbie"/>
    <n v="15149"/>
    <m/>
    <n v="0"/>
    <s v="Average"/>
    <s v=" Musical"/>
    <x v="1"/>
  </r>
  <r>
    <s v="tt1000830"/>
    <s v="Final Love 723"/>
    <n v="2006"/>
    <n v="2000"/>
    <x v="0"/>
    <n v="119"/>
    <s v="Medium"/>
    <s v="A critically acclaimed crime masterpiece."/>
    <s v="Quentin Tarantino"/>
    <s v="Scarlett Johansson, Samuel L. Jackson, Natalie Portman, Keanu Reeves, Tom Hanks"/>
    <n v="28575"/>
    <n v="289.39999999999998"/>
    <n v="289.39999999999998"/>
    <s v="Blockbuster"/>
    <s v="Crime"/>
    <x v="6"/>
  </r>
  <r>
    <s v="tt1000830"/>
    <s v="Final Love 723"/>
    <n v="2006"/>
    <n v="2000"/>
    <x v="0"/>
    <n v="119"/>
    <s v="Medium"/>
    <s v="A critically acclaimed crime masterpiece."/>
    <s v="Quentin Tarantino"/>
    <s v="Scarlett Johansson, Samuel L. Jackson, Natalie Portman, Keanu Reeves, Tom Hanks"/>
    <n v="28575"/>
    <n v="289.39999999999998"/>
    <n v="289.39999999999998"/>
    <s v="Blockbuster"/>
    <s v=" Romance"/>
    <x v="7"/>
  </r>
  <r>
    <s v="tt1000433"/>
    <s v="First Mission 326"/>
    <n v="2019"/>
    <n v="2010"/>
    <x v="2"/>
    <n v="126"/>
    <s v="Long"/>
    <s v="A critically acclaimed animation masterpiece."/>
    <s v="Wes Anderson"/>
    <s v="Tom Cruise, Robert De Niro, Emma Stone, Denzel Washington"/>
    <n v="265153"/>
    <n v="101.48"/>
    <n v="101.48"/>
    <s v="Hit"/>
    <s v="Animation"/>
    <x v="3"/>
  </r>
  <r>
    <s v="tt1000618"/>
    <s v="A Kingdom 511"/>
    <n v="2024"/>
    <n v="2020"/>
    <x v="2"/>
    <n v="140"/>
    <s v="Long"/>
    <s v="An epic horror tale directed by Clint Eastwood."/>
    <s v="Clint Eastwood"/>
    <s v="Leonardo DiCaprio, Morgan Freeman, Chris Hemsworth, Margot Robbie, Samuel L. Jackson"/>
    <n v="483447"/>
    <n v="175.39"/>
    <n v="175.39"/>
    <s v="Hit"/>
    <s v="Horror"/>
    <x v="12"/>
  </r>
  <r>
    <s v="tt1000618"/>
    <s v="A Kingdom 511"/>
    <n v="2024"/>
    <n v="2020"/>
    <x v="2"/>
    <n v="140"/>
    <s v="Long"/>
    <s v="An epic horror tale directed by Clint Eastwood."/>
    <s v="Clint Eastwood"/>
    <s v="Leonardo DiCaprio, Morgan Freeman, Chris Hemsworth, Margot Robbie, Samuel L. Jackson"/>
    <n v="483447"/>
    <n v="175.39"/>
    <n v="175.39"/>
    <s v="Hit"/>
    <s v=" Biography"/>
    <x v="5"/>
  </r>
  <r>
    <s v="tt1000248"/>
    <s v="Last War 141"/>
    <n v="2016"/>
    <n v="2010"/>
    <x v="1"/>
    <n v="130"/>
    <s v="Long"/>
    <s v="A thriller film set in 2016."/>
    <s v="Ridley Scott"/>
    <s v="Meryl Streep, Emma Stone, Anthony Hopkins"/>
    <n v="79233"/>
    <n v="170.4"/>
    <n v="170.4"/>
    <s v="Hit"/>
    <s v="Thriller"/>
    <x v="17"/>
  </r>
  <r>
    <s v="tt1000248"/>
    <s v="Last War 141"/>
    <n v="2016"/>
    <n v="2010"/>
    <x v="1"/>
    <n v="130"/>
    <s v="Long"/>
    <s v="A thriller film set in 2016."/>
    <s v="Ridley Scott"/>
    <s v="Meryl Streep, Emma Stone, Anthony Hopkins"/>
    <n v="79233"/>
    <n v="170.4"/>
    <n v="170.4"/>
    <s v="Hit"/>
    <s v=" Documentary"/>
    <x v="13"/>
  </r>
  <r>
    <s v="tt1000681"/>
    <s v="An Mystery 574"/>
    <n v="2005"/>
    <n v="2000"/>
    <x v="1"/>
    <n v="123"/>
    <s v="Long"/>
    <s v="An epic mystery tale directed by Sam Mendes."/>
    <s v="Sam Mendes"/>
    <s v="Scarlett Johansson, Brad Pitt, Viola Davis"/>
    <n v="321755"/>
    <m/>
    <n v="0"/>
    <s v="Average"/>
    <s v="Mystery"/>
    <x v="4"/>
  </r>
  <r>
    <s v="tt1000681"/>
    <s v="An Mystery 574"/>
    <n v="2005"/>
    <n v="2000"/>
    <x v="1"/>
    <n v="123"/>
    <s v="Long"/>
    <s v="An epic mystery tale directed by Sam Mendes."/>
    <s v="Sam Mendes"/>
    <s v="Scarlett Johansson, Brad Pitt, Viola Davis"/>
    <n v="321755"/>
    <m/>
    <n v="0"/>
    <s v="Average"/>
    <s v=" Documentary"/>
    <x v="13"/>
  </r>
  <r>
    <s v="tt1000591"/>
    <s v="A Kingdom 484"/>
    <n v="2016"/>
    <n v="2010"/>
    <x v="0"/>
    <n v="123"/>
    <s v="Long"/>
    <s v="A thriller film set in 2016."/>
    <s v="Alfred Hitchcock"/>
    <s v="Amy Adams, TimothÃ©e Chalamet, Denzel Washington, Morgan Freeman"/>
    <n v="8266"/>
    <n v="36.630000000000003"/>
    <n v="36.630000000000003"/>
    <s v="Average"/>
    <s v="Thriller"/>
    <x v="17"/>
  </r>
  <r>
    <s v="tt1000290"/>
    <s v="A Destiny 183"/>
    <n v="2023"/>
    <n v="2020"/>
    <x v="2"/>
    <n v="116"/>
    <s v="Medium"/>
    <s v="A thrilling comedy adventure."/>
    <s v="Ang Lee"/>
    <s v="Natalie Portman, Emma Stone, Matt Damon"/>
    <n v="7562"/>
    <n v="107.98"/>
    <n v="107.98"/>
    <s v="Hit"/>
    <s v="Comedy"/>
    <x v="15"/>
  </r>
  <r>
    <s v="tt1000290"/>
    <s v="A Destiny 183"/>
    <n v="2023"/>
    <n v="2020"/>
    <x v="2"/>
    <n v="116"/>
    <s v="Medium"/>
    <s v="A thrilling comedy adventure."/>
    <s v="Ang Lee"/>
    <s v="Natalie Portman, Emma Stone, Matt Damon"/>
    <n v="7562"/>
    <n v="107.98"/>
    <n v="107.98"/>
    <s v="Hit"/>
    <s v=" Musical"/>
    <x v="1"/>
  </r>
  <r>
    <s v="tt1000290"/>
    <s v="A Destiny 183"/>
    <n v="2023"/>
    <n v="2020"/>
    <x v="2"/>
    <n v="116"/>
    <s v="Medium"/>
    <s v="A thrilling comedy adventure."/>
    <s v="Ang Lee"/>
    <s v="Natalie Portman, Emma Stone, Matt Damon"/>
    <n v="7562"/>
    <n v="107.98"/>
    <n v="107.98"/>
    <s v="Hit"/>
    <s v=" Documentary"/>
    <x v="13"/>
  </r>
  <r>
    <s v="tt1000659"/>
    <s v="An Legend 552"/>
    <n v="2003"/>
    <n v="2000"/>
    <x v="0"/>
    <n v="138"/>
    <s v="Long"/>
    <s v="An epic animation tale directed by Spike Lee."/>
    <s v="Spike Lee"/>
    <s v="Amy Adams, Natalie Portman, Christian Bale, Leonardo DiCaprio, Scarlett Johansson"/>
    <n v="110258"/>
    <n v="265.94"/>
    <n v="265.94"/>
    <s v="Blockbuster"/>
    <s v="Animation"/>
    <x v="3"/>
  </r>
  <r>
    <s v="tt1000659"/>
    <s v="An Legend 552"/>
    <n v="2003"/>
    <n v="2000"/>
    <x v="0"/>
    <n v="138"/>
    <s v="Long"/>
    <s v="An epic animation tale directed by Spike Lee."/>
    <s v="Spike Lee"/>
    <s v="Amy Adams, Natalie Portman, Christian Bale, Leonardo DiCaprio, Scarlett Johansson"/>
    <n v="110258"/>
    <n v="265.94"/>
    <n v="265.94"/>
    <s v="Blockbuster"/>
    <s v=" Mystery"/>
    <x v="4"/>
  </r>
  <r>
    <s v="tt1000667"/>
    <s v="An Empire 560"/>
    <n v="2008"/>
    <n v="2000"/>
    <x v="0"/>
    <n v="117"/>
    <s v="Medium"/>
    <s v="A thrilling drama adventure."/>
    <s v="Jordan Peele"/>
    <s v="Christian Bale, Florence Pugh, Tom Cruise, Leonardo DiCaprio, Daniel Day-Lewis"/>
    <n v="37724"/>
    <m/>
    <n v="0"/>
    <s v="Average"/>
    <s v="Drama"/>
    <x v="14"/>
  </r>
  <r>
    <s v="tt1000598"/>
    <s v="Secret Secrets 491"/>
    <n v="2002"/>
    <n v="2000"/>
    <x v="0"/>
    <n v="124"/>
    <s v="Long"/>
    <s v="A critically acclaimed animation masterpiece."/>
    <s v="Denis Villeneuve"/>
    <s v="Keanu Reeves, Tom Cruise, Samuel L. Jackson, Brad Pitt, Margot Robbie"/>
    <n v="37101"/>
    <m/>
    <n v="0"/>
    <s v="Average"/>
    <s v="Animation"/>
    <x v="3"/>
  </r>
  <r>
    <s v="tt1000598"/>
    <s v="Secret Secrets 491"/>
    <n v="2002"/>
    <n v="2000"/>
    <x v="0"/>
    <n v="124"/>
    <s v="Long"/>
    <s v="A critically acclaimed animation masterpiece."/>
    <s v="Denis Villeneuve"/>
    <s v="Keanu Reeves, Tom Cruise, Samuel L. Jackson, Brad Pitt, Margot Robbie"/>
    <n v="37101"/>
    <m/>
    <n v="0"/>
    <s v="Average"/>
    <s v=" Musical"/>
    <x v="1"/>
  </r>
  <r>
    <s v="tt1000434"/>
    <s v="Last Revolution 327"/>
    <n v="2010"/>
    <n v="2010"/>
    <x v="2"/>
    <n v="116"/>
    <s v="Medium"/>
    <s v="An epic adventure tale directed by Danny Boyle."/>
    <s v="Danny Boyle"/>
    <s v="Robert De Niro, Anthony Hopkins, Natalie Portman, Brad Pitt"/>
    <n v="133888"/>
    <m/>
    <n v="0"/>
    <s v="Average"/>
    <s v="Adventure"/>
    <x v="9"/>
  </r>
  <r>
    <s v="tt1000434"/>
    <s v="Last Revolution 327"/>
    <n v="2010"/>
    <n v="2010"/>
    <x v="2"/>
    <n v="116"/>
    <s v="Medium"/>
    <s v="An epic adventure tale directed by Danny Boyle."/>
    <s v="Danny Boyle"/>
    <s v="Robert De Niro, Anthony Hopkins, Natalie Portman, Brad Pitt"/>
    <n v="133888"/>
    <m/>
    <n v="0"/>
    <s v="Average"/>
    <s v=" Thriller"/>
    <x v="17"/>
  </r>
  <r>
    <s v="tt1000626"/>
    <s v="Lost Destiny 519"/>
    <n v="2011"/>
    <n v="2010"/>
    <x v="0"/>
    <n v="86"/>
    <s v="Short"/>
    <s v="A thrilling fantasy adventure."/>
    <s v="Ryan Coogler"/>
    <s v="Keanu Reeves, Robert De Niro, Florence Pugh, Amy Adams, Scarlett Johansson"/>
    <n v="254556"/>
    <n v="164.26"/>
    <n v="164.26"/>
    <s v="Hit"/>
    <s v="Fantasy"/>
    <x v="8"/>
  </r>
  <r>
    <s v="tt1000626"/>
    <s v="Lost Destiny 519"/>
    <n v="2011"/>
    <n v="2010"/>
    <x v="0"/>
    <n v="86"/>
    <s v="Short"/>
    <s v="A thrilling fantasy adventure."/>
    <s v="Ryan Coogler"/>
    <s v="Keanu Reeves, Robert De Niro, Florence Pugh, Amy Adams, Scarlett Johansson"/>
    <n v="254556"/>
    <n v="164.26"/>
    <n v="164.26"/>
    <s v="Hit"/>
    <s v=" Western"/>
    <x v="11"/>
  </r>
  <r>
    <s v="tt1000626"/>
    <s v="Lost Destiny 519"/>
    <n v="2011"/>
    <n v="2010"/>
    <x v="0"/>
    <n v="86"/>
    <s v="Short"/>
    <s v="A thrilling fantasy adventure."/>
    <s v="Ryan Coogler"/>
    <s v="Keanu Reeves, Robert De Niro, Florence Pugh, Amy Adams, Scarlett Johansson"/>
    <n v="254556"/>
    <n v="164.26"/>
    <n v="164.26"/>
    <s v="Hit"/>
    <s v=" War"/>
    <x v="2"/>
  </r>
  <r>
    <s v="tt1000903"/>
    <s v="Secret Quest 796"/>
    <n v="2023"/>
    <n v="2020"/>
    <x v="1"/>
    <n v="151"/>
    <s v="Long"/>
    <s v="A thrilling animation adventure."/>
    <s v="Bong Joon-ho"/>
    <s v="Meryl Streep, Emma Stone, Mark Ruffalo, Robert Downey Jr."/>
    <n v="596331"/>
    <m/>
    <n v="0"/>
    <s v="Average"/>
    <s v="Animation"/>
    <x v="3"/>
  </r>
  <r>
    <s v="tt1000909"/>
    <s v="Secret Awakening 802"/>
    <n v="2009"/>
    <n v="2000"/>
    <x v="4"/>
    <n v="146"/>
    <s v="Long"/>
    <s v="An epic comedy tale directed by James Cameron."/>
    <s v="James Cameron"/>
    <s v="Jennifer Lawrence, Robert De Niro, Will Smith"/>
    <n v="28912"/>
    <n v="275.74"/>
    <n v="275.74"/>
    <s v="Blockbuster"/>
    <s v="Comedy"/>
    <x v="15"/>
  </r>
  <r>
    <s v="tt1000909"/>
    <s v="Secret Awakening 802"/>
    <n v="2009"/>
    <n v="2000"/>
    <x v="4"/>
    <n v="146"/>
    <s v="Long"/>
    <s v="An epic comedy tale directed by James Cameron."/>
    <s v="James Cameron"/>
    <s v="Jennifer Lawrence, Robert De Niro, Will Smith"/>
    <n v="28912"/>
    <n v="275.74"/>
    <n v="275.74"/>
    <s v="Blockbuster"/>
    <s v=" Family"/>
    <x v="10"/>
  </r>
  <r>
    <s v="tt1000107"/>
    <s v="In the Heat of the Night"/>
    <n v="1996"/>
    <n v="1990"/>
    <x v="2"/>
    <n v="131"/>
    <s v="Long"/>
    <s v="A critically acclaimed documentary masterpiece."/>
    <s v="Peter Jackson"/>
    <s v="Jack Nicholson, Robert Downey Jr., Harrison Ford"/>
    <n v="1381362"/>
    <n v="262.67"/>
    <n v="262.67"/>
    <s v="Blockbuster"/>
    <s v="Documentary"/>
    <x v="13"/>
  </r>
  <r>
    <s v="tt1000107"/>
    <s v="In the Heat of the Night"/>
    <n v="1996"/>
    <n v="1990"/>
    <x v="2"/>
    <n v="131"/>
    <s v="Long"/>
    <s v="A critically acclaimed documentary masterpiece."/>
    <s v="Peter Jackson"/>
    <s v="Jack Nicholson, Robert Downey Jr., Harrison Ford"/>
    <n v="1381362"/>
    <n v="262.67"/>
    <n v="262.67"/>
    <s v="Blockbuster"/>
    <s v=" War"/>
    <x v="2"/>
  </r>
  <r>
    <s v="tt1000138"/>
    <s v="Secret Love 31"/>
    <n v="1989"/>
    <n v="1980"/>
    <x v="0"/>
    <n v="126"/>
    <s v="Long"/>
    <s v="A thrilling adventure adventure."/>
    <s v="Danny Boyle"/>
    <s v="Samuel L. Jackson, Cate Blanchett, Morgan Freeman"/>
    <n v="368023"/>
    <n v="115.3"/>
    <n v="115.3"/>
    <s v="Hit"/>
    <s v="Adventure"/>
    <x v="9"/>
  </r>
  <r>
    <s v="tt1000468"/>
    <s v="The Legend 361"/>
    <n v="2000"/>
    <n v="2000"/>
    <x v="1"/>
    <n v="139"/>
    <s v="Long"/>
    <s v="An epic horror tale directed by James Cameron."/>
    <s v="James Cameron"/>
    <s v="Brad Pitt, Harrison Ford, Viola Davis, Al Pacino, TimothÃ©e Chalamet"/>
    <n v="7095"/>
    <n v="279.05"/>
    <n v="279.05"/>
    <s v="Blockbuster"/>
    <s v="Horror"/>
    <x v="12"/>
  </r>
  <r>
    <s v="tt1000468"/>
    <s v="The Legend 361"/>
    <n v="2000"/>
    <n v="2000"/>
    <x v="1"/>
    <n v="139"/>
    <s v="Long"/>
    <s v="An epic horror tale directed by James Cameron."/>
    <s v="James Cameron"/>
    <s v="Brad Pitt, Harrison Ford, Viola Davis, Al Pacino, TimothÃ©e Chalamet"/>
    <n v="7095"/>
    <n v="279.05"/>
    <n v="279.05"/>
    <s v="Blockbuster"/>
    <s v=" Fantasy"/>
    <x v="8"/>
  </r>
  <r>
    <s v="tt1000468"/>
    <s v="The Legend 361"/>
    <n v="2000"/>
    <n v="2000"/>
    <x v="1"/>
    <n v="139"/>
    <s v="Long"/>
    <s v="An epic horror tale directed by James Cameron."/>
    <s v="James Cameron"/>
    <s v="Brad Pitt, Harrison Ford, Viola Davis, Al Pacino, TimothÃ©e Chalamet"/>
    <n v="7095"/>
    <n v="279.05"/>
    <n v="279.05"/>
    <s v="Blockbuster"/>
    <s v=" Family"/>
    <x v="10"/>
  </r>
  <r>
    <s v="tt1000670"/>
    <s v="Last Love 563"/>
    <n v="2000"/>
    <n v="2000"/>
    <x v="0"/>
    <n v="87"/>
    <s v="Short"/>
    <s v="An epic fantasy tale directed by Bong Joon-ho."/>
    <s v="Bong Joon-ho"/>
    <s v="Brad Pitt, Chris Hemsworth, Denzel Washington, Anthony Hopkins, Robert Downey Jr."/>
    <n v="18888"/>
    <n v="115.49"/>
    <n v="115.49"/>
    <s v="Hit"/>
    <s v="Fantasy"/>
    <x v="8"/>
  </r>
  <r>
    <s v="tt1000529"/>
    <s v="An Secrets 422"/>
    <n v="2013"/>
    <n v="2010"/>
    <x v="0"/>
    <n v="112"/>
    <s v="Medium"/>
    <s v="A comedy film set in 2013."/>
    <s v="Ridley Scott"/>
    <s v="Natalie Portman, Daniel Day-Lewis, Denzel Washington, Scarlett Johansson, Matt Damon"/>
    <n v="68132"/>
    <m/>
    <n v="0"/>
    <s v="Average"/>
    <s v="Comedy"/>
    <x v="15"/>
  </r>
  <r>
    <s v="tt1000920"/>
    <s v="The Love 813"/>
    <n v="2022"/>
    <n v="2020"/>
    <x v="2"/>
    <n v="132"/>
    <s v="Long"/>
    <s v="A drama film set in 2022."/>
    <s v="Ridley Scott"/>
    <s v="Keanu Reeves, Jennifer Lawrence, Gary Oldman"/>
    <n v="229356"/>
    <m/>
    <n v="0"/>
    <s v="Average"/>
    <s v="Drama"/>
    <x v="14"/>
  </r>
  <r>
    <s v="tt1000920"/>
    <s v="The Love 813"/>
    <n v="2022"/>
    <n v="2020"/>
    <x v="2"/>
    <n v="132"/>
    <s v="Long"/>
    <s v="A drama film set in 2022."/>
    <s v="Ridley Scott"/>
    <s v="Keanu Reeves, Jennifer Lawrence, Gary Oldman"/>
    <n v="229356"/>
    <m/>
    <n v="0"/>
    <s v="Average"/>
    <s v=" Musical"/>
    <x v="1"/>
  </r>
  <r>
    <s v="tt1000391"/>
    <s v="Secret Mission 284"/>
    <n v="2001"/>
    <n v="2000"/>
    <x v="0"/>
    <n v="118"/>
    <s v="Medium"/>
    <s v="A thrilling mystery adventure."/>
    <s v="Ridley Scott"/>
    <s v="Keanu Reeves, Emma Stone, Kate Winslet"/>
    <n v="39300"/>
    <n v="290.8"/>
    <n v="290.8"/>
    <s v="Blockbuster"/>
    <s v="Mystery"/>
    <x v="4"/>
  </r>
  <r>
    <s v="tt1000391"/>
    <s v="Secret Mission 284"/>
    <n v="2001"/>
    <n v="2000"/>
    <x v="0"/>
    <n v="118"/>
    <s v="Medium"/>
    <s v="A thrilling mystery adventure."/>
    <s v="Ridley Scott"/>
    <s v="Keanu Reeves, Emma Stone, Kate Winslet"/>
    <n v="39300"/>
    <n v="290.8"/>
    <n v="290.8"/>
    <s v="Blockbuster"/>
    <s v=" Animation"/>
    <x v="3"/>
  </r>
  <r>
    <s v="tt1000411"/>
    <s v="The Empire 304"/>
    <n v="2024"/>
    <n v="2020"/>
    <x v="0"/>
    <n v="171"/>
    <s v="Long"/>
    <s v="A western film set in 2024."/>
    <s v="Stanley Kubrick"/>
    <s v="Meryl Streep, Anthony Hopkins, Margot Robbie"/>
    <n v="699887"/>
    <n v="224.88"/>
    <n v="224.88"/>
    <s v="Blockbuster"/>
    <s v="Western"/>
    <x v="11"/>
  </r>
  <r>
    <s v="tt1000491"/>
    <s v="An Mystery 384"/>
    <n v="2002"/>
    <n v="2000"/>
    <x v="0"/>
    <n v="120"/>
    <s v="Medium"/>
    <s v="A thrilling mystery adventure."/>
    <s v="Francis Ford Coppola"/>
    <s v="Jennifer Lawrence, Al Pacino, Christian Bale, Denzel Washington, Robert Downey Jr."/>
    <n v="158327"/>
    <m/>
    <n v="0"/>
    <s v="Average"/>
    <s v="Mystery"/>
    <x v="4"/>
  </r>
  <r>
    <s v="tt1000491"/>
    <s v="An Mystery 384"/>
    <n v="2002"/>
    <n v="2000"/>
    <x v="0"/>
    <n v="120"/>
    <s v="Medium"/>
    <s v="A thrilling mystery adventure."/>
    <s v="Francis Ford Coppola"/>
    <s v="Jennifer Lawrence, Al Pacino, Christian Bale, Denzel Washington, Robert Downey Jr."/>
    <n v="158327"/>
    <m/>
    <n v="0"/>
    <s v="Average"/>
    <s v=" Comedy"/>
    <x v="15"/>
  </r>
  <r>
    <s v="tt1000161"/>
    <s v="Final Mystery 54"/>
    <n v="1997"/>
    <n v="1990"/>
    <x v="2"/>
    <n v="124"/>
    <s v="Long"/>
    <s v="An epic fantasy tale directed by Hayao Miyazaki."/>
    <s v="Hayao Miyazaki"/>
    <s v="Al Pacino, Daniel Day-Lewis, Florence Pugh, Keanu Reeves, Leonardo DiCaprio"/>
    <n v="7091"/>
    <n v="233.68"/>
    <n v="233.68"/>
    <s v="Blockbuster"/>
    <s v="Fantasy"/>
    <x v="8"/>
  </r>
  <r>
    <s v="tt1000161"/>
    <s v="Final Mystery 54"/>
    <n v="1997"/>
    <n v="1990"/>
    <x v="2"/>
    <n v="124"/>
    <s v="Long"/>
    <s v="An epic fantasy tale directed by Hayao Miyazaki."/>
    <s v="Hayao Miyazaki"/>
    <s v="Al Pacino, Daniel Day-Lewis, Florence Pugh, Keanu Reeves, Leonardo DiCaprio"/>
    <n v="7091"/>
    <n v="233.68"/>
    <n v="233.68"/>
    <s v="Blockbuster"/>
    <s v=" Romance"/>
    <x v="7"/>
  </r>
  <r>
    <s v="tt1000520"/>
    <s v="Final Dreams 413"/>
    <n v="2007"/>
    <n v="2000"/>
    <x v="0"/>
    <n v="119"/>
    <s v="Medium"/>
    <s v="A critically acclaimed mystery masterpiece."/>
    <s v="Stanley Kubrick"/>
    <s v="Johnny Depp, Matt Damon, Edward Norton"/>
    <n v="1577"/>
    <n v="478.37"/>
    <n v="478.37"/>
    <s v="Blockbuster"/>
    <s v="Mystery"/>
    <x v="4"/>
  </r>
  <r>
    <s v="tt1000520"/>
    <s v="Final Dreams 413"/>
    <n v="2007"/>
    <n v="2000"/>
    <x v="0"/>
    <n v="119"/>
    <s v="Medium"/>
    <s v="A critically acclaimed mystery masterpiece."/>
    <s v="Stanley Kubrick"/>
    <s v="Johnny Depp, Matt Damon, Edward Norton"/>
    <n v="1577"/>
    <n v="478.37"/>
    <n v="478.37"/>
    <s v="Blockbuster"/>
    <s v=" Thriller"/>
    <x v="17"/>
  </r>
  <r>
    <s v="tt1000534"/>
    <s v="A Legend 427"/>
    <n v="2001"/>
    <n v="2000"/>
    <x v="1"/>
    <n v="107"/>
    <s v="Medium"/>
    <s v="An epic comedy tale directed by Peter Jackson."/>
    <s v="Peter Jackson"/>
    <s v="Christian Bale, Keanu Reeves, Tom Cruise, TimothÃ©e Chalamet, Kate Winslet"/>
    <n v="29024"/>
    <n v="84.25"/>
    <n v="84.25"/>
    <s v="Average"/>
    <s v="Comedy"/>
    <x v="15"/>
  </r>
  <r>
    <s v="tt1000534"/>
    <s v="A Legend 427"/>
    <n v="2001"/>
    <n v="2000"/>
    <x v="1"/>
    <n v="107"/>
    <s v="Medium"/>
    <s v="An epic comedy tale directed by Peter Jackson."/>
    <s v="Peter Jackson"/>
    <s v="Christian Bale, Keanu Reeves, Tom Cruise, TimothÃ©e Chalamet, Kate Winslet"/>
    <n v="29024"/>
    <n v="84.25"/>
    <n v="84.25"/>
    <s v="Average"/>
    <s v=" Fantasy"/>
    <x v="8"/>
  </r>
  <r>
    <s v="tt1000126"/>
    <s v="Secret Quest 19"/>
    <n v="1988"/>
    <n v="1980"/>
    <x v="0"/>
    <n v="163"/>
    <s v="Long"/>
    <s v="A drama film set in 1988."/>
    <s v="Alfred Hitchcock"/>
    <s v="Tom Cruise, Will Smith, Brad Pitt, Gary Oldman, Jack Nicholson"/>
    <n v="10194"/>
    <n v="50.17"/>
    <n v="50.17"/>
    <s v="Average"/>
    <s v="Drama"/>
    <x v="14"/>
  </r>
  <r>
    <s v="tt1000126"/>
    <s v="Secret Quest 19"/>
    <n v="1988"/>
    <n v="1980"/>
    <x v="0"/>
    <n v="163"/>
    <s v="Long"/>
    <s v="A drama film set in 1988."/>
    <s v="Alfred Hitchcock"/>
    <s v="Tom Cruise, Will Smith, Brad Pitt, Gary Oldman, Jack Nicholson"/>
    <n v="10194"/>
    <n v="50.17"/>
    <n v="50.17"/>
    <s v="Average"/>
    <s v=" Romance"/>
    <x v="7"/>
  </r>
  <r>
    <s v="tt1000526"/>
    <s v="Lost Kingdom 419"/>
    <n v="2022"/>
    <n v="2020"/>
    <x v="2"/>
    <n v="105"/>
    <s v="Medium"/>
    <s v="A critically acclaimed war masterpiece."/>
    <s v="Alfred Hitchcock"/>
    <s v="Robert De Niro, Amy Adams, Christian Bale, Tom Hanks, Johnny Depp"/>
    <n v="80890"/>
    <n v="369.21"/>
    <n v="369.21"/>
    <s v="Blockbuster"/>
    <s v="War"/>
    <x v="2"/>
  </r>
  <r>
    <s v="tt1000526"/>
    <s v="Lost Kingdom 419"/>
    <n v="2022"/>
    <n v="2020"/>
    <x v="2"/>
    <n v="105"/>
    <s v="Medium"/>
    <s v="A critically acclaimed war masterpiece."/>
    <s v="Alfred Hitchcock"/>
    <s v="Robert De Niro, Amy Adams, Christian Bale, Tom Hanks, Johnny Depp"/>
    <n v="80890"/>
    <n v="369.21"/>
    <n v="369.21"/>
    <s v="Blockbuster"/>
    <s v=" Biography"/>
    <x v="5"/>
  </r>
  <r>
    <s v="tt1000113"/>
    <s v="The Mystery 6"/>
    <n v="1988"/>
    <n v="1980"/>
    <x v="0"/>
    <n v="108"/>
    <s v="Medium"/>
    <s v="A romance film set in 1988."/>
    <s v="David Fincher"/>
    <s v="Natalie Portman, Scarlett Johansson, Will Smith, Gary Oldman, Keanu Reeves"/>
    <n v="51777"/>
    <m/>
    <n v="0"/>
    <s v="Average"/>
    <s v="Romance"/>
    <x v="7"/>
  </r>
  <r>
    <s v="tt1000113"/>
    <s v="The Mystery 6"/>
    <n v="1988"/>
    <n v="1980"/>
    <x v="0"/>
    <n v="108"/>
    <s v="Medium"/>
    <s v="A romance film set in 1988."/>
    <s v="David Fincher"/>
    <s v="Natalie Portman, Scarlett Johansson, Will Smith, Gary Oldman, Keanu Reeves"/>
    <n v="51777"/>
    <m/>
    <n v="0"/>
    <s v="Average"/>
    <s v=" Drama"/>
    <x v="14"/>
  </r>
  <r>
    <s v="tt1000764"/>
    <s v="Lost War 657"/>
    <n v="2020"/>
    <n v="2020"/>
    <x v="0"/>
    <n v="121"/>
    <s v="Long"/>
    <s v="An epic fantasy tale directed by Quentin Tarantino."/>
    <s v="Quentin Tarantino"/>
    <s v="Kate Winslet, Viola Davis, Edward Norton, Robert De Niro"/>
    <n v="17228"/>
    <m/>
    <n v="0"/>
    <s v="Average"/>
    <s v="Fantasy"/>
    <x v="8"/>
  </r>
  <r>
    <s v="tt1000764"/>
    <s v="Lost War 657"/>
    <n v="2020"/>
    <n v="2020"/>
    <x v="0"/>
    <n v="121"/>
    <s v="Long"/>
    <s v="An epic fantasy tale directed by Quentin Tarantino."/>
    <s v="Quentin Tarantino"/>
    <s v="Kate Winslet, Viola Davis, Edward Norton, Robert De Niro"/>
    <n v="17228"/>
    <m/>
    <n v="0"/>
    <s v="Average"/>
    <s v=" Western"/>
    <x v="11"/>
  </r>
  <r>
    <s v="tt1000764"/>
    <s v="Lost War 657"/>
    <n v="2020"/>
    <n v="2020"/>
    <x v="0"/>
    <n v="121"/>
    <s v="Long"/>
    <s v="An epic fantasy tale directed by Quentin Tarantino."/>
    <s v="Quentin Tarantino"/>
    <s v="Kate Winslet, Viola Davis, Edward Norton, Robert De Niro"/>
    <n v="17228"/>
    <m/>
    <n v="0"/>
    <s v="Average"/>
    <s v=" Horror"/>
    <x v="12"/>
  </r>
  <r>
    <s v="tt1000285"/>
    <s v="An Chronicles 178"/>
    <n v="2000"/>
    <n v="2000"/>
    <x v="2"/>
    <n v="108"/>
    <s v="Medium"/>
    <s v="An epic drama tale directed by Stanley Kubrick."/>
    <s v="Stanley Kubrick"/>
    <s v="Robert Downey Jr., Gary Oldman, Amy Adams, Brad Pitt, Natalie Portman"/>
    <n v="121433"/>
    <m/>
    <n v="0"/>
    <s v="Average"/>
    <s v="Drama"/>
    <x v="14"/>
  </r>
  <r>
    <s v="tt1000666"/>
    <s v="Lost Dreams 559"/>
    <n v="2005"/>
    <n v="2000"/>
    <x v="1"/>
    <n v="116"/>
    <s v="Medium"/>
    <s v="A war film set in 2005."/>
    <s v="James Cameron"/>
    <s v="Kate Winslet, Denzel Washington, Margot Robbie"/>
    <n v="21747"/>
    <m/>
    <n v="0"/>
    <s v="Average"/>
    <s v="War"/>
    <x v="2"/>
  </r>
  <r>
    <s v="tt1000977"/>
    <s v="An Secrets 870"/>
    <n v="2018"/>
    <n v="2010"/>
    <x v="0"/>
    <n v="110"/>
    <s v="Medium"/>
    <s v="A documentary film set in 2018."/>
    <s v="Martin Scorsese"/>
    <s v="Christian Bale, Amy Adams, Scarlett Johansson"/>
    <n v="250935"/>
    <m/>
    <n v="0"/>
    <s v="Average"/>
    <s v="Documentary"/>
    <x v="13"/>
  </r>
  <r>
    <s v="tt1000977"/>
    <s v="An Secrets 870"/>
    <n v="2018"/>
    <n v="2010"/>
    <x v="0"/>
    <n v="110"/>
    <s v="Medium"/>
    <s v="A documentary film set in 2018."/>
    <s v="Martin Scorsese"/>
    <s v="Christian Bale, Amy Adams, Scarlett Johansson"/>
    <n v="250935"/>
    <m/>
    <n v="0"/>
    <s v="Average"/>
    <s v=" Horror"/>
    <x v="12"/>
  </r>
  <r>
    <s v="tt1000581"/>
    <s v="Dark Awakening 474"/>
    <n v="2017"/>
    <n v="2010"/>
    <x v="0"/>
    <n v="143"/>
    <s v="Long"/>
    <s v="An epic drama tale directed by Ava DuVernay."/>
    <s v="Ava DuVernay"/>
    <s v="Amy Adams, Morgan Freeman, Will Smith, Tom Cruise, Tom Hanks"/>
    <n v="85609"/>
    <n v="248.38"/>
    <n v="248.38"/>
    <s v="Blockbuster"/>
    <s v="Drama"/>
    <x v="14"/>
  </r>
  <r>
    <s v="tt1000581"/>
    <s v="Dark Awakening 474"/>
    <n v="2017"/>
    <n v="2010"/>
    <x v="0"/>
    <n v="143"/>
    <s v="Long"/>
    <s v="An epic drama tale directed by Ava DuVernay."/>
    <s v="Ava DuVernay"/>
    <s v="Amy Adams, Morgan Freeman, Will Smith, Tom Cruise, Tom Hanks"/>
    <n v="85609"/>
    <n v="248.38"/>
    <n v="248.38"/>
    <s v="Blockbuster"/>
    <s v=" Biography"/>
    <x v="5"/>
  </r>
  <r>
    <s v="tt1000588"/>
    <s v="Last Quest 481"/>
    <n v="2006"/>
    <n v="2000"/>
    <x v="2"/>
    <n v="115"/>
    <s v="Medium"/>
    <s v="A romance film set in 2006."/>
    <s v="Ron Howard"/>
    <s v="Emma Stone, Harrison Ford, Matt Damon, Anthony Hopkins, Edward Norton"/>
    <n v="1554110"/>
    <n v="213.99"/>
    <n v="213.99"/>
    <s v="Blockbuster"/>
    <s v="Romance"/>
    <x v="7"/>
  </r>
  <r>
    <s v="tt1000456"/>
    <s v="First Legend 349"/>
    <n v="2003"/>
    <n v="2000"/>
    <x v="4"/>
    <n v="111"/>
    <s v="Medium"/>
    <s v="An epic war tale directed by Ryan Coogler."/>
    <s v="Ryan Coogler"/>
    <s v="Viola Davis, Florence Pugh, Denzel Washington, Anthony Hopkins, Edward Norton"/>
    <n v="46192"/>
    <n v="287.14999999999998"/>
    <n v="287.14999999999998"/>
    <s v="Blockbuster"/>
    <s v="War"/>
    <x v="2"/>
  </r>
  <r>
    <s v="tt1000196"/>
    <s v="Dark Journey 89"/>
    <n v="1980"/>
    <n v="1980"/>
    <x v="2"/>
    <n v="136"/>
    <s v="Long"/>
    <s v="An epic war tale directed by Edgar Wright."/>
    <s v="Edgar Wright"/>
    <s v="Scarlett Johansson, Samuel L. Jackson, Al Pacino, Edward Norton"/>
    <n v="39995"/>
    <n v="60.63"/>
    <n v="60.63"/>
    <s v="Average"/>
    <s v="War"/>
    <x v="2"/>
  </r>
  <r>
    <s v="tt1000196"/>
    <s v="Dark Journey 89"/>
    <n v="1980"/>
    <n v="1980"/>
    <x v="2"/>
    <n v="136"/>
    <s v="Long"/>
    <s v="An epic war tale directed by Edgar Wright."/>
    <s v="Edgar Wright"/>
    <s v="Scarlett Johansson, Samuel L. Jackson, Al Pacino, Edward Norton"/>
    <n v="39995"/>
    <n v="60.63"/>
    <n v="60.63"/>
    <s v="Average"/>
    <s v=" Animation"/>
    <x v="3"/>
  </r>
  <r>
    <s v="tt1000196"/>
    <s v="Dark Journey 89"/>
    <n v="1980"/>
    <n v="1980"/>
    <x v="2"/>
    <n v="136"/>
    <s v="Long"/>
    <s v="An epic war tale directed by Edgar Wright."/>
    <s v="Edgar Wright"/>
    <s v="Scarlett Johansson, Samuel L. Jackson, Al Pacino, Edward Norton"/>
    <n v="39995"/>
    <n v="60.63"/>
    <n v="60.63"/>
    <s v="Average"/>
    <s v=" Fantasy"/>
    <x v="8"/>
  </r>
  <r>
    <s v="tt1000804"/>
    <s v="A War 697"/>
    <n v="2007"/>
    <n v="2000"/>
    <x v="1"/>
    <n v="97"/>
    <s v="Medium"/>
    <s v="A drama film set in 2007."/>
    <s v="Francis Ford Coppola"/>
    <s v="Emma Stone, TimothÃ©e Chalamet, Jack Nicholson"/>
    <n v="275541"/>
    <m/>
    <n v="0"/>
    <s v="Average"/>
    <s v="Drama"/>
    <x v="14"/>
  </r>
  <r>
    <s v="tt1000804"/>
    <s v="A War 697"/>
    <n v="2007"/>
    <n v="2000"/>
    <x v="1"/>
    <n v="97"/>
    <s v="Medium"/>
    <s v="A drama film set in 2007."/>
    <s v="Francis Ford Coppola"/>
    <s v="Emma Stone, TimothÃ©e Chalamet, Jack Nicholson"/>
    <n v="275541"/>
    <m/>
    <n v="0"/>
    <s v="Average"/>
    <s v=" Family"/>
    <x v="10"/>
  </r>
  <r>
    <s v="tt1000804"/>
    <s v="A War 697"/>
    <n v="2007"/>
    <n v="2000"/>
    <x v="1"/>
    <n v="97"/>
    <s v="Medium"/>
    <s v="A drama film set in 2007."/>
    <s v="Francis Ford Coppola"/>
    <s v="Emma Stone, TimothÃ©e Chalamet, Jack Nicholson"/>
    <n v="275541"/>
    <m/>
    <n v="0"/>
    <s v="Average"/>
    <s v=" Mystery"/>
    <x v="4"/>
  </r>
  <r>
    <s v="tt1000844"/>
    <s v="First Story 737"/>
    <n v="2013"/>
    <n v="2010"/>
    <x v="0"/>
    <n v="131"/>
    <s v="Long"/>
    <s v="A drama film set in 2013."/>
    <s v="Taika Waititi"/>
    <s v="Chris Hemsworth, Edward Norton, Amy Adams"/>
    <n v="32014"/>
    <m/>
    <n v="0"/>
    <s v="Average"/>
    <s v="Drama"/>
    <x v="14"/>
  </r>
  <r>
    <s v="tt1000844"/>
    <s v="First Story 737"/>
    <n v="2013"/>
    <n v="2010"/>
    <x v="0"/>
    <n v="131"/>
    <s v="Long"/>
    <s v="A drama film set in 2013."/>
    <s v="Taika Waititi"/>
    <s v="Chris Hemsworth, Edward Norton, Amy Adams"/>
    <n v="32014"/>
    <m/>
    <n v="0"/>
    <s v="Average"/>
    <s v=" Romance"/>
    <x v="7"/>
  </r>
  <r>
    <s v="tt1000517"/>
    <s v="Secret Story 410"/>
    <n v="2008"/>
    <n v="2000"/>
    <x v="4"/>
    <n v="115"/>
    <s v="Medium"/>
    <s v="A thrilling drama adventure."/>
    <s v="Alfred Hitchcock"/>
    <s v="TimothÃ©e Chalamet, Al Pacino, Cate Blanchett, Brad Pitt, Amy Adams"/>
    <n v="17321"/>
    <n v="317.42"/>
    <n v="317.42"/>
    <s v="Blockbuster"/>
    <s v="Drama"/>
    <x v="14"/>
  </r>
  <r>
    <s v="tt1000883"/>
    <s v="The Destiny 776"/>
    <n v="2020"/>
    <n v="2020"/>
    <x v="0"/>
    <n v="138"/>
    <s v="Long"/>
    <s v="An epic romance tale directed by Hayao Miyazaki."/>
    <s v="Hayao Miyazaki"/>
    <s v="Amy Adams, Meryl Streep, Robert De Niro, Zendaya, TimothÃ©e Chalamet"/>
    <n v="584741"/>
    <m/>
    <n v="0"/>
    <s v="Average"/>
    <s v="Romance"/>
    <x v="7"/>
  </r>
  <r>
    <s v="tt1000955"/>
    <s v="Last Journey 848"/>
    <n v="2007"/>
    <n v="2000"/>
    <x v="2"/>
    <n v="113"/>
    <s v="Medium"/>
    <s v="A critically acclaimed family masterpiece."/>
    <s v="Steven Spielberg"/>
    <s v="Al Pacino, Amy Adams, Anthony Hopkins, Chris Hemsworth, Gary Oldman"/>
    <n v="15835"/>
    <m/>
    <n v="0"/>
    <s v="Average"/>
    <s v="Family"/>
    <x v="10"/>
  </r>
  <r>
    <s v="tt1000955"/>
    <s v="Last Journey 848"/>
    <n v="2007"/>
    <n v="2000"/>
    <x v="2"/>
    <n v="113"/>
    <s v="Medium"/>
    <s v="A critically acclaimed family masterpiece."/>
    <s v="Steven Spielberg"/>
    <s v="Al Pacino, Amy Adams, Anthony Hopkins, Chris Hemsworth, Gary Oldman"/>
    <n v="15835"/>
    <m/>
    <n v="0"/>
    <s v="Average"/>
    <s v=" Adventure"/>
    <x v="9"/>
  </r>
  <r>
    <s v="tt1000958"/>
    <s v="A Mystery 851"/>
    <n v="2022"/>
    <n v="2020"/>
    <x v="1"/>
    <n v="119"/>
    <s v="Medium"/>
    <s v="An epic thriller tale directed by Park Chan-wook."/>
    <s v="Park Chan-wook"/>
    <s v="Emma Stone, Morgan Freeman, Harrison Ford, Denzel Washington, Cate Blanchett"/>
    <n v="14694"/>
    <n v="366.94"/>
    <n v="366.94"/>
    <s v="Blockbuster"/>
    <s v="Thriller"/>
    <x v="17"/>
  </r>
  <r>
    <s v="tt1000958"/>
    <s v="A Mystery 851"/>
    <n v="2022"/>
    <n v="2020"/>
    <x v="1"/>
    <n v="119"/>
    <s v="Medium"/>
    <s v="An epic thriller tale directed by Park Chan-wook."/>
    <s v="Park Chan-wook"/>
    <s v="Emma Stone, Morgan Freeman, Harrison Ford, Denzel Washington, Cate Blanchett"/>
    <n v="14694"/>
    <n v="366.94"/>
    <n v="366.94"/>
    <s v="Blockbuster"/>
    <s v=" Comedy"/>
    <x v="15"/>
  </r>
  <r>
    <s v="tt1000958"/>
    <s v="A Mystery 851"/>
    <n v="2022"/>
    <n v="2020"/>
    <x v="1"/>
    <n v="119"/>
    <s v="Medium"/>
    <s v="An epic thriller tale directed by Park Chan-wook."/>
    <s v="Park Chan-wook"/>
    <s v="Emma Stone, Morgan Freeman, Harrison Ford, Denzel Washington, Cate Blanchett"/>
    <n v="14694"/>
    <n v="366.94"/>
    <n v="366.94"/>
    <s v="Blockbuster"/>
    <s v=" Family"/>
    <x v="10"/>
  </r>
  <r>
    <s v="tt1000176"/>
    <s v="The War 69"/>
    <n v="1996"/>
    <n v="1990"/>
    <x v="0"/>
    <n v="125"/>
    <s v="Long"/>
    <s v="A critically acclaimed documentary masterpiece."/>
    <s v="Martin Scorsese"/>
    <s v="Jennifer Lawrence, Leonardo DiCaprio, Christian Bale, Al Pacino"/>
    <n v="156043"/>
    <n v="14.91"/>
    <n v="14.91"/>
    <s v="Average"/>
    <s v="Documentary"/>
    <x v="13"/>
  </r>
  <r>
    <s v="tt1000176"/>
    <s v="The War 69"/>
    <n v="1996"/>
    <n v="1990"/>
    <x v="0"/>
    <n v="125"/>
    <s v="Long"/>
    <s v="A critically acclaimed documentary masterpiece."/>
    <s v="Martin Scorsese"/>
    <s v="Jennifer Lawrence, Leonardo DiCaprio, Christian Bale, Al Pacino"/>
    <n v="156043"/>
    <n v="14.91"/>
    <n v="14.91"/>
    <s v="Average"/>
    <s v=" Fantasy"/>
    <x v="8"/>
  </r>
  <r>
    <s v="tt1000474"/>
    <s v="Last Secrets 367"/>
    <n v="2001"/>
    <n v="2000"/>
    <x v="2"/>
    <n v="112"/>
    <s v="Medium"/>
    <s v="A thrilling musical adventure."/>
    <s v="David Fincher"/>
    <s v="Mark Ruffalo, Daniel Day-Lewis, TimothÃ©e Chalamet"/>
    <n v="12491"/>
    <m/>
    <n v="0"/>
    <s v="Average"/>
    <s v="Musical"/>
    <x v="1"/>
  </r>
  <r>
    <s v="tt1000474"/>
    <s v="Last Secrets 367"/>
    <n v="2001"/>
    <n v="2000"/>
    <x v="2"/>
    <n v="112"/>
    <s v="Medium"/>
    <s v="A thrilling musical adventure."/>
    <s v="David Fincher"/>
    <s v="Mark Ruffalo, Daniel Day-Lewis, TimothÃ©e Chalamet"/>
    <n v="12491"/>
    <m/>
    <n v="0"/>
    <s v="Average"/>
    <s v=" Animation"/>
    <x v="3"/>
  </r>
  <r>
    <s v="tt1000200"/>
    <s v="A Awakening 93"/>
    <n v="2005"/>
    <n v="2000"/>
    <x v="0"/>
    <n v="135"/>
    <s v="Long"/>
    <s v="A drama film set in 2005."/>
    <s v="Wong Kar-wai"/>
    <s v="Meryl Streep, Cate Blanchett, Emma Stone"/>
    <n v="220666"/>
    <n v="422.35"/>
    <n v="422.35"/>
    <s v="Blockbuster"/>
    <s v="Drama"/>
    <x v="14"/>
  </r>
  <r>
    <s v="tt1000200"/>
    <s v="A Awakening 93"/>
    <n v="2005"/>
    <n v="2000"/>
    <x v="0"/>
    <n v="135"/>
    <s v="Long"/>
    <s v="A drama film set in 2005."/>
    <s v="Wong Kar-wai"/>
    <s v="Meryl Streep, Cate Blanchett, Emma Stone"/>
    <n v="220666"/>
    <n v="422.35"/>
    <n v="422.35"/>
    <s v="Blockbuster"/>
    <s v=" Thriller"/>
    <x v="17"/>
  </r>
  <r>
    <s v="tt1000200"/>
    <s v="A Awakening 93"/>
    <n v="2005"/>
    <n v="2000"/>
    <x v="0"/>
    <n v="135"/>
    <s v="Long"/>
    <s v="A drama film set in 2005."/>
    <s v="Wong Kar-wai"/>
    <s v="Meryl Streep, Cate Blanchett, Emma Stone"/>
    <n v="220666"/>
    <n v="422.35"/>
    <n v="422.35"/>
    <s v="Blockbuster"/>
    <s v=" Fantasy"/>
    <x v="8"/>
  </r>
  <r>
    <s v="tt1000992"/>
    <s v="Final Revolution 885"/>
    <n v="2012"/>
    <n v="2010"/>
    <x v="4"/>
    <n v="145"/>
    <s v="Long"/>
    <s v="A critically acclaimed adventure masterpiece."/>
    <s v="Ridley Scott"/>
    <s v="Daniel Day-Lewis, Emma Stone, Meryl Streep, Mark Ruffalo"/>
    <n v="135295"/>
    <n v="368.92"/>
    <n v="368.92"/>
    <s v="Blockbuster"/>
    <s v="Adventure"/>
    <x v="9"/>
  </r>
  <r>
    <s v="tt1000992"/>
    <s v="Final Revolution 885"/>
    <n v="2012"/>
    <n v="2010"/>
    <x v="4"/>
    <n v="145"/>
    <s v="Long"/>
    <s v="A critically acclaimed adventure masterpiece."/>
    <s v="Ridley Scott"/>
    <s v="Daniel Day-Lewis, Emma Stone, Meryl Streep, Mark Ruffalo"/>
    <n v="135295"/>
    <n v="368.92"/>
    <n v="368.92"/>
    <s v="Blockbuster"/>
    <s v=" Comedy"/>
    <x v="15"/>
  </r>
  <r>
    <s v="tt1000422"/>
    <s v="Dark Kingdom 315"/>
    <n v="2011"/>
    <n v="2010"/>
    <x v="1"/>
    <n v="117"/>
    <s v="Medium"/>
    <s v="A critically acclaimed action masterpiece."/>
    <s v="Kathryn Bigelow"/>
    <s v="Margot Robbie, Jennifer Lawrence, Denzel Washington"/>
    <n v="19864"/>
    <n v="220.47"/>
    <n v="220.47"/>
    <s v="Blockbuster"/>
    <s v="Action"/>
    <x v="0"/>
  </r>
  <r>
    <s v="tt1000422"/>
    <s v="Dark Kingdom 315"/>
    <n v="2011"/>
    <n v="2010"/>
    <x v="1"/>
    <n v="117"/>
    <s v="Medium"/>
    <s v="A critically acclaimed action masterpiece."/>
    <s v="Kathryn Bigelow"/>
    <s v="Margot Robbie, Jennifer Lawrence, Denzel Washington"/>
    <n v="19864"/>
    <n v="220.47"/>
    <n v="220.47"/>
    <s v="Blockbuster"/>
    <s v=" Crime"/>
    <x v="6"/>
  </r>
  <r>
    <s v="tt1000851"/>
    <s v="The Empire 744"/>
    <n v="2022"/>
    <n v="2020"/>
    <x v="0"/>
    <n v="127"/>
    <s v="Long"/>
    <s v="A critically acclaimed biography masterpiece."/>
    <s v="Spike Lee"/>
    <s v="Mark Ruffalo, Edward Norton, Robert De Niro, Al Pacino"/>
    <n v="133511"/>
    <n v="357.12"/>
    <n v="357.12"/>
    <s v="Blockbuster"/>
    <s v="Biography"/>
    <x v="5"/>
  </r>
  <r>
    <s v="tt1000851"/>
    <s v="The Empire 744"/>
    <n v="2022"/>
    <n v="2020"/>
    <x v="0"/>
    <n v="127"/>
    <s v="Long"/>
    <s v="A critically acclaimed biography masterpiece."/>
    <s v="Spike Lee"/>
    <s v="Mark Ruffalo, Edward Norton, Robert De Niro, Al Pacino"/>
    <n v="133511"/>
    <n v="357.12"/>
    <n v="357.12"/>
    <s v="Blockbuster"/>
    <s v=" Thriller"/>
    <x v="17"/>
  </r>
  <r>
    <s v="tt1000851"/>
    <s v="The Empire 744"/>
    <n v="2022"/>
    <n v="2020"/>
    <x v="0"/>
    <n v="127"/>
    <s v="Long"/>
    <s v="A critically acclaimed biography masterpiece."/>
    <s v="Spike Lee"/>
    <s v="Mark Ruffalo, Edward Norton, Robert De Niro, Al Pacino"/>
    <n v="133511"/>
    <n v="357.12"/>
    <n v="357.12"/>
    <s v="Blockbuster"/>
    <s v=" War"/>
    <x v="2"/>
  </r>
  <r>
    <s v="tt1000782"/>
    <s v="Secret Awakening 675"/>
    <n v="2023"/>
    <n v="2020"/>
    <x v="2"/>
    <n v="110"/>
    <s v="Medium"/>
    <s v="A animation film set in 2023."/>
    <s v="Ron Howard"/>
    <s v="Jack Nicholson, Morgan Freeman, Daniel Day-Lewis, Cate Blanchett"/>
    <n v="169433"/>
    <n v="343.64"/>
    <n v="343.64"/>
    <s v="Blockbuster"/>
    <s v="Animation"/>
    <x v="3"/>
  </r>
  <r>
    <s v="tt1000782"/>
    <s v="Secret Awakening 675"/>
    <n v="2023"/>
    <n v="2020"/>
    <x v="2"/>
    <n v="110"/>
    <s v="Medium"/>
    <s v="A animation film set in 2023."/>
    <s v="Ron Howard"/>
    <s v="Jack Nicholson, Morgan Freeman, Daniel Day-Lewis, Cate Blanchett"/>
    <n v="169433"/>
    <n v="343.64"/>
    <n v="343.64"/>
    <s v="Blockbuster"/>
    <s v=" Romance"/>
    <x v="7"/>
  </r>
  <r>
    <s v="tt1000782"/>
    <s v="Secret Awakening 675"/>
    <n v="2023"/>
    <n v="2020"/>
    <x v="2"/>
    <n v="110"/>
    <s v="Medium"/>
    <s v="A animation film set in 2023."/>
    <s v="Ron Howard"/>
    <s v="Jack Nicholson, Morgan Freeman, Daniel Day-Lewis, Cate Blanchett"/>
    <n v="169433"/>
    <n v="343.64"/>
    <n v="343.64"/>
    <s v="Blockbuster"/>
    <s v=" Documentary"/>
    <x v="13"/>
  </r>
  <r>
    <s v="tt1000164"/>
    <s v="Lost Journey 57"/>
    <n v="1988"/>
    <n v="1980"/>
    <x v="0"/>
    <n v="121"/>
    <s v="Long"/>
    <s v="A critically acclaimed animation masterpiece."/>
    <s v="Francis Ford Coppola"/>
    <s v="Samuel L. Jackson, Anthony Hopkins, Scarlett Johansson, Tom Cruise, Daniel Day-Lewis"/>
    <n v="352871"/>
    <n v="173.2"/>
    <n v="173.2"/>
    <s v="Hit"/>
    <s v="Animation"/>
    <x v="3"/>
  </r>
  <r>
    <s v="tt1000164"/>
    <s v="Lost Journey 57"/>
    <n v="1988"/>
    <n v="1980"/>
    <x v="0"/>
    <n v="121"/>
    <s v="Long"/>
    <s v="A critically acclaimed animation masterpiece."/>
    <s v="Francis Ford Coppola"/>
    <s v="Samuel L. Jackson, Anthony Hopkins, Scarlett Johansson, Tom Cruise, Daniel Day-Lewis"/>
    <n v="352871"/>
    <n v="173.2"/>
    <n v="173.2"/>
    <s v="Hit"/>
    <s v=" Biography"/>
    <x v="5"/>
  </r>
  <r>
    <s v="tt1000110"/>
    <s v="Dark Legend 3"/>
    <n v="1999"/>
    <n v="1990"/>
    <x v="1"/>
    <n v="119"/>
    <s v="Medium"/>
    <s v="A critically acclaimed war masterpiece."/>
    <s v="George Lucas"/>
    <s v="Denzel Washington, Keanu Reeves, Christian Bale, Robert De Niro"/>
    <n v="67084"/>
    <n v="60.44"/>
    <n v="60.44"/>
    <s v="Average"/>
    <s v="War"/>
    <x v="2"/>
  </r>
  <r>
    <s v="tt1000700"/>
    <s v="Secret Legend 593"/>
    <n v="2020"/>
    <n v="2020"/>
    <x v="0"/>
    <n v="127"/>
    <s v="Long"/>
    <s v="An epic adventure tale directed by Coen Brothers."/>
    <s v="Coen Brothers"/>
    <s v="Amy Adams, Cate Blanchett, Margot Robbie"/>
    <n v="16244"/>
    <n v="260.55"/>
    <n v="260.55"/>
    <s v="Blockbuster"/>
    <s v="Adventure"/>
    <x v="9"/>
  </r>
  <r>
    <s v="tt1000165"/>
    <s v="A Quest 58"/>
    <n v="1991"/>
    <n v="1990"/>
    <x v="0"/>
    <n v="130"/>
    <s v="Long"/>
    <s v="An epic documentary tale directed by Wes Anderson."/>
    <s v="Wes Anderson"/>
    <s v="Keanu Reeves, Will Smith, Natalie Portman"/>
    <n v="45003"/>
    <n v="147.22"/>
    <n v="147.22"/>
    <s v="Hit"/>
    <s v="Documentary"/>
    <x v="13"/>
  </r>
  <r>
    <s v="tt1000165"/>
    <s v="A Quest 58"/>
    <n v="1991"/>
    <n v="1990"/>
    <x v="0"/>
    <n v="130"/>
    <s v="Long"/>
    <s v="An epic documentary tale directed by Wes Anderson."/>
    <s v="Wes Anderson"/>
    <s v="Keanu Reeves, Will Smith, Natalie Portman"/>
    <n v="45003"/>
    <n v="147.22"/>
    <n v="147.22"/>
    <s v="Hit"/>
    <s v=" Sci-Fi"/>
    <x v="16"/>
  </r>
  <r>
    <s v="tt1000368"/>
    <s v="Final Revolution 261"/>
    <n v="2005"/>
    <n v="2000"/>
    <x v="0"/>
    <n v="142"/>
    <s v="Long"/>
    <s v="An epic musical tale directed by Taika Waititi."/>
    <s v="Taika Waititi"/>
    <s v="Daniel Day-Lewis, Chris Hemsworth, Al Pacino, Brad Pitt, Leonardo DiCaprio"/>
    <n v="150115"/>
    <n v="235.48"/>
    <n v="235.48"/>
    <s v="Blockbuster"/>
    <s v="Musical"/>
    <x v="1"/>
  </r>
  <r>
    <s v="tt1000368"/>
    <s v="Final Revolution 261"/>
    <n v="2005"/>
    <n v="2000"/>
    <x v="0"/>
    <n v="142"/>
    <s v="Long"/>
    <s v="An epic musical tale directed by Taika Waititi."/>
    <s v="Taika Waititi"/>
    <s v="Daniel Day-Lewis, Chris Hemsworth, Al Pacino, Brad Pitt, Leonardo DiCaprio"/>
    <n v="150115"/>
    <n v="235.48"/>
    <n v="235.48"/>
    <s v="Blockbuster"/>
    <s v=" Romance"/>
    <x v="7"/>
  </r>
  <r>
    <s v="tt1000606"/>
    <s v="A Dreams 499"/>
    <n v="2022"/>
    <n v="2020"/>
    <x v="3"/>
    <n v="115"/>
    <s v="Medium"/>
    <s v="An epic horror tale directed by Danny Boyle."/>
    <s v="Danny Boyle"/>
    <s v="Cate Blanchett, TimothÃ©e Chalamet, Denzel Washington, Brad Pitt"/>
    <n v="49173"/>
    <m/>
    <n v="0"/>
    <s v="Average"/>
    <s v="Horror"/>
    <x v="12"/>
  </r>
  <r>
    <s v="tt1000606"/>
    <s v="A Dreams 499"/>
    <n v="2022"/>
    <n v="2020"/>
    <x v="3"/>
    <n v="115"/>
    <s v="Medium"/>
    <s v="An epic horror tale directed by Danny Boyle."/>
    <s v="Danny Boyle"/>
    <s v="Cate Blanchett, TimothÃ©e Chalamet, Denzel Washington, Brad Pitt"/>
    <n v="49173"/>
    <m/>
    <n v="0"/>
    <s v="Average"/>
    <s v=" Drama"/>
    <x v="14"/>
  </r>
  <r>
    <s v="tt1000934"/>
    <s v="First Love 827"/>
    <n v="2013"/>
    <n v="2010"/>
    <x v="2"/>
    <n v="126"/>
    <s v="Long"/>
    <s v="A western film set in 2013."/>
    <s v="Coen Brothers"/>
    <s v="Morgan Freeman, Al Pacino, Samuel L. Jackson, Harrison Ford, Jennifer Lawrence"/>
    <n v="51885"/>
    <n v="147.4"/>
    <n v="147.4"/>
    <s v="Hit"/>
    <s v="Western"/>
    <x v="11"/>
  </r>
  <r>
    <s v="tt1000934"/>
    <s v="First Love 827"/>
    <n v="2013"/>
    <n v="2010"/>
    <x v="2"/>
    <n v="126"/>
    <s v="Long"/>
    <s v="A western film set in 2013."/>
    <s v="Coen Brothers"/>
    <s v="Morgan Freeman, Al Pacino, Samuel L. Jackson, Harrison Ford, Jennifer Lawrence"/>
    <n v="51885"/>
    <n v="147.4"/>
    <n v="147.4"/>
    <s v="Hit"/>
    <s v=" Crime"/>
    <x v="6"/>
  </r>
  <r>
    <s v="tt1000383"/>
    <s v="Lost Destiny 276"/>
    <n v="2009"/>
    <n v="2000"/>
    <x v="4"/>
    <n v="103"/>
    <s v="Medium"/>
    <s v="A critically acclaimed sci-fi masterpiece."/>
    <s v="Kathryn Bigelow"/>
    <s v="Al Pacino, Keanu Reeves, Mark Ruffalo"/>
    <n v="2368"/>
    <n v="273.33999999999997"/>
    <n v="273.33999999999997"/>
    <s v="Blockbuster"/>
    <s v="Sci-Fi"/>
    <x v="16"/>
  </r>
  <r>
    <s v="tt1000383"/>
    <s v="Lost Destiny 276"/>
    <n v="2009"/>
    <n v="2000"/>
    <x v="4"/>
    <n v="103"/>
    <s v="Medium"/>
    <s v="A critically acclaimed sci-fi masterpiece."/>
    <s v="Kathryn Bigelow"/>
    <s v="Al Pacino, Keanu Reeves, Mark Ruffalo"/>
    <n v="2368"/>
    <n v="273.33999999999997"/>
    <n v="273.33999999999997"/>
    <s v="Blockbuster"/>
    <s v=" Documentary"/>
    <x v="13"/>
  </r>
  <r>
    <s v="tt1000853"/>
    <s v="First Love 746"/>
    <n v="2002"/>
    <n v="2000"/>
    <x v="0"/>
    <n v="138"/>
    <s v="Long"/>
    <s v="A thrilling war adventure."/>
    <s v="Wes Anderson"/>
    <s v="Johnny Depp, Chris Hemsworth, Brad Pitt"/>
    <n v="68086"/>
    <m/>
    <n v="0"/>
    <s v="Average"/>
    <s v="War"/>
    <x v="2"/>
  </r>
  <r>
    <s v="tt1000853"/>
    <s v="First Love 746"/>
    <n v="2002"/>
    <n v="2000"/>
    <x v="0"/>
    <n v="138"/>
    <s v="Long"/>
    <s v="A thrilling war adventure."/>
    <s v="Wes Anderson"/>
    <s v="Johnny Depp, Chris Hemsworth, Brad Pitt"/>
    <n v="68086"/>
    <m/>
    <n v="0"/>
    <s v="Average"/>
    <s v=" Thriller"/>
    <x v="17"/>
  </r>
  <r>
    <s v="tt1000172"/>
    <s v="Lost Awakening 65"/>
    <n v="1984"/>
    <n v="1980"/>
    <x v="0"/>
    <n v="130"/>
    <s v="Long"/>
    <s v="A thrilling family adventure."/>
    <s v="Taika Waititi"/>
    <s v="Will Smith, Daniel Day-Lewis, Natalie Portman, Gary Oldman, Mark Ruffalo"/>
    <n v="41696"/>
    <n v="177.68"/>
    <n v="177.68"/>
    <s v="Hit"/>
    <s v="Family"/>
    <x v="10"/>
  </r>
  <r>
    <s v="tt1000152"/>
    <s v="An Quest 45"/>
    <n v="1984"/>
    <n v="1980"/>
    <x v="2"/>
    <n v="117"/>
    <s v="Medium"/>
    <s v="A thrilling comedy adventure."/>
    <s v="Clint Eastwood"/>
    <s v="Robert De Niro, Scarlett Johansson, Samuel L. Jackson, Gary Oldman, Anthony Hopkins"/>
    <n v="15657"/>
    <n v="216.48"/>
    <n v="216.48"/>
    <s v="Blockbuster"/>
    <s v="Comedy"/>
    <x v="15"/>
  </r>
  <r>
    <s v="tt1000118"/>
    <s v="Dark Kingdom 11"/>
    <n v="1997"/>
    <n v="1990"/>
    <x v="1"/>
    <n v="119"/>
    <s v="Medium"/>
    <s v="A critically acclaimed horror masterpiece."/>
    <s v="Robert Zemeckis"/>
    <s v="TimothÃ©e Chalamet, Al Pacino, Scarlett Johansson"/>
    <n v="58234"/>
    <n v="33.79"/>
    <n v="33.79"/>
    <s v="Average"/>
    <s v="Horror"/>
    <x v="12"/>
  </r>
  <r>
    <s v="tt1000565"/>
    <s v="Last Quest 458"/>
    <n v="2013"/>
    <n v="2010"/>
    <x v="0"/>
    <n v="158"/>
    <s v="Long"/>
    <s v="An epic animation tale directed by Kathryn Bigelow."/>
    <s v="Kathryn Bigelow"/>
    <s v="Leonardo DiCaprio, Emma Stone, Robert Downey Jr."/>
    <n v="21663"/>
    <n v="231.86"/>
    <n v="231.86"/>
    <s v="Blockbuster"/>
    <s v="Animation"/>
    <x v="3"/>
  </r>
  <r>
    <s v="tt1000565"/>
    <s v="Last Quest 458"/>
    <n v="2013"/>
    <n v="2010"/>
    <x v="0"/>
    <n v="158"/>
    <s v="Long"/>
    <s v="An epic animation tale directed by Kathryn Bigelow."/>
    <s v="Kathryn Bigelow"/>
    <s v="Leonardo DiCaprio, Emma Stone, Robert Downey Jr."/>
    <n v="21663"/>
    <n v="231.86"/>
    <n v="231.86"/>
    <s v="Blockbuster"/>
    <s v=" Fantasy"/>
    <x v="8"/>
  </r>
  <r>
    <s v="tt1000327"/>
    <s v="Dark Awakening 220"/>
    <n v="2004"/>
    <n v="2000"/>
    <x v="1"/>
    <n v="128"/>
    <s v="Long"/>
    <s v="A critically acclaimed documentary masterpiece."/>
    <s v="Bong Joon-ho"/>
    <s v="Viola Davis, Keanu Reeves, Samuel L. Jackson, Harrison Ford"/>
    <n v="55738"/>
    <n v="315.38"/>
    <n v="315.38"/>
    <s v="Blockbuster"/>
    <s v="Documentary"/>
    <x v="13"/>
  </r>
  <r>
    <s v="tt1000327"/>
    <s v="Dark Awakening 220"/>
    <n v="2004"/>
    <n v="2000"/>
    <x v="1"/>
    <n v="128"/>
    <s v="Long"/>
    <s v="A critically acclaimed documentary masterpiece."/>
    <s v="Bong Joon-ho"/>
    <s v="Viola Davis, Keanu Reeves, Samuel L. Jackson, Harrison Ford"/>
    <n v="55738"/>
    <n v="315.38"/>
    <n v="315.38"/>
    <s v="Blockbuster"/>
    <s v=" Musical"/>
    <x v="1"/>
  </r>
  <r>
    <s v="tt1000545"/>
    <s v="The Secrets 438"/>
    <n v="2018"/>
    <n v="2010"/>
    <x v="1"/>
    <n v="111"/>
    <s v="Medium"/>
    <s v="A mystery film set in 2018."/>
    <s v="Peter Jackson"/>
    <s v="Margot Robbie, Morgan Freeman, Gary Oldman, Samuel L. Jackson"/>
    <n v="113028"/>
    <n v="168.63"/>
    <n v="168.63"/>
    <s v="Hit"/>
    <s v="Mystery"/>
    <x v="4"/>
  </r>
  <r>
    <s v="tt1000545"/>
    <s v="The Secrets 438"/>
    <n v="2018"/>
    <n v="2010"/>
    <x v="1"/>
    <n v="111"/>
    <s v="Medium"/>
    <s v="A mystery film set in 2018."/>
    <s v="Peter Jackson"/>
    <s v="Margot Robbie, Morgan Freeman, Gary Oldman, Samuel L. Jackson"/>
    <n v="113028"/>
    <n v="168.63"/>
    <n v="168.63"/>
    <s v="Hit"/>
    <s v=" Drama"/>
    <x v="14"/>
  </r>
  <r>
    <s v="tt1000545"/>
    <s v="The Secrets 438"/>
    <n v="2018"/>
    <n v="2010"/>
    <x v="1"/>
    <n v="111"/>
    <s v="Medium"/>
    <s v="A mystery film set in 2018."/>
    <s v="Peter Jackson"/>
    <s v="Margot Robbie, Morgan Freeman, Gary Oldman, Samuel L. Jackson"/>
    <n v="113028"/>
    <n v="168.63"/>
    <n v="168.63"/>
    <s v="Hit"/>
    <s v=" Sci-Fi"/>
    <x v="16"/>
  </r>
  <r>
    <s v="tt1000515"/>
    <s v="Last Mystery 408"/>
    <n v="2005"/>
    <n v="2000"/>
    <x v="0"/>
    <n v="129"/>
    <s v="Long"/>
    <s v="An epic romance tale directed by Denis Villeneuve."/>
    <s v="Denis Villeneuve"/>
    <s v="Cate Blanchett, Robert De Niro, Johnny Depp, Edward Norton"/>
    <n v="94154"/>
    <n v="250.35"/>
    <n v="250.35"/>
    <s v="Blockbuster"/>
    <s v="Romance"/>
    <x v="7"/>
  </r>
  <r>
    <s v="tt1000515"/>
    <s v="Last Mystery 408"/>
    <n v="2005"/>
    <n v="2000"/>
    <x v="0"/>
    <n v="129"/>
    <s v="Long"/>
    <s v="An epic romance tale directed by Denis Villeneuve."/>
    <s v="Denis Villeneuve"/>
    <s v="Cate Blanchett, Robert De Niro, Johnny Depp, Edward Norton"/>
    <n v="94154"/>
    <n v="250.35"/>
    <n v="250.35"/>
    <s v="Blockbuster"/>
    <s v=" Drama"/>
    <x v="14"/>
  </r>
  <r>
    <s v="tt1000891"/>
    <s v="An Kingdom 784"/>
    <n v="2013"/>
    <n v="2010"/>
    <x v="5"/>
    <n v="109"/>
    <s v="Medium"/>
    <s v="A thrilling musical adventure."/>
    <s v="Francis Ford Coppola"/>
    <s v="Denzel Washington, Edward Norton, Daniel Day-Lewis, Johnny Depp"/>
    <n v="3152"/>
    <n v="156.55000000000001"/>
    <n v="156.55000000000001"/>
    <s v="Hit"/>
    <s v="Musical"/>
    <x v="1"/>
  </r>
  <r>
    <s v="tt1000527"/>
    <s v="Last Story 420"/>
    <n v="2002"/>
    <n v="2000"/>
    <x v="1"/>
    <n v="142"/>
    <s v="Long"/>
    <s v="A adventure film set in 2002."/>
    <s v="George Lucas"/>
    <s v="Chris Hemsworth, Amy Adams, Gary Oldman, TimothÃ©e Chalamet, Kate Winslet"/>
    <n v="65678"/>
    <n v="417.22"/>
    <n v="417.22"/>
    <s v="Blockbuster"/>
    <s v="Adventure"/>
    <x v="9"/>
  </r>
  <r>
    <s v="tt1000527"/>
    <s v="Last Story 420"/>
    <n v="2002"/>
    <n v="2000"/>
    <x v="1"/>
    <n v="142"/>
    <s v="Long"/>
    <s v="A adventure film set in 2002."/>
    <s v="George Lucas"/>
    <s v="Chris Hemsworth, Amy Adams, Gary Oldman, TimothÃ©e Chalamet, Kate Winslet"/>
    <n v="65678"/>
    <n v="417.22"/>
    <n v="417.22"/>
    <s v="Blockbuster"/>
    <s v=" Musical"/>
    <x v="1"/>
  </r>
  <r>
    <s v="tt1000855"/>
    <s v="A Love 748"/>
    <n v="2015"/>
    <n v="2010"/>
    <x v="2"/>
    <n v="111"/>
    <s v="Medium"/>
    <s v="An epic family tale directed by Ridley Scott."/>
    <s v="Ridley Scott"/>
    <s v="Johnny Depp, Robert De Niro, Amy Adams, Keanu Reeves, Christian Bale"/>
    <n v="159007"/>
    <n v="58.53"/>
    <n v="58.53"/>
    <s v="Average"/>
    <s v="Family"/>
    <x v="10"/>
  </r>
  <r>
    <s v="tt1000855"/>
    <s v="A Love 748"/>
    <n v="2015"/>
    <n v="2010"/>
    <x v="2"/>
    <n v="111"/>
    <s v="Medium"/>
    <s v="An epic family tale directed by Ridley Scott."/>
    <s v="Ridley Scott"/>
    <s v="Johnny Depp, Robert De Niro, Amy Adams, Keanu Reeves, Christian Bale"/>
    <n v="159007"/>
    <n v="58.53"/>
    <n v="58.53"/>
    <s v="Average"/>
    <s v=" Comedy"/>
    <x v="15"/>
  </r>
  <r>
    <s v="tt1000454"/>
    <s v="Secret Chronicles 347"/>
    <n v="2009"/>
    <n v="2000"/>
    <x v="2"/>
    <n v="122"/>
    <s v="Long"/>
    <s v="A comedy film set in 2009."/>
    <s v="Pedro AlmodÃ³var"/>
    <s v="Johnny Depp, Cate Blanchett, Leonardo DiCaprio"/>
    <n v="360359"/>
    <n v="193.82"/>
    <n v="193.82"/>
    <s v="Hit"/>
    <s v="Comedy"/>
    <x v="15"/>
  </r>
  <r>
    <s v="tt1000454"/>
    <s v="Secret Chronicles 347"/>
    <n v="2009"/>
    <n v="2000"/>
    <x v="2"/>
    <n v="122"/>
    <s v="Long"/>
    <s v="A comedy film set in 2009."/>
    <s v="Pedro AlmodÃ³var"/>
    <s v="Johnny Depp, Cate Blanchett, Leonardo DiCaprio"/>
    <n v="360359"/>
    <n v="193.82"/>
    <n v="193.82"/>
    <s v="Hit"/>
    <s v=" Mystery"/>
    <x v="4"/>
  </r>
  <r>
    <s v="tt1000414"/>
    <s v="Last Legend 307"/>
    <n v="2002"/>
    <n v="2000"/>
    <x v="0"/>
    <n v="108"/>
    <s v="Medium"/>
    <s v="A sci-fi film set in 2002."/>
    <s v="Pedro AlmodÃ³var"/>
    <s v="Kate Winslet, Matt Damon, Jennifer Lawrence, Brad Pitt, Meryl Streep"/>
    <n v="22608"/>
    <n v="421.98"/>
    <n v="421.98"/>
    <s v="Blockbuster"/>
    <s v="Sci-Fi"/>
    <x v="16"/>
  </r>
  <r>
    <s v="tt1000414"/>
    <s v="Last Legend 307"/>
    <n v="2002"/>
    <n v="2000"/>
    <x v="0"/>
    <n v="108"/>
    <s v="Medium"/>
    <s v="A sci-fi film set in 2002."/>
    <s v="Pedro AlmodÃ³var"/>
    <s v="Kate Winslet, Matt Damon, Jennifer Lawrence, Brad Pitt, Meryl Streep"/>
    <n v="22608"/>
    <n v="421.98"/>
    <n v="421.98"/>
    <s v="Blockbuster"/>
    <s v=" Documentary"/>
    <x v="13"/>
  </r>
  <r>
    <s v="tt1000414"/>
    <s v="Last Legend 307"/>
    <n v="2002"/>
    <n v="2000"/>
    <x v="0"/>
    <n v="108"/>
    <s v="Medium"/>
    <s v="A sci-fi film set in 2002."/>
    <s v="Pedro AlmodÃ³var"/>
    <s v="Kate Winslet, Matt Damon, Jennifer Lawrence, Brad Pitt, Meryl Streep"/>
    <n v="22608"/>
    <n v="421.98"/>
    <n v="421.98"/>
    <s v="Blockbuster"/>
    <s v=" Horror"/>
    <x v="12"/>
  </r>
  <r>
    <s v="tt1000879"/>
    <s v="Secret Mystery 772"/>
    <n v="2018"/>
    <n v="2010"/>
    <x v="5"/>
    <n v="138"/>
    <s v="Long"/>
    <s v="A critically acclaimed horror masterpiece."/>
    <s v="David Fincher"/>
    <s v="Viola Davis, Brad Pitt, Meryl Streep, Natalie Portman, Robert De Niro"/>
    <n v="108759"/>
    <m/>
    <n v="0"/>
    <s v="Average"/>
    <s v="Horror"/>
    <x v="12"/>
  </r>
  <r>
    <s v="tt1000879"/>
    <s v="Secret Mystery 772"/>
    <n v="2018"/>
    <n v="2010"/>
    <x v="5"/>
    <n v="138"/>
    <s v="Long"/>
    <s v="A critically acclaimed horror masterpiece."/>
    <s v="David Fincher"/>
    <s v="Viola Davis, Brad Pitt, Meryl Streep, Natalie Portman, Robert De Niro"/>
    <n v="108759"/>
    <m/>
    <n v="0"/>
    <s v="Average"/>
    <s v=" Documentary"/>
    <x v="13"/>
  </r>
  <r>
    <s v="tt1000810"/>
    <s v="Final Legend 703"/>
    <n v="2015"/>
    <n v="2010"/>
    <x v="2"/>
    <n v="131"/>
    <s v="Long"/>
    <s v="A thrilling family adventure."/>
    <s v="David Fincher"/>
    <s v="Zendaya, Gary Oldman, Emma Stone"/>
    <n v="57795"/>
    <n v="157.12"/>
    <n v="157.12"/>
    <s v="Hit"/>
    <s v="Family"/>
    <x v="10"/>
  </r>
  <r>
    <s v="tt1000810"/>
    <s v="Final Legend 703"/>
    <n v="2015"/>
    <n v="2010"/>
    <x v="2"/>
    <n v="131"/>
    <s v="Long"/>
    <s v="A thrilling family adventure."/>
    <s v="David Fincher"/>
    <s v="Zendaya, Gary Oldman, Emma Stone"/>
    <n v="57795"/>
    <n v="157.12"/>
    <n v="157.12"/>
    <s v="Hit"/>
    <s v=" Crime"/>
    <x v="6"/>
  </r>
  <r>
    <s v="tt1000277"/>
    <s v="Secret Legend 170"/>
    <n v="2024"/>
    <n v="2020"/>
    <x v="3"/>
    <n v="101"/>
    <s v="Medium"/>
    <s v="A critically acclaimed fantasy masterpiece."/>
    <s v="Pedro AlmodÃ³var"/>
    <s v="Harrison Ford, Zendaya, TimothÃ©e Chalamet"/>
    <n v="18926"/>
    <m/>
    <n v="0"/>
    <s v="Average"/>
    <s v="Fantasy"/>
    <x v="8"/>
  </r>
  <r>
    <s v="tt1000211"/>
    <s v="The Destiny 104"/>
    <n v="2024"/>
    <n v="2020"/>
    <x v="2"/>
    <n v="111"/>
    <s v="Medium"/>
    <s v="A thrilling war adventure."/>
    <s v="Denis Villeneuve"/>
    <s v="Daniel Day-Lewis, Keanu Reeves, TimothÃ©e Chalamet, Christian Bale, Harrison Ford"/>
    <n v="5002"/>
    <n v="185.4"/>
    <n v="185.4"/>
    <s v="Hit"/>
    <s v="War"/>
    <x v="2"/>
  </r>
  <r>
    <s v="tt1000211"/>
    <s v="The Destiny 104"/>
    <n v="2024"/>
    <n v="2020"/>
    <x v="2"/>
    <n v="111"/>
    <s v="Medium"/>
    <s v="A thrilling war adventure."/>
    <s v="Denis Villeneuve"/>
    <s v="Daniel Day-Lewis, Keanu Reeves, TimothÃ©e Chalamet, Christian Bale, Harrison Ford"/>
    <n v="5002"/>
    <n v="185.4"/>
    <n v="185.4"/>
    <s v="Hit"/>
    <s v=" Thriller"/>
    <x v="17"/>
  </r>
  <r>
    <s v="tt1000395"/>
    <s v="An Mission 288"/>
    <n v="2000"/>
    <n v="2000"/>
    <x v="2"/>
    <n v="138"/>
    <s v="Long"/>
    <s v="A horror film set in 2000."/>
    <s v="Alfred Hitchcock"/>
    <s v="Christian Bale, Robert Downey Jr., Johnny Depp, Matt Damon, Samuel L. Jackson"/>
    <n v="42746"/>
    <m/>
    <n v="0"/>
    <s v="Average"/>
    <s v="Horror"/>
    <x v="12"/>
  </r>
  <r>
    <s v="tt1000395"/>
    <s v="An Mission 288"/>
    <n v="2000"/>
    <n v="2000"/>
    <x v="2"/>
    <n v="138"/>
    <s v="Long"/>
    <s v="A horror film set in 2000."/>
    <s v="Alfred Hitchcock"/>
    <s v="Christian Bale, Robert Downey Jr., Johnny Depp, Matt Damon, Samuel L. Jackson"/>
    <n v="42746"/>
    <m/>
    <n v="0"/>
    <s v="Average"/>
    <s v=" Comedy"/>
    <x v="15"/>
  </r>
  <r>
    <s v="tt1000793"/>
    <s v="The Kingdom 686"/>
    <n v="2000"/>
    <n v="2000"/>
    <x v="0"/>
    <n v="125"/>
    <s v="Long"/>
    <s v="A thrilling horror adventure."/>
    <s v="Ron Howard"/>
    <s v="Johnny Depp, Gary Oldman, Margot Robbie"/>
    <n v="14246"/>
    <n v="118.86"/>
    <n v="118.86"/>
    <s v="Hit"/>
    <s v="Horror"/>
    <x v="12"/>
  </r>
  <r>
    <s v="tt1000793"/>
    <s v="The Kingdom 686"/>
    <n v="2000"/>
    <n v="2000"/>
    <x v="0"/>
    <n v="125"/>
    <s v="Long"/>
    <s v="A thrilling horror adventure."/>
    <s v="Ron Howard"/>
    <s v="Johnny Depp, Gary Oldman, Margot Robbie"/>
    <n v="14246"/>
    <n v="118.86"/>
    <n v="118.86"/>
    <s v="Hit"/>
    <s v=" Sci-Fi"/>
    <x v="16"/>
  </r>
  <r>
    <s v="tt1000160"/>
    <s v="An Chronicles 53"/>
    <n v="1982"/>
    <n v="1980"/>
    <x v="1"/>
    <n v="117"/>
    <s v="Medium"/>
    <s v="A sci-fi film set in 1982."/>
    <s v="Francis Ford Coppola"/>
    <s v="Robert De Niro, Tom Hanks, Keanu Reeves, Daniel Day-Lewis, Natalie Portman"/>
    <n v="3227"/>
    <m/>
    <n v="0"/>
    <s v="Average"/>
    <s v="Sci-Fi"/>
    <x v="16"/>
  </r>
  <r>
    <s v="tt1000160"/>
    <s v="An Chronicles 53"/>
    <n v="1982"/>
    <n v="1980"/>
    <x v="1"/>
    <n v="117"/>
    <s v="Medium"/>
    <s v="A sci-fi film set in 1982."/>
    <s v="Francis Ford Coppola"/>
    <s v="Robert De Niro, Tom Hanks, Keanu Reeves, Daniel Day-Lewis, Natalie Portman"/>
    <n v="3227"/>
    <m/>
    <n v="0"/>
    <s v="Average"/>
    <s v=" Crime"/>
    <x v="6"/>
  </r>
  <r>
    <s v="tt1000160"/>
    <s v="An Chronicles 53"/>
    <n v="1982"/>
    <n v="1980"/>
    <x v="1"/>
    <n v="117"/>
    <s v="Medium"/>
    <s v="A sci-fi film set in 1982."/>
    <s v="Francis Ford Coppola"/>
    <s v="Robert De Niro, Tom Hanks, Keanu Reeves, Daniel Day-Lewis, Natalie Portman"/>
    <n v="3227"/>
    <m/>
    <n v="0"/>
    <s v="Average"/>
    <s v=" Horror"/>
    <x v="12"/>
  </r>
  <r>
    <s v="tt1000704"/>
    <s v="Secret Empire 597"/>
    <n v="2018"/>
    <n v="2010"/>
    <x v="0"/>
    <n v="120"/>
    <s v="Medium"/>
    <s v="A critically acclaimed adventure masterpiece."/>
    <s v="Ava DuVernay"/>
    <s v="Jennifer Lawrence, Amy Adams, Natalie Portman"/>
    <n v="181904"/>
    <m/>
    <n v="0"/>
    <s v="Average"/>
    <s v="Adventure"/>
    <x v="9"/>
  </r>
  <r>
    <s v="tt1000555"/>
    <s v="Secret Revolution 448"/>
    <n v="2007"/>
    <n v="2000"/>
    <x v="2"/>
    <n v="119"/>
    <s v="Medium"/>
    <s v="A critically acclaimed animation masterpiece."/>
    <s v="Peter Jackson"/>
    <s v="Tom Hanks, Jack Nicholson, Morgan Freeman, Emma Stone, Johnny Depp"/>
    <n v="28080"/>
    <m/>
    <n v="0"/>
    <s v="Average"/>
    <s v="Animation"/>
    <x v="3"/>
  </r>
  <r>
    <s v="tt1000555"/>
    <s v="Secret Revolution 448"/>
    <n v="2007"/>
    <n v="2000"/>
    <x v="2"/>
    <n v="119"/>
    <s v="Medium"/>
    <s v="A critically acclaimed animation masterpiece."/>
    <s v="Peter Jackson"/>
    <s v="Tom Hanks, Jack Nicholson, Morgan Freeman, Emma Stone, Johnny Depp"/>
    <n v="28080"/>
    <m/>
    <n v="0"/>
    <s v="Average"/>
    <s v=" Horror"/>
    <x v="12"/>
  </r>
  <r>
    <s v="tt1000555"/>
    <s v="Secret Revolution 448"/>
    <n v="2007"/>
    <n v="2000"/>
    <x v="2"/>
    <n v="119"/>
    <s v="Medium"/>
    <s v="A critically acclaimed animation masterpiece."/>
    <s v="Peter Jackson"/>
    <s v="Tom Hanks, Jack Nicholson, Morgan Freeman, Emma Stone, Johnny Depp"/>
    <n v="28080"/>
    <m/>
    <n v="0"/>
    <s v="Average"/>
    <s v=" Action"/>
    <x v="0"/>
  </r>
  <r>
    <s v="tt1000331"/>
    <s v="A Mission 224"/>
    <n v="2018"/>
    <n v="2010"/>
    <x v="0"/>
    <n v="106"/>
    <s v="Medium"/>
    <s v="A thriller film set in 2018."/>
    <s v="Ryan Coogler"/>
    <s v="Zendaya, Denzel Washington, Jennifer Lawrence, Chris Hemsworth"/>
    <n v="39275"/>
    <n v="446.76"/>
    <n v="446.76"/>
    <s v="Blockbuster"/>
    <s v="Thriller"/>
    <x v="17"/>
  </r>
  <r>
    <s v="tt1000331"/>
    <s v="A Mission 224"/>
    <n v="2018"/>
    <n v="2010"/>
    <x v="0"/>
    <n v="106"/>
    <s v="Medium"/>
    <s v="A thriller film set in 2018."/>
    <s v="Ryan Coogler"/>
    <s v="Zendaya, Denzel Washington, Jennifer Lawrence, Chris Hemsworth"/>
    <n v="39275"/>
    <n v="446.76"/>
    <n v="446.76"/>
    <s v="Blockbuster"/>
    <s v=" War"/>
    <x v="2"/>
  </r>
  <r>
    <s v="tt1000396"/>
    <s v="An Revolution 289"/>
    <n v="2013"/>
    <n v="2010"/>
    <x v="2"/>
    <n v="131"/>
    <s v="Long"/>
    <s v="A thrilling adventure adventure."/>
    <s v="Alfred Hitchcock"/>
    <s v="Johnny Depp, Gary Oldman, Margot Robbie, Samuel L. Jackson"/>
    <n v="70127"/>
    <n v="38.869999999999997"/>
    <n v="38.869999999999997"/>
    <s v="Average"/>
    <s v="Adventure"/>
    <x v="9"/>
  </r>
  <r>
    <s v="tt1000396"/>
    <s v="An Revolution 289"/>
    <n v="2013"/>
    <n v="2010"/>
    <x v="2"/>
    <n v="131"/>
    <s v="Long"/>
    <s v="A thrilling adventure adventure."/>
    <s v="Alfred Hitchcock"/>
    <s v="Johnny Depp, Gary Oldman, Margot Robbie, Samuel L. Jackson"/>
    <n v="70127"/>
    <n v="38.869999999999997"/>
    <n v="38.869999999999997"/>
    <s v="Average"/>
    <s v=" Drama"/>
    <x v="14"/>
  </r>
  <r>
    <s v="tt1000396"/>
    <s v="An Revolution 289"/>
    <n v="2013"/>
    <n v="2010"/>
    <x v="2"/>
    <n v="131"/>
    <s v="Long"/>
    <s v="A thrilling adventure adventure."/>
    <s v="Alfred Hitchcock"/>
    <s v="Johnny Depp, Gary Oldman, Margot Robbie, Samuel L. Jackson"/>
    <n v="70127"/>
    <n v="38.869999999999997"/>
    <n v="38.869999999999997"/>
    <s v="Average"/>
    <s v=" Action"/>
    <x v="0"/>
  </r>
  <r>
    <s v="tt1000251"/>
    <s v="A Adventures 144"/>
    <n v="2010"/>
    <n v="2010"/>
    <x v="0"/>
    <n v="141"/>
    <s v="Long"/>
    <s v="A fantasy film set in 2010."/>
    <s v="Ava DuVernay"/>
    <s v="Kate Winslet, Denzel Washington, Brad Pitt, Tom Hanks, Amy Adams"/>
    <n v="2500000"/>
    <n v="472.21"/>
    <n v="472.21"/>
    <s v="Blockbuster"/>
    <s v="Fantasy"/>
    <x v="8"/>
  </r>
  <r>
    <s v="tt1000251"/>
    <s v="A Adventures 144"/>
    <n v="2010"/>
    <n v="2010"/>
    <x v="0"/>
    <n v="141"/>
    <s v="Long"/>
    <s v="A fantasy film set in 2010."/>
    <s v="Ava DuVernay"/>
    <s v="Kate Winslet, Denzel Washington, Brad Pitt, Tom Hanks, Amy Adams"/>
    <n v="2500000"/>
    <n v="472.21"/>
    <n v="472.21"/>
    <s v="Blockbuster"/>
    <s v=" Adventure"/>
    <x v="9"/>
  </r>
  <r>
    <s v="tt1000251"/>
    <s v="A Adventures 144"/>
    <n v="2010"/>
    <n v="2010"/>
    <x v="0"/>
    <n v="141"/>
    <s v="Long"/>
    <s v="A fantasy film set in 2010."/>
    <s v="Ava DuVernay"/>
    <s v="Kate Winslet, Denzel Washington, Brad Pitt, Tom Hanks, Amy Adams"/>
    <n v="2500000"/>
    <n v="472.21"/>
    <n v="472.21"/>
    <s v="Blockbuster"/>
    <s v=" Comedy"/>
    <x v="15"/>
  </r>
  <r>
    <s v="tt1000907"/>
    <s v="Secret Chronicles 800"/>
    <n v="2007"/>
    <n v="2000"/>
    <x v="0"/>
    <n v="109"/>
    <s v="Medium"/>
    <s v="An epic mystery tale directed by Bong Joon-ho."/>
    <s v="Bong Joon-ho"/>
    <s v="Edward Norton, Al Pacino, TimothÃ©e Chalamet"/>
    <n v="552658"/>
    <m/>
    <n v="0"/>
    <s v="Average"/>
    <s v="Mystery"/>
    <x v="4"/>
  </r>
  <r>
    <s v="tt1000907"/>
    <s v="Secret Chronicles 800"/>
    <n v="2007"/>
    <n v="2000"/>
    <x v="0"/>
    <n v="109"/>
    <s v="Medium"/>
    <s v="An epic mystery tale directed by Bong Joon-ho."/>
    <s v="Bong Joon-ho"/>
    <s v="Edward Norton, Al Pacino, TimothÃ©e Chalamet"/>
    <n v="552658"/>
    <m/>
    <n v="0"/>
    <s v="Average"/>
    <s v=" Adventure"/>
    <x v="9"/>
  </r>
  <r>
    <s v="tt1000948"/>
    <s v="Secret Love 841"/>
    <n v="2007"/>
    <n v="2000"/>
    <x v="2"/>
    <n v="124"/>
    <s v="Long"/>
    <s v="An epic documentary tale directed by Peter Jackson."/>
    <s v="Peter Jackson"/>
    <s v="Anthony Hopkins, Morgan Freeman, Jennifer Lawrence, Gary Oldman"/>
    <n v="24752"/>
    <n v="321.97000000000003"/>
    <n v="321.97000000000003"/>
    <s v="Blockbuster"/>
    <s v="Documentary"/>
    <x v="13"/>
  </r>
  <r>
    <s v="tt1000204"/>
    <s v="Last Mission 97"/>
    <n v="2020"/>
    <n v="2020"/>
    <x v="1"/>
    <n v="125"/>
    <s v="Long"/>
    <s v="A critically acclaimed western masterpiece."/>
    <s v="Ryan Coogler"/>
    <s v="Brad Pitt, Samuel L. Jackson, Meryl Streep, Viola Davis, Kate Winslet"/>
    <n v="2346951"/>
    <m/>
    <n v="0"/>
    <s v="Average"/>
    <s v="Western"/>
    <x v="11"/>
  </r>
  <r>
    <s v="tt1000204"/>
    <s v="Last Mission 97"/>
    <n v="2020"/>
    <n v="2020"/>
    <x v="1"/>
    <n v="125"/>
    <s v="Long"/>
    <s v="A critically acclaimed western masterpiece."/>
    <s v="Ryan Coogler"/>
    <s v="Brad Pitt, Samuel L. Jackson, Meryl Streep, Viola Davis, Kate Winslet"/>
    <n v="2346951"/>
    <m/>
    <n v="0"/>
    <s v="Average"/>
    <s v=" Crime"/>
    <x v="6"/>
  </r>
  <r>
    <s v="tt1000204"/>
    <s v="Last Mission 97"/>
    <n v="2020"/>
    <n v="2020"/>
    <x v="1"/>
    <n v="125"/>
    <s v="Long"/>
    <s v="A critically acclaimed western masterpiece."/>
    <s v="Ryan Coogler"/>
    <s v="Brad Pitt, Samuel L. Jackson, Meryl Streep, Viola Davis, Kate Winslet"/>
    <n v="2346951"/>
    <m/>
    <n v="0"/>
    <s v="Average"/>
    <s v=" Drama"/>
    <x v="14"/>
  </r>
  <r>
    <s v="tt1000858"/>
    <s v="Secret Legend 751"/>
    <n v="2013"/>
    <n v="2010"/>
    <x v="2"/>
    <n v="172"/>
    <s v="Long"/>
    <s v="A critically acclaimed sci-fi masterpiece."/>
    <s v="Spike Lee"/>
    <s v="TimothÃ©e Chalamet, Chris Hemsworth, Harrison Ford, Margot Robbie"/>
    <n v="538350"/>
    <n v="51.57"/>
    <n v="51.57"/>
    <s v="Average"/>
    <s v="Sci-Fi"/>
    <x v="16"/>
  </r>
  <r>
    <s v="tt1000858"/>
    <s v="Secret Legend 751"/>
    <n v="2013"/>
    <n v="2010"/>
    <x v="2"/>
    <n v="172"/>
    <s v="Long"/>
    <s v="A critically acclaimed sci-fi masterpiece."/>
    <s v="Spike Lee"/>
    <s v="TimothÃ©e Chalamet, Chris Hemsworth, Harrison Ford, Margot Robbie"/>
    <n v="538350"/>
    <n v="51.57"/>
    <n v="51.57"/>
    <s v="Average"/>
    <s v=" Action"/>
    <x v="0"/>
  </r>
  <r>
    <s v="tt1000858"/>
    <s v="Secret Legend 751"/>
    <n v="2013"/>
    <n v="2010"/>
    <x v="2"/>
    <n v="172"/>
    <s v="Long"/>
    <s v="A critically acclaimed sci-fi masterpiece."/>
    <s v="Spike Lee"/>
    <s v="TimothÃ©e Chalamet, Chris Hemsworth, Harrison Ford, Margot Robbie"/>
    <n v="538350"/>
    <n v="51.57"/>
    <n v="51.57"/>
    <s v="Average"/>
    <s v=" Biography"/>
    <x v="5"/>
  </r>
  <r>
    <s v="tt1000429"/>
    <s v="Lost Journey 322"/>
    <n v="2012"/>
    <n v="2010"/>
    <x v="1"/>
    <n v="130"/>
    <s v="Long"/>
    <s v="A thrilling drama adventure."/>
    <s v="Wes Anderson"/>
    <s v="Natalie Portman, Amy Adams, Scarlett Johansson"/>
    <n v="2370"/>
    <m/>
    <n v="0"/>
    <s v="Average"/>
    <s v="Drama"/>
    <x v="14"/>
  </r>
  <r>
    <s v="tt1000429"/>
    <s v="Lost Journey 322"/>
    <n v="2012"/>
    <n v="2010"/>
    <x v="1"/>
    <n v="130"/>
    <s v="Long"/>
    <s v="A thrilling drama adventure."/>
    <s v="Wes Anderson"/>
    <s v="Natalie Portman, Amy Adams, Scarlett Johansson"/>
    <n v="2370"/>
    <m/>
    <n v="0"/>
    <s v="Average"/>
    <s v=" Musical"/>
    <x v="1"/>
  </r>
  <r>
    <s v="tt1000429"/>
    <s v="Lost Journey 322"/>
    <n v="2012"/>
    <n v="2010"/>
    <x v="1"/>
    <n v="130"/>
    <s v="Long"/>
    <s v="A thrilling drama adventure."/>
    <s v="Wes Anderson"/>
    <s v="Natalie Portman, Amy Adams, Scarlett Johansson"/>
    <n v="2370"/>
    <m/>
    <n v="0"/>
    <s v="Average"/>
    <s v=" Sci-Fi"/>
    <x v="16"/>
  </r>
  <r>
    <s v="tt1000374"/>
    <s v="Last Journey 267"/>
    <n v="2002"/>
    <n v="2000"/>
    <x v="2"/>
    <n v="132"/>
    <s v="Long"/>
    <s v="A musical film set in 2002."/>
    <s v="Danny Boyle"/>
    <s v="Chris Hemsworth, Jennifer Lawrence, Natalie Portman, Mark Ruffalo"/>
    <n v="693944"/>
    <n v="73.260000000000005"/>
    <n v="73.260000000000005"/>
    <s v="Average"/>
    <s v="Musical"/>
    <x v="1"/>
  </r>
  <r>
    <s v="tt1000986"/>
    <s v="First Secrets 879"/>
    <n v="2003"/>
    <n v="2000"/>
    <x v="2"/>
    <n v="142"/>
    <s v="Long"/>
    <s v="A western film set in 2003."/>
    <s v="Clint Eastwood"/>
    <s v="Daniel Day-Lewis, Amy Adams, Harrison Ford"/>
    <n v="17382"/>
    <n v="149.53"/>
    <n v="149.53"/>
    <s v="Hit"/>
    <s v="Western"/>
    <x v="11"/>
  </r>
  <r>
    <s v="tt1000885"/>
    <s v="The Love 778"/>
    <n v="2019"/>
    <n v="2010"/>
    <x v="1"/>
    <n v="137"/>
    <s v="Long"/>
    <s v="A action film set in 2019."/>
    <s v="James Cameron"/>
    <s v="Viola Davis, Edward Norton, Keanu Reeves, Meryl Streep"/>
    <n v="227605"/>
    <n v="314.67"/>
    <n v="314.67"/>
    <s v="Blockbuster"/>
    <s v="Action"/>
    <x v="0"/>
  </r>
  <r>
    <s v="tt1000180"/>
    <s v="The Mission 73"/>
    <n v="1987"/>
    <n v="1980"/>
    <x v="0"/>
    <n v="136"/>
    <s v="Long"/>
    <s v="A critically acclaimed biography masterpiece."/>
    <s v="Clint Eastwood"/>
    <s v="Robert Downey Jr., Al Pacino, Daniel Day-Lewis"/>
    <n v="79528"/>
    <n v="72.83"/>
    <n v="72.83"/>
    <s v="Average"/>
    <s v="Biography"/>
    <x v="5"/>
  </r>
  <r>
    <s v="tt1000180"/>
    <s v="The Mission 73"/>
    <n v="1987"/>
    <n v="1980"/>
    <x v="0"/>
    <n v="136"/>
    <s v="Long"/>
    <s v="A critically acclaimed biography masterpiece."/>
    <s v="Clint Eastwood"/>
    <s v="Robert Downey Jr., Al Pacino, Daniel Day-Lewis"/>
    <n v="79528"/>
    <n v="72.83"/>
    <n v="72.83"/>
    <s v="Average"/>
    <s v=" Documentary"/>
    <x v="13"/>
  </r>
  <r>
    <s v="tt1000789"/>
    <s v="Last Dreams 682"/>
    <n v="2004"/>
    <n v="2000"/>
    <x v="0"/>
    <n v="85"/>
    <s v="Short"/>
    <s v="A thrilling romance adventure."/>
    <s v="Denis Villeneuve"/>
    <s v="Samuel L. Jackson, Christian Bale, Florence Pugh, Tom Hanks"/>
    <n v="382206"/>
    <n v="440.93"/>
    <n v="440.93"/>
    <s v="Blockbuster"/>
    <s v="Romance"/>
    <x v="7"/>
  </r>
  <r>
    <s v="tt1000623"/>
    <s v="The Quest 516"/>
    <n v="2020"/>
    <n v="2020"/>
    <x v="2"/>
    <n v="111"/>
    <s v="Medium"/>
    <s v="A critically acclaimed drama masterpiece."/>
    <s v="Martin Scorsese"/>
    <s v="Johnny Depp, Tom Hanks, Jack Nicholson, Natalie Portman"/>
    <n v="43374"/>
    <n v="471.81"/>
    <n v="471.81"/>
    <s v="Blockbuster"/>
    <s v="Drama"/>
    <x v="14"/>
  </r>
  <r>
    <s v="tt1000775"/>
    <s v="An Revolution 668"/>
    <n v="2024"/>
    <n v="2020"/>
    <x v="2"/>
    <n v="133"/>
    <s v="Long"/>
    <s v="A thrilling war adventure."/>
    <s v="Steven Spielberg"/>
    <s v="Jack Nicholson, Margot Robbie, Mark Ruffalo, Amy Adams"/>
    <n v="33501"/>
    <n v="472.68"/>
    <n v="472.68"/>
    <s v="Blockbuster"/>
    <s v="War"/>
    <x v="2"/>
  </r>
  <r>
    <s v="tt1000775"/>
    <s v="An Revolution 668"/>
    <n v="2024"/>
    <n v="2020"/>
    <x v="2"/>
    <n v="133"/>
    <s v="Long"/>
    <s v="A thrilling war adventure."/>
    <s v="Steven Spielberg"/>
    <s v="Jack Nicholson, Margot Robbie, Mark Ruffalo, Amy Adams"/>
    <n v="33501"/>
    <n v="472.68"/>
    <n v="472.68"/>
    <s v="Blockbuster"/>
    <s v=" Animation"/>
    <x v="3"/>
  </r>
  <r>
    <s v="tt1000546"/>
    <s v="Lost Revolution 439"/>
    <n v="2004"/>
    <n v="2000"/>
    <x v="1"/>
    <n v="161"/>
    <s v="Long"/>
    <s v="A critically acclaimed action masterpiece."/>
    <s v="Bong Joon-ho"/>
    <s v="Harrison Ford, Christian Bale, Anthony Hopkins, Natalie Portman"/>
    <n v="62089"/>
    <n v="323.07"/>
    <n v="323.07"/>
    <s v="Blockbuster"/>
    <s v="Action"/>
    <x v="0"/>
  </r>
  <r>
    <s v="tt1000546"/>
    <s v="Lost Revolution 439"/>
    <n v="2004"/>
    <n v="2000"/>
    <x v="1"/>
    <n v="161"/>
    <s v="Long"/>
    <s v="A critically acclaimed action masterpiece."/>
    <s v="Bong Joon-ho"/>
    <s v="Harrison Ford, Christian Bale, Anthony Hopkins, Natalie Portman"/>
    <n v="62089"/>
    <n v="323.07"/>
    <n v="323.07"/>
    <s v="Blockbuster"/>
    <s v=" Crime"/>
    <x v="6"/>
  </r>
  <r>
    <s v="tt1000758"/>
    <s v="An Kingdom 651"/>
    <n v="2011"/>
    <n v="2010"/>
    <x v="2"/>
    <n v="98"/>
    <s v="Medium"/>
    <s v="A mystery film set in 2011."/>
    <s v="Greta Gerwig"/>
    <s v="Mark Ruffalo, Robert Downey Jr., Harrison Ford, Matt Damon, Daniel Day-Lewis"/>
    <n v="165886"/>
    <m/>
    <n v="0"/>
    <s v="Average"/>
    <s v="Mystery"/>
    <x v="4"/>
  </r>
  <r>
    <s v="tt1000758"/>
    <s v="An Kingdom 651"/>
    <n v="2011"/>
    <n v="2010"/>
    <x v="2"/>
    <n v="98"/>
    <s v="Medium"/>
    <s v="A mystery film set in 2011."/>
    <s v="Greta Gerwig"/>
    <s v="Mark Ruffalo, Robert Downey Jr., Harrison Ford, Matt Damon, Daniel Day-Lewis"/>
    <n v="165886"/>
    <m/>
    <n v="0"/>
    <s v="Average"/>
    <s v=" Drama"/>
    <x v="14"/>
  </r>
  <r>
    <s v="tt1000758"/>
    <s v="An Kingdom 651"/>
    <n v="2011"/>
    <n v="2010"/>
    <x v="2"/>
    <n v="98"/>
    <s v="Medium"/>
    <s v="A mystery film set in 2011."/>
    <s v="Greta Gerwig"/>
    <s v="Mark Ruffalo, Robert Downey Jr., Harrison Ford, Matt Damon, Daniel Day-Lewis"/>
    <n v="165886"/>
    <m/>
    <n v="0"/>
    <s v="Average"/>
    <s v=" Thriller"/>
    <x v="17"/>
  </r>
  <r>
    <s v="tt1000754"/>
    <s v="Final Destiny 647"/>
    <n v="2022"/>
    <n v="2020"/>
    <x v="0"/>
    <n v="144"/>
    <s v="Long"/>
    <s v="A animation film set in 2022."/>
    <s v="Wong Kar-wai"/>
    <s v="Tom Cruise, Meryl Streep, Daniel Day-Lewis, Edward Norton"/>
    <n v="166096"/>
    <m/>
    <n v="0"/>
    <s v="Average"/>
    <s v="Animation"/>
    <x v="3"/>
  </r>
  <r>
    <s v="tt1000754"/>
    <s v="Final Destiny 647"/>
    <n v="2022"/>
    <n v="2020"/>
    <x v="0"/>
    <n v="144"/>
    <s v="Long"/>
    <s v="A animation film set in 2022."/>
    <s v="Wong Kar-wai"/>
    <s v="Tom Cruise, Meryl Streep, Daniel Day-Lewis, Edward Norton"/>
    <n v="166096"/>
    <m/>
    <n v="0"/>
    <s v="Average"/>
    <s v=" Action"/>
    <x v="0"/>
  </r>
  <r>
    <s v="tt1000225"/>
    <s v="The Chronicles 118"/>
    <n v="2000"/>
    <n v="2000"/>
    <x v="1"/>
    <n v="104"/>
    <s v="Medium"/>
    <s v="A critically acclaimed musical masterpiece."/>
    <s v="Steven Spielberg"/>
    <s v="Zendaya, Chris Hemsworth, Jennifer Lawrence, Keanu Reeves"/>
    <n v="829356"/>
    <n v="277.07"/>
    <n v="277.07"/>
    <s v="Blockbuster"/>
    <s v="Musical"/>
    <x v="1"/>
  </r>
  <r>
    <s v="tt1000225"/>
    <s v="The Chronicles 118"/>
    <n v="2000"/>
    <n v="2000"/>
    <x v="1"/>
    <n v="104"/>
    <s v="Medium"/>
    <s v="A critically acclaimed musical masterpiece."/>
    <s v="Steven Spielberg"/>
    <s v="Zendaya, Chris Hemsworth, Jennifer Lawrence, Keanu Reeves"/>
    <n v="829356"/>
    <n v="277.07"/>
    <n v="277.07"/>
    <s v="Blockbuster"/>
    <s v=" Animation"/>
    <x v="3"/>
  </r>
  <r>
    <s v="tt1000870"/>
    <s v="Final Kingdom 763"/>
    <n v="2016"/>
    <n v="2010"/>
    <x v="1"/>
    <n v="133"/>
    <s v="Long"/>
    <s v="A critically acclaimed biography masterpiece."/>
    <s v="Edgar Wright"/>
    <s v="Daniel Day-Lewis, Natalie Portman, Margot Robbie"/>
    <n v="44256"/>
    <n v="420.73"/>
    <n v="420.73"/>
    <s v="Blockbuster"/>
    <s v="Biography"/>
    <x v="5"/>
  </r>
  <r>
    <s v="tt1000870"/>
    <s v="Final Kingdom 763"/>
    <n v="2016"/>
    <n v="2010"/>
    <x v="1"/>
    <n v="133"/>
    <s v="Long"/>
    <s v="A critically acclaimed biography masterpiece."/>
    <s v="Edgar Wright"/>
    <s v="Daniel Day-Lewis, Natalie Portman, Margot Robbie"/>
    <n v="44256"/>
    <n v="420.73"/>
    <n v="420.73"/>
    <s v="Blockbuster"/>
    <s v=" Sci-Fi"/>
    <x v="16"/>
  </r>
  <r>
    <s v="tt1000162"/>
    <s v="Final Destiny 55"/>
    <n v="1999"/>
    <n v="1990"/>
    <x v="2"/>
    <n v="107"/>
    <s v="Medium"/>
    <s v="A thrilling adventure adventure."/>
    <s v="Ron Howard"/>
    <s v="Johnny Depp, Amy Adams, Zendaya, Meryl Streep, Scarlett Johansson"/>
    <n v="752166"/>
    <n v="228.38"/>
    <n v="228.38"/>
    <s v="Blockbuster"/>
    <s v="Adventure"/>
    <x v="9"/>
  </r>
  <r>
    <s v="tt1000328"/>
    <s v="Last Chronicles 221"/>
    <n v="2017"/>
    <n v="2010"/>
    <x v="1"/>
    <n v="119"/>
    <s v="Medium"/>
    <s v="A war film set in 2017."/>
    <s v="James Cameron"/>
    <s v="Kate Winslet, Margot Robbie, Anthony Hopkins, Emma Stone"/>
    <n v="570973"/>
    <n v="476.76"/>
    <n v="476.76"/>
    <s v="Blockbuster"/>
    <s v="War"/>
    <x v="2"/>
  </r>
  <r>
    <s v="tt1000503"/>
    <s v="Lost Dreams 396"/>
    <n v="2012"/>
    <n v="2010"/>
    <x v="0"/>
    <n v="149"/>
    <s v="Long"/>
    <s v="A critically acclaimed fantasy masterpiece."/>
    <s v="Pedro AlmodÃ³var"/>
    <s v="Keanu Reeves, Edward Norton, Denzel Washington"/>
    <n v="44779"/>
    <n v="160.16"/>
    <n v="160.16"/>
    <s v="Hit"/>
    <s v="Fantasy"/>
    <x v="8"/>
  </r>
  <r>
    <s v="tt1000503"/>
    <s v="Lost Dreams 396"/>
    <n v="2012"/>
    <n v="2010"/>
    <x v="0"/>
    <n v="149"/>
    <s v="Long"/>
    <s v="A critically acclaimed fantasy masterpiece."/>
    <s v="Pedro AlmodÃ³var"/>
    <s v="Keanu Reeves, Edward Norton, Denzel Washington"/>
    <n v="44779"/>
    <n v="160.16"/>
    <n v="160.16"/>
    <s v="Hit"/>
    <s v=" Family"/>
    <x v="10"/>
  </r>
  <r>
    <s v="tt1000919"/>
    <s v="Secret Kingdom 812"/>
    <n v="2001"/>
    <n v="2000"/>
    <x v="0"/>
    <n v="104"/>
    <s v="Medium"/>
    <s v="An epic horror tale directed by Robert Zemeckis."/>
    <s v="Robert Zemeckis"/>
    <s v="Al Pacino, TimothÃ©e Chalamet, Christian Bale"/>
    <n v="152369"/>
    <n v="186.95"/>
    <n v="186.95"/>
    <s v="Hit"/>
    <s v="Horror"/>
    <x v="12"/>
  </r>
  <r>
    <s v="tt1000919"/>
    <s v="Secret Kingdom 812"/>
    <n v="2001"/>
    <n v="2000"/>
    <x v="0"/>
    <n v="104"/>
    <s v="Medium"/>
    <s v="An epic horror tale directed by Robert Zemeckis."/>
    <s v="Robert Zemeckis"/>
    <s v="Al Pacino, TimothÃ©e Chalamet, Christian Bale"/>
    <n v="152369"/>
    <n v="186.95"/>
    <n v="186.95"/>
    <s v="Hit"/>
    <s v=" Adventure"/>
    <x v="9"/>
  </r>
  <r>
    <s v="tt1000135"/>
    <s v="A Destiny 28"/>
    <n v="1981"/>
    <n v="1980"/>
    <x v="0"/>
    <n v="132"/>
    <s v="Long"/>
    <s v="A fantasy film set in 1981."/>
    <s v="Ron Howard"/>
    <s v="Al Pacino, Viola Davis, Kate Winslet, Margot Robbie"/>
    <n v="29016"/>
    <n v="167.4"/>
    <n v="167.4"/>
    <s v="Hit"/>
    <s v="Fantasy"/>
    <x v="8"/>
  </r>
  <r>
    <s v="tt1000135"/>
    <s v="A Destiny 28"/>
    <n v="1981"/>
    <n v="1980"/>
    <x v="0"/>
    <n v="132"/>
    <s v="Long"/>
    <s v="A fantasy film set in 1981."/>
    <s v="Ron Howard"/>
    <s v="Al Pacino, Viola Davis, Kate Winslet, Margot Robbie"/>
    <n v="29016"/>
    <n v="167.4"/>
    <n v="167.4"/>
    <s v="Hit"/>
    <s v=" Comedy"/>
    <x v="15"/>
  </r>
  <r>
    <s v="tt1000881"/>
    <s v="First Journey 774"/>
    <n v="2024"/>
    <n v="2020"/>
    <x v="2"/>
    <n v="106"/>
    <s v="Medium"/>
    <s v="A thrilling romance adventure."/>
    <s v="Steven Spielberg"/>
    <s v="Kate Winslet, Samuel L. Jackson, Viola Davis"/>
    <n v="18450"/>
    <m/>
    <n v="0"/>
    <s v="Average"/>
    <s v="Romance"/>
    <x v="7"/>
  </r>
  <r>
    <s v="tt1000881"/>
    <s v="First Journey 774"/>
    <n v="2024"/>
    <n v="2020"/>
    <x v="2"/>
    <n v="106"/>
    <s v="Medium"/>
    <s v="A thrilling romance adventure."/>
    <s v="Steven Spielberg"/>
    <s v="Kate Winslet, Samuel L. Jackson, Viola Davis"/>
    <n v="18450"/>
    <m/>
    <n v="0"/>
    <s v="Average"/>
    <s v=" Animation"/>
    <x v="3"/>
  </r>
  <r>
    <s v="tt1000927"/>
    <s v="An Mystery 820"/>
    <n v="2009"/>
    <n v="2000"/>
    <x v="1"/>
    <n v="107"/>
    <s v="Medium"/>
    <s v="An epic drama tale directed by George Lucas."/>
    <s v="George Lucas"/>
    <s v="Emma Stone, Zendaya, Chris Hemsworth"/>
    <n v="12543"/>
    <n v="146.87"/>
    <n v="146.87"/>
    <s v="Hit"/>
    <s v="Drama"/>
    <x v="14"/>
  </r>
  <r>
    <s v="tt1000927"/>
    <s v="An Mystery 820"/>
    <n v="2009"/>
    <n v="2000"/>
    <x v="1"/>
    <n v="107"/>
    <s v="Medium"/>
    <s v="An epic drama tale directed by George Lucas."/>
    <s v="George Lucas"/>
    <s v="Emma Stone, Zendaya, Chris Hemsworth"/>
    <n v="12543"/>
    <n v="146.87"/>
    <n v="146.87"/>
    <s v="Hit"/>
    <s v=" Musical"/>
    <x v="1"/>
  </r>
  <r>
    <s v="tt1000617"/>
    <s v="Lost War 510"/>
    <n v="2017"/>
    <n v="2010"/>
    <x v="2"/>
    <n v="155"/>
    <s v="Long"/>
    <s v="A critically acclaimed documentary masterpiece."/>
    <s v="Edgar Wright"/>
    <s v="Jennifer Lawrence, Brad Pitt, Leonardo DiCaprio, Will Smith"/>
    <n v="237692"/>
    <n v="290.58"/>
    <n v="290.58"/>
    <s v="Blockbuster"/>
    <s v="Documentary"/>
    <x v="13"/>
  </r>
  <r>
    <s v="tt1000617"/>
    <s v="Lost War 510"/>
    <n v="2017"/>
    <n v="2010"/>
    <x v="2"/>
    <n v="155"/>
    <s v="Long"/>
    <s v="A critically acclaimed documentary masterpiece."/>
    <s v="Edgar Wright"/>
    <s v="Jennifer Lawrence, Brad Pitt, Leonardo DiCaprio, Will Smith"/>
    <n v="237692"/>
    <n v="290.58"/>
    <n v="290.58"/>
    <s v="Blockbuster"/>
    <s v=" Horror"/>
    <x v="12"/>
  </r>
  <r>
    <s v="tt1000643"/>
    <s v="The Love 536"/>
    <n v="2013"/>
    <n v="2010"/>
    <x v="0"/>
    <n v="159"/>
    <s v="Long"/>
    <s v="An epic action tale directed by Wes Anderson."/>
    <s v="Wes Anderson"/>
    <s v="Meryl Streep, Chris Hemsworth, Kate Winslet, Gary Oldman"/>
    <n v="126127"/>
    <n v="226.56"/>
    <n v="226.56"/>
    <s v="Blockbuster"/>
    <s v="Action"/>
    <x v="0"/>
  </r>
  <r>
    <s v="tt1000643"/>
    <s v="The Love 536"/>
    <n v="2013"/>
    <n v="2010"/>
    <x v="0"/>
    <n v="159"/>
    <s v="Long"/>
    <s v="An epic action tale directed by Wes Anderson."/>
    <s v="Wes Anderson"/>
    <s v="Meryl Streep, Chris Hemsworth, Kate Winslet, Gary Oldman"/>
    <n v="126127"/>
    <n v="226.56"/>
    <n v="226.56"/>
    <s v="Blockbuster"/>
    <s v=" Horror"/>
    <x v="12"/>
  </r>
  <r>
    <s v="tt1000722"/>
    <s v="A Awakening 615"/>
    <n v="2023"/>
    <n v="2020"/>
    <x v="0"/>
    <n v="103"/>
    <s v="Medium"/>
    <s v="An epic sci-fi tale directed by Ron Howard."/>
    <s v="Ron Howard"/>
    <s v="Mark Ruffalo, Al Pacino, Kate Winslet"/>
    <n v="42149"/>
    <n v="488.82"/>
    <n v="488.82"/>
    <s v="Blockbuster"/>
    <s v="Sci-Fi"/>
    <x v="16"/>
  </r>
  <r>
    <s v="tt1000722"/>
    <s v="A Awakening 615"/>
    <n v="2023"/>
    <n v="2020"/>
    <x v="0"/>
    <n v="103"/>
    <s v="Medium"/>
    <s v="An epic sci-fi tale directed by Ron Howard."/>
    <s v="Ron Howard"/>
    <s v="Mark Ruffalo, Al Pacino, Kate Winslet"/>
    <n v="42149"/>
    <n v="488.82"/>
    <n v="488.82"/>
    <s v="Blockbuster"/>
    <s v=" Family"/>
    <x v="10"/>
  </r>
  <r>
    <s v="tt1000345"/>
    <s v="A Kingdom 238"/>
    <n v="2014"/>
    <n v="2010"/>
    <x v="2"/>
    <n v="151"/>
    <s v="Long"/>
    <s v="A thrilling horror adventure."/>
    <s v="Coen Brothers"/>
    <s v="Natalie Portman, Christian Bale, Kate Winslet, Margot Robbie"/>
    <n v="6657"/>
    <n v="455.8"/>
    <n v="455.8"/>
    <s v="Blockbuster"/>
    <s v="Horror"/>
    <x v="12"/>
  </r>
  <r>
    <s v="tt1000345"/>
    <s v="A Kingdom 238"/>
    <n v="2014"/>
    <n v="2010"/>
    <x v="2"/>
    <n v="151"/>
    <s v="Long"/>
    <s v="A thrilling horror adventure."/>
    <s v="Coen Brothers"/>
    <s v="Natalie Portman, Christian Bale, Kate Winslet, Margot Robbie"/>
    <n v="6657"/>
    <n v="455.8"/>
    <n v="455.8"/>
    <s v="Blockbuster"/>
    <s v=" Romance"/>
    <x v="7"/>
  </r>
  <r>
    <s v="tt1000561"/>
    <s v="A Awakening 454"/>
    <n v="2008"/>
    <n v="2000"/>
    <x v="2"/>
    <n v="126"/>
    <s v="Long"/>
    <s v="A critically acclaimed animation masterpiece."/>
    <s v="Ryan Coogler"/>
    <s v="Robert De Niro, Kate Winslet, Christian Bale, Meryl Streep"/>
    <n v="355584"/>
    <m/>
    <n v="0"/>
    <s v="Average"/>
    <s v="Animation"/>
    <x v="3"/>
  </r>
  <r>
    <s v="tt1000561"/>
    <s v="A Awakening 454"/>
    <n v="2008"/>
    <n v="2000"/>
    <x v="2"/>
    <n v="126"/>
    <s v="Long"/>
    <s v="A critically acclaimed animation masterpiece."/>
    <s v="Ryan Coogler"/>
    <s v="Robert De Niro, Kate Winslet, Christian Bale, Meryl Streep"/>
    <n v="355584"/>
    <m/>
    <n v="0"/>
    <s v="Average"/>
    <s v=" War"/>
    <x v="2"/>
  </r>
  <r>
    <s v="tt1000264"/>
    <s v="Dark War 157"/>
    <n v="2016"/>
    <n v="2010"/>
    <x v="0"/>
    <n v="125"/>
    <s v="Long"/>
    <s v="A critically acclaimed horror masterpiece."/>
    <s v="Stanley Kubrick"/>
    <s v="Amy Adams, Robert De Niro, Harrison Ford"/>
    <n v="11830"/>
    <m/>
    <n v="0"/>
    <s v="Average"/>
    <s v="Horror"/>
    <x v="12"/>
  </r>
  <r>
    <s v="tt1000264"/>
    <s v="Dark War 157"/>
    <n v="2016"/>
    <n v="2010"/>
    <x v="0"/>
    <n v="125"/>
    <s v="Long"/>
    <s v="A critically acclaimed horror masterpiece."/>
    <s v="Stanley Kubrick"/>
    <s v="Amy Adams, Robert De Niro, Harrison Ford"/>
    <n v="11830"/>
    <m/>
    <n v="0"/>
    <s v="Average"/>
    <s v=" Western"/>
    <x v="11"/>
  </r>
  <r>
    <s v="tt1000264"/>
    <s v="Dark War 157"/>
    <n v="2016"/>
    <n v="2010"/>
    <x v="0"/>
    <n v="125"/>
    <s v="Long"/>
    <s v="A critically acclaimed horror masterpiece."/>
    <s v="Stanley Kubrick"/>
    <s v="Amy Adams, Robert De Niro, Harrison Ford"/>
    <n v="11830"/>
    <m/>
    <n v="0"/>
    <s v="Average"/>
    <s v=" Comedy"/>
    <x v="15"/>
  </r>
  <r>
    <s v="tt1000232"/>
    <s v="The Dreams 125"/>
    <n v="2018"/>
    <n v="2010"/>
    <x v="0"/>
    <n v="126"/>
    <s v="Long"/>
    <s v="A action film set in 2018."/>
    <s v="Martin Scorsese"/>
    <s v="Tom Cruise, Harrison Ford, Daniel Day-Lewis"/>
    <n v="239435"/>
    <n v="267.36"/>
    <n v="267.36"/>
    <s v="Blockbuster"/>
    <s v="Action"/>
    <x v="0"/>
  </r>
  <r>
    <s v="tt1000232"/>
    <s v="The Dreams 125"/>
    <n v="2018"/>
    <n v="2010"/>
    <x v="0"/>
    <n v="126"/>
    <s v="Long"/>
    <s v="A action film set in 2018."/>
    <s v="Martin Scorsese"/>
    <s v="Tom Cruise, Harrison Ford, Daniel Day-Lewis"/>
    <n v="239435"/>
    <n v="267.36"/>
    <n v="267.36"/>
    <s v="Blockbuster"/>
    <s v=" Documentary"/>
    <x v="13"/>
  </r>
  <r>
    <s v="tt1000232"/>
    <s v="The Dreams 125"/>
    <n v="2018"/>
    <n v="2010"/>
    <x v="0"/>
    <n v="126"/>
    <s v="Long"/>
    <s v="A action film set in 2018."/>
    <s v="Martin Scorsese"/>
    <s v="Tom Cruise, Harrison Ford, Daniel Day-Lewis"/>
    <n v="239435"/>
    <n v="267.36"/>
    <n v="267.36"/>
    <s v="Blockbuster"/>
    <s v=" Thriller"/>
    <x v="17"/>
  </r>
  <r>
    <s v="tt1000108"/>
    <s v="A Journey 1"/>
    <n v="1988"/>
    <n v="1980"/>
    <x v="2"/>
    <n v="99"/>
    <s v="Medium"/>
    <s v="A thrilling action adventure."/>
    <s v="Peter Jackson"/>
    <s v="Daniel Day-Lewis, Meryl Streep, TimothÃ©e Chalamet, Jennifer Lawrence, Denzel Washington"/>
    <n v="204094"/>
    <n v="148.25"/>
    <n v="148.25"/>
    <s v="Hit"/>
    <s v="Action"/>
    <x v="0"/>
  </r>
  <r>
    <s v="tt1000108"/>
    <s v="A Journey 1"/>
    <n v="1988"/>
    <n v="1980"/>
    <x v="2"/>
    <n v="99"/>
    <s v="Medium"/>
    <s v="A thrilling action adventure."/>
    <s v="Peter Jackson"/>
    <s v="Daniel Day-Lewis, Meryl Streep, TimothÃ©e Chalamet, Jennifer Lawrence, Denzel Washington"/>
    <n v="204094"/>
    <n v="148.25"/>
    <n v="148.25"/>
    <s v="Hit"/>
    <s v=" Adventure"/>
    <x v="9"/>
  </r>
  <r>
    <s v="tt1000751"/>
    <s v="The Empire 644"/>
    <n v="2008"/>
    <n v="2000"/>
    <x v="2"/>
    <n v="119"/>
    <s v="Medium"/>
    <s v="A thrilling musical adventure."/>
    <s v="Alfred Hitchcock"/>
    <s v="Florence Pugh, Jennifer Lawrence, Viola Davis"/>
    <n v="103305"/>
    <n v="238.6"/>
    <n v="238.6"/>
    <s v="Blockbuster"/>
    <s v="Musical"/>
    <x v="1"/>
  </r>
  <r>
    <s v="tt1000751"/>
    <s v="The Empire 644"/>
    <n v="2008"/>
    <n v="2000"/>
    <x v="2"/>
    <n v="119"/>
    <s v="Medium"/>
    <s v="A thrilling musical adventure."/>
    <s v="Alfred Hitchcock"/>
    <s v="Florence Pugh, Jennifer Lawrence, Viola Davis"/>
    <n v="103305"/>
    <n v="238.6"/>
    <n v="238.6"/>
    <s v="Blockbuster"/>
    <s v=" Romance"/>
    <x v="7"/>
  </r>
  <r>
    <s v="tt1000489"/>
    <s v="A Mission 382"/>
    <n v="2001"/>
    <n v="2000"/>
    <x v="0"/>
    <n v="127"/>
    <s v="Long"/>
    <s v="An epic biography tale directed by Ridley Scott."/>
    <s v="Ridley Scott"/>
    <s v="Leonardo DiCaprio, Keanu Reeves, Johnny Depp, Brad Pitt"/>
    <n v="116646"/>
    <n v="473.79"/>
    <n v="473.79"/>
    <s v="Blockbuster"/>
    <s v="Biography"/>
    <x v="5"/>
  </r>
  <r>
    <s v="tt1000489"/>
    <s v="A Mission 382"/>
    <n v="2001"/>
    <n v="2000"/>
    <x v="0"/>
    <n v="127"/>
    <s v="Long"/>
    <s v="An epic biography tale directed by Ridley Scott."/>
    <s v="Ridley Scott"/>
    <s v="Leonardo DiCaprio, Keanu Reeves, Johnny Depp, Brad Pitt"/>
    <n v="116646"/>
    <n v="473.79"/>
    <n v="473.79"/>
    <s v="Blockbuster"/>
    <s v=" Animation"/>
    <x v="3"/>
  </r>
  <r>
    <s v="tt1000403"/>
    <s v="Final Destiny 296"/>
    <n v="2017"/>
    <n v="2010"/>
    <x v="1"/>
    <n v="154"/>
    <s v="Long"/>
    <s v="A family film set in 2017."/>
    <s v="Wong Kar-wai"/>
    <s v="Morgan Freeman, Zendaya, Anthony Hopkins, Matt Damon, Leonardo DiCaprio"/>
    <n v="21176"/>
    <n v="439.59"/>
    <n v="439.59"/>
    <s v="Blockbuster"/>
    <s v="Family"/>
    <x v="10"/>
  </r>
  <r>
    <s v="tt1000403"/>
    <s v="Final Destiny 296"/>
    <n v="2017"/>
    <n v="2010"/>
    <x v="1"/>
    <n v="154"/>
    <s v="Long"/>
    <s v="A family film set in 2017."/>
    <s v="Wong Kar-wai"/>
    <s v="Morgan Freeman, Zendaya, Anthony Hopkins, Matt Damon, Leonardo DiCaprio"/>
    <n v="21176"/>
    <n v="439.59"/>
    <n v="439.59"/>
    <s v="Blockbuster"/>
    <s v=" Drama"/>
    <x v="14"/>
  </r>
  <r>
    <s v="tt1000418"/>
    <s v="Last Empire 311"/>
    <n v="2014"/>
    <n v="2010"/>
    <x v="2"/>
    <n v="144"/>
    <s v="Long"/>
    <s v="A critically acclaimed mystery masterpiece."/>
    <s v="Denis Villeneuve"/>
    <s v="Florence Pugh, Leonardo DiCaprio, Robert De Niro"/>
    <n v="735906"/>
    <n v="127.12"/>
    <n v="127.12"/>
    <s v="Hit"/>
    <s v="Mystery"/>
    <x v="4"/>
  </r>
  <r>
    <s v="tt1000418"/>
    <s v="Last Empire 311"/>
    <n v="2014"/>
    <n v="2010"/>
    <x v="2"/>
    <n v="144"/>
    <s v="Long"/>
    <s v="A critically acclaimed mystery masterpiece."/>
    <s v="Denis Villeneuve"/>
    <s v="Florence Pugh, Leonardo DiCaprio, Robert De Niro"/>
    <n v="735906"/>
    <n v="127.12"/>
    <n v="127.12"/>
    <s v="Hit"/>
    <s v=" Animation"/>
    <x v="3"/>
  </r>
  <r>
    <s v="tt1000317"/>
    <s v="Secret Destiny 210"/>
    <n v="2004"/>
    <n v="2000"/>
    <x v="1"/>
    <n v="127"/>
    <s v="Long"/>
    <s v="An epic documentary tale directed by Steven Spielberg."/>
    <s v="Steven Spielberg"/>
    <s v="Morgan Freeman, Scarlett Johansson, Brad Pitt, Johnny Depp, Chris Hemsworth"/>
    <n v="522116"/>
    <m/>
    <n v="0"/>
    <s v="Average"/>
    <s v="Documentary"/>
    <x v="13"/>
  </r>
  <r>
    <s v="tt1000317"/>
    <s v="Secret Destiny 210"/>
    <n v="2004"/>
    <n v="2000"/>
    <x v="1"/>
    <n v="127"/>
    <s v="Long"/>
    <s v="An epic documentary tale directed by Steven Spielberg."/>
    <s v="Steven Spielberg"/>
    <s v="Morgan Freeman, Scarlett Johansson, Brad Pitt, Johnny Depp, Chris Hemsworth"/>
    <n v="522116"/>
    <m/>
    <n v="0"/>
    <s v="Average"/>
    <s v=" Mystery"/>
    <x v="4"/>
  </r>
  <r>
    <s v="tt1000317"/>
    <s v="Secret Destiny 210"/>
    <n v="2004"/>
    <n v="2000"/>
    <x v="1"/>
    <n v="127"/>
    <s v="Long"/>
    <s v="An epic documentary tale directed by Steven Spielberg."/>
    <s v="Steven Spielberg"/>
    <s v="Morgan Freeman, Scarlett Johansson, Brad Pitt, Johnny Depp, Chris Hemsworth"/>
    <n v="522116"/>
    <m/>
    <n v="0"/>
    <s v="Average"/>
    <s v=" Adventure"/>
    <x v="9"/>
  </r>
  <r>
    <s v="tt1000143"/>
    <s v="Final Quest 36"/>
    <n v="1993"/>
    <n v="1990"/>
    <x v="2"/>
    <n v="84"/>
    <s v="Short"/>
    <s v="A critically acclaimed drama masterpiece."/>
    <s v="Quentin Tarantino"/>
    <s v="Will Smith, Christian Bale, Robert Downey Jr."/>
    <n v="2810"/>
    <m/>
    <n v="0"/>
    <s v="Average"/>
    <s v="Drama"/>
    <x v="14"/>
  </r>
  <r>
    <s v="tt1000143"/>
    <s v="Final Quest 36"/>
    <n v="1993"/>
    <n v="1990"/>
    <x v="2"/>
    <n v="84"/>
    <s v="Short"/>
    <s v="A critically acclaimed drama masterpiece."/>
    <s v="Quentin Tarantino"/>
    <s v="Will Smith, Christian Bale, Robert Downey Jr."/>
    <n v="2810"/>
    <m/>
    <n v="0"/>
    <s v="Average"/>
    <s v=" Animation"/>
    <x v="3"/>
  </r>
  <r>
    <s v="tt1000701"/>
    <s v="First Dreams 594"/>
    <n v="2000"/>
    <n v="2000"/>
    <x v="4"/>
    <n v="142"/>
    <s v="Long"/>
    <s v="An epic western tale directed by Denis Villeneuve."/>
    <s v="Denis Villeneuve"/>
    <s v="Keanu Reeves, Morgan Freeman, TimothÃ©e Chalamet, Christian Bale"/>
    <n v="703631"/>
    <n v="141.05000000000001"/>
    <n v="141.05000000000001"/>
    <s v="Hit"/>
    <s v="Western"/>
    <x v="11"/>
  </r>
  <r>
    <s v="tt1000831"/>
    <s v="Dark Kingdom 724"/>
    <n v="2005"/>
    <n v="2000"/>
    <x v="1"/>
    <n v="148"/>
    <s v="Long"/>
    <s v="A critically acclaimed animation masterpiece."/>
    <s v="Park Chan-wook"/>
    <s v="Christian Bale, Viola Davis, Amy Adams, Mark Ruffalo"/>
    <n v="202765"/>
    <m/>
    <n v="0"/>
    <s v="Average"/>
    <s v="Animation"/>
    <x v="3"/>
  </r>
  <r>
    <s v="tt1000627"/>
    <s v="Secret Story 520"/>
    <n v="2007"/>
    <n v="2000"/>
    <x v="2"/>
    <n v="152"/>
    <s v="Long"/>
    <s v="A family film set in 2007."/>
    <s v="Danny Boyle"/>
    <s v="Brad Pitt, Samuel L. Jackson, Robert Downey Jr., TimothÃ©e Chalamet, Margot Robbie"/>
    <n v="24619"/>
    <n v="415.12"/>
    <n v="415.12"/>
    <s v="Blockbuster"/>
    <s v="Family"/>
    <x v="10"/>
  </r>
  <r>
    <s v="tt1000202"/>
    <s v="Last Adventures 95"/>
    <n v="2010"/>
    <n v="2010"/>
    <x v="3"/>
    <n v="104"/>
    <s v="Medium"/>
    <s v="An epic animation tale directed by Martin Scorsese."/>
    <s v="Martin Scorsese"/>
    <s v="Amy Adams, Johnny Depp, Florence Pugh, Al Pacino, Jennifer Lawrence"/>
    <n v="4154"/>
    <n v="399.25"/>
    <n v="399.25"/>
    <s v="Blockbuster"/>
    <s v="Animation"/>
    <x v="3"/>
  </r>
  <r>
    <s v="tt1000202"/>
    <s v="Last Adventures 95"/>
    <n v="2010"/>
    <n v="2010"/>
    <x v="3"/>
    <n v="104"/>
    <s v="Medium"/>
    <s v="An epic animation tale directed by Martin Scorsese."/>
    <s v="Martin Scorsese"/>
    <s v="Amy Adams, Johnny Depp, Florence Pugh, Al Pacino, Jennifer Lawrence"/>
    <n v="4154"/>
    <n v="399.25"/>
    <n v="399.25"/>
    <s v="Blockbuster"/>
    <s v=" Fantasy"/>
    <x v="8"/>
  </r>
  <r>
    <s v="tt1000166"/>
    <s v="Secret Story 59"/>
    <n v="1999"/>
    <n v="1990"/>
    <x v="0"/>
    <n v="102"/>
    <s v="Medium"/>
    <s v="A fantasy film set in 1999."/>
    <s v="Ava DuVernay"/>
    <s v="Morgan Freeman, Amy Adams, Natalie Portman, Christian Bale, Gary Oldman"/>
    <n v="240209"/>
    <m/>
    <n v="0"/>
    <s v="Average"/>
    <s v="Fantasy"/>
    <x v="8"/>
  </r>
  <r>
    <s v="tt1000457"/>
    <s v="Lost Dreams 350"/>
    <n v="2011"/>
    <n v="2010"/>
    <x v="0"/>
    <n v="154"/>
    <s v="Long"/>
    <s v="A sci-fi film set in 2011."/>
    <s v="Peter Jackson"/>
    <s v="Jennifer Lawrence, Christian Bale, Leonardo DiCaprio, Morgan Freeman"/>
    <n v="5322"/>
    <n v="341.45"/>
    <n v="341.45"/>
    <s v="Blockbuster"/>
    <s v="Sci-Fi"/>
    <x v="16"/>
  </r>
  <r>
    <s v="tt1000457"/>
    <s v="Lost Dreams 350"/>
    <n v="2011"/>
    <n v="2010"/>
    <x v="0"/>
    <n v="154"/>
    <s v="Long"/>
    <s v="A sci-fi film set in 2011."/>
    <s v="Peter Jackson"/>
    <s v="Jennifer Lawrence, Christian Bale, Leonardo DiCaprio, Morgan Freeman"/>
    <n v="5322"/>
    <n v="341.45"/>
    <n v="341.45"/>
    <s v="Blockbuster"/>
    <s v=" Horror"/>
    <x v="12"/>
  </r>
  <r>
    <s v="tt1000438"/>
    <s v="Dark Secrets 331"/>
    <n v="2017"/>
    <n v="2010"/>
    <x v="0"/>
    <n v="120"/>
    <s v="Medium"/>
    <s v="A critically acclaimed crime masterpiece."/>
    <s v="Robert Zemeckis"/>
    <s v="Florence Pugh, Robert De Niro, Jack Nicholson"/>
    <n v="12116"/>
    <n v="458.99"/>
    <n v="458.99"/>
    <s v="Blockbuster"/>
    <s v="Crime"/>
    <x v="6"/>
  </r>
  <r>
    <s v="tt1000438"/>
    <s v="Dark Secrets 331"/>
    <n v="2017"/>
    <n v="2010"/>
    <x v="0"/>
    <n v="120"/>
    <s v="Medium"/>
    <s v="A critically acclaimed crime masterpiece."/>
    <s v="Robert Zemeckis"/>
    <s v="Florence Pugh, Robert De Niro, Jack Nicholson"/>
    <n v="12116"/>
    <n v="458.99"/>
    <n v="458.99"/>
    <s v="Blockbuster"/>
    <s v=" Musical"/>
    <x v="1"/>
  </r>
  <r>
    <s v="tt1000428"/>
    <s v="Secret Quest 321"/>
    <n v="2010"/>
    <n v="2010"/>
    <x v="1"/>
    <n v="104"/>
    <s v="Medium"/>
    <s v="A critically acclaimed horror masterpiece."/>
    <s v="Ridley Scott"/>
    <s v="Harrison Ford, Samuel L. Jackson, Leonardo DiCaprio, Chris Hemsworth, Robert Downey Jr."/>
    <n v="3811"/>
    <n v="375.15"/>
    <n v="375.15"/>
    <s v="Blockbuster"/>
    <s v="Horror"/>
    <x v="12"/>
  </r>
  <r>
    <s v="tt1000428"/>
    <s v="Secret Quest 321"/>
    <n v="2010"/>
    <n v="2010"/>
    <x v="1"/>
    <n v="104"/>
    <s v="Medium"/>
    <s v="A critically acclaimed horror masterpiece."/>
    <s v="Ridley Scott"/>
    <s v="Harrison Ford, Samuel L. Jackson, Leonardo DiCaprio, Chris Hemsworth, Robert Downey Jr."/>
    <n v="3811"/>
    <n v="375.15"/>
    <n v="375.15"/>
    <s v="Blockbuster"/>
    <s v=" Crime"/>
    <x v="6"/>
  </r>
  <r>
    <s v="tt1000836"/>
    <s v="Last Kingdom 729"/>
    <n v="2023"/>
    <n v="2020"/>
    <x v="4"/>
    <n v="92"/>
    <s v="Medium"/>
    <s v="A thrilling horror adventure."/>
    <s v="Bong Joon-ho"/>
    <s v="Kate Winslet, Leonardo DiCaprio, Meryl Streep"/>
    <n v="123352"/>
    <n v="402.95"/>
    <n v="402.95"/>
    <s v="Blockbuster"/>
    <s v="Horror"/>
    <x v="12"/>
  </r>
  <r>
    <s v="tt1000824"/>
    <s v="First Awakening 717"/>
    <n v="2007"/>
    <n v="2000"/>
    <x v="0"/>
    <n v="104"/>
    <s v="Medium"/>
    <s v="A thrilling comedy adventure."/>
    <s v="Francis Ford Coppola"/>
    <s v="Daniel Day-Lewis, Harrison Ford, Denzel Washington, Tom Cruise"/>
    <n v="94440"/>
    <n v="186.56"/>
    <n v="186.56"/>
    <s v="Hit"/>
    <s v="Comedy"/>
    <x v="15"/>
  </r>
  <r>
    <s v="tt1000824"/>
    <s v="First Awakening 717"/>
    <n v="2007"/>
    <n v="2000"/>
    <x v="0"/>
    <n v="104"/>
    <s v="Medium"/>
    <s v="A thrilling comedy adventure."/>
    <s v="Francis Ford Coppola"/>
    <s v="Daniel Day-Lewis, Harrison Ford, Denzel Washington, Tom Cruise"/>
    <n v="94440"/>
    <n v="186.56"/>
    <n v="186.56"/>
    <s v="Hit"/>
    <s v=" War"/>
    <x v="2"/>
  </r>
  <r>
    <s v="tt1000806"/>
    <s v="Lost Quest 699"/>
    <n v="2015"/>
    <n v="2010"/>
    <x v="0"/>
    <n v="127"/>
    <s v="Long"/>
    <s v="An epic musical tale directed by Quentin Tarantino."/>
    <s v="Quentin Tarantino"/>
    <s v="Matt Damon, Keanu Reeves, Leonardo DiCaprio, Al Pacino"/>
    <n v="288075"/>
    <m/>
    <n v="0"/>
    <s v="Average"/>
    <s v="Musical"/>
    <x v="1"/>
  </r>
  <r>
    <s v="tt1000806"/>
    <s v="Lost Quest 699"/>
    <n v="2015"/>
    <n v="2010"/>
    <x v="0"/>
    <n v="127"/>
    <s v="Long"/>
    <s v="An epic musical tale directed by Quentin Tarantino."/>
    <s v="Quentin Tarantino"/>
    <s v="Matt Damon, Keanu Reeves, Leonardo DiCaprio, Al Pacino"/>
    <n v="288075"/>
    <m/>
    <n v="0"/>
    <s v="Average"/>
    <s v=" Adventure"/>
    <x v="9"/>
  </r>
  <r>
    <s v="tt1000449"/>
    <s v="Dark Adventures 342"/>
    <n v="2019"/>
    <n v="2010"/>
    <x v="2"/>
    <n v="138"/>
    <s v="Long"/>
    <s v="A critically acclaimed mystery masterpiece."/>
    <s v="Martin Scorsese"/>
    <s v="Gary Oldman, Robert Downey Jr., Tom Hanks, Scarlett Johansson, TimothÃ©e Chalamet"/>
    <n v="42738"/>
    <m/>
    <n v="0"/>
    <s v="Average"/>
    <s v="Mystery"/>
    <x v="4"/>
  </r>
  <r>
    <s v="tt1000449"/>
    <s v="Dark Adventures 342"/>
    <n v="2019"/>
    <n v="2010"/>
    <x v="2"/>
    <n v="138"/>
    <s v="Long"/>
    <s v="A critically acclaimed mystery masterpiece."/>
    <s v="Martin Scorsese"/>
    <s v="Gary Oldman, Robert Downey Jr., Tom Hanks, Scarlett Johansson, TimothÃ©e Chalamet"/>
    <n v="42738"/>
    <m/>
    <n v="0"/>
    <s v="Average"/>
    <s v=" Sci-Fi"/>
    <x v="16"/>
  </r>
  <r>
    <s v="tt1000235"/>
    <s v="First Awakening 128"/>
    <n v="2002"/>
    <n v="2000"/>
    <x v="2"/>
    <n v="132"/>
    <s v="Long"/>
    <s v="An epic adventure tale directed by Wong Kar-wai."/>
    <s v="Wong Kar-wai"/>
    <s v="Florence Pugh, Al Pacino, Tom Cruise, Anthony Hopkins, Keanu Reeves"/>
    <n v="832502"/>
    <n v="348.94"/>
    <n v="348.94"/>
    <s v="Blockbuster"/>
    <s v="Adventure"/>
    <x v="9"/>
  </r>
  <r>
    <s v="tt1000235"/>
    <s v="First Awakening 128"/>
    <n v="2002"/>
    <n v="2000"/>
    <x v="2"/>
    <n v="132"/>
    <s v="Long"/>
    <s v="An epic adventure tale directed by Wong Kar-wai."/>
    <s v="Wong Kar-wai"/>
    <s v="Florence Pugh, Al Pacino, Tom Cruise, Anthony Hopkins, Keanu Reeves"/>
    <n v="832502"/>
    <n v="348.94"/>
    <n v="348.94"/>
    <s v="Blockbuster"/>
    <s v=" Thriller"/>
    <x v="17"/>
  </r>
  <r>
    <s v="tt1000235"/>
    <s v="First Awakening 128"/>
    <n v="2002"/>
    <n v="2000"/>
    <x v="2"/>
    <n v="132"/>
    <s v="Long"/>
    <s v="An epic adventure tale directed by Wong Kar-wai."/>
    <s v="Wong Kar-wai"/>
    <s v="Florence Pugh, Al Pacino, Tom Cruise, Anthony Hopkins, Keanu Reeves"/>
    <n v="832502"/>
    <n v="348.94"/>
    <n v="348.94"/>
    <s v="Blockbuster"/>
    <s v=" Comedy"/>
    <x v="15"/>
  </r>
  <r>
    <s v="tt1000313"/>
    <s v="A War 206"/>
    <n v="2005"/>
    <n v="2000"/>
    <x v="2"/>
    <n v="108"/>
    <s v="Medium"/>
    <s v="A critically acclaimed sci-fi masterpiece."/>
    <s v="Spike Lee"/>
    <s v="Gary Oldman, Zendaya, Denzel Washington, Robert Downey Jr."/>
    <n v="221612"/>
    <n v="81.61"/>
    <n v="81.61"/>
    <s v="Average"/>
    <s v="Sci-Fi"/>
    <x v="16"/>
  </r>
  <r>
    <s v="tt1000313"/>
    <s v="A War 206"/>
    <n v="2005"/>
    <n v="2000"/>
    <x v="2"/>
    <n v="108"/>
    <s v="Medium"/>
    <s v="A critically acclaimed sci-fi masterpiece."/>
    <s v="Spike Lee"/>
    <s v="Gary Oldman, Zendaya, Denzel Washington, Robert Downey Jr."/>
    <n v="221612"/>
    <n v="81.61"/>
    <n v="81.61"/>
    <s v="Average"/>
    <s v=" Biography"/>
    <x v="5"/>
  </r>
  <r>
    <s v="tt1000792"/>
    <s v="First Legend 685"/>
    <n v="2012"/>
    <n v="2010"/>
    <x v="2"/>
    <n v="112"/>
    <s v="Medium"/>
    <s v="A thrilling romance adventure."/>
    <s v="Guillermo del Toro"/>
    <s v="Mark Ruffalo, Christian Bale, Anthony Hopkins, Tom Cruise"/>
    <n v="32202"/>
    <n v="63.24"/>
    <n v="63.24"/>
    <s v="Average"/>
    <s v="Romance"/>
    <x v="7"/>
  </r>
  <r>
    <s v="tt1000792"/>
    <s v="First Legend 685"/>
    <n v="2012"/>
    <n v="2010"/>
    <x v="2"/>
    <n v="112"/>
    <s v="Medium"/>
    <s v="A thrilling romance adventure."/>
    <s v="Guillermo del Toro"/>
    <s v="Mark Ruffalo, Christian Bale, Anthony Hopkins, Tom Cruise"/>
    <n v="32202"/>
    <n v="63.24"/>
    <n v="63.24"/>
    <s v="Average"/>
    <s v=" War"/>
    <x v="2"/>
  </r>
  <r>
    <s v="tt1000784"/>
    <s v="Last Kingdom 677"/>
    <n v="2023"/>
    <n v="2020"/>
    <x v="1"/>
    <n v="133"/>
    <s v="Long"/>
    <s v="An epic documentary tale directed by Bong Joon-ho."/>
    <s v="Bong Joon-ho"/>
    <s v="Margot Robbie, Meryl Streep, Leonardo DiCaprio"/>
    <n v="368765"/>
    <n v="302.52999999999997"/>
    <n v="302.52999999999997"/>
    <s v="Blockbuster"/>
    <s v="Documentary"/>
    <x v="13"/>
  </r>
  <r>
    <s v="tt1000465"/>
    <s v="Last Story 358"/>
    <n v="2021"/>
    <n v="2020"/>
    <x v="4"/>
    <n v="123"/>
    <s v="Long"/>
    <s v="A thrilling crime adventure."/>
    <s v="Jordan Peele"/>
    <s v="Florence Pugh, Meryl Streep, Margot Robbie"/>
    <n v="13940"/>
    <n v="242.85"/>
    <n v="242.85"/>
    <s v="Blockbuster"/>
    <s v="Crime"/>
    <x v="6"/>
  </r>
  <r>
    <s v="tt1000465"/>
    <s v="Last Story 358"/>
    <n v="2021"/>
    <n v="2020"/>
    <x v="4"/>
    <n v="123"/>
    <s v="Long"/>
    <s v="A thrilling crime adventure."/>
    <s v="Jordan Peele"/>
    <s v="Florence Pugh, Meryl Streep, Margot Robbie"/>
    <n v="13940"/>
    <n v="242.85"/>
    <n v="242.85"/>
    <s v="Blockbuster"/>
    <s v=" Drama"/>
    <x v="14"/>
  </r>
  <r>
    <s v="tt1000734"/>
    <s v="Dark Awakening 627"/>
    <n v="2005"/>
    <n v="2000"/>
    <x v="1"/>
    <n v="134"/>
    <s v="Long"/>
    <s v="A thrilling musical adventure."/>
    <s v="Quentin Tarantino"/>
    <s v="Natalie Portman, Robert Downey Jr., Florence Pugh, Gary Oldman, Christian Bale"/>
    <n v="14261"/>
    <n v="72.69"/>
    <n v="72.69"/>
    <s v="Average"/>
    <s v="Musical"/>
    <x v="1"/>
  </r>
  <r>
    <s v="tt1000250"/>
    <s v="Last Story 143"/>
    <n v="2010"/>
    <n v="2010"/>
    <x v="2"/>
    <n v="101"/>
    <s v="Medium"/>
    <s v="An epic horror tale directed by James Cameron."/>
    <s v="James Cameron"/>
    <s v="Mark Ruffalo, Keanu Reeves, Jack Nicholson"/>
    <n v="13852"/>
    <m/>
    <n v="0"/>
    <s v="Average"/>
    <s v="Horror"/>
    <x v="12"/>
  </r>
  <r>
    <s v="tt1000250"/>
    <s v="Last Story 143"/>
    <n v="2010"/>
    <n v="2010"/>
    <x v="2"/>
    <n v="101"/>
    <s v="Medium"/>
    <s v="An epic horror tale directed by James Cameron."/>
    <s v="James Cameron"/>
    <s v="Mark Ruffalo, Keanu Reeves, Jack Nicholson"/>
    <n v="13852"/>
    <m/>
    <n v="0"/>
    <s v="Average"/>
    <s v=" Sci-Fi"/>
    <x v="16"/>
  </r>
  <r>
    <s v="tt1000564"/>
    <s v="An Mystery 457"/>
    <n v="2006"/>
    <n v="2000"/>
    <x v="0"/>
    <n v="137"/>
    <s v="Long"/>
    <s v="A thrilling comedy adventure."/>
    <s v="Danny Boyle"/>
    <s v="Edward Norton, Margot Robbie, Cate Blanchett, Denzel Washington, Viola Davis"/>
    <n v="72371"/>
    <n v="60.43"/>
    <n v="60.43"/>
    <s v="Average"/>
    <s v="Comedy"/>
    <x v="15"/>
  </r>
  <r>
    <s v="tt1000260"/>
    <s v="A Legend 153"/>
    <n v="2012"/>
    <n v="2010"/>
    <x v="1"/>
    <n v="123"/>
    <s v="Long"/>
    <s v="A critically acclaimed war masterpiece."/>
    <s v="Pedro AlmodÃ³var"/>
    <s v="Cate Blanchett, Mark Ruffalo, Anthony Hopkins"/>
    <n v="105904"/>
    <n v="358.77"/>
    <n v="358.77"/>
    <s v="Blockbuster"/>
    <s v="War"/>
    <x v="2"/>
  </r>
  <r>
    <s v="tt1000260"/>
    <s v="A Legend 153"/>
    <n v="2012"/>
    <n v="2010"/>
    <x v="1"/>
    <n v="123"/>
    <s v="Long"/>
    <s v="A critically acclaimed war masterpiece."/>
    <s v="Pedro AlmodÃ³var"/>
    <s v="Cate Blanchett, Mark Ruffalo, Anthony Hopkins"/>
    <n v="105904"/>
    <n v="358.77"/>
    <n v="358.77"/>
    <s v="Blockbuster"/>
    <s v=" Crime"/>
    <x v="6"/>
  </r>
  <r>
    <s v="tt1000410"/>
    <s v="First War 303"/>
    <n v="2000"/>
    <n v="2000"/>
    <x v="2"/>
    <n v="108"/>
    <s v="Medium"/>
    <s v="An epic mystery tale directed by Pedro AlmodÃ³var."/>
    <s v="Pedro AlmodÃ³var"/>
    <s v="TimothÃ©e Chalamet, Denzel Washington, Tom Cruise"/>
    <n v="52447"/>
    <n v="243.38"/>
    <n v="243.38"/>
    <s v="Blockbuster"/>
    <s v="Mystery"/>
    <x v="4"/>
  </r>
  <r>
    <s v="tt1000410"/>
    <s v="First War 303"/>
    <n v="2000"/>
    <n v="2000"/>
    <x v="2"/>
    <n v="108"/>
    <s v="Medium"/>
    <s v="An epic mystery tale directed by Pedro AlmodÃ³var."/>
    <s v="Pedro AlmodÃ³var"/>
    <s v="TimothÃ©e Chalamet, Denzel Washington, Tom Cruise"/>
    <n v="52447"/>
    <n v="243.38"/>
    <n v="243.38"/>
    <s v="Blockbuster"/>
    <s v=" Horror"/>
    <x v="12"/>
  </r>
  <r>
    <s v="tt1000355"/>
    <s v="Last Mystery 248"/>
    <n v="2015"/>
    <n v="2010"/>
    <x v="5"/>
    <n v="97"/>
    <s v="Medium"/>
    <s v="A critically acclaimed biography masterpiece."/>
    <s v="Clint Eastwood"/>
    <s v="Samuel L. Jackson, Tom Cruise, Margot Robbie, Edward Norton, Christian Bale"/>
    <n v="341546"/>
    <m/>
    <n v="0"/>
    <s v="Average"/>
    <s v="Biography"/>
    <x v="5"/>
  </r>
  <r>
    <s v="tt1000355"/>
    <s v="Last Mystery 248"/>
    <n v="2015"/>
    <n v="2010"/>
    <x v="5"/>
    <n v="97"/>
    <s v="Medium"/>
    <s v="A critically acclaimed biography masterpiece."/>
    <s v="Clint Eastwood"/>
    <s v="Samuel L. Jackson, Tom Cruise, Margot Robbie, Edward Norton, Christian Bale"/>
    <n v="341546"/>
    <m/>
    <n v="0"/>
    <s v="Average"/>
    <s v=" War"/>
    <x v="2"/>
  </r>
  <r>
    <s v="tt1000355"/>
    <s v="Last Mystery 248"/>
    <n v="2015"/>
    <n v="2010"/>
    <x v="5"/>
    <n v="97"/>
    <s v="Medium"/>
    <s v="A critically acclaimed biography masterpiece."/>
    <s v="Clint Eastwood"/>
    <s v="Samuel L. Jackson, Tom Cruise, Margot Robbie, Edward Norton, Christian Bale"/>
    <n v="341546"/>
    <m/>
    <n v="0"/>
    <s v="Average"/>
    <s v=" Romance"/>
    <x v="7"/>
  </r>
  <r>
    <s v="tt1000674"/>
    <s v="First Secrets 567"/>
    <n v="2005"/>
    <n v="2000"/>
    <x v="0"/>
    <n v="147"/>
    <s v="Long"/>
    <s v="A critically acclaimed animation masterpiece."/>
    <s v="Alfred Hitchcock"/>
    <s v="Zendaya, Leonardo DiCaprio, Christian Bale, Gary Oldman, Amy Adams"/>
    <n v="1000"/>
    <n v="238.95"/>
    <n v="238.95"/>
    <s v="Blockbuster"/>
    <s v="Animation"/>
    <x v="3"/>
  </r>
  <r>
    <s v="tt1000674"/>
    <s v="First Secrets 567"/>
    <n v="2005"/>
    <n v="2000"/>
    <x v="0"/>
    <n v="147"/>
    <s v="Long"/>
    <s v="A critically acclaimed animation masterpiece."/>
    <s v="Alfred Hitchcock"/>
    <s v="Zendaya, Leonardo DiCaprio, Christian Bale, Gary Oldman, Amy Adams"/>
    <n v="1000"/>
    <n v="238.95"/>
    <n v="238.95"/>
    <s v="Blockbuster"/>
    <s v=" Action"/>
    <x v="0"/>
  </r>
  <r>
    <s v="tt1000660"/>
    <s v="First Quest 553"/>
    <n v="2019"/>
    <n v="2010"/>
    <x v="2"/>
    <n v="100"/>
    <s v="Medium"/>
    <s v="A mystery film set in 2019."/>
    <s v="Wong Kar-wai"/>
    <s v="Amy Adams, Margot Robbie, Chris Hemsworth, Keanu Reeves"/>
    <n v="23386"/>
    <n v="90.76"/>
    <n v="90.76"/>
    <s v="Average"/>
    <s v="Mystery"/>
    <x v="4"/>
  </r>
  <r>
    <s v="tt1000660"/>
    <s v="First Quest 553"/>
    <n v="2019"/>
    <n v="2010"/>
    <x v="2"/>
    <n v="100"/>
    <s v="Medium"/>
    <s v="A mystery film set in 2019."/>
    <s v="Wong Kar-wai"/>
    <s v="Amy Adams, Margot Robbie, Chris Hemsworth, Keanu Reeves"/>
    <n v="23386"/>
    <n v="90.76"/>
    <n v="90.76"/>
    <s v="Average"/>
    <s v=" Comedy"/>
    <x v="15"/>
  </r>
  <r>
    <s v="tt1000660"/>
    <s v="First Quest 553"/>
    <n v="2019"/>
    <n v="2010"/>
    <x v="2"/>
    <n v="100"/>
    <s v="Medium"/>
    <s v="A mystery film set in 2019."/>
    <s v="Wong Kar-wai"/>
    <s v="Amy Adams, Margot Robbie, Chris Hemsworth, Keanu Reeves"/>
    <n v="23386"/>
    <n v="90.76"/>
    <n v="90.76"/>
    <s v="Average"/>
    <s v=" Action"/>
    <x v="0"/>
  </r>
  <r>
    <s v="tt1000384"/>
    <s v="Secret Adventures 277"/>
    <n v="2020"/>
    <n v="2020"/>
    <x v="1"/>
    <n v="107"/>
    <s v="Medium"/>
    <s v="A critically acclaimed horror masterpiece."/>
    <s v="Greta Gerwig"/>
    <s v="Edward Norton, Keanu Reeves, Morgan Freeman, Denzel Washington, Florence Pugh"/>
    <n v="702937"/>
    <n v="23.67"/>
    <n v="23.67"/>
    <s v="Average"/>
    <s v="Horror"/>
    <x v="12"/>
  </r>
  <r>
    <s v="tt1000384"/>
    <s v="Secret Adventures 277"/>
    <n v="2020"/>
    <n v="2020"/>
    <x v="1"/>
    <n v="107"/>
    <s v="Medium"/>
    <s v="A critically acclaimed horror masterpiece."/>
    <s v="Greta Gerwig"/>
    <s v="Edward Norton, Keanu Reeves, Morgan Freeman, Denzel Washington, Florence Pugh"/>
    <n v="702937"/>
    <n v="23.67"/>
    <n v="23.67"/>
    <s v="Average"/>
    <s v=" Fantasy"/>
    <x v="8"/>
  </r>
  <r>
    <s v="tt1000524"/>
    <s v="Dark Quest 417"/>
    <n v="2007"/>
    <n v="2000"/>
    <x v="2"/>
    <n v="125"/>
    <s v="Long"/>
    <s v="A thrilling fantasy adventure."/>
    <s v="Christopher Nolan"/>
    <s v="Tom Hanks, Florence Pugh, Mark Ruffalo"/>
    <n v="120528"/>
    <n v="294.67"/>
    <n v="294.67"/>
    <s v="Blockbuster"/>
    <s v="Fantasy"/>
    <x v="8"/>
  </r>
  <r>
    <s v="tt1000524"/>
    <s v="Dark Quest 417"/>
    <n v="2007"/>
    <n v="2000"/>
    <x v="2"/>
    <n v="125"/>
    <s v="Long"/>
    <s v="A thrilling fantasy adventure."/>
    <s v="Christopher Nolan"/>
    <s v="Tom Hanks, Florence Pugh, Mark Ruffalo"/>
    <n v="120528"/>
    <n v="294.67"/>
    <n v="294.67"/>
    <s v="Blockbuster"/>
    <s v=" Comedy"/>
    <x v="15"/>
  </r>
  <r>
    <s v="tt1000888"/>
    <s v="Secret Legend 781"/>
    <n v="2008"/>
    <n v="2000"/>
    <x v="5"/>
    <n v="129"/>
    <s v="Long"/>
    <s v="A critically acclaimed fantasy masterpiece."/>
    <s v="David Fincher"/>
    <s v="Viola Davis, Morgan Freeman, Al Pacino, Emma Stone, TimothÃ©e Chalamet"/>
    <n v="213685"/>
    <m/>
    <n v="0"/>
    <s v="Average"/>
    <s v="Fantasy"/>
    <x v="8"/>
  </r>
  <r>
    <s v="tt1000888"/>
    <s v="Secret Legend 781"/>
    <n v="2008"/>
    <n v="2000"/>
    <x v="5"/>
    <n v="129"/>
    <s v="Long"/>
    <s v="A critically acclaimed fantasy masterpiece."/>
    <s v="David Fincher"/>
    <s v="Viola Davis, Morgan Freeman, Al Pacino, Emma Stone, TimothÃ©e Chalamet"/>
    <n v="213685"/>
    <m/>
    <n v="0"/>
    <s v="Average"/>
    <s v=" Western"/>
    <x v="11"/>
  </r>
  <r>
    <s v="tt1000448"/>
    <s v="First Chronicles 341"/>
    <n v="2003"/>
    <n v="2000"/>
    <x v="2"/>
    <n v="138"/>
    <s v="Long"/>
    <s v="A comedy film set in 2003."/>
    <s v="Akira Kurosawa"/>
    <s v="Cate Blanchett, Johnny Depp, Anthony Hopkins, Natalie Portman"/>
    <n v="1298"/>
    <n v="371.58"/>
    <n v="371.58"/>
    <s v="Blockbuster"/>
    <s v="Comedy"/>
    <x v="15"/>
  </r>
  <r>
    <s v="tt1000448"/>
    <s v="First Chronicles 341"/>
    <n v="2003"/>
    <n v="2000"/>
    <x v="2"/>
    <n v="138"/>
    <s v="Long"/>
    <s v="A comedy film set in 2003."/>
    <s v="Akira Kurosawa"/>
    <s v="Cate Blanchett, Johnny Depp, Anthony Hopkins, Natalie Portman"/>
    <n v="1298"/>
    <n v="371.58"/>
    <n v="371.58"/>
    <s v="Blockbuster"/>
    <s v=" Action"/>
    <x v="0"/>
  </r>
  <r>
    <s v="tt1000797"/>
    <s v="Dark Kingdom 690"/>
    <n v="2021"/>
    <n v="2020"/>
    <x v="1"/>
    <n v="101"/>
    <s v="Medium"/>
    <s v="A thrilling thriller adventure."/>
    <s v="Pedro AlmodÃ³var"/>
    <s v="Amy Adams, Christian Bale, Tom Hanks, Florence Pugh"/>
    <n v="22583"/>
    <m/>
    <n v="0"/>
    <s v="Average"/>
    <s v="Thriller"/>
    <x v="17"/>
  </r>
  <r>
    <s v="tt1000797"/>
    <s v="Dark Kingdom 690"/>
    <n v="2021"/>
    <n v="2020"/>
    <x v="1"/>
    <n v="101"/>
    <s v="Medium"/>
    <s v="A thrilling thriller adventure."/>
    <s v="Pedro AlmodÃ³var"/>
    <s v="Amy Adams, Christian Bale, Tom Hanks, Florence Pugh"/>
    <n v="22583"/>
    <m/>
    <n v="0"/>
    <s v="Average"/>
    <s v=" Action"/>
    <x v="0"/>
  </r>
  <r>
    <s v="tt1000797"/>
    <s v="Dark Kingdom 690"/>
    <n v="2021"/>
    <n v="2020"/>
    <x v="1"/>
    <n v="101"/>
    <s v="Medium"/>
    <s v="A thrilling thriller adventure."/>
    <s v="Pedro AlmodÃ³var"/>
    <s v="Amy Adams, Christian Bale, Tom Hanks, Florence Pugh"/>
    <n v="22583"/>
    <m/>
    <n v="0"/>
    <s v="Average"/>
    <s v=" Sci-Fi"/>
    <x v="16"/>
  </r>
  <r>
    <s v="tt1000798"/>
    <s v="Last Awakening 691"/>
    <n v="2014"/>
    <n v="2010"/>
    <x v="1"/>
    <n v="118"/>
    <s v="Medium"/>
    <s v="An epic biography tale directed by Francis Ford Coppola."/>
    <s v="Francis Ford Coppola"/>
    <s v="Brad Pitt, Chris Hemsworth, Daniel Day-Lewis"/>
    <n v="15021"/>
    <m/>
    <n v="0"/>
    <s v="Average"/>
    <s v="Biography"/>
    <x v="5"/>
  </r>
  <r>
    <s v="tt1000798"/>
    <s v="Last Awakening 691"/>
    <n v="2014"/>
    <n v="2010"/>
    <x v="1"/>
    <n v="118"/>
    <s v="Medium"/>
    <s v="An epic biography tale directed by Francis Ford Coppola."/>
    <s v="Francis Ford Coppola"/>
    <s v="Brad Pitt, Chris Hemsworth, Daniel Day-Lewis"/>
    <n v="15021"/>
    <m/>
    <n v="0"/>
    <s v="Average"/>
    <s v=" Mystery"/>
    <x v="4"/>
  </r>
  <r>
    <s v="tt1000798"/>
    <s v="Last Awakening 691"/>
    <n v="2014"/>
    <n v="2010"/>
    <x v="1"/>
    <n v="118"/>
    <s v="Medium"/>
    <s v="An epic biography tale directed by Francis Ford Coppola."/>
    <s v="Francis Ford Coppola"/>
    <s v="Brad Pitt, Chris Hemsworth, Daniel Day-Lewis"/>
    <n v="15021"/>
    <m/>
    <n v="0"/>
    <s v="Average"/>
    <s v=" Comedy"/>
    <x v="15"/>
  </r>
  <r>
    <s v="tt1000167"/>
    <s v="Lost Empire 60"/>
    <n v="1998"/>
    <n v="1990"/>
    <x v="2"/>
    <n v="158"/>
    <s v="Long"/>
    <s v="A thrilling sci-fi adventure."/>
    <s v="Denis Villeneuve"/>
    <s v="Daniel Day-Lewis, Tom Hanks, Robert Downey Jr., Al Pacino, Natalie Portman"/>
    <n v="139309"/>
    <n v="44.74"/>
    <n v="44.74"/>
    <s v="Average"/>
    <s v="Sci-Fi"/>
    <x v="16"/>
  </r>
  <r>
    <s v="tt1000167"/>
    <s v="Lost Empire 60"/>
    <n v="1998"/>
    <n v="1990"/>
    <x v="2"/>
    <n v="158"/>
    <s v="Long"/>
    <s v="A thrilling sci-fi adventure."/>
    <s v="Denis Villeneuve"/>
    <s v="Daniel Day-Lewis, Tom Hanks, Robert Downey Jr., Al Pacino, Natalie Portman"/>
    <n v="139309"/>
    <n v="44.74"/>
    <n v="44.74"/>
    <s v="Average"/>
    <s v=" Action"/>
    <x v="0"/>
  </r>
  <r>
    <s v="tt1000234"/>
    <s v="The Revolution 127"/>
    <n v="2014"/>
    <n v="2010"/>
    <x v="2"/>
    <n v="105"/>
    <s v="Medium"/>
    <s v="An epic family tale directed by Danny Boyle."/>
    <s v="Danny Boyle"/>
    <s v="Kate Winslet, Tom Hanks, Matt Damon, Emma Stone"/>
    <n v="5796"/>
    <n v="255.32"/>
    <n v="255.32"/>
    <s v="Blockbuster"/>
    <s v="Family"/>
    <x v="10"/>
  </r>
  <r>
    <s v="tt1000904"/>
    <s v="A Love 797"/>
    <n v="2000"/>
    <n v="2000"/>
    <x v="5"/>
    <n v="129"/>
    <s v="Long"/>
    <s v="A critically acclaimed musical masterpiece."/>
    <s v="Ron Howard"/>
    <s v="Margot Robbie, Scarlett Johansson, Kate Winslet"/>
    <n v="103930"/>
    <n v="189.98"/>
    <n v="189.98"/>
    <s v="Hit"/>
    <s v="Musical"/>
    <x v="1"/>
  </r>
  <r>
    <s v="tt1000904"/>
    <s v="A Love 797"/>
    <n v="2000"/>
    <n v="2000"/>
    <x v="5"/>
    <n v="129"/>
    <s v="Long"/>
    <s v="A critically acclaimed musical masterpiece."/>
    <s v="Ron Howard"/>
    <s v="Margot Robbie, Scarlett Johansson, Kate Winslet"/>
    <n v="103930"/>
    <n v="189.98"/>
    <n v="189.98"/>
    <s v="Hit"/>
    <s v=" War"/>
    <x v="2"/>
  </r>
  <r>
    <s v="tt1000882"/>
    <s v="Final Revolution 775"/>
    <n v="2011"/>
    <n v="2010"/>
    <x v="2"/>
    <n v="112"/>
    <s v="Medium"/>
    <s v="A thrilling war adventure."/>
    <s v="Peter Jackson"/>
    <s v="Jack Nicholson, Robert Downey Jr., Florence Pugh, Denzel Washington, Zendaya"/>
    <n v="61293"/>
    <m/>
    <n v="0"/>
    <s v="Average"/>
    <s v="War"/>
    <x v="2"/>
  </r>
  <r>
    <s v="tt1000882"/>
    <s v="Final Revolution 775"/>
    <n v="2011"/>
    <n v="2010"/>
    <x v="2"/>
    <n v="112"/>
    <s v="Medium"/>
    <s v="A thrilling war adventure."/>
    <s v="Peter Jackson"/>
    <s v="Jack Nicholson, Robert Downey Jr., Florence Pugh, Denzel Washington, Zendaya"/>
    <n v="61293"/>
    <m/>
    <n v="0"/>
    <s v="Average"/>
    <s v=" Action"/>
    <x v="0"/>
  </r>
  <r>
    <s v="tt1000115"/>
    <s v="First Journey 8"/>
    <n v="1996"/>
    <n v="1990"/>
    <x v="0"/>
    <n v="124"/>
    <s v="Long"/>
    <s v="A critically acclaimed thriller masterpiece."/>
    <s v="Taika Waititi"/>
    <s v="Robert Downey Jr., Chris Hemsworth, Jack Nicholson, Amy Adams, Robert De Niro"/>
    <n v="7250"/>
    <m/>
    <n v="0"/>
    <s v="Average"/>
    <s v="Thriller"/>
    <x v="17"/>
  </r>
  <r>
    <s v="tt1000115"/>
    <s v="First Journey 8"/>
    <n v="1996"/>
    <n v="1990"/>
    <x v="0"/>
    <n v="124"/>
    <s v="Long"/>
    <s v="A critically acclaimed thriller masterpiece."/>
    <s v="Taika Waititi"/>
    <s v="Robert Downey Jr., Chris Hemsworth, Jack Nicholson, Amy Adams, Robert De Niro"/>
    <n v="7250"/>
    <m/>
    <n v="0"/>
    <s v="Average"/>
    <s v=" Drama"/>
    <x v="14"/>
  </r>
  <r>
    <s v="tt1000540"/>
    <s v="Final Adventures 433"/>
    <n v="2002"/>
    <n v="2000"/>
    <x v="0"/>
    <n v="122"/>
    <s v="Long"/>
    <s v="A thrilling biography adventure."/>
    <s v="Frank Darabont"/>
    <s v="Jack Nicholson, Al Pacino, Matt Damon, Daniel Day-Lewis"/>
    <n v="237718"/>
    <n v="438.34"/>
    <n v="438.34"/>
    <s v="Blockbuster"/>
    <s v="Biography"/>
    <x v="5"/>
  </r>
  <r>
    <s v="tt1000540"/>
    <s v="Final Adventures 433"/>
    <n v="2002"/>
    <n v="2000"/>
    <x v="0"/>
    <n v="122"/>
    <s v="Long"/>
    <s v="A thrilling biography adventure."/>
    <s v="Frank Darabont"/>
    <s v="Jack Nicholson, Al Pacino, Matt Damon, Daniel Day-Lewis"/>
    <n v="237718"/>
    <n v="438.34"/>
    <n v="438.34"/>
    <s v="Blockbuster"/>
    <s v=" Western"/>
    <x v="11"/>
  </r>
  <r>
    <s v="tt1000593"/>
    <s v="Final Quest 486"/>
    <n v="2003"/>
    <n v="2000"/>
    <x v="1"/>
    <n v="106"/>
    <s v="Medium"/>
    <s v="A thrilling drama adventure."/>
    <s v="Wong Kar-wai"/>
    <s v="Denzel Washington, Morgan Freeman, Chris Hemsworth, Daniel Day-Lewis"/>
    <n v="52856"/>
    <n v="131.13"/>
    <n v="131.13"/>
    <s v="Hit"/>
    <s v="Drama"/>
    <x v="14"/>
  </r>
  <r>
    <s v="tt1000387"/>
    <s v="Lost Empire 280"/>
    <n v="2013"/>
    <n v="2010"/>
    <x v="0"/>
    <n v="165"/>
    <s v="Long"/>
    <s v="A thrilling western adventure."/>
    <s v="George Lucas"/>
    <s v="Mark Ruffalo, Tom Cruise, Daniel Day-Lewis, Samuel L. Jackson"/>
    <n v="5074"/>
    <m/>
    <n v="0"/>
    <s v="Average"/>
    <s v="Western"/>
    <x v="11"/>
  </r>
  <r>
    <s v="tt1000387"/>
    <s v="Lost Empire 280"/>
    <n v="2013"/>
    <n v="2010"/>
    <x v="0"/>
    <n v="165"/>
    <s v="Long"/>
    <s v="A thrilling western adventure."/>
    <s v="George Lucas"/>
    <s v="Mark Ruffalo, Tom Cruise, Daniel Day-Lewis, Samuel L. Jackson"/>
    <n v="5074"/>
    <m/>
    <n v="0"/>
    <s v="Average"/>
    <s v=" Comedy"/>
    <x v="15"/>
  </r>
  <r>
    <s v="tt1000382"/>
    <s v="An Dreams 275"/>
    <n v="2010"/>
    <n v="2010"/>
    <x v="5"/>
    <n v="98"/>
    <s v="Medium"/>
    <s v="A thrilling horror adventure."/>
    <s v="Peter Jackson"/>
    <s v="Daniel Day-Lewis, Kate Winslet, Natalie Portman, Harrison Ford, Zendaya"/>
    <n v="654585"/>
    <m/>
    <n v="0"/>
    <s v="Average"/>
    <s v="Horror"/>
    <x v="12"/>
  </r>
  <r>
    <s v="tt1000495"/>
    <s v="Last Secrets 388"/>
    <n v="2018"/>
    <n v="2010"/>
    <x v="1"/>
    <n v="138"/>
    <s v="Long"/>
    <s v="A critically acclaimed documentary masterpiece."/>
    <s v="Akira Kurosawa"/>
    <s v="Zendaya, Leonardo DiCaprio, Emma Stone"/>
    <n v="4267"/>
    <n v="462.3"/>
    <n v="462.3"/>
    <s v="Blockbuster"/>
    <s v="Documentary"/>
    <x v="13"/>
  </r>
  <r>
    <s v="tt1000495"/>
    <s v="Last Secrets 388"/>
    <n v="2018"/>
    <n v="2010"/>
    <x v="1"/>
    <n v="138"/>
    <s v="Long"/>
    <s v="A critically acclaimed documentary masterpiece."/>
    <s v="Akira Kurosawa"/>
    <s v="Zendaya, Leonardo DiCaprio, Emma Stone"/>
    <n v="4267"/>
    <n v="462.3"/>
    <n v="462.3"/>
    <s v="Blockbuster"/>
    <s v=" Action"/>
    <x v="0"/>
  </r>
  <r>
    <s v="tt1000495"/>
    <s v="Last Secrets 388"/>
    <n v="2018"/>
    <n v="2010"/>
    <x v="1"/>
    <n v="138"/>
    <s v="Long"/>
    <s v="A critically acclaimed documentary masterpiece."/>
    <s v="Akira Kurosawa"/>
    <s v="Zendaya, Leonardo DiCaprio, Emma Stone"/>
    <n v="4267"/>
    <n v="462.3"/>
    <n v="462.3"/>
    <s v="Blockbuster"/>
    <s v=" Western"/>
    <x v="11"/>
  </r>
  <r>
    <s v="tt1000308"/>
    <s v="Dark Quest 201"/>
    <n v="2013"/>
    <n v="2010"/>
    <x v="0"/>
    <n v="143"/>
    <s v="Long"/>
    <s v="An epic biography tale directed by Wong Kar-wai."/>
    <s v="Wong Kar-wai"/>
    <s v="Al Pacino, Natalie Portman, Kate Winslet, Gary Oldman, Robert Downey Jr."/>
    <n v="25890"/>
    <n v="192.69"/>
    <n v="192.69"/>
    <s v="Hit"/>
    <s v="Biography"/>
    <x v="5"/>
  </r>
  <r>
    <s v="tt1000157"/>
    <s v="An Awakening 50"/>
    <n v="1988"/>
    <n v="1980"/>
    <x v="2"/>
    <n v="73"/>
    <s v="Short"/>
    <s v="A critically acclaimed mystery masterpiece."/>
    <s v="Coen Brothers"/>
    <s v="Robert Downey Jr., Robert De Niro, Cate Blanchett"/>
    <n v="279144"/>
    <n v="219.05"/>
    <n v="219.05"/>
    <s v="Blockbuster"/>
    <s v="Mystery"/>
    <x v="4"/>
  </r>
  <r>
    <s v="tt1000157"/>
    <s v="An Awakening 50"/>
    <n v="1988"/>
    <n v="1980"/>
    <x v="2"/>
    <n v="73"/>
    <s v="Short"/>
    <s v="A critically acclaimed mystery masterpiece."/>
    <s v="Coen Brothers"/>
    <s v="Robert Downey Jr., Robert De Niro, Cate Blanchett"/>
    <n v="279144"/>
    <n v="219.05"/>
    <n v="219.05"/>
    <s v="Blockbuster"/>
    <s v=" Biography"/>
    <x v="5"/>
  </r>
  <r>
    <s v="tt1000715"/>
    <s v="Lost Journey 608"/>
    <n v="2005"/>
    <n v="2000"/>
    <x v="2"/>
    <n v="149"/>
    <s v="Long"/>
    <s v="An epic musical tale directed by Ang Lee."/>
    <s v="Ang Lee"/>
    <s v="Chris Hemsworth, Jack Nicholson, Kate Winslet, TimothÃ©e Chalamet, Harrison Ford"/>
    <n v="17279"/>
    <n v="166.41"/>
    <n v="166.41"/>
    <s v="Hit"/>
    <s v="Musical"/>
    <x v="1"/>
  </r>
  <r>
    <s v="tt1000715"/>
    <s v="Lost Journey 608"/>
    <n v="2005"/>
    <n v="2000"/>
    <x v="2"/>
    <n v="149"/>
    <s v="Long"/>
    <s v="An epic musical tale directed by Ang Lee."/>
    <s v="Ang Lee"/>
    <s v="Chris Hemsworth, Jack Nicholson, Kate Winslet, TimothÃ©e Chalamet, Harrison Ford"/>
    <n v="17279"/>
    <n v="166.41"/>
    <n v="166.41"/>
    <s v="Hit"/>
    <s v=" Family"/>
    <x v="10"/>
  </r>
  <r>
    <s v="tt1000715"/>
    <s v="Lost Journey 608"/>
    <n v="2005"/>
    <n v="2000"/>
    <x v="2"/>
    <n v="149"/>
    <s v="Long"/>
    <s v="An epic musical tale directed by Ang Lee."/>
    <s v="Ang Lee"/>
    <s v="Chris Hemsworth, Jack Nicholson, Kate Winslet, TimothÃ©e Chalamet, Harrison Ford"/>
    <n v="17279"/>
    <n v="166.41"/>
    <n v="166.41"/>
    <s v="Hit"/>
    <s v=" Adventure"/>
    <x v="9"/>
  </r>
  <r>
    <s v="tt1000892"/>
    <s v="Last Chronicles 785"/>
    <n v="2010"/>
    <n v="2010"/>
    <x v="0"/>
    <n v="126"/>
    <s v="Long"/>
    <s v="A critically acclaimed fantasy masterpiece."/>
    <s v="Akira Kurosawa"/>
    <s v="Natalie Portman, Daniel Day-Lewis, Edward Norton, Jennifer Lawrence"/>
    <n v="69079"/>
    <m/>
    <n v="0"/>
    <s v="Average"/>
    <s v="Fantasy"/>
    <x v="8"/>
  </r>
  <r>
    <s v="tt1000766"/>
    <s v="An Mystery 659"/>
    <n v="2006"/>
    <n v="2000"/>
    <x v="2"/>
    <n v="133"/>
    <s v="Long"/>
    <s v="A romance film set in 2006."/>
    <s v="Hayao Miyazaki"/>
    <s v="Johnny Depp, Harrison Ford, Margot Robbie, Leonardo DiCaprio"/>
    <n v="290082"/>
    <n v="161.81"/>
    <n v="161.81"/>
    <s v="Hit"/>
    <s v="Romance"/>
    <x v="7"/>
  </r>
  <r>
    <s v="tt1000766"/>
    <s v="An Mystery 659"/>
    <n v="2006"/>
    <n v="2000"/>
    <x v="2"/>
    <n v="133"/>
    <s v="Long"/>
    <s v="A romance film set in 2006."/>
    <s v="Hayao Miyazaki"/>
    <s v="Johnny Depp, Harrison Ford, Margot Robbie, Leonardo DiCaprio"/>
    <n v="290082"/>
    <n v="161.81"/>
    <n v="161.81"/>
    <s v="Hit"/>
    <s v=" Mystery"/>
    <x v="4"/>
  </r>
  <r>
    <s v="tt1000133"/>
    <s v="Dark Secrets 26"/>
    <n v="1996"/>
    <n v="1990"/>
    <x v="0"/>
    <n v="144"/>
    <s v="Long"/>
    <s v="An epic fantasy tale directed by Alfred Hitchcock."/>
    <s v="Alfred Hitchcock"/>
    <s v="Jennifer Lawrence, Amy Adams, Zendaya, Anthony Hopkins"/>
    <n v="24365"/>
    <m/>
    <n v="0"/>
    <s v="Average"/>
    <s v="Fantasy"/>
    <x v="8"/>
  </r>
  <r>
    <s v="tt1000133"/>
    <s v="Dark Secrets 26"/>
    <n v="1996"/>
    <n v="1990"/>
    <x v="0"/>
    <n v="144"/>
    <s v="Long"/>
    <s v="An epic fantasy tale directed by Alfred Hitchcock."/>
    <s v="Alfred Hitchcock"/>
    <s v="Jennifer Lawrence, Amy Adams, Zendaya, Anthony Hopkins"/>
    <n v="24365"/>
    <m/>
    <n v="0"/>
    <s v="Average"/>
    <s v=" Mystery"/>
    <x v="4"/>
  </r>
  <r>
    <s v="tt1000137"/>
    <s v="Secret Chronicles 30"/>
    <n v="1987"/>
    <n v="1980"/>
    <x v="1"/>
    <n v="97"/>
    <s v="Medium"/>
    <s v="A critically acclaimed musical masterpiece."/>
    <s v="James Cameron"/>
    <s v="Scarlett Johansson, Leonardo DiCaprio, TimothÃ©e Chalamet"/>
    <n v="244186"/>
    <m/>
    <n v="0"/>
    <s v="Average"/>
    <s v="Musical"/>
    <x v="1"/>
  </r>
  <r>
    <s v="tt1000137"/>
    <s v="Secret Chronicles 30"/>
    <n v="1987"/>
    <n v="1980"/>
    <x v="1"/>
    <n v="97"/>
    <s v="Medium"/>
    <s v="A critically acclaimed musical masterpiece."/>
    <s v="James Cameron"/>
    <s v="Scarlett Johansson, Leonardo DiCaprio, TimothÃ©e Chalamet"/>
    <n v="244186"/>
    <m/>
    <n v="0"/>
    <s v="Average"/>
    <s v=" Biography"/>
    <x v="5"/>
  </r>
  <r>
    <s v="tt1000416"/>
    <s v="First Quest 309"/>
    <n v="2017"/>
    <n v="2010"/>
    <x v="0"/>
    <n v="124"/>
    <s v="Long"/>
    <s v="A thrilling crime adventure."/>
    <s v="Bong Joon-ho"/>
    <s v="TimothÃ©e Chalamet, Cate Blanchett, Amy Adams"/>
    <n v="98353"/>
    <m/>
    <n v="0"/>
    <s v="Average"/>
    <s v="Crime"/>
    <x v="6"/>
  </r>
  <r>
    <s v="tt1000416"/>
    <s v="First Quest 309"/>
    <n v="2017"/>
    <n v="2010"/>
    <x v="0"/>
    <n v="124"/>
    <s v="Long"/>
    <s v="A thrilling crime adventure."/>
    <s v="Bong Joon-ho"/>
    <s v="TimothÃ©e Chalamet, Cate Blanchett, Amy Adams"/>
    <n v="98353"/>
    <m/>
    <n v="0"/>
    <s v="Average"/>
    <s v=" Family"/>
    <x v="10"/>
  </r>
  <r>
    <s v="tt1000315"/>
    <s v="Lost Awakening 208"/>
    <n v="2000"/>
    <n v="2000"/>
    <x v="5"/>
    <n v="98"/>
    <s v="Medium"/>
    <s v="An epic war tale directed by David Fincher."/>
    <s v="David Fincher"/>
    <s v="Natalie Portman, Johnny Depp, Keanu Reeves"/>
    <n v="21208"/>
    <n v="88.02"/>
    <n v="88.02"/>
    <s v="Average"/>
    <s v="War"/>
    <x v="2"/>
  </r>
  <r>
    <s v="tt1000315"/>
    <s v="Lost Awakening 208"/>
    <n v="2000"/>
    <n v="2000"/>
    <x v="5"/>
    <n v="98"/>
    <s v="Medium"/>
    <s v="An epic war tale directed by David Fincher."/>
    <s v="David Fincher"/>
    <s v="Natalie Portman, Johnny Depp, Keanu Reeves"/>
    <n v="21208"/>
    <n v="88.02"/>
    <n v="88.02"/>
    <s v="Average"/>
    <s v=" Mystery"/>
    <x v="4"/>
  </r>
  <r>
    <s v="tt1000258"/>
    <s v="First Journey 151"/>
    <n v="2006"/>
    <n v="2000"/>
    <x v="5"/>
    <n v="132"/>
    <s v="Long"/>
    <s v="An epic romance tale directed by Ang Lee."/>
    <s v="Ang Lee"/>
    <s v="Zendaya, Al Pacino, Leonardo DiCaprio, Keanu Reeves, Daniel Day-Lewis"/>
    <n v="20116"/>
    <n v="439.94"/>
    <n v="439.94"/>
    <s v="Blockbuster"/>
    <s v="Romance"/>
    <x v="7"/>
  </r>
  <r>
    <s v="tt1000635"/>
    <s v="Last Story 528"/>
    <n v="2001"/>
    <n v="2000"/>
    <x v="0"/>
    <n v="128"/>
    <s v="Long"/>
    <s v="An epic crime tale directed by Steven Spielberg."/>
    <s v="Steven Spielberg"/>
    <s v="Natalie Portman, Robert Downey Jr., Edward Norton, Kate Winslet"/>
    <n v="11046"/>
    <m/>
    <n v="0"/>
    <s v="Average"/>
    <s v="Crime"/>
    <x v="6"/>
  </r>
  <r>
    <s v="tt1000635"/>
    <s v="Last Story 528"/>
    <n v="2001"/>
    <n v="2000"/>
    <x v="0"/>
    <n v="128"/>
    <s v="Long"/>
    <s v="An epic crime tale directed by Steven Spielberg."/>
    <s v="Steven Spielberg"/>
    <s v="Natalie Portman, Robert Downey Jr., Edward Norton, Kate Winslet"/>
    <n v="11046"/>
    <m/>
    <n v="0"/>
    <s v="Average"/>
    <s v=" Drama"/>
    <x v="14"/>
  </r>
  <r>
    <s v="tt1000924"/>
    <s v="First Chronicles 817"/>
    <n v="2008"/>
    <n v="2000"/>
    <x v="1"/>
    <n v="116"/>
    <s v="Medium"/>
    <s v="An epic crime tale directed by Christopher Nolan."/>
    <s v="Christopher Nolan"/>
    <s v="Jack Nicholson, TimothÃ©e Chalamet, Natalie Portman, Kate Winslet"/>
    <n v="28660"/>
    <m/>
    <n v="0"/>
    <s v="Average"/>
    <s v="Crime"/>
    <x v="6"/>
  </r>
  <r>
    <s v="tt1000924"/>
    <s v="First Chronicles 817"/>
    <n v="2008"/>
    <n v="2000"/>
    <x v="1"/>
    <n v="116"/>
    <s v="Medium"/>
    <s v="An epic crime tale directed by Christopher Nolan."/>
    <s v="Christopher Nolan"/>
    <s v="Jack Nicholson, TimothÃ©e Chalamet, Natalie Portman, Kate Winslet"/>
    <n v="28660"/>
    <m/>
    <n v="0"/>
    <s v="Average"/>
    <s v=" Thriller"/>
    <x v="17"/>
  </r>
  <r>
    <s v="tt1000394"/>
    <s v="Dark Journey 287"/>
    <n v="2017"/>
    <n v="2010"/>
    <x v="2"/>
    <n v="138"/>
    <s v="Long"/>
    <s v="A critically acclaimed fantasy masterpiece."/>
    <s v="Frank Darabont"/>
    <s v="Margot Robbie, Daniel Day-Lewis, Meryl Streep, Viola Davis, Tom Hanks"/>
    <n v="13569"/>
    <n v="19.3"/>
    <n v="19.3"/>
    <s v="Average"/>
    <s v="Fantasy"/>
    <x v="8"/>
  </r>
  <r>
    <s v="tt1000394"/>
    <s v="Dark Journey 287"/>
    <n v="2017"/>
    <n v="2010"/>
    <x v="2"/>
    <n v="138"/>
    <s v="Long"/>
    <s v="A critically acclaimed fantasy masterpiece."/>
    <s v="Frank Darabont"/>
    <s v="Margot Robbie, Daniel Day-Lewis, Meryl Streep, Viola Davis, Tom Hanks"/>
    <n v="13569"/>
    <n v="19.3"/>
    <n v="19.3"/>
    <s v="Average"/>
    <s v=" Western"/>
    <x v="11"/>
  </r>
  <r>
    <s v="tt1000699"/>
    <s v="Final Story 592"/>
    <n v="2016"/>
    <n v="2010"/>
    <x v="0"/>
    <n v="98"/>
    <s v="Medium"/>
    <s v="A war film set in 2016."/>
    <s v="Coen Brothers"/>
    <s v="Amy Adams, Al Pacino, Florence Pugh"/>
    <n v="204195"/>
    <m/>
    <n v="0"/>
    <s v="Average"/>
    <s v="War"/>
    <x v="2"/>
  </r>
  <r>
    <s v="tt1000699"/>
    <s v="Final Story 592"/>
    <n v="2016"/>
    <n v="2010"/>
    <x v="0"/>
    <n v="98"/>
    <s v="Medium"/>
    <s v="A war film set in 2016."/>
    <s v="Coen Brothers"/>
    <s v="Amy Adams, Al Pacino, Florence Pugh"/>
    <n v="204195"/>
    <m/>
    <n v="0"/>
    <s v="Average"/>
    <s v=" Drama"/>
    <x v="14"/>
  </r>
  <r>
    <s v="tt1000725"/>
    <s v="Secret Chronicles 618"/>
    <n v="2016"/>
    <n v="2010"/>
    <x v="2"/>
    <n v="161"/>
    <s v="Long"/>
    <s v="An epic documentary tale directed by Ava DuVernay."/>
    <s v="Ava DuVernay"/>
    <s v="Robert De Niro, Al Pacino, Mark Ruffalo, Morgan Freeman, Harrison Ford"/>
    <n v="78992"/>
    <n v="287.2"/>
    <n v="287.2"/>
    <s v="Blockbuster"/>
    <s v="Documentary"/>
    <x v="13"/>
  </r>
  <r>
    <s v="tt1000725"/>
    <s v="Secret Chronicles 618"/>
    <n v="2016"/>
    <n v="2010"/>
    <x v="2"/>
    <n v="161"/>
    <s v="Long"/>
    <s v="An epic documentary tale directed by Ava DuVernay."/>
    <s v="Ava DuVernay"/>
    <s v="Robert De Niro, Al Pacino, Mark Ruffalo, Morgan Freeman, Harrison Ford"/>
    <n v="78992"/>
    <n v="287.2"/>
    <n v="287.2"/>
    <s v="Blockbuster"/>
    <s v=" Mystery"/>
    <x v="4"/>
  </r>
  <r>
    <s v="tt1000725"/>
    <s v="Secret Chronicles 618"/>
    <n v="2016"/>
    <n v="2010"/>
    <x v="2"/>
    <n v="161"/>
    <s v="Long"/>
    <s v="An epic documentary tale directed by Ava DuVernay."/>
    <s v="Ava DuVernay"/>
    <s v="Robert De Niro, Al Pacino, Mark Ruffalo, Morgan Freeman, Harrison Ford"/>
    <n v="78992"/>
    <n v="287.2"/>
    <n v="287.2"/>
    <s v="Blockbuster"/>
    <s v=" Musical"/>
    <x v="1"/>
  </r>
  <r>
    <s v="tt1000214"/>
    <s v="Dark Kingdom 107"/>
    <n v="2022"/>
    <n v="2020"/>
    <x v="3"/>
    <n v="114"/>
    <s v="Medium"/>
    <s v="An epic documentary tale directed by Ryan Coogler."/>
    <s v="Ryan Coogler"/>
    <s v="Brad Pitt, Samuel L. Jackson, Florence Pugh"/>
    <n v="41414"/>
    <m/>
    <n v="0"/>
    <s v="Average"/>
    <s v="Documentary"/>
    <x v="13"/>
  </r>
  <r>
    <s v="tt1000214"/>
    <s v="Dark Kingdom 107"/>
    <n v="2022"/>
    <n v="2020"/>
    <x v="3"/>
    <n v="114"/>
    <s v="Medium"/>
    <s v="An epic documentary tale directed by Ryan Coogler."/>
    <s v="Ryan Coogler"/>
    <s v="Brad Pitt, Samuel L. Jackson, Florence Pugh"/>
    <n v="41414"/>
    <m/>
    <n v="0"/>
    <s v="Average"/>
    <s v=" Sci-Fi"/>
    <x v="16"/>
  </r>
  <r>
    <s v="tt1000214"/>
    <s v="Dark Kingdom 107"/>
    <n v="2022"/>
    <n v="2020"/>
    <x v="3"/>
    <n v="114"/>
    <s v="Medium"/>
    <s v="An epic documentary tale directed by Ryan Coogler."/>
    <s v="Ryan Coogler"/>
    <s v="Brad Pitt, Samuel L. Jackson, Florence Pugh"/>
    <n v="41414"/>
    <m/>
    <n v="0"/>
    <s v="Average"/>
    <s v=" Thriller"/>
    <x v="17"/>
  </r>
  <r>
    <s v="tt1000787"/>
    <s v="A Mystery 680"/>
    <n v="2023"/>
    <n v="2020"/>
    <x v="1"/>
    <n v="92"/>
    <s v="Medium"/>
    <s v="An epic sci-fi tale directed by Christopher Nolan."/>
    <s v="Christopher Nolan"/>
    <s v="Leonardo DiCaprio, Denzel Washington, Anthony Hopkins, Morgan Freeman"/>
    <n v="317753"/>
    <m/>
    <n v="0"/>
    <s v="Average"/>
    <s v="Sci-Fi"/>
    <x v="16"/>
  </r>
  <r>
    <s v="tt1000787"/>
    <s v="A Mystery 680"/>
    <n v="2023"/>
    <n v="2020"/>
    <x v="1"/>
    <n v="92"/>
    <s v="Medium"/>
    <s v="An epic sci-fi tale directed by Christopher Nolan."/>
    <s v="Christopher Nolan"/>
    <s v="Leonardo DiCaprio, Denzel Washington, Anthony Hopkins, Morgan Freeman"/>
    <n v="317753"/>
    <m/>
    <n v="0"/>
    <s v="Average"/>
    <s v=" Thriller"/>
    <x v="17"/>
  </r>
  <r>
    <s v="tt1000777"/>
    <s v="Secret War 670"/>
    <n v="2012"/>
    <n v="2010"/>
    <x v="1"/>
    <n v="118"/>
    <s v="Medium"/>
    <s v="An epic war tale directed by George Lucas."/>
    <s v="George Lucas"/>
    <s v="Keanu Reeves, Florence Pugh, Meryl Streep"/>
    <n v="35047"/>
    <n v="482.45"/>
    <n v="482.45"/>
    <s v="Blockbuster"/>
    <s v="War"/>
    <x v="2"/>
  </r>
  <r>
    <s v="tt1000525"/>
    <s v="First Legend 418"/>
    <n v="2003"/>
    <n v="2000"/>
    <x v="2"/>
    <n v="119"/>
    <s v="Medium"/>
    <s v="An epic sci-fi tale directed by Robert Zemeckis."/>
    <s v="Robert Zemeckis"/>
    <s v="Jennifer Lawrence, Natalie Portman, Scarlett Johansson, Denzel Washington"/>
    <n v="343557"/>
    <n v="181.18"/>
    <n v="181.18"/>
    <s v="Hit"/>
    <s v="Sci-Fi"/>
    <x v="16"/>
  </r>
  <r>
    <s v="tt1000525"/>
    <s v="First Legend 418"/>
    <n v="2003"/>
    <n v="2000"/>
    <x v="2"/>
    <n v="119"/>
    <s v="Medium"/>
    <s v="An epic sci-fi tale directed by Robert Zemeckis."/>
    <s v="Robert Zemeckis"/>
    <s v="Jennifer Lawrence, Natalie Portman, Scarlett Johansson, Denzel Washington"/>
    <n v="343557"/>
    <n v="181.18"/>
    <n v="181.18"/>
    <s v="Hit"/>
    <s v=" Romance"/>
    <x v="7"/>
  </r>
  <r>
    <s v="tt1000525"/>
    <s v="First Legend 418"/>
    <n v="2003"/>
    <n v="2000"/>
    <x v="2"/>
    <n v="119"/>
    <s v="Medium"/>
    <s v="An epic sci-fi tale directed by Robert Zemeckis."/>
    <s v="Robert Zemeckis"/>
    <s v="Jennifer Lawrence, Natalie Portman, Scarlett Johansson, Denzel Washington"/>
    <n v="343557"/>
    <n v="181.18"/>
    <n v="181.18"/>
    <s v="Hit"/>
    <s v=" Western"/>
    <x v="11"/>
  </r>
  <r>
    <s v="tt1000943"/>
    <s v="Lost Revolution 836"/>
    <n v="2002"/>
    <n v="2000"/>
    <x v="3"/>
    <n v="112"/>
    <s v="Medium"/>
    <s v="An epic adventure tale directed by Akira Kurosawa."/>
    <s v="Akira Kurosawa"/>
    <s v="Brad Pitt, Scarlett Johansson, Al Pacino"/>
    <n v="14962"/>
    <n v="172.72"/>
    <n v="172.72"/>
    <s v="Hit"/>
    <s v="Adventure"/>
    <x v="9"/>
  </r>
  <r>
    <s v="tt1000173"/>
    <s v="Dark Legend 66"/>
    <n v="1997"/>
    <n v="1990"/>
    <x v="1"/>
    <n v="135"/>
    <s v="Long"/>
    <s v="A thrilling animation adventure."/>
    <s v="James Cameron"/>
    <s v="Scarlett Johansson, Kate Winslet, Christian Bale, Jack Nicholson, Natalie Portman"/>
    <n v="135271"/>
    <n v="296.61"/>
    <n v="296.61"/>
    <s v="Blockbuster"/>
    <s v="Animation"/>
    <x v="3"/>
  </r>
  <r>
    <s v="tt1000173"/>
    <s v="Dark Legend 66"/>
    <n v="1997"/>
    <n v="1990"/>
    <x v="1"/>
    <n v="135"/>
    <s v="Long"/>
    <s v="A thrilling animation adventure."/>
    <s v="James Cameron"/>
    <s v="Scarlett Johansson, Kate Winslet, Christian Bale, Jack Nicholson, Natalie Portman"/>
    <n v="135271"/>
    <n v="296.61"/>
    <n v="296.61"/>
    <s v="Blockbuster"/>
    <s v=" Sci-Fi"/>
    <x v="16"/>
  </r>
  <r>
    <s v="tt1000578"/>
    <s v="The Secrets 471"/>
    <n v="2022"/>
    <n v="2020"/>
    <x v="1"/>
    <n v="135"/>
    <s v="Long"/>
    <s v="A fantasy film set in 2022."/>
    <s v="David Fincher"/>
    <s v="TimothÃ©e Chalamet, Emma Stone, Johnny Depp"/>
    <n v="12326"/>
    <n v="372.15"/>
    <n v="372.15"/>
    <s v="Blockbuster"/>
    <s v="Fantasy"/>
    <x v="8"/>
  </r>
  <r>
    <s v="tt1000578"/>
    <s v="The Secrets 471"/>
    <n v="2022"/>
    <n v="2020"/>
    <x v="1"/>
    <n v="135"/>
    <s v="Long"/>
    <s v="A fantasy film set in 2022."/>
    <s v="David Fincher"/>
    <s v="TimothÃ©e Chalamet, Emma Stone, Johnny Depp"/>
    <n v="12326"/>
    <n v="372.15"/>
    <n v="372.15"/>
    <s v="Blockbuster"/>
    <s v=" Adventure"/>
    <x v="9"/>
  </r>
  <r>
    <s v="tt1000578"/>
    <s v="The Secrets 471"/>
    <n v="2022"/>
    <n v="2020"/>
    <x v="1"/>
    <n v="135"/>
    <s v="Long"/>
    <s v="A fantasy film set in 2022."/>
    <s v="David Fincher"/>
    <s v="TimothÃ©e Chalamet, Emma Stone, Johnny Depp"/>
    <n v="12326"/>
    <n v="372.15"/>
    <n v="372.15"/>
    <s v="Blockbuster"/>
    <s v=" Mystery"/>
    <x v="4"/>
  </r>
  <r>
    <s v="tt1000175"/>
    <s v="First Awakening 68"/>
    <n v="1991"/>
    <n v="1990"/>
    <x v="2"/>
    <n v="83"/>
    <s v="Short"/>
    <s v="An epic animation tale directed by Quentin Tarantino."/>
    <s v="Quentin Tarantino"/>
    <s v="Viola Davis, Kate Winslet, Leonardo DiCaprio"/>
    <n v="64352"/>
    <n v="16.14"/>
    <n v="16.14"/>
    <s v="Average"/>
    <s v="Animation"/>
    <x v="3"/>
  </r>
  <r>
    <s v="tt1000175"/>
    <s v="First Awakening 68"/>
    <n v="1991"/>
    <n v="1990"/>
    <x v="2"/>
    <n v="83"/>
    <s v="Short"/>
    <s v="An epic animation tale directed by Quentin Tarantino."/>
    <s v="Quentin Tarantino"/>
    <s v="Viola Davis, Kate Winslet, Leonardo DiCaprio"/>
    <n v="64352"/>
    <n v="16.14"/>
    <n v="16.14"/>
    <s v="Average"/>
    <s v=" Documentary"/>
    <x v="13"/>
  </r>
  <r>
    <s v="tt1000979"/>
    <s v="First Chronicles 872"/>
    <n v="2012"/>
    <n v="2010"/>
    <x v="0"/>
    <n v="115"/>
    <s v="Medium"/>
    <s v="An epic romance tale directed by Francis Ford Coppola."/>
    <s v="Francis Ford Coppola"/>
    <s v="Margot Robbie, Denzel Washington, Emma Stone, Gary Oldman, Matt Damon"/>
    <n v="33232"/>
    <n v="309.91000000000003"/>
    <n v="309.91000000000003"/>
    <s v="Blockbuster"/>
    <s v="Romance"/>
    <x v="7"/>
  </r>
  <r>
    <s v="tt1000716"/>
    <s v="An Quest 609"/>
    <n v="2024"/>
    <n v="2020"/>
    <x v="2"/>
    <n v="117"/>
    <s v="Medium"/>
    <s v="A thrilling documentary adventure."/>
    <s v="Greta Gerwig"/>
    <s v="Natalie Portman, Johnny Depp, Margot Robbie, Christian Bale, Cate Blanchett"/>
    <n v="45991"/>
    <n v="160.53"/>
    <n v="160.53"/>
    <s v="Hit"/>
    <s v="Documentary"/>
    <x v="13"/>
  </r>
  <r>
    <s v="tt1000716"/>
    <s v="An Quest 609"/>
    <n v="2024"/>
    <n v="2020"/>
    <x v="2"/>
    <n v="117"/>
    <s v="Medium"/>
    <s v="A thrilling documentary adventure."/>
    <s v="Greta Gerwig"/>
    <s v="Natalie Portman, Johnny Depp, Margot Robbie, Christian Bale, Cate Blanchett"/>
    <n v="45991"/>
    <n v="160.53"/>
    <n v="160.53"/>
    <s v="Hit"/>
    <s v=" Musical"/>
    <x v="1"/>
  </r>
  <r>
    <s v="tt1000244"/>
    <s v="Lost Adventures 137"/>
    <n v="2021"/>
    <n v="2020"/>
    <x v="0"/>
    <n v="128"/>
    <s v="Long"/>
    <s v="A critically acclaimed sci-fi masterpiece."/>
    <s v="Park Chan-wook"/>
    <s v="TimothÃ©e Chalamet, Emma Stone, Gary Oldman, Denzel Washington, Tom Cruise"/>
    <n v="280332"/>
    <n v="242.51"/>
    <n v="242.51"/>
    <s v="Blockbuster"/>
    <s v="Sci-Fi"/>
    <x v="16"/>
  </r>
  <r>
    <s v="tt1000240"/>
    <s v="Final Story 133"/>
    <n v="2002"/>
    <n v="2000"/>
    <x v="2"/>
    <n v="126"/>
    <s v="Long"/>
    <s v="A comedy film set in 2002."/>
    <s v="Spike Lee"/>
    <s v="Tom Cruise, Gary Oldman, Natalie Portman, Denzel Washington"/>
    <n v="7924"/>
    <m/>
    <n v="0"/>
    <s v="Average"/>
    <s v="Comedy"/>
    <x v="15"/>
  </r>
  <r>
    <s v="tt1000240"/>
    <s v="Final Story 133"/>
    <n v="2002"/>
    <n v="2000"/>
    <x v="2"/>
    <n v="126"/>
    <s v="Long"/>
    <s v="A comedy film set in 2002."/>
    <s v="Spike Lee"/>
    <s v="Tom Cruise, Gary Oldman, Natalie Portman, Denzel Washington"/>
    <n v="7924"/>
    <m/>
    <n v="0"/>
    <s v="Average"/>
    <s v=" Romance"/>
    <x v="7"/>
  </r>
  <r>
    <s v="tt1000240"/>
    <s v="Final Story 133"/>
    <n v="2002"/>
    <n v="2000"/>
    <x v="2"/>
    <n v="126"/>
    <s v="Long"/>
    <s v="A comedy film set in 2002."/>
    <s v="Spike Lee"/>
    <s v="Tom Cruise, Gary Oldman, Natalie Portman, Denzel Washington"/>
    <n v="7924"/>
    <m/>
    <n v="0"/>
    <s v="Average"/>
    <s v=" Musical"/>
    <x v="1"/>
  </r>
  <r>
    <s v="tt1000584"/>
    <s v="A Destiny 477"/>
    <n v="2018"/>
    <n v="2010"/>
    <x v="4"/>
    <n v="106"/>
    <s v="Medium"/>
    <s v="An epic romance tale directed by Akira Kurosawa."/>
    <s v="Akira Kurosawa"/>
    <s v="Johnny Depp, Emma Stone, Tom Cruise, Robert Downey Jr., Mark Ruffalo"/>
    <n v="128901"/>
    <m/>
    <n v="0"/>
    <s v="Average"/>
    <s v="Romance"/>
    <x v="7"/>
  </r>
  <r>
    <s v="tt1000584"/>
    <s v="A Destiny 477"/>
    <n v="2018"/>
    <n v="2010"/>
    <x v="4"/>
    <n v="106"/>
    <s v="Medium"/>
    <s v="An epic romance tale directed by Akira Kurosawa."/>
    <s v="Akira Kurosawa"/>
    <s v="Johnny Depp, Emma Stone, Tom Cruise, Robert Downey Jr., Mark Ruffalo"/>
    <n v="128901"/>
    <m/>
    <n v="0"/>
    <s v="Average"/>
    <s v=" Thriller"/>
    <x v="17"/>
  </r>
  <r>
    <s v="tt1000354"/>
    <s v="Dark Quest 247"/>
    <n v="2005"/>
    <n v="2000"/>
    <x v="1"/>
    <n v="142"/>
    <s v="Long"/>
    <s v="A sci-fi film set in 2005."/>
    <s v="Ang Lee"/>
    <s v="Samuel L. Jackson, Morgan Freeman, Margot Robbie"/>
    <n v="34764"/>
    <n v="465.86"/>
    <n v="465.86"/>
    <s v="Blockbuster"/>
    <s v="Sci-Fi"/>
    <x v="16"/>
  </r>
  <r>
    <s v="tt1000354"/>
    <s v="Dark Quest 247"/>
    <n v="2005"/>
    <n v="2000"/>
    <x v="1"/>
    <n v="142"/>
    <s v="Long"/>
    <s v="A sci-fi film set in 2005."/>
    <s v="Ang Lee"/>
    <s v="Samuel L. Jackson, Morgan Freeman, Margot Robbie"/>
    <n v="34764"/>
    <n v="465.86"/>
    <n v="465.86"/>
    <s v="Blockbuster"/>
    <s v=" Comedy"/>
    <x v="15"/>
  </r>
  <r>
    <s v="tt1000354"/>
    <s v="Dark Quest 247"/>
    <n v="2005"/>
    <n v="2000"/>
    <x v="1"/>
    <n v="142"/>
    <s v="Long"/>
    <s v="A sci-fi film set in 2005."/>
    <s v="Ang Lee"/>
    <s v="Samuel L. Jackson, Morgan Freeman, Margot Robbie"/>
    <n v="34764"/>
    <n v="465.86"/>
    <n v="465.86"/>
    <s v="Blockbuster"/>
    <s v=" Mystery"/>
    <x v="4"/>
  </r>
  <r>
    <s v="tt1000755"/>
    <s v="Final Secrets 648"/>
    <n v="2000"/>
    <n v="2000"/>
    <x v="1"/>
    <n v="143"/>
    <s v="Long"/>
    <s v="A war film set in 2000."/>
    <s v="Park Chan-wook"/>
    <s v="Zendaya, Jennifer Lawrence, Will Smith, Kate Winslet"/>
    <n v="96710"/>
    <n v="102.04"/>
    <n v="102.04"/>
    <s v="Hit"/>
    <s v="War"/>
    <x v="2"/>
  </r>
  <r>
    <s v="tt1000510"/>
    <s v="Secret War 403"/>
    <n v="2022"/>
    <n v="2020"/>
    <x v="2"/>
    <n v="122"/>
    <s v="Long"/>
    <s v="An epic documentary tale directed by Wes Anderson."/>
    <s v="Wes Anderson"/>
    <s v="Will Smith, Mark Ruffalo, Morgan Freeman, Christian Bale"/>
    <n v="97221"/>
    <n v="465.03"/>
    <n v="465.03"/>
    <s v="Blockbuster"/>
    <s v="Documentary"/>
    <x v="13"/>
  </r>
  <r>
    <s v="tt1000510"/>
    <s v="Secret War 403"/>
    <n v="2022"/>
    <n v="2020"/>
    <x v="2"/>
    <n v="122"/>
    <s v="Long"/>
    <s v="An epic documentary tale directed by Wes Anderson."/>
    <s v="Wes Anderson"/>
    <s v="Will Smith, Mark Ruffalo, Morgan Freeman, Christian Bale"/>
    <n v="97221"/>
    <n v="465.03"/>
    <n v="465.03"/>
    <s v="Blockbuster"/>
    <s v=" Family"/>
    <x v="10"/>
  </r>
  <r>
    <s v="tt1000932"/>
    <s v="Secret Kingdom 825"/>
    <n v="2007"/>
    <n v="2000"/>
    <x v="0"/>
    <n v="131"/>
    <s v="Long"/>
    <s v="A thrilling fantasy adventure."/>
    <s v="Ang Lee"/>
    <s v="Tom Hanks, Robert De Niro, Jack Nicholson, Brad Pitt, Scarlett Johansson"/>
    <n v="34910"/>
    <n v="430.32"/>
    <n v="430.32"/>
    <s v="Blockbuster"/>
    <s v="Fantasy"/>
    <x v="8"/>
  </r>
  <r>
    <s v="tt1000932"/>
    <s v="Secret Kingdom 825"/>
    <n v="2007"/>
    <n v="2000"/>
    <x v="0"/>
    <n v="131"/>
    <s v="Long"/>
    <s v="A thrilling fantasy adventure."/>
    <s v="Ang Lee"/>
    <s v="Tom Hanks, Robert De Niro, Jack Nicholson, Brad Pitt, Scarlett Johansson"/>
    <n v="34910"/>
    <n v="430.32"/>
    <n v="430.32"/>
    <s v="Blockbuster"/>
    <s v=" Mystery"/>
    <x v="4"/>
  </r>
  <r>
    <s v="tt1000989"/>
    <s v="Lost Kingdom 882"/>
    <n v="2005"/>
    <n v="2000"/>
    <x v="0"/>
    <n v="108"/>
    <s v="Medium"/>
    <s v="A mystery film set in 2005."/>
    <s v="Wong Kar-wai"/>
    <s v="Tom Hanks, Viola Davis, Harrison Ford, Edward Norton, Daniel Day-Lewis"/>
    <n v="89777"/>
    <n v="498"/>
    <n v="498"/>
    <s v="Blockbuster"/>
    <s v="Mystery"/>
    <x v="4"/>
  </r>
  <r>
    <s v="tt1000989"/>
    <s v="Lost Kingdom 882"/>
    <n v="2005"/>
    <n v="2000"/>
    <x v="0"/>
    <n v="108"/>
    <s v="Medium"/>
    <s v="A mystery film set in 2005."/>
    <s v="Wong Kar-wai"/>
    <s v="Tom Hanks, Viola Davis, Harrison Ford, Edward Norton, Daniel Day-Lewis"/>
    <n v="89777"/>
    <n v="498"/>
    <n v="498"/>
    <s v="Blockbuster"/>
    <s v=" Fantasy"/>
    <x v="8"/>
  </r>
  <r>
    <s v="tt1000450"/>
    <s v="Last Quest 343"/>
    <n v="2001"/>
    <n v="2000"/>
    <x v="0"/>
    <n v="96"/>
    <s v="Medium"/>
    <s v="A thrilling fantasy adventure."/>
    <s v="Edgar Wright"/>
    <s v="Margot Robbie, Matt Damon, Kate Winslet, Leonardo DiCaprio, Robert De Niro"/>
    <n v="134887"/>
    <m/>
    <n v="0"/>
    <s v="Average"/>
    <s v="Fantasy"/>
    <x v="8"/>
  </r>
  <r>
    <s v="tt1000450"/>
    <s v="Last Quest 343"/>
    <n v="2001"/>
    <n v="2000"/>
    <x v="0"/>
    <n v="96"/>
    <s v="Medium"/>
    <s v="A thrilling fantasy adventure."/>
    <s v="Edgar Wright"/>
    <s v="Margot Robbie, Matt Damon, Kate Winslet, Leonardo DiCaprio, Robert De Niro"/>
    <n v="134887"/>
    <m/>
    <n v="0"/>
    <s v="Average"/>
    <s v=" Family"/>
    <x v="10"/>
  </r>
  <r>
    <s v="tt1000601"/>
    <s v="The Dreams 494"/>
    <n v="2010"/>
    <n v="2010"/>
    <x v="2"/>
    <n v="89"/>
    <s v="Short"/>
    <s v="An epic family tale directed by Clint Eastwood."/>
    <s v="Clint Eastwood"/>
    <s v="Kate Winslet, Robert Downey Jr., Scarlett Johansson, Cate Blanchett"/>
    <n v="5562"/>
    <n v="230.26"/>
    <n v="230.26"/>
    <s v="Blockbuster"/>
    <s v="Family"/>
    <x v="10"/>
  </r>
  <r>
    <s v="tt1000504"/>
    <s v="An Revolution 397"/>
    <n v="2008"/>
    <n v="2000"/>
    <x v="1"/>
    <n v="105"/>
    <s v="Medium"/>
    <s v="An epic fantasy tale directed by Denis Villeneuve."/>
    <s v="Denis Villeneuve"/>
    <s v="Leonardo DiCaprio, Denzel Washington, Margot Robbie"/>
    <n v="52890"/>
    <m/>
    <n v="0"/>
    <s v="Average"/>
    <s v="Fantasy"/>
    <x v="8"/>
  </r>
  <r>
    <s v="tt1000504"/>
    <s v="An Revolution 397"/>
    <n v="2008"/>
    <n v="2000"/>
    <x v="1"/>
    <n v="105"/>
    <s v="Medium"/>
    <s v="An epic fantasy tale directed by Denis Villeneuve."/>
    <s v="Denis Villeneuve"/>
    <s v="Leonardo DiCaprio, Denzel Washington, Margot Robbie"/>
    <n v="52890"/>
    <m/>
    <n v="0"/>
    <s v="Average"/>
    <s v=" Mystery"/>
    <x v="4"/>
  </r>
  <r>
    <s v="tt1000189"/>
    <s v="Lost Destiny 82"/>
    <n v="1989"/>
    <n v="1980"/>
    <x v="0"/>
    <n v="99"/>
    <s v="Medium"/>
    <s v="A thrilling western adventure."/>
    <s v="Kathryn Bigelow"/>
    <s v="Johnny Depp, Christian Bale, TimothÃ©e Chalamet, Gary Oldman"/>
    <n v="21202"/>
    <n v="203.59"/>
    <n v="203.59"/>
    <s v="Blockbuster"/>
    <s v="Western"/>
    <x v="11"/>
  </r>
  <r>
    <s v="tt1000189"/>
    <s v="Lost Destiny 82"/>
    <n v="1989"/>
    <n v="1980"/>
    <x v="0"/>
    <n v="99"/>
    <s v="Medium"/>
    <s v="A thrilling western adventure."/>
    <s v="Kathryn Bigelow"/>
    <s v="Johnny Depp, Christian Bale, TimothÃ©e Chalamet, Gary Oldman"/>
    <n v="21202"/>
    <n v="203.59"/>
    <n v="203.59"/>
    <s v="Blockbuster"/>
    <s v=" Comedy"/>
    <x v="15"/>
  </r>
  <r>
    <s v="tt1000850"/>
    <s v="Last Love 743"/>
    <n v="2018"/>
    <n v="2010"/>
    <x v="1"/>
    <n v="88"/>
    <s v="Short"/>
    <s v="A thrilling western adventure."/>
    <s v="James Cameron"/>
    <s v="Christian Bale, Brad Pitt, Tom Hanks"/>
    <n v="990978"/>
    <m/>
    <n v="0"/>
    <s v="Average"/>
    <s v="Western"/>
    <x v="11"/>
  </r>
  <r>
    <s v="tt1000417"/>
    <s v="First Revolution 310"/>
    <n v="2018"/>
    <n v="2010"/>
    <x v="2"/>
    <n v="136"/>
    <s v="Long"/>
    <s v="An epic mystery tale directed by Park Chan-wook."/>
    <s v="Park Chan-wook"/>
    <s v="Viola Davis, Scarlett Johansson, Leonardo DiCaprio"/>
    <n v="104933"/>
    <n v="174.47"/>
    <n v="174.47"/>
    <s v="Hit"/>
    <s v="Mystery"/>
    <x v="4"/>
  </r>
  <r>
    <s v="tt1000330"/>
    <s v="First War 223"/>
    <n v="2005"/>
    <n v="2000"/>
    <x v="1"/>
    <n v="124"/>
    <s v="Long"/>
    <s v="A critically acclaimed animation masterpiece."/>
    <s v="Kathryn Bigelow"/>
    <s v="Denzel Washington, Tom Hanks, Meryl Streep, Brad Pitt"/>
    <n v="41325"/>
    <n v="201.78"/>
    <n v="201.78"/>
    <s v="Blockbuster"/>
    <s v="Animation"/>
    <x v="3"/>
  </r>
  <r>
    <s v="tt1000330"/>
    <s v="First War 223"/>
    <n v="2005"/>
    <n v="2000"/>
    <x v="1"/>
    <n v="124"/>
    <s v="Long"/>
    <s v="A critically acclaimed animation masterpiece."/>
    <s v="Kathryn Bigelow"/>
    <s v="Denzel Washington, Tom Hanks, Meryl Streep, Brad Pitt"/>
    <n v="41325"/>
    <n v="201.78"/>
    <n v="201.78"/>
    <s v="Blockbuster"/>
    <s v=" Biography"/>
    <x v="5"/>
  </r>
  <r>
    <s v="tt1000672"/>
    <s v="Last Awakening 565"/>
    <n v="2024"/>
    <n v="2020"/>
    <x v="5"/>
    <n v="114"/>
    <s v="Medium"/>
    <s v="A critically acclaimed adventure masterpiece."/>
    <s v="Edgar Wright"/>
    <s v="Harrison Ford, Natalie Portman, Edward Norton"/>
    <n v="155302"/>
    <n v="230.34"/>
    <n v="230.34"/>
    <s v="Blockbuster"/>
    <s v="Adventure"/>
    <x v="9"/>
  </r>
  <r>
    <s v="tt1000672"/>
    <s v="Last Awakening 565"/>
    <n v="2024"/>
    <n v="2020"/>
    <x v="5"/>
    <n v="114"/>
    <s v="Medium"/>
    <s v="A critically acclaimed adventure masterpiece."/>
    <s v="Edgar Wright"/>
    <s v="Harrison Ford, Natalie Portman, Edward Norton"/>
    <n v="155302"/>
    <n v="230.34"/>
    <n v="230.34"/>
    <s v="Blockbuster"/>
    <s v=" Action"/>
    <x v="0"/>
  </r>
  <r>
    <s v="tt1000127"/>
    <s v="The Kingdom 20"/>
    <n v="1983"/>
    <n v="1980"/>
    <x v="0"/>
    <n v="108"/>
    <s v="Medium"/>
    <s v="An epic documentary tale directed by Danny Boyle."/>
    <s v="Danny Boyle"/>
    <s v="Christian Bale, Meryl Streep, Mark Ruffalo, Viola Davis"/>
    <n v="16326"/>
    <n v="184.66"/>
    <n v="184.66"/>
    <s v="Hit"/>
    <s v="Documentary"/>
    <x v="13"/>
  </r>
  <r>
    <s v="tt1000127"/>
    <s v="The Kingdom 20"/>
    <n v="1983"/>
    <n v="1980"/>
    <x v="0"/>
    <n v="108"/>
    <s v="Medium"/>
    <s v="An epic documentary tale directed by Danny Boyle."/>
    <s v="Danny Boyle"/>
    <s v="Christian Bale, Meryl Streep, Mark Ruffalo, Viola Davis"/>
    <n v="16326"/>
    <n v="184.66"/>
    <n v="184.66"/>
    <s v="Hit"/>
    <s v=" Crime"/>
    <x v="6"/>
  </r>
  <r>
    <s v="tt1000605"/>
    <s v="Lost Legend 498"/>
    <n v="2002"/>
    <n v="2000"/>
    <x v="2"/>
    <n v="102"/>
    <s v="Medium"/>
    <s v="A thrilling romance adventure."/>
    <s v="Ron Howard"/>
    <s v="Tom Cruise, Keanu Reeves, Chris Hemsworth"/>
    <n v="20358"/>
    <m/>
    <n v="0"/>
    <s v="Average"/>
    <s v="Romance"/>
    <x v="7"/>
  </r>
  <r>
    <s v="tt1000960"/>
    <s v="Last Awakening 853"/>
    <n v="2010"/>
    <n v="2010"/>
    <x v="1"/>
    <n v="75"/>
    <s v="Short"/>
    <s v="A documentary film set in 2010."/>
    <s v="Robert Zemeckis"/>
    <s v="Tom Cruise, Leonardo DiCaprio, Matt Damon, Natalie Portman, Tom Hanks"/>
    <n v="24093"/>
    <m/>
    <n v="0"/>
    <s v="Average"/>
    <s v="Documentary"/>
    <x v="13"/>
  </r>
  <r>
    <s v="tt1000957"/>
    <s v="Last Legend 850"/>
    <n v="2008"/>
    <n v="2000"/>
    <x v="3"/>
    <n v="129"/>
    <s v="Long"/>
    <s v="A critically acclaimed action masterpiece."/>
    <s v="Quentin Tarantino"/>
    <s v="Jennifer Lawrence, Natalie Portman, Zendaya, Cate Blanchett"/>
    <n v="24911"/>
    <n v="486.51"/>
    <n v="486.51"/>
    <s v="Blockbuster"/>
    <s v="Action"/>
    <x v="0"/>
  </r>
  <r>
    <s v="tt1000957"/>
    <s v="Last Legend 850"/>
    <n v="2008"/>
    <n v="2000"/>
    <x v="3"/>
    <n v="129"/>
    <s v="Long"/>
    <s v="A critically acclaimed action masterpiece."/>
    <s v="Quentin Tarantino"/>
    <s v="Jennifer Lawrence, Natalie Portman, Zendaya, Cate Blanchett"/>
    <n v="24911"/>
    <n v="486.51"/>
    <n v="486.51"/>
    <s v="Blockbuster"/>
    <s v=" Mystery"/>
    <x v="4"/>
  </r>
  <r>
    <s v="tt1000965"/>
    <s v="First Love 858"/>
    <n v="2023"/>
    <n v="2020"/>
    <x v="0"/>
    <n v="198"/>
    <s v="Long"/>
    <s v="An epic sci-fi tale directed by Steven Spielberg."/>
    <s v="Steven Spielberg"/>
    <s v="Cate Blanchett, Denzel Washington, Tom Cruise"/>
    <n v="795753"/>
    <n v="349.91"/>
    <n v="349.91"/>
    <s v="Blockbuster"/>
    <s v="Sci-Fi"/>
    <x v="16"/>
  </r>
  <r>
    <s v="tt1000147"/>
    <s v="Secret Destiny 40"/>
    <n v="1988"/>
    <n v="1980"/>
    <x v="0"/>
    <n v="119"/>
    <s v="Medium"/>
    <s v="An epic action tale directed by Greta Gerwig."/>
    <s v="Greta Gerwig"/>
    <s v="Mark Ruffalo, Zendaya, Robert De Niro, Margot Robbie"/>
    <n v="31429"/>
    <n v="142.57"/>
    <n v="142.57"/>
    <s v="Hit"/>
    <s v="Action"/>
    <x v="0"/>
  </r>
  <r>
    <s v="tt1000147"/>
    <s v="Secret Destiny 40"/>
    <n v="1988"/>
    <n v="1980"/>
    <x v="0"/>
    <n v="119"/>
    <s v="Medium"/>
    <s v="An epic action tale directed by Greta Gerwig."/>
    <s v="Greta Gerwig"/>
    <s v="Mark Ruffalo, Zendaya, Robert De Niro, Margot Robbie"/>
    <n v="31429"/>
    <n v="142.57"/>
    <n v="142.57"/>
    <s v="Hit"/>
    <s v=" Sci-Fi"/>
    <x v="16"/>
  </r>
  <r>
    <s v="tt1000147"/>
    <s v="Secret Destiny 40"/>
    <n v="1988"/>
    <n v="1980"/>
    <x v="0"/>
    <n v="119"/>
    <s v="Medium"/>
    <s v="An epic action tale directed by Greta Gerwig."/>
    <s v="Greta Gerwig"/>
    <s v="Mark Ruffalo, Zendaya, Robert De Niro, Margot Robbie"/>
    <n v="31429"/>
    <n v="142.57"/>
    <n v="142.57"/>
    <s v="Hit"/>
    <s v=" Mystery"/>
    <x v="4"/>
  </r>
  <r>
    <s v="tt1000781"/>
    <s v="Lost Dreams 674"/>
    <n v="2020"/>
    <n v="2020"/>
    <x v="2"/>
    <n v="109"/>
    <s v="Medium"/>
    <s v="An epic sci-fi tale directed by James Cameron."/>
    <s v="James Cameron"/>
    <s v="Christian Bale, Viola Davis, Robert De Niro"/>
    <n v="310434"/>
    <n v="30.48"/>
    <n v="30.48"/>
    <s v="Average"/>
    <s v="Sci-Fi"/>
    <x v="16"/>
  </r>
  <r>
    <s v="tt1000781"/>
    <s v="Lost Dreams 674"/>
    <n v="2020"/>
    <n v="2020"/>
    <x v="2"/>
    <n v="109"/>
    <s v="Medium"/>
    <s v="An epic sci-fi tale directed by James Cameron."/>
    <s v="James Cameron"/>
    <s v="Christian Bale, Viola Davis, Robert De Niro"/>
    <n v="310434"/>
    <n v="30.48"/>
    <n v="30.48"/>
    <s v="Average"/>
    <s v=" Fantasy"/>
    <x v="8"/>
  </r>
  <r>
    <s v="tt1000694"/>
    <s v="Final War 587"/>
    <n v="2008"/>
    <n v="2000"/>
    <x v="0"/>
    <n v="91"/>
    <s v="Medium"/>
    <s v="A critically acclaimed comedy masterpiece."/>
    <s v="Ryan Coogler"/>
    <s v="Natalie Portman, Tom Cruise, Florence Pugh"/>
    <n v="26217"/>
    <n v="333.74"/>
    <n v="333.74"/>
    <s v="Blockbuster"/>
    <s v="Comedy"/>
    <x v="15"/>
  </r>
  <r>
    <s v="tt1000694"/>
    <s v="Final War 587"/>
    <n v="2008"/>
    <n v="2000"/>
    <x v="0"/>
    <n v="91"/>
    <s v="Medium"/>
    <s v="A critically acclaimed comedy masterpiece."/>
    <s v="Ryan Coogler"/>
    <s v="Natalie Portman, Tom Cruise, Florence Pugh"/>
    <n v="26217"/>
    <n v="333.74"/>
    <n v="333.74"/>
    <s v="Blockbuster"/>
    <s v=" Musical"/>
    <x v="1"/>
  </r>
  <r>
    <s v="tt1000531"/>
    <s v="First Empire 424"/>
    <n v="2010"/>
    <n v="2010"/>
    <x v="0"/>
    <n v="138"/>
    <s v="Long"/>
    <s v="An epic comedy tale directed by Greta Gerwig."/>
    <s v="Greta Gerwig"/>
    <s v="Mark Ruffalo, Cate Blanchett, Meryl Streep"/>
    <n v="13166"/>
    <n v="148.28"/>
    <n v="148.28"/>
    <s v="Hit"/>
    <s v="Comedy"/>
    <x v="15"/>
  </r>
  <r>
    <s v="tt1000531"/>
    <s v="First Empire 424"/>
    <n v="2010"/>
    <n v="2010"/>
    <x v="0"/>
    <n v="138"/>
    <s v="Long"/>
    <s v="An epic comedy tale directed by Greta Gerwig."/>
    <s v="Greta Gerwig"/>
    <s v="Mark Ruffalo, Cate Blanchett, Meryl Streep"/>
    <n v="13166"/>
    <n v="148.28"/>
    <n v="148.28"/>
    <s v="Hit"/>
    <s v=" Crime"/>
    <x v="6"/>
  </r>
  <r>
    <s v="tt1000181"/>
    <s v="A Mystery 74"/>
    <n v="1985"/>
    <n v="1980"/>
    <x v="0"/>
    <n v="148"/>
    <s v="Long"/>
    <s v="An epic horror tale directed by Bong Joon-ho."/>
    <s v="Bong Joon-ho"/>
    <s v="Jennifer Lawrence, Samuel L. Jackson, Natalie Portman"/>
    <n v="10870"/>
    <n v="109.29"/>
    <n v="109.29"/>
    <s v="Hit"/>
    <s v="Horror"/>
    <x v="12"/>
  </r>
  <r>
    <s v="tt1000181"/>
    <s v="A Mystery 74"/>
    <n v="1985"/>
    <n v="1980"/>
    <x v="0"/>
    <n v="148"/>
    <s v="Long"/>
    <s v="An epic horror tale directed by Bong Joon-ho."/>
    <s v="Bong Joon-ho"/>
    <s v="Jennifer Lawrence, Samuel L. Jackson, Natalie Portman"/>
    <n v="10870"/>
    <n v="109.29"/>
    <n v="109.29"/>
    <s v="Hit"/>
    <s v=" Adventure"/>
    <x v="9"/>
  </r>
  <r>
    <s v="tt1000181"/>
    <s v="A Mystery 74"/>
    <n v="1985"/>
    <n v="1980"/>
    <x v="0"/>
    <n v="148"/>
    <s v="Long"/>
    <s v="An epic horror tale directed by Bong Joon-ho."/>
    <s v="Bong Joon-ho"/>
    <s v="Jennifer Lawrence, Samuel L. Jackson, Natalie Portman"/>
    <n v="10870"/>
    <n v="109.29"/>
    <n v="109.29"/>
    <s v="Hit"/>
    <s v=" Crime"/>
    <x v="6"/>
  </r>
  <r>
    <s v="tt1000215"/>
    <s v="An Empire 108"/>
    <n v="2009"/>
    <n v="2000"/>
    <x v="2"/>
    <n v="114"/>
    <s v="Medium"/>
    <s v="A comedy film set in 2009."/>
    <s v="Ron Howard"/>
    <s v="Chris Hemsworth, Meryl Streep, Anthony Hopkins"/>
    <n v="55191"/>
    <n v="205.9"/>
    <n v="205.9"/>
    <s v="Blockbuster"/>
    <s v="Comedy"/>
    <x v="15"/>
  </r>
  <r>
    <s v="tt1000215"/>
    <s v="An Empire 108"/>
    <n v="2009"/>
    <n v="2000"/>
    <x v="2"/>
    <n v="114"/>
    <s v="Medium"/>
    <s v="A comedy film set in 2009."/>
    <s v="Ron Howard"/>
    <s v="Chris Hemsworth, Meryl Streep, Anthony Hopkins"/>
    <n v="55191"/>
    <n v="205.9"/>
    <n v="205.9"/>
    <s v="Blockbuster"/>
    <s v=" Mystery"/>
    <x v="4"/>
  </r>
  <r>
    <s v="tt1000215"/>
    <s v="An Empire 108"/>
    <n v="2009"/>
    <n v="2000"/>
    <x v="2"/>
    <n v="114"/>
    <s v="Medium"/>
    <s v="A comedy film set in 2009."/>
    <s v="Ron Howard"/>
    <s v="Chris Hemsworth, Meryl Streep, Anthony Hopkins"/>
    <n v="55191"/>
    <n v="205.9"/>
    <n v="205.9"/>
    <s v="Blockbuster"/>
    <s v=" Musical"/>
    <x v="1"/>
  </r>
  <r>
    <s v="tt1000583"/>
    <s v="An Chronicles 476"/>
    <n v="2016"/>
    <n v="2010"/>
    <x v="0"/>
    <n v="140"/>
    <s v="Long"/>
    <s v="A mystery film set in 2016."/>
    <s v="Spike Lee"/>
    <s v="Cate Blanchett, Meryl Streep, Tom Cruise, TimothÃ©e Chalamet"/>
    <n v="165514"/>
    <n v="456.06"/>
    <n v="456.06"/>
    <s v="Blockbuster"/>
    <s v="Mystery"/>
    <x v="4"/>
  </r>
  <r>
    <s v="tt1000583"/>
    <s v="An Chronicles 476"/>
    <n v="2016"/>
    <n v="2010"/>
    <x v="0"/>
    <n v="140"/>
    <s v="Long"/>
    <s v="A mystery film set in 2016."/>
    <s v="Spike Lee"/>
    <s v="Cate Blanchett, Meryl Streep, Tom Cruise, TimothÃ©e Chalamet"/>
    <n v="165514"/>
    <n v="456.06"/>
    <n v="456.06"/>
    <s v="Blockbuster"/>
    <s v=" Animation"/>
    <x v="3"/>
  </r>
  <r>
    <s v="tt1000961"/>
    <s v="Final Empire 854"/>
    <n v="2024"/>
    <n v="2020"/>
    <x v="1"/>
    <n v="129"/>
    <s v="Long"/>
    <s v="A thrilling documentary adventure."/>
    <s v="Ava DuVernay"/>
    <s v="Viola Davis, Samuel L. Jackson, Robert Downey Jr., Morgan Freeman"/>
    <n v="28293"/>
    <n v="279.37"/>
    <n v="279.37"/>
    <s v="Blockbuster"/>
    <s v="Documentary"/>
    <x v="13"/>
  </r>
  <r>
    <s v="tt1000961"/>
    <s v="Final Empire 854"/>
    <n v="2024"/>
    <n v="2020"/>
    <x v="1"/>
    <n v="129"/>
    <s v="Long"/>
    <s v="A thrilling documentary adventure."/>
    <s v="Ava DuVernay"/>
    <s v="Viola Davis, Samuel L. Jackson, Robert Downey Jr., Morgan Freeman"/>
    <n v="28293"/>
    <n v="279.37"/>
    <n v="279.37"/>
    <s v="Blockbuster"/>
    <s v=" Drama"/>
    <x v="14"/>
  </r>
  <r>
    <s v="tt1000961"/>
    <s v="Final Empire 854"/>
    <n v="2024"/>
    <n v="2020"/>
    <x v="1"/>
    <n v="129"/>
    <s v="Long"/>
    <s v="A thrilling documentary adventure."/>
    <s v="Ava DuVernay"/>
    <s v="Viola Davis, Samuel L. Jackson, Robert Downey Jr., Morgan Freeman"/>
    <n v="28293"/>
    <n v="279.37"/>
    <n v="279.37"/>
    <s v="Blockbuster"/>
    <s v=" Fantasy"/>
    <x v="8"/>
  </r>
  <r>
    <s v="tt1000530"/>
    <s v="First Journey 423"/>
    <n v="2014"/>
    <n v="2010"/>
    <x v="2"/>
    <n v="98"/>
    <s v="Medium"/>
    <s v="A critically acclaimed animation masterpiece."/>
    <s v="Taika Waititi"/>
    <s v="Edward Norton, Cate Blanchett, Will Smith, Jack Nicholson, Robert De Niro"/>
    <n v="115247"/>
    <n v="329.82"/>
    <n v="329.82"/>
    <s v="Blockbuster"/>
    <s v="Animation"/>
    <x v="3"/>
  </r>
  <r>
    <s v="tt1000530"/>
    <s v="First Journey 423"/>
    <n v="2014"/>
    <n v="2010"/>
    <x v="2"/>
    <n v="98"/>
    <s v="Medium"/>
    <s v="A critically acclaimed animation masterpiece."/>
    <s v="Taika Waititi"/>
    <s v="Edward Norton, Cate Blanchett, Will Smith, Jack Nicholson, Robert De Niro"/>
    <n v="115247"/>
    <n v="329.82"/>
    <n v="329.82"/>
    <s v="Blockbuster"/>
    <s v=" Adventure"/>
    <x v="9"/>
  </r>
  <r>
    <s v="tt1000982"/>
    <s v="The Mystery 875"/>
    <n v="2001"/>
    <n v="2000"/>
    <x v="3"/>
    <n v="121"/>
    <s v="Long"/>
    <s v="An epic comedy tale directed by George Lucas."/>
    <s v="George Lucas"/>
    <s v="Harrison Ford, Samuel L. Jackson, Robert De Niro, Cate Blanchett, Emma Stone"/>
    <n v="45236"/>
    <m/>
    <n v="0"/>
    <s v="Average"/>
    <s v="Comedy"/>
    <x v="15"/>
  </r>
  <r>
    <s v="tt1000982"/>
    <s v="The Mystery 875"/>
    <n v="2001"/>
    <n v="2000"/>
    <x v="3"/>
    <n v="121"/>
    <s v="Long"/>
    <s v="An epic comedy tale directed by George Lucas."/>
    <s v="George Lucas"/>
    <s v="Harrison Ford, Samuel L. Jackson, Robert De Niro, Cate Blanchett, Emma Stone"/>
    <n v="45236"/>
    <m/>
    <n v="0"/>
    <s v="Average"/>
    <s v=" Horror"/>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3B4B92-9E0C-4B03-BD9A-372F77D3C30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13" firstHeaderRow="0" firstDataRow="1" firstDataCol="1"/>
  <pivotFields count="17">
    <pivotField showAll="0"/>
    <pivotField showAll="0"/>
    <pivotField showAll="0"/>
    <pivotField axis="axisRow" showAll="0" sortType="ascending">
      <items count="10">
        <item x="3"/>
        <item x="8"/>
        <item x="6"/>
        <item x="4"/>
        <item x="7"/>
        <item x="5"/>
        <item x="0"/>
        <item x="1"/>
        <item x="2"/>
        <item t="default"/>
      </items>
    </pivotField>
    <pivotField showAll="0">
      <items count="7">
        <item x="3"/>
        <item x="5"/>
        <item h="1" x="4"/>
        <item h="1" x="2"/>
        <item x="0"/>
        <item h="1" x="1"/>
        <item t="default"/>
      </items>
    </pivotField>
    <pivotField showAll="0"/>
    <pivotField showAll="0"/>
    <pivotField showAll="0">
      <items count="462">
        <item x="31"/>
        <item x="69"/>
        <item x="108"/>
        <item x="372"/>
        <item x="203"/>
        <item x="271"/>
        <item x="370"/>
        <item x="178"/>
        <item x="148"/>
        <item x="429"/>
        <item x="380"/>
        <item x="202"/>
        <item x="123"/>
        <item x="250"/>
        <item x="0"/>
        <item x="21"/>
        <item x="2"/>
        <item x="222"/>
        <item x="234"/>
        <item x="66"/>
        <item x="456"/>
        <item x="208"/>
        <item x="287"/>
        <item x="9"/>
        <item x="378"/>
        <item x="253"/>
        <item x="187"/>
        <item x="308"/>
        <item x="97"/>
        <item x="177"/>
        <item x="231"/>
        <item x="150"/>
        <item x="114"/>
        <item x="223"/>
        <item x="204"/>
        <item x="418"/>
        <item x="46"/>
        <item x="279"/>
        <item x="388"/>
        <item x="367"/>
        <item x="24"/>
        <item x="314"/>
        <item x="353"/>
        <item x="276"/>
        <item x="125"/>
        <item x="435"/>
        <item x="236"/>
        <item x="330"/>
        <item x="264"/>
        <item x="22"/>
        <item x="83"/>
        <item x="266"/>
        <item x="143"/>
        <item x="408"/>
        <item x="306"/>
        <item x="346"/>
        <item x="453"/>
        <item x="313"/>
        <item x="168"/>
        <item x="270"/>
        <item x="111"/>
        <item x="416"/>
        <item x="322"/>
        <item x="95"/>
        <item x="47"/>
        <item x="137"/>
        <item x="407"/>
        <item x="142"/>
        <item x="315"/>
        <item x="182"/>
        <item x="50"/>
        <item x="3"/>
        <item x="195"/>
        <item x="316"/>
        <item x="167"/>
        <item x="28"/>
        <item x="104"/>
        <item x="169"/>
        <item x="14"/>
        <item x="443"/>
        <item x="84"/>
        <item x="166"/>
        <item x="102"/>
        <item x="267"/>
        <item x="217"/>
        <item x="386"/>
        <item x="439"/>
        <item x="116"/>
        <item x="262"/>
        <item x="158"/>
        <item x="30"/>
        <item x="93"/>
        <item x="52"/>
        <item x="377"/>
        <item x="391"/>
        <item x="334"/>
        <item x="135"/>
        <item x="23"/>
        <item x="33"/>
        <item x="207"/>
        <item x="460"/>
        <item x="341"/>
        <item x="395"/>
        <item x="412"/>
        <item x="458"/>
        <item x="189"/>
        <item x="454"/>
        <item x="25"/>
        <item x="175"/>
        <item x="305"/>
        <item x="133"/>
        <item x="79"/>
        <item x="41"/>
        <item x="5"/>
        <item x="352"/>
        <item x="110"/>
        <item x="89"/>
        <item x="193"/>
        <item x="225"/>
        <item x="321"/>
        <item x="86"/>
        <item x="140"/>
        <item x="379"/>
        <item x="385"/>
        <item x="449"/>
        <item x="238"/>
        <item x="433"/>
        <item x="153"/>
        <item x="383"/>
        <item x="196"/>
        <item x="393"/>
        <item x="245"/>
        <item x="155"/>
        <item x="88"/>
        <item x="181"/>
        <item x="34"/>
        <item x="299"/>
        <item x="63"/>
        <item x="184"/>
        <item x="213"/>
        <item x="62"/>
        <item x="109"/>
        <item x="310"/>
        <item x="212"/>
        <item x="323"/>
        <item x="149"/>
        <item x="337"/>
        <item x="230"/>
        <item x="459"/>
        <item x="161"/>
        <item x="343"/>
        <item x="405"/>
        <item x="17"/>
        <item x="75"/>
        <item x="290"/>
        <item x="206"/>
        <item x="121"/>
        <item x="275"/>
        <item x="431"/>
        <item x="173"/>
        <item x="20"/>
        <item x="239"/>
        <item x="241"/>
        <item x="113"/>
        <item x="450"/>
        <item x="288"/>
        <item x="190"/>
        <item x="317"/>
        <item x="35"/>
        <item x="38"/>
        <item x="312"/>
        <item x="361"/>
        <item x="165"/>
        <item x="432"/>
        <item x="249"/>
        <item x="101"/>
        <item x="51"/>
        <item x="221"/>
        <item x="345"/>
        <item x="403"/>
        <item x="117"/>
        <item x="29"/>
        <item x="122"/>
        <item x="246"/>
        <item x="326"/>
        <item x="392"/>
        <item x="422"/>
        <item x="224"/>
        <item x="81"/>
        <item x="400"/>
        <item x="328"/>
        <item x="103"/>
        <item x="389"/>
        <item x="164"/>
        <item x="126"/>
        <item x="375"/>
        <item x="406"/>
        <item x="218"/>
        <item x="57"/>
        <item x="194"/>
        <item x="351"/>
        <item x="211"/>
        <item x="119"/>
        <item x="278"/>
        <item x="240"/>
        <item x="311"/>
        <item x="319"/>
        <item x="65"/>
        <item x="124"/>
        <item x="381"/>
        <item x="430"/>
        <item x="152"/>
        <item x="64"/>
        <item x="198"/>
        <item x="58"/>
        <item x="257"/>
        <item x="265"/>
        <item x="219"/>
        <item x="216"/>
        <item x="78"/>
        <item x="115"/>
        <item x="7"/>
        <item x="419"/>
        <item x="452"/>
        <item x="294"/>
        <item x="374"/>
        <item x="192"/>
        <item x="282"/>
        <item x="49"/>
        <item x="358"/>
        <item x="90"/>
        <item x="261"/>
        <item x="424"/>
        <item x="15"/>
        <item x="277"/>
        <item x="298"/>
        <item x="369"/>
        <item x="118"/>
        <item x="171"/>
        <item x="10"/>
        <item x="39"/>
        <item x="45"/>
        <item x="144"/>
        <item x="373"/>
        <item x="441"/>
        <item x="401"/>
        <item x="396"/>
        <item x="18"/>
        <item x="180"/>
        <item x="457"/>
        <item x="96"/>
        <item x="348"/>
        <item x="205"/>
        <item x="297"/>
        <item x="170"/>
        <item x="76"/>
        <item x="237"/>
        <item x="136"/>
        <item x="414"/>
        <item x="285"/>
        <item x="365"/>
        <item x="186"/>
        <item x="200"/>
        <item x="397"/>
        <item x="145"/>
        <item x="248"/>
        <item x="427"/>
        <item x="99"/>
        <item x="384"/>
        <item x="243"/>
        <item x="332"/>
        <item x="256"/>
        <item x="163"/>
        <item x="300"/>
        <item x="289"/>
        <item x="154"/>
        <item x="428"/>
        <item x="70"/>
        <item x="174"/>
        <item x="162"/>
        <item x="77"/>
        <item x="134"/>
        <item x="355"/>
        <item x="228"/>
        <item x="327"/>
        <item x="80"/>
        <item x="56"/>
        <item x="360"/>
        <item x="233"/>
        <item x="87"/>
        <item x="447"/>
        <item x="160"/>
        <item x="274"/>
        <item x="179"/>
        <item x="72"/>
        <item x="247"/>
        <item x="409"/>
        <item x="356"/>
        <item x="40"/>
        <item x="445"/>
        <item x="347"/>
        <item x="301"/>
        <item x="252"/>
        <item x="363"/>
        <item x="4"/>
        <item x="60"/>
        <item x="209"/>
        <item x="98"/>
        <item x="371"/>
        <item x="398"/>
        <item x="74"/>
        <item x="399"/>
        <item x="440"/>
        <item x="201"/>
        <item x="354"/>
        <item x="19"/>
        <item x="411"/>
        <item x="423"/>
        <item x="235"/>
        <item x="258"/>
        <item x="254"/>
        <item x="438"/>
        <item x="251"/>
        <item x="280"/>
        <item x="44"/>
        <item x="434"/>
        <item x="331"/>
        <item x="36"/>
        <item x="342"/>
        <item x="82"/>
        <item x="107"/>
        <item x="366"/>
        <item x="6"/>
        <item x="286"/>
        <item x="302"/>
        <item x="425"/>
        <item x="185"/>
        <item x="159"/>
        <item x="325"/>
        <item x="318"/>
        <item x="59"/>
        <item x="324"/>
        <item x="340"/>
        <item x="67"/>
        <item x="188"/>
        <item x="91"/>
        <item x="448"/>
        <item x="127"/>
        <item x="307"/>
        <item x="215"/>
        <item x="197"/>
        <item x="94"/>
        <item x="26"/>
        <item x="263"/>
        <item x="92"/>
        <item x="444"/>
        <item x="421"/>
        <item x="359"/>
        <item x="61"/>
        <item x="139"/>
        <item x="283"/>
        <item x="436"/>
        <item x="242"/>
        <item x="455"/>
        <item x="37"/>
        <item x="415"/>
        <item x="259"/>
        <item x="413"/>
        <item x="357"/>
        <item x="426"/>
        <item x="85"/>
        <item x="48"/>
        <item x="272"/>
        <item x="362"/>
        <item x="273"/>
        <item x="105"/>
        <item x="112"/>
        <item x="120"/>
        <item x="32"/>
        <item x="147"/>
        <item x="387"/>
        <item x="451"/>
        <item x="157"/>
        <item x="309"/>
        <item x="210"/>
        <item x="376"/>
        <item x="293"/>
        <item x="176"/>
        <item x="42"/>
        <item x="27"/>
        <item x="442"/>
        <item x="226"/>
        <item x="368"/>
        <item x="191"/>
        <item x="320"/>
        <item x="229"/>
        <item x="269"/>
        <item x="336"/>
        <item x="404"/>
        <item x="329"/>
        <item x="232"/>
        <item x="394"/>
        <item x="350"/>
        <item x="284"/>
        <item x="146"/>
        <item x="71"/>
        <item x="199"/>
        <item x="344"/>
        <item x="364"/>
        <item x="268"/>
        <item x="333"/>
        <item x="390"/>
        <item x="43"/>
        <item x="303"/>
        <item x="417"/>
        <item x="131"/>
        <item x="8"/>
        <item x="446"/>
        <item x="12"/>
        <item x="244"/>
        <item x="1"/>
        <item x="402"/>
        <item x="220"/>
        <item x="138"/>
        <item x="437"/>
        <item x="16"/>
        <item x="339"/>
        <item x="73"/>
        <item x="11"/>
        <item x="291"/>
        <item x="304"/>
        <item x="183"/>
        <item x="172"/>
        <item x="55"/>
        <item x="255"/>
        <item x="156"/>
        <item x="338"/>
        <item x="260"/>
        <item x="100"/>
        <item x="130"/>
        <item x="106"/>
        <item x="292"/>
        <item x="128"/>
        <item x="382"/>
        <item x="335"/>
        <item x="281"/>
        <item x="132"/>
        <item x="129"/>
        <item x="410"/>
        <item x="420"/>
        <item x="68"/>
        <item x="151"/>
        <item x="296"/>
        <item x="227"/>
        <item x="13"/>
        <item x="53"/>
        <item x="349"/>
        <item x="295"/>
        <item x="141"/>
        <item x="214"/>
        <item x="54"/>
        <item t="default"/>
      </items>
    </pivotField>
    <pivotField dataField="1" showAll="0"/>
    <pivotField showAll="0"/>
    <pivotField showAll="0"/>
    <pivotField showAll="0"/>
    <pivotField showAll="0"/>
    <pivotField showAll="0"/>
    <pivotField showAll="0"/>
    <pivotField dataField="1" numFmtId="164" showAll="0"/>
    <pivotField showAll="0"/>
  </pivotFields>
  <rowFields count="1">
    <field x="3"/>
  </rowFields>
  <rowItems count="10">
    <i>
      <x/>
    </i>
    <i>
      <x v="1"/>
    </i>
    <i>
      <x v="2"/>
    </i>
    <i>
      <x v="3"/>
    </i>
    <i>
      <x v="4"/>
    </i>
    <i>
      <x v="5"/>
    </i>
    <i>
      <x v="6"/>
    </i>
    <i>
      <x v="7"/>
    </i>
    <i>
      <x v="8"/>
    </i>
    <i t="grand">
      <x/>
    </i>
  </rowItems>
  <colFields count="1">
    <field x="-2"/>
  </colFields>
  <colItems count="2">
    <i>
      <x/>
    </i>
    <i i="1">
      <x v="1"/>
    </i>
  </colItems>
  <dataFields count="2">
    <dataField name="Sum of Gross_millions_Clean" fld="15" baseField="0" baseItem="0" numFmtId="164"/>
    <dataField name="Average of Rating" fld="8" subtotal="average" baseField="0" baseItem="0"/>
  </dataFields>
  <formats count="4">
    <format dxfId="8">
      <pivotArea outline="0" collapsedLevelsAreSubtotals="1" fieldPosition="0"/>
    </format>
    <format dxfId="7">
      <pivotArea outline="0" collapsedLevelsAreSubtotals="1" fieldPosition="0">
        <references count="1">
          <reference field="4294967294" count="1" selected="0">
            <x v="0"/>
          </reference>
        </references>
      </pivotArea>
    </format>
    <format dxfId="6">
      <pivotArea dataOnly="0" labelOnly="1" outline="0" axis="axisValues" fieldPosition="0"/>
    </format>
    <format dxfId="5">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F3A4BD-497D-46CA-873F-CFCBCEF7B96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22" firstHeaderRow="1" firstDataRow="1" firstDataCol="1"/>
  <pivotFields count="16">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9">
        <item x="0"/>
        <item x="9"/>
        <item x="3"/>
        <item x="5"/>
        <item x="15"/>
        <item x="6"/>
        <item x="13"/>
        <item x="14"/>
        <item x="10"/>
        <item x="8"/>
        <item x="12"/>
        <item x="1"/>
        <item x="4"/>
        <item x="7"/>
        <item x="16"/>
        <item x="17"/>
        <item x="2"/>
        <item x="11"/>
        <item t="default"/>
      </items>
    </pivotField>
  </pivotFields>
  <rowFields count="1">
    <field x="15"/>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Gross_millions_Clean" fld="12" baseField="0" baseItem="0" numFmtId="164"/>
  </dataFields>
  <formats count="1">
    <format dxfId="4">
      <pivotArea outline="0" collapsedLevelsAreSubtotals="1" fieldPosition="0"/>
    </format>
  </formats>
  <chartFormats count="7">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304A3A-1BC4-4D72-8084-F729D9F81D4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6:B54" firstHeaderRow="1" firstDataRow="1" firstDataCol="1"/>
  <pivotFields count="17">
    <pivotField showAll="0"/>
    <pivotField showAll="0"/>
    <pivotField showAll="0"/>
    <pivotField showAll="0"/>
    <pivotField showAll="0"/>
    <pivotField showAll="0"/>
    <pivotField showAll="0"/>
    <pivotField showAll="0"/>
    <pivotField dataField="1" showAll="0"/>
    <pivotField showAll="0"/>
    <pivotField showAll="0"/>
    <pivotField axis="axisRow" showAll="0" measureFilter="1">
      <items count="38">
        <item x="12"/>
        <item x="20"/>
        <item x="6"/>
        <item x="13"/>
        <item x="18"/>
        <item x="21"/>
        <item x="24"/>
        <item x="5"/>
        <item x="22"/>
        <item x="25"/>
        <item x="29"/>
        <item x="26"/>
        <item x="9"/>
        <item x="14"/>
        <item x="36"/>
        <item x="19"/>
        <item x="7"/>
        <item x="28"/>
        <item x="32"/>
        <item x="3"/>
        <item x="23"/>
        <item x="16"/>
        <item x="0"/>
        <item x="30"/>
        <item x="8"/>
        <item x="15"/>
        <item x="1"/>
        <item x="11"/>
        <item x="33"/>
        <item x="31"/>
        <item x="4"/>
        <item x="2"/>
        <item x="10"/>
        <item x="27"/>
        <item x="35"/>
        <item x="34"/>
        <item x="17"/>
        <item t="default"/>
      </items>
    </pivotField>
    <pivotField showAll="0"/>
    <pivotField showAll="0"/>
    <pivotField showAll="0"/>
    <pivotField numFmtId="164" showAll="0"/>
    <pivotField showAll="0"/>
  </pivotFields>
  <rowFields count="1">
    <field x="11"/>
  </rowFields>
  <rowItems count="8">
    <i>
      <x v="5"/>
    </i>
    <i>
      <x v="16"/>
    </i>
    <i>
      <x v="17"/>
    </i>
    <i>
      <x v="19"/>
    </i>
    <i>
      <x v="26"/>
    </i>
    <i>
      <x v="30"/>
    </i>
    <i>
      <x v="32"/>
    </i>
    <i t="grand">
      <x/>
    </i>
  </rowItems>
  <colItems count="1">
    <i/>
  </colItems>
  <dataFields count="1">
    <dataField name="Average of Rating" fld="8" subtotal="average" baseField="0" baseItem="0" numFmtId="2"/>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67CB53-A157-4715-AA9B-F11C2D71B00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1" firstHeaderRow="0" firstDataRow="1" firstDataCol="1"/>
  <pivotFields count="17">
    <pivotField showAll="0"/>
    <pivotField dataField="1" showAll="0"/>
    <pivotField showAll="0"/>
    <pivotField showAll="0"/>
    <pivotField showAll="0">
      <items count="7">
        <item x="3"/>
        <item x="5"/>
        <item x="4"/>
        <item h="1" x="2"/>
        <item x="0"/>
        <item h="1" x="1"/>
        <item t="default"/>
      </items>
    </pivotField>
    <pivotField showAll="0"/>
    <pivotField showAll="0"/>
    <pivotField showAll="0"/>
    <pivotField dataField="1" showAll="0"/>
    <pivotField showAll="0"/>
    <pivotField showAll="0"/>
    <pivotField axis="axisRow" showAll="0">
      <items count="38">
        <item x="12"/>
        <item x="20"/>
        <item x="6"/>
        <item x="13"/>
        <item x="18"/>
        <item x="21"/>
        <item x="24"/>
        <item x="5"/>
        <item x="22"/>
        <item x="25"/>
        <item x="29"/>
        <item x="26"/>
        <item x="9"/>
        <item x="14"/>
        <item x="36"/>
        <item x="19"/>
        <item x="7"/>
        <item x="28"/>
        <item x="32"/>
        <item x="3"/>
        <item x="23"/>
        <item x="16"/>
        <item x="0"/>
        <item x="30"/>
        <item x="8"/>
        <item x="15"/>
        <item x="1"/>
        <item x="11"/>
        <item x="33"/>
        <item x="31"/>
        <item x="4"/>
        <item x="2"/>
        <item x="10"/>
        <item x="27"/>
        <item x="35"/>
        <item x="34"/>
        <item x="17"/>
        <item t="default"/>
      </items>
    </pivotField>
    <pivotField showAll="0"/>
    <pivotField showAll="0"/>
    <pivotField showAll="0"/>
    <pivotField numFmtId="164" showAll="0"/>
    <pivotField showAll="0"/>
  </pivotFields>
  <rowFields count="1">
    <field x="11"/>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2">
    <i>
      <x/>
    </i>
    <i i="1">
      <x v="1"/>
    </i>
  </colItems>
  <dataFields count="2">
    <dataField name="Average of Rating" fld="8" subtotal="average" baseField="0" baseItem="0" numFmtId="2"/>
    <dataField name="Count of Title" fld="1" subtotal="count"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DA3390-04AE-4267-8150-277BAEDEB18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10" firstHeaderRow="1" firstDataRow="1" firstDataCol="1"/>
  <pivotFields count="17">
    <pivotField showAll="0"/>
    <pivotField showAll="0"/>
    <pivotField showAll="0">
      <items count="73">
        <item x="43"/>
        <item x="70"/>
        <item x="50"/>
        <item x="36"/>
        <item x="8"/>
        <item x="25"/>
        <item x="56"/>
        <item x="49"/>
        <item x="53"/>
        <item x="54"/>
        <item x="15"/>
        <item x="17"/>
        <item x="39"/>
        <item x="16"/>
        <item x="55"/>
        <item x="68"/>
        <item x="69"/>
        <item x="42"/>
        <item x="46"/>
        <item x="38"/>
        <item x="64"/>
        <item x="29"/>
        <item x="37"/>
        <item x="41"/>
        <item x="26"/>
        <item x="13"/>
        <item x="63"/>
        <item x="57"/>
        <item x="47"/>
        <item x="48"/>
        <item x="31"/>
        <item x="30"/>
        <item x="58"/>
        <item x="66"/>
        <item x="21"/>
        <item x="28"/>
        <item x="65"/>
        <item x="27"/>
        <item x="59"/>
        <item x="22"/>
        <item x="61"/>
        <item x="67"/>
        <item x="62"/>
        <item x="33"/>
        <item x="14"/>
        <item x="32"/>
        <item x="71"/>
        <item x="4"/>
        <item x="45"/>
        <item x="11"/>
        <item x="24"/>
        <item x="0"/>
        <item x="40"/>
        <item x="34"/>
        <item x="44"/>
        <item x="2"/>
        <item x="7"/>
        <item x="52"/>
        <item x="19"/>
        <item x="1"/>
        <item x="12"/>
        <item x="9"/>
        <item x="51"/>
        <item x="60"/>
        <item x="23"/>
        <item x="20"/>
        <item x="3"/>
        <item x="35"/>
        <item x="6"/>
        <item x="10"/>
        <item x="5"/>
        <item x="18"/>
        <item t="default"/>
      </items>
    </pivotField>
    <pivotField showAll="0">
      <items count="10">
        <item x="3"/>
        <item x="8"/>
        <item x="6"/>
        <item x="4"/>
        <item x="7"/>
        <item x="5"/>
        <item x="0"/>
        <item x="1"/>
        <item x="2"/>
        <item t="default"/>
      </items>
    </pivotField>
    <pivotField axis="axisRow" showAll="0">
      <items count="7">
        <item x="3"/>
        <item x="5"/>
        <item x="4"/>
        <item x="2"/>
        <item x="0"/>
        <item x="1"/>
        <item t="default"/>
      </items>
    </pivotField>
    <pivotField showAll="0"/>
    <pivotField showAll="0"/>
    <pivotField showAll="0">
      <items count="462">
        <item x="31"/>
        <item x="69"/>
        <item x="108"/>
        <item x="372"/>
        <item x="203"/>
        <item x="271"/>
        <item x="370"/>
        <item x="178"/>
        <item x="148"/>
        <item x="429"/>
        <item x="380"/>
        <item x="202"/>
        <item x="123"/>
        <item x="250"/>
        <item x="0"/>
        <item x="21"/>
        <item x="2"/>
        <item x="222"/>
        <item x="234"/>
        <item x="66"/>
        <item x="456"/>
        <item x="208"/>
        <item x="287"/>
        <item x="9"/>
        <item x="378"/>
        <item x="253"/>
        <item x="187"/>
        <item x="308"/>
        <item x="97"/>
        <item x="177"/>
        <item x="231"/>
        <item x="150"/>
        <item x="114"/>
        <item x="223"/>
        <item x="204"/>
        <item x="418"/>
        <item x="46"/>
        <item x="279"/>
        <item x="388"/>
        <item x="367"/>
        <item x="24"/>
        <item x="314"/>
        <item x="353"/>
        <item x="276"/>
        <item x="125"/>
        <item x="435"/>
        <item x="236"/>
        <item x="330"/>
        <item x="264"/>
        <item x="22"/>
        <item x="83"/>
        <item x="266"/>
        <item x="143"/>
        <item x="408"/>
        <item x="306"/>
        <item x="346"/>
        <item x="453"/>
        <item x="313"/>
        <item x="168"/>
        <item x="270"/>
        <item x="111"/>
        <item x="416"/>
        <item x="322"/>
        <item x="95"/>
        <item x="47"/>
        <item x="137"/>
        <item x="407"/>
        <item x="142"/>
        <item x="315"/>
        <item x="182"/>
        <item x="50"/>
        <item x="3"/>
        <item x="195"/>
        <item x="316"/>
        <item x="167"/>
        <item x="28"/>
        <item x="104"/>
        <item x="169"/>
        <item x="14"/>
        <item x="443"/>
        <item x="84"/>
        <item x="166"/>
        <item x="102"/>
        <item x="267"/>
        <item x="217"/>
        <item x="386"/>
        <item x="439"/>
        <item x="116"/>
        <item x="262"/>
        <item x="158"/>
        <item x="30"/>
        <item x="93"/>
        <item x="52"/>
        <item x="377"/>
        <item x="391"/>
        <item x="334"/>
        <item x="135"/>
        <item x="23"/>
        <item x="33"/>
        <item x="207"/>
        <item x="460"/>
        <item x="341"/>
        <item x="395"/>
        <item x="412"/>
        <item x="458"/>
        <item x="189"/>
        <item x="454"/>
        <item x="25"/>
        <item x="175"/>
        <item x="305"/>
        <item x="133"/>
        <item x="79"/>
        <item x="41"/>
        <item x="5"/>
        <item x="352"/>
        <item x="110"/>
        <item x="89"/>
        <item x="193"/>
        <item x="225"/>
        <item x="321"/>
        <item x="86"/>
        <item x="140"/>
        <item x="379"/>
        <item x="385"/>
        <item x="449"/>
        <item x="238"/>
        <item x="433"/>
        <item x="153"/>
        <item x="383"/>
        <item x="196"/>
        <item x="393"/>
        <item x="245"/>
        <item x="155"/>
        <item x="88"/>
        <item x="181"/>
        <item x="34"/>
        <item x="299"/>
        <item x="63"/>
        <item x="184"/>
        <item x="213"/>
        <item x="62"/>
        <item x="109"/>
        <item x="310"/>
        <item x="212"/>
        <item x="323"/>
        <item x="149"/>
        <item x="337"/>
        <item x="230"/>
        <item x="459"/>
        <item x="161"/>
        <item x="343"/>
        <item x="405"/>
        <item x="17"/>
        <item x="75"/>
        <item x="290"/>
        <item x="206"/>
        <item x="121"/>
        <item x="275"/>
        <item x="431"/>
        <item x="173"/>
        <item x="20"/>
        <item x="239"/>
        <item x="241"/>
        <item x="113"/>
        <item x="450"/>
        <item x="288"/>
        <item x="190"/>
        <item x="317"/>
        <item x="35"/>
        <item x="38"/>
        <item x="312"/>
        <item x="361"/>
        <item x="165"/>
        <item x="432"/>
        <item x="249"/>
        <item x="101"/>
        <item x="51"/>
        <item x="221"/>
        <item x="345"/>
        <item x="403"/>
        <item x="117"/>
        <item x="29"/>
        <item x="122"/>
        <item x="246"/>
        <item x="326"/>
        <item x="392"/>
        <item x="422"/>
        <item x="224"/>
        <item x="81"/>
        <item x="400"/>
        <item x="328"/>
        <item x="103"/>
        <item x="389"/>
        <item x="164"/>
        <item x="126"/>
        <item x="375"/>
        <item x="406"/>
        <item x="218"/>
        <item x="57"/>
        <item x="194"/>
        <item x="351"/>
        <item x="211"/>
        <item x="119"/>
        <item x="278"/>
        <item x="240"/>
        <item x="311"/>
        <item x="319"/>
        <item x="65"/>
        <item x="124"/>
        <item x="381"/>
        <item x="430"/>
        <item x="152"/>
        <item x="64"/>
        <item x="198"/>
        <item x="58"/>
        <item x="257"/>
        <item x="265"/>
        <item x="219"/>
        <item x="216"/>
        <item x="78"/>
        <item x="115"/>
        <item x="7"/>
        <item x="419"/>
        <item x="452"/>
        <item x="294"/>
        <item x="374"/>
        <item x="192"/>
        <item x="282"/>
        <item x="49"/>
        <item x="358"/>
        <item x="90"/>
        <item x="261"/>
        <item x="424"/>
        <item x="15"/>
        <item x="277"/>
        <item x="298"/>
        <item x="369"/>
        <item x="118"/>
        <item x="171"/>
        <item x="10"/>
        <item x="39"/>
        <item x="45"/>
        <item x="144"/>
        <item x="373"/>
        <item x="441"/>
        <item x="401"/>
        <item x="396"/>
        <item x="18"/>
        <item x="180"/>
        <item x="457"/>
        <item x="96"/>
        <item x="348"/>
        <item x="205"/>
        <item x="297"/>
        <item x="170"/>
        <item x="76"/>
        <item x="237"/>
        <item x="136"/>
        <item x="414"/>
        <item x="285"/>
        <item x="365"/>
        <item x="186"/>
        <item x="200"/>
        <item x="397"/>
        <item x="145"/>
        <item x="248"/>
        <item x="427"/>
        <item x="99"/>
        <item x="384"/>
        <item x="243"/>
        <item x="332"/>
        <item x="256"/>
        <item x="163"/>
        <item x="300"/>
        <item x="289"/>
        <item x="154"/>
        <item x="428"/>
        <item x="70"/>
        <item x="174"/>
        <item x="162"/>
        <item x="77"/>
        <item x="134"/>
        <item x="355"/>
        <item x="228"/>
        <item x="327"/>
        <item x="80"/>
        <item x="56"/>
        <item x="360"/>
        <item x="233"/>
        <item x="87"/>
        <item x="447"/>
        <item x="160"/>
        <item x="274"/>
        <item x="179"/>
        <item x="72"/>
        <item x="247"/>
        <item x="409"/>
        <item x="356"/>
        <item x="40"/>
        <item x="445"/>
        <item x="347"/>
        <item x="301"/>
        <item x="252"/>
        <item x="363"/>
        <item x="4"/>
        <item x="60"/>
        <item x="209"/>
        <item x="98"/>
        <item x="371"/>
        <item x="398"/>
        <item x="74"/>
        <item x="399"/>
        <item x="440"/>
        <item x="201"/>
        <item x="354"/>
        <item x="19"/>
        <item x="411"/>
        <item x="423"/>
        <item x="235"/>
        <item x="258"/>
        <item x="254"/>
        <item x="438"/>
        <item x="251"/>
        <item x="280"/>
        <item x="44"/>
        <item x="434"/>
        <item x="331"/>
        <item x="36"/>
        <item x="342"/>
        <item x="82"/>
        <item x="107"/>
        <item x="366"/>
        <item x="6"/>
        <item x="286"/>
        <item x="302"/>
        <item x="425"/>
        <item x="185"/>
        <item x="159"/>
        <item x="325"/>
        <item x="318"/>
        <item x="59"/>
        <item x="324"/>
        <item x="340"/>
        <item x="67"/>
        <item x="188"/>
        <item x="91"/>
        <item x="448"/>
        <item x="127"/>
        <item x="307"/>
        <item x="215"/>
        <item x="197"/>
        <item x="94"/>
        <item x="26"/>
        <item x="263"/>
        <item x="92"/>
        <item x="444"/>
        <item x="421"/>
        <item x="359"/>
        <item x="61"/>
        <item x="139"/>
        <item x="283"/>
        <item x="436"/>
        <item x="242"/>
        <item x="455"/>
        <item x="37"/>
        <item x="415"/>
        <item x="259"/>
        <item x="413"/>
        <item x="357"/>
        <item x="426"/>
        <item x="85"/>
        <item x="48"/>
        <item x="272"/>
        <item x="362"/>
        <item x="273"/>
        <item x="105"/>
        <item x="112"/>
        <item x="120"/>
        <item x="32"/>
        <item x="147"/>
        <item x="387"/>
        <item x="451"/>
        <item x="157"/>
        <item x="309"/>
        <item x="210"/>
        <item x="376"/>
        <item x="293"/>
        <item x="176"/>
        <item x="42"/>
        <item x="27"/>
        <item x="442"/>
        <item x="226"/>
        <item x="368"/>
        <item x="191"/>
        <item x="320"/>
        <item x="229"/>
        <item x="269"/>
        <item x="336"/>
        <item x="404"/>
        <item x="329"/>
        <item x="232"/>
        <item x="394"/>
        <item x="350"/>
        <item x="284"/>
        <item x="146"/>
        <item x="71"/>
        <item x="199"/>
        <item x="344"/>
        <item x="364"/>
        <item x="268"/>
        <item x="333"/>
        <item x="390"/>
        <item x="43"/>
        <item x="303"/>
        <item x="417"/>
        <item x="131"/>
        <item x="8"/>
        <item x="446"/>
        <item x="12"/>
        <item x="244"/>
        <item x="1"/>
        <item x="402"/>
        <item x="220"/>
        <item x="138"/>
        <item x="437"/>
        <item x="16"/>
        <item x="339"/>
        <item x="73"/>
        <item x="11"/>
        <item x="291"/>
        <item x="304"/>
        <item x="183"/>
        <item x="172"/>
        <item x="55"/>
        <item x="255"/>
        <item x="156"/>
        <item x="338"/>
        <item x="260"/>
        <item x="100"/>
        <item x="130"/>
        <item x="106"/>
        <item x="292"/>
        <item x="128"/>
        <item x="382"/>
        <item x="335"/>
        <item x="281"/>
        <item x="132"/>
        <item x="129"/>
        <item x="410"/>
        <item x="420"/>
        <item x="68"/>
        <item x="151"/>
        <item x="296"/>
        <item x="227"/>
        <item x="13"/>
        <item x="53"/>
        <item x="349"/>
        <item x="295"/>
        <item x="141"/>
        <item x="214"/>
        <item x="54"/>
        <item t="default"/>
      </items>
    </pivotField>
    <pivotField showAll="0"/>
    <pivotField showAll="0"/>
    <pivotField showAll="0"/>
    <pivotField showAll="0">
      <items count="38">
        <item x="12"/>
        <item x="20"/>
        <item x="6"/>
        <item x="13"/>
        <item x="18"/>
        <item x="21"/>
        <item x="24"/>
        <item x="5"/>
        <item x="22"/>
        <item x="25"/>
        <item x="29"/>
        <item x="26"/>
        <item x="9"/>
        <item x="14"/>
        <item x="36"/>
        <item x="19"/>
        <item x="7"/>
        <item x="28"/>
        <item x="32"/>
        <item x="3"/>
        <item x="23"/>
        <item x="16"/>
        <item x="0"/>
        <item x="30"/>
        <item x="8"/>
        <item x="15"/>
        <item x="1"/>
        <item x="11"/>
        <item x="33"/>
        <item x="31"/>
        <item x="4"/>
        <item x="2"/>
        <item x="10"/>
        <item x="27"/>
        <item x="35"/>
        <item x="34"/>
        <item x="17"/>
        <item t="default"/>
      </items>
    </pivotField>
    <pivotField showAll="0"/>
    <pivotField showAll="0"/>
    <pivotField showAll="0"/>
    <pivotField dataField="1" numFmtId="164" showAll="0"/>
    <pivotField showAll="0"/>
  </pivotFields>
  <rowFields count="1">
    <field x="4"/>
  </rowFields>
  <rowItems count="7">
    <i>
      <x/>
    </i>
    <i>
      <x v="1"/>
    </i>
    <i>
      <x v="2"/>
    </i>
    <i>
      <x v="3"/>
    </i>
    <i>
      <x v="4"/>
    </i>
    <i>
      <x v="5"/>
    </i>
    <i t="grand">
      <x/>
    </i>
  </rowItems>
  <colItems count="1">
    <i/>
  </colItems>
  <dataFields count="1">
    <dataField name="Sum of Gross_millions_Clean" fld="15" baseField="0" baseItem="0" numFmtId="164"/>
  </dataFields>
  <chartFormats count="9">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 chart="8" format="3">
      <pivotArea type="data" outline="0" fieldPosition="0">
        <references count="2">
          <reference field="4294967294" count="1" selected="0">
            <x v="0"/>
          </reference>
          <reference field="4" count="1" selected="0">
            <x v="2"/>
          </reference>
        </references>
      </pivotArea>
    </chartFormat>
    <chartFormat chart="8" format="4">
      <pivotArea type="data" outline="0" fieldPosition="0">
        <references count="2">
          <reference field="4294967294" count="1" selected="0">
            <x v="0"/>
          </reference>
          <reference field="4" count="1" selected="0">
            <x v="3"/>
          </reference>
        </references>
      </pivotArea>
    </chartFormat>
    <chartFormat chart="8" format="5">
      <pivotArea type="data" outline="0" fieldPosition="0">
        <references count="2">
          <reference field="4294967294" count="1" selected="0">
            <x v="0"/>
          </reference>
          <reference field="4" count="1" selected="0">
            <x v="4"/>
          </reference>
        </references>
      </pivotArea>
    </chartFormat>
    <chartFormat chart="8" format="6">
      <pivotArea type="data" outline="0" fieldPosition="0">
        <references count="2">
          <reference field="4294967294" count="1" selected="0">
            <x v="0"/>
          </reference>
          <reference field="4" count="1" selected="0">
            <x v="5"/>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E4D673-7ABD-42E1-BB73-51528DF3A2F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8:B91" firstHeaderRow="1" firstDataRow="1" firstDataCol="1"/>
  <pivotFields count="17">
    <pivotField showAll="0"/>
    <pivotField showAll="0"/>
    <pivotField axis="axisRow" showAll="0">
      <items count="73">
        <item x="43"/>
        <item x="70"/>
        <item x="50"/>
        <item x="36"/>
        <item x="8"/>
        <item x="25"/>
        <item x="56"/>
        <item x="49"/>
        <item x="53"/>
        <item x="54"/>
        <item x="15"/>
        <item x="17"/>
        <item x="39"/>
        <item x="16"/>
        <item x="55"/>
        <item x="68"/>
        <item x="69"/>
        <item x="42"/>
        <item x="46"/>
        <item x="38"/>
        <item x="64"/>
        <item x="29"/>
        <item x="37"/>
        <item x="41"/>
        <item x="26"/>
        <item x="13"/>
        <item x="63"/>
        <item x="57"/>
        <item x="47"/>
        <item x="48"/>
        <item x="31"/>
        <item x="30"/>
        <item x="58"/>
        <item x="66"/>
        <item x="21"/>
        <item x="28"/>
        <item x="65"/>
        <item x="27"/>
        <item x="59"/>
        <item x="22"/>
        <item x="61"/>
        <item x="67"/>
        <item x="62"/>
        <item x="33"/>
        <item x="14"/>
        <item x="32"/>
        <item x="71"/>
        <item x="4"/>
        <item x="45"/>
        <item x="11"/>
        <item x="24"/>
        <item x="0"/>
        <item x="40"/>
        <item x="34"/>
        <item x="44"/>
        <item x="2"/>
        <item x="7"/>
        <item x="52"/>
        <item x="19"/>
        <item x="1"/>
        <item x="12"/>
        <item x="9"/>
        <item x="51"/>
        <item x="60"/>
        <item x="23"/>
        <item x="20"/>
        <item x="3"/>
        <item x="35"/>
        <item x="6"/>
        <item x="10"/>
        <item x="5"/>
        <item x="18"/>
        <item t="default"/>
      </items>
    </pivotField>
    <pivotField showAll="0">
      <items count="10">
        <item x="3"/>
        <item x="8"/>
        <item x="6"/>
        <item x="4"/>
        <item x="7"/>
        <item x="5"/>
        <item x="0"/>
        <item x="1"/>
        <item x="2"/>
        <item t="default"/>
      </items>
    </pivotField>
    <pivotField showAll="0">
      <items count="7">
        <item x="3"/>
        <item x="5"/>
        <item x="4"/>
        <item x="2"/>
        <item x="0"/>
        <item x="1"/>
        <item t="default"/>
      </items>
    </pivotField>
    <pivotField showAll="0"/>
    <pivotField showAll="0"/>
    <pivotField showAll="0"/>
    <pivotField dataField="1" showAll="0"/>
    <pivotField showAll="0"/>
    <pivotField showAll="0"/>
    <pivotField showAll="0"/>
    <pivotField showAll="0"/>
    <pivotField showAll="0"/>
    <pivotField showAll="0"/>
    <pivotField numFmtId="164" showAll="0"/>
    <pivotField showAll="0"/>
  </pivotFields>
  <rowFields count="1">
    <field x="2"/>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Items count="1">
    <i/>
  </colItems>
  <dataFields count="1">
    <dataField name="Average of Rating" fld="8" subtotal="average" baseField="0" baseItem="0" numFmtId="2"/>
  </dataFields>
  <formats count="1">
    <format dxfId="1">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6CCE83-812D-48BC-8AB5-4FA1BF8630B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3" firstHeaderRow="0" firstDataRow="1" firstDataCol="0"/>
  <pivotFields count="17">
    <pivotField showAll="0"/>
    <pivotField dataField="1"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dataField="1" numFmtId="164" showAll="0"/>
    <pivotField showAll="0"/>
  </pivotFields>
  <rowItems count="1">
    <i/>
  </rowItems>
  <colFields count="1">
    <field x="-2"/>
  </colFields>
  <colItems count="4">
    <i>
      <x/>
    </i>
    <i i="1">
      <x v="1"/>
    </i>
    <i i="2">
      <x v="2"/>
    </i>
    <i i="3">
      <x v="3"/>
    </i>
  </colItems>
  <dataFields count="4">
    <dataField name="Count of Title" fld="1" subtotal="count" baseField="0" baseItem="0"/>
    <dataField name="Average of Rating" fld="8" subtotal="average" baseField="0" baseItem="0" numFmtId="2"/>
    <dataField name="Sum of Gross_millions_Clean" fld="15" baseField="0" baseItem="0" numFmtId="164"/>
    <dataField name="Average of Runtime_minutes" fld="5" subtotal="average" baseField="0" baseItem="0"/>
  </dataFields>
  <formats count="1">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BAE3F60-FD7C-468B-9ABF-D029D3DC45A1}" autoFormatId="16" applyNumberFormats="0" applyBorderFormats="0" applyFontFormats="0" applyPatternFormats="0" applyAlignmentFormats="0" applyWidthHeightFormats="0">
  <queryTableRefresh nextId="17" unboundColumnsRight="1">
    <queryTableFields count="16">
      <queryTableField id="1" name="Movie_Id" tableColumnId="1"/>
      <queryTableField id="2" name="Title" tableColumnId="2"/>
      <queryTableField id="3" name="Year" tableColumnId="3"/>
      <queryTableField id="4" name="Decade" tableColumnId="4"/>
      <queryTableField id="5" name="Certificate" tableColumnId="5"/>
      <queryTableField id="6" name="Runtime_minutes" tableColumnId="6"/>
      <queryTableField id="7" name="Runtime_Category" tableColumnId="7"/>
      <queryTableField id="8" name="Description" tableColumnId="8"/>
      <queryTableField id="9" name="Director" tableColumnId="9"/>
      <queryTableField id="10" name="Stars" tableColumnId="10"/>
      <queryTableField id="11" name="Votes" tableColumnId="11"/>
      <queryTableField id="12" name="Gross_millions" tableColumnId="12"/>
      <queryTableField id="13" name="Gross_millions_Clean" tableColumnId="13"/>
      <queryTableField id="14" name="Profitablity Indicator" tableColumnId="14"/>
      <queryTableField id="15" name="Genre" tableColumnId="15"/>
      <queryTableField id="16"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ertificate" xr10:uid="{A5FA4C50-4F8A-4EB8-A8AE-D04B5866C059}" sourceName="Certificate">
  <pivotTables>
    <pivotTable tabId="9" name="PivotTable4"/>
    <pivotTable tabId="12" name="PivotTable2"/>
  </pivotTables>
  <data>
    <tabular pivotCacheId="1650797381">
      <items count="6">
        <i x="3" s="1"/>
        <i x="5" s="1"/>
        <i x="4"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cade" xr10:uid="{6378F491-FA93-49F2-8282-635741455B92}" sourceName="Decade">
  <pivotTables>
    <pivotTable tabId="9" name="PivotTable4"/>
    <pivotTable tabId="3" name="PivotTable1"/>
    <pivotTable tabId="12" name="PivotTable2"/>
  </pivotTables>
  <data>
    <tabular pivotCacheId="1650797381">
      <items count="9">
        <i x="3" s="1"/>
        <i x="8" s="1"/>
        <i x="6" s="1"/>
        <i x="4" s="1"/>
        <i x="7" s="1"/>
        <i x="5"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_Clean" xr10:uid="{C1DB8414-D8EA-4EB7-A247-9317454EAD34}" sourceName="Genre_Clean">
  <pivotTables>
    <pivotTable tabId="6" name="PivotTable1"/>
  </pivotTables>
  <data>
    <tabular pivotCacheId="1157233801">
      <items count="18">
        <i x="0" s="1"/>
        <i x="9" s="1"/>
        <i x="3" s="1"/>
        <i x="5" s="1"/>
        <i x="15" s="1"/>
        <i x="6" s="1"/>
        <i x="13" s="1"/>
        <i x="14" s="1"/>
        <i x="10" s="1"/>
        <i x="8" s="1"/>
        <i x="12" s="1"/>
        <i x="1" s="1"/>
        <i x="4" s="1"/>
        <i x="7" s="1"/>
        <i x="16" s="1"/>
        <i x="17" s="1"/>
        <i x="2"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ertificate" xr10:uid="{A460EB5E-6E41-431F-9969-ED550138AF68}" cache="Slicer_Certificate" caption="Certificate" rowHeight="234950"/>
  <slicer name="Decade" xr10:uid="{C227F007-8D06-42E2-A321-965BE3745EFD}" cache="Slicer_Decade" caption="Decade" rowHeight="234950"/>
  <slicer name="Genre_Clean" xr10:uid="{22068A88-EB33-4AE4-BB46-588B15E3F446}" cache="Slicer_Genre_Clean" caption="Genre_Clean" startItem="5"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8B0C3B-E10B-45EA-9FED-C9D24D1ECC35}" name="Table1" displayName="Table1" ref="A1:S1001" totalsRowShown="0">
  <autoFilter ref="A1:S1001" xr:uid="{238B0C3B-E10B-45EA-9FED-C9D24D1ECC35}"/>
  <tableColumns count="19">
    <tableColumn id="1" xr3:uid="{54121AD3-0978-4551-B7DA-EDE2D459B892}" name="Movie_Id"/>
    <tableColumn id="2" xr3:uid="{1409FF24-0161-4822-99F6-5C4105947E2F}" name="Title"/>
    <tableColumn id="3" xr3:uid="{0F79F09A-FA7E-4214-8AEB-1E2212AE0C42}" name="Year"/>
    <tableColumn id="18" xr3:uid="{6045AE3E-E078-4EF9-8F27-D225B25348C5}" name="Decade" dataDxfId="22">
      <calculatedColumnFormula>FLOOR(Table1[[#This Row],[Year]],10)</calculatedColumnFormula>
    </tableColumn>
    <tableColumn id="4" xr3:uid="{53E984DA-57CF-4D78-AC9F-0D25CE69E585}" name="Certificate"/>
    <tableColumn id="5" xr3:uid="{CAD1B6FC-2F82-4577-BD14-610DA651A164}" name="Runtime_minutes"/>
    <tableColumn id="15" xr3:uid="{A694F7D5-07A7-410A-AC18-94C22D53EAE7}" name="Runtime_Category" dataDxfId="21">
      <calculatedColumnFormula>IF(Table1[[#This Row],[Runtime_minutes]]&lt;90,"Short",IF(Table1[[#This Row],[Runtime_minutes]]&lt;=120,"Medium","Long"))</calculatedColumnFormula>
    </tableColumn>
    <tableColumn id="6" xr3:uid="{BAD577D8-E319-441C-952F-CFE11ABEEEFE}" name="Genre 1"/>
    <tableColumn id="7" xr3:uid="{7311C8B0-DFE4-4363-83EC-898043091E76}" name="Genre 2"/>
    <tableColumn id="8" xr3:uid="{C87D6B2A-3550-4792-9DFA-6D029ED5C244}" name="Genre 3"/>
    <tableColumn id="16" xr3:uid="{ACA858A8-2756-4A9A-9EEC-B1C8076D4A37}" name="Rating"/>
    <tableColumn id="20" xr3:uid="{0131F737-DBEE-4AFF-A0A5-9CDC2046EFFF}" name="metascore"/>
    <tableColumn id="9" xr3:uid="{E5C21E19-F692-46BB-8D18-0F45513A385F}" name="Description"/>
    <tableColumn id="10" xr3:uid="{7F8A2142-0931-4EBF-8BB7-DCF611ADBA7A}" name="Director"/>
    <tableColumn id="11" xr3:uid="{B1EFDEAD-F9E4-4CFA-B170-AD5DD5B7D153}" name="Stars"/>
    <tableColumn id="12" xr3:uid="{AEBCE0F6-C6AF-4B8A-8F3B-32F4357B9021}" name="Votes"/>
    <tableColumn id="13" xr3:uid="{E2C83E5B-A312-4EBB-B2F0-93F84B23EBF3}" name="Gross_millions" dataDxfId="20"/>
    <tableColumn id="14" xr3:uid="{9F113213-0CAE-46BA-9E67-7F4352A8EE9D}" name="Gross_millions_Clean" dataDxfId="19">
      <calculatedColumnFormula>IF(Table1[[#This Row],[Gross_millions]]=" ",0,Table1[[#This Row],[Gross_millions]])</calculatedColumnFormula>
    </tableColumn>
    <tableColumn id="17" xr3:uid="{65FFBF88-6BBC-43C0-9DAA-FC06055F5615}" name="Profitablity Indicator" dataDxfId="18">
      <calculatedColumnFormula>IF(Table1[[#This Row],[Gross_millions_Clean]]&gt;200,"Blockbuster",IF(Table1[[#This Row],[Gross_millions_Clean]]&gt;100,"Hit","Average"))</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E8F2D23-E73A-44CC-B9A5-481D10F8C1F6}" name="Table13_1" displayName="Table13_1" ref="A1:P1913" tableType="queryTable" totalsRowShown="0">
  <autoFilter ref="A1:P1913" xr:uid="{AE8F2D23-E73A-44CC-B9A5-481D10F8C1F6}"/>
  <tableColumns count="16">
    <tableColumn id="1" xr3:uid="{C5350C75-ED90-4AE6-8E5B-7D9D189B48EB}" uniqueName="1" name="Movie_Id" queryTableFieldId="1" dataDxfId="17"/>
    <tableColumn id="2" xr3:uid="{8219CB3E-6E84-49D7-9437-85AFAFE0381E}" uniqueName="2" name="Title" queryTableFieldId="2"/>
    <tableColumn id="3" xr3:uid="{2DFC6A00-A4BB-4787-8B69-FFB46C4484EB}" uniqueName="3" name="Year" queryTableFieldId="3"/>
    <tableColumn id="4" xr3:uid="{E0A8DB3F-F361-4043-BFBA-C8A3D47150D3}" uniqueName="4" name="Decade" queryTableFieldId="4"/>
    <tableColumn id="5" xr3:uid="{16ADB2C0-D732-4010-A220-1E7D2A4EC52B}" uniqueName="5" name="Certificate" queryTableFieldId="5" dataDxfId="16"/>
    <tableColumn id="6" xr3:uid="{38F9C013-53DB-449E-9C23-780E2C083DB5}" uniqueName="6" name="Runtime_minutes" queryTableFieldId="6"/>
    <tableColumn id="7" xr3:uid="{1F171DF5-33F5-49F5-BD3A-7FECF5B0F234}" uniqueName="7" name="Runtime_Category" queryTableFieldId="7" dataDxfId="15"/>
    <tableColumn id="8" xr3:uid="{B77F510D-9C38-4C84-B10D-64D9E5921D33}" uniqueName="8" name="Description" queryTableFieldId="8" dataDxfId="14"/>
    <tableColumn id="9" xr3:uid="{D208BECF-D5E7-4C4F-8749-1CA472F1674E}" uniqueName="9" name="Director" queryTableFieldId="9" dataDxfId="13"/>
    <tableColumn id="10" xr3:uid="{26860A97-1B8C-45E1-A4D4-10A827F03957}" uniqueName="10" name="Stars" queryTableFieldId="10" dataDxfId="12"/>
    <tableColumn id="11" xr3:uid="{F2C90D0A-E7A8-42D1-8E5E-1BF703E4988F}" uniqueName="11" name="Votes" queryTableFieldId="11"/>
    <tableColumn id="12" xr3:uid="{A0F8782F-457F-4AA8-BCEB-AC0FA57F695B}" uniqueName="12" name="Gross_millions" queryTableFieldId="12"/>
    <tableColumn id="13" xr3:uid="{AC28411F-98FE-423C-99BD-7982C4A053F8}" uniqueName="13" name="Gross_millions_Clean" queryTableFieldId="13"/>
    <tableColumn id="14" xr3:uid="{F885C748-B734-42ED-B063-DA0AFAC4C462}" uniqueName="14" name="Profitablity Indicator" queryTableFieldId="14" dataDxfId="11"/>
    <tableColumn id="15" xr3:uid="{4545A9D6-F752-408D-A43E-B8EF6C9C6922}" uniqueName="15" name="Genre" queryTableFieldId="15" dataDxfId="10"/>
    <tableColumn id="16" xr3:uid="{E3711A7A-5F3D-48A4-8147-34D7A8287BB3}" uniqueName="16" name="Genre_Clean" queryTableFieldId="16" dataDxfId="9">
      <calculatedColumnFormula>TRIM(Table13_1[[#This Row],[Genre]])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4D2DB8-222C-438C-BA3D-34F4DCD4AF0B}" name="Table2" displayName="Table2" ref="D46:E53" totalsRowShown="0">
  <autoFilter ref="D46:E53" xr:uid="{6E4D2DB8-222C-438C-BA3D-34F4DCD4AF0B}"/>
  <sortState xmlns:xlrd2="http://schemas.microsoft.com/office/spreadsheetml/2017/richdata2" ref="D47:E53">
    <sortCondition descending="1" ref="E46:E53"/>
  </sortState>
  <tableColumns count="2">
    <tableColumn id="1" xr3:uid="{D64D6DC6-FDF6-4F29-B3C7-041A4DC70C4A}" name="directors" dataDxfId="3"/>
    <tableColumn id="2" xr3:uid="{D5E8761B-1D4C-433E-B1FF-3D4C87E07D82}" name="Rating"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B7F2C-ADF8-4DFD-A822-FB457BB6178C}">
  <dimension ref="A1:M1001"/>
  <sheetViews>
    <sheetView topLeftCell="C977" workbookViewId="0">
      <selection activeCell="H1" sqref="H1:H1001"/>
    </sheetView>
  </sheetViews>
  <sheetFormatPr defaultRowHeight="14.4" x14ac:dyDescent="0.3"/>
  <sheetData>
    <row r="1" spans="1:13" x14ac:dyDescent="0.3">
      <c r="B1" t="s">
        <v>3960</v>
      </c>
      <c r="C1" t="s">
        <v>3961</v>
      </c>
      <c r="D1" t="s">
        <v>3962</v>
      </c>
      <c r="E1" t="s">
        <v>3963</v>
      </c>
      <c r="F1" t="s">
        <v>3964</v>
      </c>
      <c r="G1" t="s">
        <v>3965</v>
      </c>
      <c r="H1" t="s">
        <v>3966</v>
      </c>
      <c r="I1" t="s">
        <v>3967</v>
      </c>
      <c r="J1" t="s">
        <v>3968</v>
      </c>
      <c r="K1" t="s">
        <v>3969</v>
      </c>
      <c r="L1" t="s">
        <v>3970</v>
      </c>
      <c r="M1" t="s">
        <v>3971</v>
      </c>
    </row>
    <row r="2" spans="1:13" x14ac:dyDescent="0.3">
      <c r="A2" t="s">
        <v>15</v>
      </c>
      <c r="B2" t="s">
        <v>16</v>
      </c>
      <c r="C2">
        <v>2004</v>
      </c>
      <c r="D2" t="s">
        <v>17</v>
      </c>
      <c r="E2">
        <v>103</v>
      </c>
      <c r="F2" t="s">
        <v>18</v>
      </c>
      <c r="G2">
        <v>9.5</v>
      </c>
      <c r="I2" t="s">
        <v>19</v>
      </c>
      <c r="J2" t="s">
        <v>20</v>
      </c>
      <c r="K2" t="s">
        <v>21</v>
      </c>
      <c r="L2">
        <v>774648</v>
      </c>
      <c r="M2">
        <v>204.79</v>
      </c>
    </row>
    <row r="3" spans="1:13" x14ac:dyDescent="0.3">
      <c r="A3" t="s">
        <v>22</v>
      </c>
      <c r="B3" t="s">
        <v>23</v>
      </c>
      <c r="C3">
        <v>2012</v>
      </c>
      <c r="D3" t="s">
        <v>24</v>
      </c>
      <c r="E3">
        <v>159</v>
      </c>
      <c r="F3" t="s">
        <v>25</v>
      </c>
      <c r="G3">
        <v>9.5</v>
      </c>
      <c r="I3" t="s">
        <v>26</v>
      </c>
      <c r="J3" t="s">
        <v>27</v>
      </c>
      <c r="K3" t="s">
        <v>28</v>
      </c>
      <c r="L3">
        <v>297518</v>
      </c>
      <c r="M3">
        <v>951.58</v>
      </c>
    </row>
    <row r="4" spans="1:13" x14ac:dyDescent="0.3">
      <c r="A4" t="s">
        <v>29</v>
      </c>
      <c r="B4" t="s">
        <v>30</v>
      </c>
      <c r="C4">
        <v>2008</v>
      </c>
      <c r="D4" t="s">
        <v>24</v>
      </c>
      <c r="E4">
        <v>77</v>
      </c>
      <c r="F4" t="s">
        <v>31</v>
      </c>
      <c r="G4">
        <v>9.5</v>
      </c>
      <c r="H4">
        <v>100</v>
      </c>
      <c r="I4" t="s">
        <v>32</v>
      </c>
      <c r="J4" t="s">
        <v>33</v>
      </c>
      <c r="K4" t="s">
        <v>34</v>
      </c>
      <c r="L4">
        <v>583752</v>
      </c>
      <c r="M4">
        <v>372.85</v>
      </c>
    </row>
    <row r="5" spans="1:13" x14ac:dyDescent="0.3">
      <c r="A5" t="s">
        <v>35</v>
      </c>
      <c r="B5" t="s">
        <v>36</v>
      </c>
      <c r="C5">
        <v>2019</v>
      </c>
      <c r="D5" t="s">
        <v>17</v>
      </c>
      <c r="E5">
        <v>116</v>
      </c>
      <c r="F5" t="s">
        <v>37</v>
      </c>
      <c r="G5">
        <v>9.5</v>
      </c>
      <c r="I5" t="s">
        <v>38</v>
      </c>
      <c r="J5" t="s">
        <v>39</v>
      </c>
      <c r="K5" t="s">
        <v>40</v>
      </c>
      <c r="L5">
        <v>187450</v>
      </c>
    </row>
    <row r="6" spans="1:13" x14ac:dyDescent="0.3">
      <c r="A6" t="s">
        <v>41</v>
      </c>
      <c r="B6" t="s">
        <v>42</v>
      </c>
      <c r="C6">
        <v>2000</v>
      </c>
      <c r="D6" t="s">
        <v>24</v>
      </c>
      <c r="E6">
        <v>126</v>
      </c>
      <c r="F6" t="s">
        <v>43</v>
      </c>
      <c r="G6">
        <v>9.5</v>
      </c>
      <c r="H6">
        <v>99</v>
      </c>
      <c r="I6" t="s">
        <v>44</v>
      </c>
      <c r="J6" t="s">
        <v>20</v>
      </c>
      <c r="K6" t="s">
        <v>45</v>
      </c>
      <c r="L6">
        <v>642106</v>
      </c>
      <c r="M6">
        <v>252.83</v>
      </c>
    </row>
    <row r="7" spans="1:13" x14ac:dyDescent="0.3">
      <c r="A7" t="s">
        <v>46</v>
      </c>
      <c r="B7" t="s">
        <v>47</v>
      </c>
      <c r="C7">
        <v>2023</v>
      </c>
      <c r="D7" t="s">
        <v>24</v>
      </c>
      <c r="E7">
        <v>123</v>
      </c>
      <c r="F7" t="s">
        <v>48</v>
      </c>
      <c r="G7">
        <v>9.5</v>
      </c>
      <c r="H7">
        <v>98</v>
      </c>
      <c r="I7" t="s">
        <v>49</v>
      </c>
      <c r="J7" t="s">
        <v>50</v>
      </c>
      <c r="K7" t="s">
        <v>51</v>
      </c>
      <c r="L7">
        <v>207806</v>
      </c>
      <c r="M7">
        <v>808.8</v>
      </c>
    </row>
    <row r="8" spans="1:13" x14ac:dyDescent="0.3">
      <c r="A8" t="s">
        <v>52</v>
      </c>
      <c r="B8" t="s">
        <v>53</v>
      </c>
      <c r="C8">
        <v>2000</v>
      </c>
      <c r="D8" t="s">
        <v>54</v>
      </c>
      <c r="E8">
        <v>141</v>
      </c>
      <c r="F8" t="s">
        <v>55</v>
      </c>
      <c r="G8">
        <v>9.3000000000000007</v>
      </c>
      <c r="I8" t="s">
        <v>56</v>
      </c>
      <c r="J8" t="s">
        <v>57</v>
      </c>
      <c r="K8" t="s">
        <v>58</v>
      </c>
      <c r="L8">
        <v>215726</v>
      </c>
      <c r="M8">
        <v>64.12</v>
      </c>
    </row>
    <row r="9" spans="1:13" x14ac:dyDescent="0.3">
      <c r="A9" t="s">
        <v>59</v>
      </c>
      <c r="B9" t="s">
        <v>60</v>
      </c>
      <c r="C9">
        <v>2000</v>
      </c>
      <c r="D9" t="s">
        <v>54</v>
      </c>
      <c r="E9">
        <v>121</v>
      </c>
      <c r="F9" t="s">
        <v>61</v>
      </c>
      <c r="G9">
        <v>9.1</v>
      </c>
      <c r="H9">
        <v>98</v>
      </c>
      <c r="I9" t="s">
        <v>62</v>
      </c>
      <c r="J9" t="s">
        <v>63</v>
      </c>
      <c r="K9" t="s">
        <v>64</v>
      </c>
      <c r="L9">
        <v>7274</v>
      </c>
      <c r="M9">
        <v>24.5</v>
      </c>
    </row>
    <row r="10" spans="1:13" x14ac:dyDescent="0.3">
      <c r="A10" t="s">
        <v>65</v>
      </c>
      <c r="B10" t="s">
        <v>66</v>
      </c>
      <c r="C10">
        <v>2021</v>
      </c>
      <c r="D10" t="s">
        <v>54</v>
      </c>
      <c r="E10">
        <v>124</v>
      </c>
      <c r="F10" t="s">
        <v>48</v>
      </c>
      <c r="G10">
        <v>9.1</v>
      </c>
      <c r="H10">
        <v>95</v>
      </c>
      <c r="I10" t="s">
        <v>67</v>
      </c>
      <c r="J10" t="s">
        <v>68</v>
      </c>
      <c r="K10" t="s">
        <v>69</v>
      </c>
      <c r="L10">
        <v>279682</v>
      </c>
    </row>
    <row r="11" spans="1:13" x14ac:dyDescent="0.3">
      <c r="A11" t="s">
        <v>70</v>
      </c>
      <c r="B11" t="s">
        <v>71</v>
      </c>
      <c r="C11">
        <v>2023</v>
      </c>
      <c r="D11" t="s">
        <v>17</v>
      </c>
      <c r="E11">
        <v>143</v>
      </c>
      <c r="F11" t="s">
        <v>72</v>
      </c>
      <c r="G11">
        <v>9.1</v>
      </c>
      <c r="H11">
        <v>88</v>
      </c>
      <c r="I11" t="s">
        <v>73</v>
      </c>
      <c r="J11" t="s">
        <v>74</v>
      </c>
      <c r="K11" t="s">
        <v>75</v>
      </c>
      <c r="L11">
        <v>54004</v>
      </c>
    </row>
    <row r="12" spans="1:13" x14ac:dyDescent="0.3">
      <c r="A12" t="s">
        <v>76</v>
      </c>
      <c r="B12" t="s">
        <v>77</v>
      </c>
      <c r="C12">
        <v>2009</v>
      </c>
      <c r="D12" t="s">
        <v>24</v>
      </c>
      <c r="E12">
        <v>125</v>
      </c>
      <c r="F12" t="s">
        <v>78</v>
      </c>
      <c r="G12">
        <v>9</v>
      </c>
      <c r="I12" t="s">
        <v>79</v>
      </c>
      <c r="J12" t="s">
        <v>80</v>
      </c>
      <c r="K12" t="s">
        <v>81</v>
      </c>
      <c r="L12">
        <v>46006</v>
      </c>
    </row>
    <row r="13" spans="1:13" x14ac:dyDescent="0.3">
      <c r="A13" t="s">
        <v>82</v>
      </c>
      <c r="B13" t="s">
        <v>83</v>
      </c>
      <c r="C13">
        <v>1945</v>
      </c>
      <c r="D13" t="s">
        <v>24</v>
      </c>
      <c r="E13">
        <v>128</v>
      </c>
      <c r="F13" t="s">
        <v>84</v>
      </c>
      <c r="G13">
        <v>9</v>
      </c>
      <c r="H13">
        <v>75</v>
      </c>
      <c r="I13" t="s">
        <v>85</v>
      </c>
      <c r="J13" t="s">
        <v>86</v>
      </c>
      <c r="K13" t="s">
        <v>87</v>
      </c>
      <c r="L13">
        <v>93356</v>
      </c>
      <c r="M13">
        <v>124.78</v>
      </c>
    </row>
    <row r="14" spans="1:13" x14ac:dyDescent="0.3">
      <c r="A14" t="s">
        <v>88</v>
      </c>
      <c r="B14" t="s">
        <v>89</v>
      </c>
      <c r="C14">
        <v>2014</v>
      </c>
      <c r="D14" t="s">
        <v>17</v>
      </c>
      <c r="E14">
        <v>127</v>
      </c>
      <c r="F14" t="s">
        <v>90</v>
      </c>
      <c r="G14">
        <v>9</v>
      </c>
      <c r="H14">
        <v>96</v>
      </c>
      <c r="I14" t="s">
        <v>91</v>
      </c>
      <c r="J14" t="s">
        <v>92</v>
      </c>
      <c r="K14" t="s">
        <v>93</v>
      </c>
      <c r="L14">
        <v>118662</v>
      </c>
      <c r="M14">
        <v>131.58000000000001</v>
      </c>
    </row>
    <row r="15" spans="1:13" x14ac:dyDescent="0.3">
      <c r="A15" t="s">
        <v>94</v>
      </c>
      <c r="B15" t="s">
        <v>95</v>
      </c>
      <c r="C15">
        <v>2022</v>
      </c>
      <c r="D15" t="s">
        <v>54</v>
      </c>
      <c r="E15">
        <v>140</v>
      </c>
      <c r="F15" t="s">
        <v>96</v>
      </c>
      <c r="G15">
        <v>9</v>
      </c>
      <c r="I15" t="s">
        <v>97</v>
      </c>
      <c r="J15" t="s">
        <v>27</v>
      </c>
      <c r="K15" t="s">
        <v>98</v>
      </c>
      <c r="L15">
        <v>955084</v>
      </c>
    </row>
    <row r="16" spans="1:13" x14ac:dyDescent="0.3">
      <c r="A16" t="s">
        <v>99</v>
      </c>
      <c r="B16" t="s">
        <v>100</v>
      </c>
      <c r="C16">
        <v>2002</v>
      </c>
      <c r="D16" t="s">
        <v>17</v>
      </c>
      <c r="E16">
        <v>97</v>
      </c>
      <c r="F16" t="s">
        <v>101</v>
      </c>
      <c r="G16">
        <v>9</v>
      </c>
      <c r="I16" t="s">
        <v>102</v>
      </c>
      <c r="J16" t="s">
        <v>103</v>
      </c>
      <c r="K16" t="s">
        <v>104</v>
      </c>
      <c r="L16">
        <v>1164424</v>
      </c>
    </row>
    <row r="17" spans="1:13" x14ac:dyDescent="0.3">
      <c r="A17" t="s">
        <v>105</v>
      </c>
      <c r="B17" t="s">
        <v>106</v>
      </c>
      <c r="C17">
        <v>2013</v>
      </c>
      <c r="D17" t="s">
        <v>17</v>
      </c>
      <c r="E17">
        <v>122</v>
      </c>
      <c r="F17" t="s">
        <v>107</v>
      </c>
      <c r="G17">
        <v>8.9</v>
      </c>
      <c r="H17">
        <v>75</v>
      </c>
      <c r="I17" t="s">
        <v>38</v>
      </c>
      <c r="J17" t="s">
        <v>27</v>
      </c>
      <c r="K17" t="s">
        <v>108</v>
      </c>
      <c r="L17">
        <v>216018</v>
      </c>
    </row>
    <row r="18" spans="1:13" x14ac:dyDescent="0.3">
      <c r="A18" t="s">
        <v>109</v>
      </c>
      <c r="B18" t="s">
        <v>110</v>
      </c>
      <c r="C18">
        <v>1977</v>
      </c>
      <c r="D18" t="s">
        <v>54</v>
      </c>
      <c r="E18">
        <v>107</v>
      </c>
      <c r="F18" t="s">
        <v>111</v>
      </c>
      <c r="G18">
        <v>8.9</v>
      </c>
      <c r="H18">
        <v>100</v>
      </c>
      <c r="I18" t="s">
        <v>112</v>
      </c>
      <c r="J18" t="s">
        <v>113</v>
      </c>
      <c r="K18" t="s">
        <v>114</v>
      </c>
      <c r="L18">
        <v>70408</v>
      </c>
      <c r="M18">
        <v>19.98</v>
      </c>
    </row>
    <row r="19" spans="1:13" x14ac:dyDescent="0.3">
      <c r="A19" t="s">
        <v>115</v>
      </c>
      <c r="B19" t="s">
        <v>116</v>
      </c>
      <c r="C19">
        <v>1997</v>
      </c>
      <c r="D19" t="s">
        <v>17</v>
      </c>
      <c r="E19">
        <v>132</v>
      </c>
      <c r="F19" t="s">
        <v>117</v>
      </c>
      <c r="G19">
        <v>8.8000000000000007</v>
      </c>
      <c r="H19">
        <v>84</v>
      </c>
      <c r="I19" t="s">
        <v>118</v>
      </c>
      <c r="J19" t="s">
        <v>119</v>
      </c>
      <c r="K19" t="s">
        <v>120</v>
      </c>
      <c r="L19">
        <v>157304</v>
      </c>
      <c r="M19">
        <v>181.29</v>
      </c>
    </row>
    <row r="20" spans="1:13" x14ac:dyDescent="0.3">
      <c r="A20" t="s">
        <v>121</v>
      </c>
      <c r="B20" t="s">
        <v>122</v>
      </c>
      <c r="C20">
        <v>1960</v>
      </c>
      <c r="D20" t="s">
        <v>17</v>
      </c>
      <c r="E20">
        <v>119</v>
      </c>
      <c r="F20" t="s">
        <v>123</v>
      </c>
      <c r="G20">
        <v>8.8000000000000007</v>
      </c>
      <c r="I20" t="s">
        <v>124</v>
      </c>
      <c r="J20" t="s">
        <v>125</v>
      </c>
      <c r="K20" t="s">
        <v>126</v>
      </c>
      <c r="L20">
        <v>1411</v>
      </c>
      <c r="M20">
        <v>263.5</v>
      </c>
    </row>
    <row r="21" spans="1:13" x14ac:dyDescent="0.3">
      <c r="A21" t="s">
        <v>127</v>
      </c>
      <c r="B21" t="s">
        <v>128</v>
      </c>
      <c r="C21">
        <v>1963</v>
      </c>
      <c r="D21" t="s">
        <v>17</v>
      </c>
      <c r="E21">
        <v>127</v>
      </c>
      <c r="F21" t="s">
        <v>129</v>
      </c>
      <c r="G21">
        <v>8.8000000000000007</v>
      </c>
      <c r="H21">
        <v>100</v>
      </c>
      <c r="I21" t="s">
        <v>130</v>
      </c>
      <c r="J21" t="s">
        <v>131</v>
      </c>
      <c r="K21" t="s">
        <v>132</v>
      </c>
      <c r="L21">
        <v>33020</v>
      </c>
      <c r="M21">
        <v>218.75</v>
      </c>
    </row>
    <row r="22" spans="1:13" x14ac:dyDescent="0.3">
      <c r="A22" t="s">
        <v>133</v>
      </c>
      <c r="B22" t="s">
        <v>134</v>
      </c>
      <c r="C22">
        <v>1961</v>
      </c>
      <c r="D22" t="s">
        <v>17</v>
      </c>
      <c r="E22">
        <v>96</v>
      </c>
      <c r="F22" t="s">
        <v>135</v>
      </c>
      <c r="G22">
        <v>8.6999999999999993</v>
      </c>
      <c r="H22">
        <v>90</v>
      </c>
      <c r="I22" t="s">
        <v>136</v>
      </c>
      <c r="J22" t="s">
        <v>137</v>
      </c>
      <c r="K22" t="s">
        <v>138</v>
      </c>
      <c r="L22">
        <v>221952</v>
      </c>
      <c r="M22">
        <v>186.09</v>
      </c>
    </row>
    <row r="23" spans="1:13" x14ac:dyDescent="0.3">
      <c r="A23" t="s">
        <v>139</v>
      </c>
      <c r="B23" t="s">
        <v>140</v>
      </c>
      <c r="C23">
        <v>2024</v>
      </c>
      <c r="D23" t="s">
        <v>54</v>
      </c>
      <c r="E23">
        <v>70</v>
      </c>
      <c r="F23" t="s">
        <v>78</v>
      </c>
      <c r="G23">
        <v>8.6999999999999993</v>
      </c>
      <c r="H23">
        <v>72</v>
      </c>
      <c r="I23" t="s">
        <v>141</v>
      </c>
      <c r="J23" t="s">
        <v>86</v>
      </c>
      <c r="K23" t="s">
        <v>142</v>
      </c>
      <c r="L23">
        <v>97124</v>
      </c>
      <c r="M23">
        <v>642.62</v>
      </c>
    </row>
    <row r="24" spans="1:13" x14ac:dyDescent="0.3">
      <c r="A24" t="s">
        <v>143</v>
      </c>
      <c r="B24" t="s">
        <v>144</v>
      </c>
      <c r="C24">
        <v>2011</v>
      </c>
      <c r="D24" t="s">
        <v>54</v>
      </c>
      <c r="E24">
        <v>80</v>
      </c>
      <c r="F24" t="s">
        <v>145</v>
      </c>
      <c r="G24">
        <v>8.6999999999999993</v>
      </c>
      <c r="I24" t="s">
        <v>146</v>
      </c>
      <c r="J24" t="s">
        <v>147</v>
      </c>
      <c r="K24" t="s">
        <v>148</v>
      </c>
      <c r="L24">
        <v>22886</v>
      </c>
    </row>
    <row r="25" spans="1:13" x14ac:dyDescent="0.3">
      <c r="A25" t="s">
        <v>149</v>
      </c>
      <c r="B25" t="s">
        <v>150</v>
      </c>
      <c r="C25">
        <v>2018</v>
      </c>
      <c r="D25" t="s">
        <v>54</v>
      </c>
      <c r="E25">
        <v>132</v>
      </c>
      <c r="F25" t="s">
        <v>151</v>
      </c>
      <c r="G25">
        <v>8.6999999999999993</v>
      </c>
      <c r="H25">
        <v>84</v>
      </c>
      <c r="I25" t="s">
        <v>152</v>
      </c>
      <c r="J25" t="s">
        <v>153</v>
      </c>
      <c r="K25" t="s">
        <v>154</v>
      </c>
      <c r="L25">
        <v>123542</v>
      </c>
      <c r="M25">
        <v>987.17</v>
      </c>
    </row>
    <row r="26" spans="1:13" x14ac:dyDescent="0.3">
      <c r="A26" t="s">
        <v>155</v>
      </c>
      <c r="B26" t="s">
        <v>156</v>
      </c>
      <c r="C26">
        <v>2004</v>
      </c>
      <c r="D26" t="s">
        <v>54</v>
      </c>
      <c r="E26">
        <v>118</v>
      </c>
      <c r="F26" t="s">
        <v>157</v>
      </c>
      <c r="G26">
        <v>8.6999999999999993</v>
      </c>
      <c r="H26">
        <v>86</v>
      </c>
      <c r="I26" t="s">
        <v>158</v>
      </c>
      <c r="J26" t="s">
        <v>159</v>
      </c>
      <c r="K26" t="s">
        <v>160</v>
      </c>
      <c r="L26">
        <v>82668</v>
      </c>
      <c r="M26">
        <v>50.27</v>
      </c>
    </row>
    <row r="27" spans="1:13" x14ac:dyDescent="0.3">
      <c r="A27" t="s">
        <v>161</v>
      </c>
      <c r="B27" t="s">
        <v>162</v>
      </c>
      <c r="C27">
        <v>1987</v>
      </c>
      <c r="D27" t="s">
        <v>24</v>
      </c>
      <c r="E27">
        <v>131</v>
      </c>
      <c r="F27" t="s">
        <v>163</v>
      </c>
      <c r="G27">
        <v>8.6999999999999993</v>
      </c>
      <c r="H27">
        <v>77</v>
      </c>
      <c r="I27" t="s">
        <v>164</v>
      </c>
      <c r="J27" t="s">
        <v>165</v>
      </c>
      <c r="K27" t="s">
        <v>166</v>
      </c>
      <c r="L27">
        <v>300536</v>
      </c>
      <c r="M27">
        <v>38.26</v>
      </c>
    </row>
    <row r="28" spans="1:13" x14ac:dyDescent="0.3">
      <c r="A28" t="s">
        <v>167</v>
      </c>
      <c r="B28" t="s">
        <v>168</v>
      </c>
      <c r="C28">
        <v>1992</v>
      </c>
      <c r="D28" t="s">
        <v>169</v>
      </c>
      <c r="E28">
        <v>110</v>
      </c>
      <c r="F28" t="s">
        <v>78</v>
      </c>
      <c r="G28">
        <v>8.6999999999999993</v>
      </c>
      <c r="I28" t="s">
        <v>170</v>
      </c>
      <c r="J28" t="s">
        <v>50</v>
      </c>
      <c r="K28" t="s">
        <v>171</v>
      </c>
      <c r="L28">
        <v>41424</v>
      </c>
      <c r="M28">
        <v>204.77</v>
      </c>
    </row>
    <row r="29" spans="1:13" x14ac:dyDescent="0.3">
      <c r="A29" t="s">
        <v>172</v>
      </c>
      <c r="B29" t="s">
        <v>173</v>
      </c>
      <c r="C29">
        <v>2017</v>
      </c>
      <c r="D29" t="s">
        <v>54</v>
      </c>
      <c r="E29">
        <v>123</v>
      </c>
      <c r="F29" t="s">
        <v>174</v>
      </c>
      <c r="G29">
        <v>8.6999999999999993</v>
      </c>
      <c r="H29">
        <v>76</v>
      </c>
      <c r="I29" t="s">
        <v>175</v>
      </c>
      <c r="J29" t="s">
        <v>20</v>
      </c>
      <c r="K29" t="s">
        <v>176</v>
      </c>
      <c r="L29">
        <v>42588</v>
      </c>
      <c r="M29">
        <v>67.67</v>
      </c>
    </row>
    <row r="30" spans="1:13" x14ac:dyDescent="0.3">
      <c r="A30" t="s">
        <v>177</v>
      </c>
      <c r="B30" t="s">
        <v>178</v>
      </c>
      <c r="C30">
        <v>2023</v>
      </c>
      <c r="D30" t="s">
        <v>24</v>
      </c>
      <c r="E30">
        <v>103</v>
      </c>
      <c r="F30" t="s">
        <v>179</v>
      </c>
      <c r="G30">
        <v>8.6999999999999993</v>
      </c>
      <c r="I30" t="s">
        <v>180</v>
      </c>
      <c r="J30" t="s">
        <v>27</v>
      </c>
      <c r="K30" t="s">
        <v>181</v>
      </c>
      <c r="L30">
        <v>20164</v>
      </c>
      <c r="M30">
        <v>698.26</v>
      </c>
    </row>
    <row r="31" spans="1:13" x14ac:dyDescent="0.3">
      <c r="A31" t="s">
        <v>182</v>
      </c>
      <c r="B31" t="s">
        <v>183</v>
      </c>
      <c r="C31">
        <v>2003</v>
      </c>
      <c r="D31" t="s">
        <v>17</v>
      </c>
      <c r="E31">
        <v>124</v>
      </c>
      <c r="F31" t="s">
        <v>184</v>
      </c>
      <c r="G31">
        <v>8.6999999999999993</v>
      </c>
      <c r="H31">
        <v>84</v>
      </c>
      <c r="I31" t="s">
        <v>185</v>
      </c>
      <c r="J31" t="s">
        <v>63</v>
      </c>
      <c r="K31" t="s">
        <v>186</v>
      </c>
      <c r="L31">
        <v>30152</v>
      </c>
      <c r="M31">
        <v>481.83</v>
      </c>
    </row>
    <row r="32" spans="1:13" x14ac:dyDescent="0.3">
      <c r="A32" t="s">
        <v>187</v>
      </c>
      <c r="B32" t="s">
        <v>188</v>
      </c>
      <c r="C32">
        <v>1949</v>
      </c>
      <c r="D32" t="s">
        <v>24</v>
      </c>
      <c r="E32">
        <v>118</v>
      </c>
      <c r="F32" t="s">
        <v>189</v>
      </c>
      <c r="G32">
        <v>8.6</v>
      </c>
      <c r="H32">
        <v>92</v>
      </c>
      <c r="I32" t="s">
        <v>190</v>
      </c>
      <c r="J32" t="s">
        <v>191</v>
      </c>
      <c r="K32" t="s">
        <v>192</v>
      </c>
      <c r="L32">
        <v>123595</v>
      </c>
      <c r="M32">
        <v>281.54000000000002</v>
      </c>
    </row>
    <row r="33" spans="1:13" x14ac:dyDescent="0.3">
      <c r="A33" t="s">
        <v>193</v>
      </c>
      <c r="B33" t="s">
        <v>194</v>
      </c>
      <c r="C33">
        <v>2014</v>
      </c>
      <c r="D33" t="s">
        <v>54</v>
      </c>
      <c r="E33">
        <v>150</v>
      </c>
      <c r="F33" t="s">
        <v>195</v>
      </c>
      <c r="G33">
        <v>8.6</v>
      </c>
      <c r="I33" t="s">
        <v>38</v>
      </c>
      <c r="J33" t="s">
        <v>196</v>
      </c>
      <c r="K33" t="s">
        <v>197</v>
      </c>
      <c r="L33">
        <v>2500000</v>
      </c>
      <c r="M33">
        <v>386.05</v>
      </c>
    </row>
    <row r="34" spans="1:13" x14ac:dyDescent="0.3">
      <c r="A34" t="s">
        <v>198</v>
      </c>
      <c r="B34" t="s">
        <v>199</v>
      </c>
      <c r="C34">
        <v>1976</v>
      </c>
      <c r="D34" t="s">
        <v>17</v>
      </c>
      <c r="E34">
        <v>121</v>
      </c>
      <c r="F34" t="s">
        <v>200</v>
      </c>
      <c r="G34">
        <v>8.6</v>
      </c>
      <c r="H34">
        <v>78</v>
      </c>
      <c r="I34" t="s">
        <v>201</v>
      </c>
      <c r="J34" t="s">
        <v>191</v>
      </c>
      <c r="K34" t="s">
        <v>202</v>
      </c>
      <c r="L34">
        <v>25064</v>
      </c>
    </row>
    <row r="35" spans="1:13" x14ac:dyDescent="0.3">
      <c r="A35" t="s">
        <v>203</v>
      </c>
      <c r="B35" t="s">
        <v>204</v>
      </c>
      <c r="C35">
        <v>1990</v>
      </c>
      <c r="D35" t="s">
        <v>24</v>
      </c>
      <c r="E35">
        <v>96</v>
      </c>
      <c r="F35" t="s">
        <v>205</v>
      </c>
      <c r="G35">
        <v>8.6</v>
      </c>
      <c r="H35">
        <v>100</v>
      </c>
      <c r="I35" t="s">
        <v>206</v>
      </c>
      <c r="J35" t="s">
        <v>80</v>
      </c>
      <c r="K35" t="s">
        <v>207</v>
      </c>
      <c r="L35">
        <v>126252</v>
      </c>
      <c r="M35">
        <v>203.62</v>
      </c>
    </row>
    <row r="36" spans="1:13" x14ac:dyDescent="0.3">
      <c r="A36" t="s">
        <v>208</v>
      </c>
      <c r="B36" t="s">
        <v>209</v>
      </c>
      <c r="C36">
        <v>2022</v>
      </c>
      <c r="D36" t="s">
        <v>54</v>
      </c>
      <c r="E36">
        <v>154</v>
      </c>
      <c r="F36" t="s">
        <v>210</v>
      </c>
      <c r="G36">
        <v>8.6</v>
      </c>
      <c r="H36">
        <v>75</v>
      </c>
      <c r="I36" t="s">
        <v>211</v>
      </c>
      <c r="J36" t="s">
        <v>103</v>
      </c>
      <c r="K36" t="s">
        <v>212</v>
      </c>
      <c r="L36">
        <v>37916</v>
      </c>
      <c r="M36">
        <v>572.53</v>
      </c>
    </row>
    <row r="37" spans="1:13" x14ac:dyDescent="0.3">
      <c r="A37" t="s">
        <v>213</v>
      </c>
      <c r="B37" t="s">
        <v>214</v>
      </c>
      <c r="C37">
        <v>1988</v>
      </c>
      <c r="D37" t="s">
        <v>24</v>
      </c>
      <c r="E37">
        <v>162</v>
      </c>
      <c r="F37" t="s">
        <v>55</v>
      </c>
      <c r="G37">
        <v>8.6</v>
      </c>
      <c r="I37" t="s">
        <v>215</v>
      </c>
      <c r="J37" t="s">
        <v>131</v>
      </c>
      <c r="K37" t="s">
        <v>216</v>
      </c>
      <c r="L37">
        <v>7354</v>
      </c>
    </row>
    <row r="38" spans="1:13" x14ac:dyDescent="0.3">
      <c r="A38" t="s">
        <v>217</v>
      </c>
      <c r="B38" t="s">
        <v>218</v>
      </c>
      <c r="C38">
        <v>2013</v>
      </c>
      <c r="D38" t="s">
        <v>169</v>
      </c>
      <c r="E38">
        <v>131</v>
      </c>
      <c r="F38" t="s">
        <v>219</v>
      </c>
      <c r="G38">
        <v>8.6</v>
      </c>
      <c r="H38">
        <v>86</v>
      </c>
      <c r="I38" t="s">
        <v>220</v>
      </c>
      <c r="J38" t="s">
        <v>221</v>
      </c>
      <c r="K38" t="s">
        <v>222</v>
      </c>
      <c r="L38">
        <v>11460</v>
      </c>
    </row>
    <row r="39" spans="1:13" x14ac:dyDescent="0.3">
      <c r="A39" t="s">
        <v>223</v>
      </c>
      <c r="B39" t="s">
        <v>224</v>
      </c>
      <c r="C39">
        <v>2017</v>
      </c>
      <c r="D39" t="s">
        <v>54</v>
      </c>
      <c r="E39">
        <v>102</v>
      </c>
      <c r="F39" t="s">
        <v>225</v>
      </c>
      <c r="G39">
        <v>8.6</v>
      </c>
      <c r="I39" t="s">
        <v>226</v>
      </c>
      <c r="J39" t="s">
        <v>113</v>
      </c>
      <c r="K39" t="s">
        <v>227</v>
      </c>
      <c r="L39">
        <v>53996</v>
      </c>
    </row>
    <row r="40" spans="1:13" x14ac:dyDescent="0.3">
      <c r="A40" t="s">
        <v>228</v>
      </c>
      <c r="B40" t="s">
        <v>229</v>
      </c>
      <c r="C40">
        <v>1972</v>
      </c>
      <c r="D40" t="s">
        <v>17</v>
      </c>
      <c r="E40">
        <v>140</v>
      </c>
      <c r="F40" t="s">
        <v>230</v>
      </c>
      <c r="G40">
        <v>8.6</v>
      </c>
      <c r="H40">
        <v>84</v>
      </c>
      <c r="I40" t="s">
        <v>231</v>
      </c>
      <c r="J40" t="s">
        <v>68</v>
      </c>
      <c r="K40" t="s">
        <v>232</v>
      </c>
      <c r="L40">
        <v>20403</v>
      </c>
      <c r="M40">
        <v>163.31</v>
      </c>
    </row>
    <row r="41" spans="1:13" x14ac:dyDescent="0.3">
      <c r="A41" t="s">
        <v>233</v>
      </c>
      <c r="B41" t="s">
        <v>234</v>
      </c>
      <c r="C41">
        <v>1984</v>
      </c>
      <c r="D41" t="s">
        <v>17</v>
      </c>
      <c r="E41">
        <v>131</v>
      </c>
      <c r="F41" t="s">
        <v>235</v>
      </c>
      <c r="G41">
        <v>8.6</v>
      </c>
      <c r="I41" t="s">
        <v>201</v>
      </c>
      <c r="J41" t="s">
        <v>236</v>
      </c>
      <c r="K41" t="s">
        <v>237</v>
      </c>
      <c r="L41">
        <v>349068</v>
      </c>
      <c r="M41">
        <v>204.76</v>
      </c>
    </row>
    <row r="42" spans="1:13" x14ac:dyDescent="0.3">
      <c r="A42" t="s">
        <v>238</v>
      </c>
      <c r="B42" t="s">
        <v>239</v>
      </c>
      <c r="C42">
        <v>1983</v>
      </c>
      <c r="D42" t="s">
        <v>24</v>
      </c>
      <c r="E42">
        <v>125</v>
      </c>
      <c r="F42" t="s">
        <v>84</v>
      </c>
      <c r="G42">
        <v>8.5</v>
      </c>
      <c r="I42" t="s">
        <v>240</v>
      </c>
      <c r="J42" t="s">
        <v>131</v>
      </c>
      <c r="K42" t="s">
        <v>241</v>
      </c>
      <c r="L42">
        <v>73263</v>
      </c>
    </row>
    <row r="43" spans="1:13" x14ac:dyDescent="0.3">
      <c r="A43" t="s">
        <v>242</v>
      </c>
      <c r="B43" t="s">
        <v>243</v>
      </c>
      <c r="C43">
        <v>2024</v>
      </c>
      <c r="D43" t="s">
        <v>54</v>
      </c>
      <c r="E43">
        <v>129</v>
      </c>
      <c r="F43" t="s">
        <v>244</v>
      </c>
      <c r="G43">
        <v>8.5</v>
      </c>
      <c r="H43">
        <v>76</v>
      </c>
      <c r="I43" t="s">
        <v>245</v>
      </c>
      <c r="J43" t="s">
        <v>80</v>
      </c>
      <c r="K43" t="s">
        <v>246</v>
      </c>
      <c r="L43">
        <v>901014</v>
      </c>
      <c r="M43">
        <v>632.39</v>
      </c>
    </row>
    <row r="44" spans="1:13" x14ac:dyDescent="0.3">
      <c r="A44" t="s">
        <v>247</v>
      </c>
      <c r="B44" t="s">
        <v>248</v>
      </c>
      <c r="C44">
        <v>2013</v>
      </c>
      <c r="D44" t="s">
        <v>54</v>
      </c>
      <c r="E44">
        <v>108</v>
      </c>
      <c r="F44" t="s">
        <v>249</v>
      </c>
      <c r="G44">
        <v>8.5</v>
      </c>
      <c r="H44">
        <v>93</v>
      </c>
      <c r="I44" t="s">
        <v>250</v>
      </c>
      <c r="J44" t="s">
        <v>251</v>
      </c>
      <c r="K44" t="s">
        <v>252</v>
      </c>
      <c r="L44">
        <v>13644</v>
      </c>
      <c r="M44">
        <v>489.01</v>
      </c>
    </row>
    <row r="45" spans="1:13" x14ac:dyDescent="0.3">
      <c r="A45" t="s">
        <v>253</v>
      </c>
      <c r="B45" t="s">
        <v>254</v>
      </c>
      <c r="C45">
        <v>1988</v>
      </c>
      <c r="D45" t="s">
        <v>24</v>
      </c>
      <c r="E45">
        <v>126</v>
      </c>
      <c r="F45" t="s">
        <v>78</v>
      </c>
      <c r="G45">
        <v>8.5</v>
      </c>
      <c r="H45">
        <v>90</v>
      </c>
      <c r="I45" t="s">
        <v>255</v>
      </c>
      <c r="J45" t="s">
        <v>236</v>
      </c>
      <c r="K45" t="s">
        <v>256</v>
      </c>
      <c r="L45">
        <v>184750</v>
      </c>
    </row>
    <row r="46" spans="1:13" x14ac:dyDescent="0.3">
      <c r="A46" t="s">
        <v>257</v>
      </c>
      <c r="B46" t="s">
        <v>258</v>
      </c>
      <c r="C46">
        <v>1998</v>
      </c>
      <c r="D46" t="s">
        <v>24</v>
      </c>
      <c r="E46">
        <v>105</v>
      </c>
      <c r="F46" t="s">
        <v>259</v>
      </c>
      <c r="G46">
        <v>8.5</v>
      </c>
      <c r="I46" t="s">
        <v>201</v>
      </c>
      <c r="J46" t="s">
        <v>165</v>
      </c>
      <c r="K46" t="s">
        <v>260</v>
      </c>
      <c r="L46">
        <v>40038</v>
      </c>
      <c r="M46">
        <v>39.020000000000003</v>
      </c>
    </row>
    <row r="47" spans="1:13" x14ac:dyDescent="0.3">
      <c r="A47" t="s">
        <v>261</v>
      </c>
      <c r="B47" t="s">
        <v>262</v>
      </c>
      <c r="C47">
        <v>1984</v>
      </c>
      <c r="D47" t="s">
        <v>54</v>
      </c>
      <c r="E47">
        <v>128</v>
      </c>
      <c r="F47" t="s">
        <v>263</v>
      </c>
      <c r="G47">
        <v>8.5</v>
      </c>
      <c r="H47">
        <v>90</v>
      </c>
      <c r="I47" t="s">
        <v>264</v>
      </c>
      <c r="J47" t="s">
        <v>50</v>
      </c>
      <c r="K47" t="s">
        <v>265</v>
      </c>
      <c r="L47">
        <v>17888</v>
      </c>
      <c r="M47">
        <v>23.19</v>
      </c>
    </row>
    <row r="48" spans="1:13" x14ac:dyDescent="0.3">
      <c r="A48" t="s">
        <v>266</v>
      </c>
      <c r="B48" t="s">
        <v>267</v>
      </c>
      <c r="C48">
        <v>2002</v>
      </c>
      <c r="D48" t="s">
        <v>54</v>
      </c>
      <c r="E48">
        <v>106</v>
      </c>
      <c r="F48" t="s">
        <v>268</v>
      </c>
      <c r="G48">
        <v>8.5</v>
      </c>
      <c r="H48">
        <v>95</v>
      </c>
      <c r="I48" t="s">
        <v>269</v>
      </c>
      <c r="J48" t="s">
        <v>131</v>
      </c>
      <c r="K48" t="s">
        <v>270</v>
      </c>
      <c r="L48">
        <v>605142</v>
      </c>
      <c r="M48">
        <v>498.25</v>
      </c>
    </row>
    <row r="49" spans="1:13" x14ac:dyDescent="0.3">
      <c r="A49" t="s">
        <v>271</v>
      </c>
      <c r="B49" t="s">
        <v>272</v>
      </c>
      <c r="C49">
        <v>1996</v>
      </c>
      <c r="D49" t="s">
        <v>24</v>
      </c>
      <c r="E49">
        <v>162</v>
      </c>
      <c r="F49" t="s">
        <v>273</v>
      </c>
      <c r="G49">
        <v>8.5</v>
      </c>
      <c r="H49">
        <v>88</v>
      </c>
      <c r="I49" t="s">
        <v>164</v>
      </c>
      <c r="J49" t="s">
        <v>153</v>
      </c>
      <c r="K49" t="s">
        <v>274</v>
      </c>
      <c r="L49">
        <v>5740</v>
      </c>
    </row>
    <row r="50" spans="1:13" x14ac:dyDescent="0.3">
      <c r="A50" t="s">
        <v>275</v>
      </c>
      <c r="B50" t="s">
        <v>276</v>
      </c>
      <c r="C50">
        <v>2006</v>
      </c>
      <c r="D50" t="s">
        <v>169</v>
      </c>
      <c r="E50">
        <v>99</v>
      </c>
      <c r="F50" t="s">
        <v>277</v>
      </c>
      <c r="G50">
        <v>8.5</v>
      </c>
      <c r="H50">
        <v>85</v>
      </c>
      <c r="I50" t="s">
        <v>278</v>
      </c>
      <c r="J50" t="s">
        <v>147</v>
      </c>
      <c r="K50" t="s">
        <v>279</v>
      </c>
      <c r="L50">
        <v>747654</v>
      </c>
      <c r="M50">
        <v>52.74</v>
      </c>
    </row>
    <row r="51" spans="1:13" x14ac:dyDescent="0.3">
      <c r="A51" t="s">
        <v>280</v>
      </c>
      <c r="B51" t="s">
        <v>281</v>
      </c>
      <c r="C51">
        <v>2020</v>
      </c>
      <c r="D51" t="s">
        <v>17</v>
      </c>
      <c r="E51">
        <v>114</v>
      </c>
      <c r="F51" t="s">
        <v>277</v>
      </c>
      <c r="G51">
        <v>8.5</v>
      </c>
      <c r="H51">
        <v>73</v>
      </c>
      <c r="I51" t="s">
        <v>278</v>
      </c>
      <c r="J51" t="s">
        <v>119</v>
      </c>
      <c r="K51" t="s">
        <v>282</v>
      </c>
      <c r="L51">
        <v>1372418</v>
      </c>
      <c r="M51">
        <v>128.5</v>
      </c>
    </row>
    <row r="52" spans="1:13" x14ac:dyDescent="0.3">
      <c r="A52" t="s">
        <v>283</v>
      </c>
      <c r="B52" t="s">
        <v>284</v>
      </c>
      <c r="C52">
        <v>1944</v>
      </c>
      <c r="D52" t="s">
        <v>285</v>
      </c>
      <c r="E52">
        <v>151</v>
      </c>
      <c r="F52" t="s">
        <v>286</v>
      </c>
      <c r="G52">
        <v>8.5</v>
      </c>
      <c r="H52">
        <v>82</v>
      </c>
      <c r="I52" t="s">
        <v>287</v>
      </c>
      <c r="J52" t="s">
        <v>50</v>
      </c>
      <c r="K52" t="s">
        <v>288</v>
      </c>
      <c r="L52">
        <v>35528</v>
      </c>
      <c r="M52">
        <v>137.85</v>
      </c>
    </row>
    <row r="53" spans="1:13" x14ac:dyDescent="0.3">
      <c r="A53" t="s">
        <v>289</v>
      </c>
      <c r="B53" t="s">
        <v>290</v>
      </c>
      <c r="C53">
        <v>1974</v>
      </c>
      <c r="D53" t="s">
        <v>17</v>
      </c>
      <c r="E53">
        <v>123</v>
      </c>
      <c r="F53" t="s">
        <v>230</v>
      </c>
      <c r="G53">
        <v>8.5</v>
      </c>
      <c r="I53" t="s">
        <v>124</v>
      </c>
      <c r="J53" t="s">
        <v>147</v>
      </c>
      <c r="K53" t="s">
        <v>291</v>
      </c>
      <c r="L53">
        <v>92908</v>
      </c>
      <c r="M53">
        <v>267.33</v>
      </c>
    </row>
    <row r="54" spans="1:13" x14ac:dyDescent="0.3">
      <c r="A54" t="s">
        <v>292</v>
      </c>
      <c r="B54" t="s">
        <v>214</v>
      </c>
      <c r="C54">
        <v>1970</v>
      </c>
      <c r="D54" t="s">
        <v>293</v>
      </c>
      <c r="E54">
        <v>98</v>
      </c>
      <c r="F54" t="s">
        <v>294</v>
      </c>
      <c r="G54">
        <v>8.5</v>
      </c>
      <c r="I54" t="s">
        <v>295</v>
      </c>
      <c r="J54" t="s">
        <v>86</v>
      </c>
      <c r="K54" t="s">
        <v>296</v>
      </c>
      <c r="L54">
        <v>11510</v>
      </c>
      <c r="M54">
        <v>63.84</v>
      </c>
    </row>
    <row r="55" spans="1:13" x14ac:dyDescent="0.3">
      <c r="A55" t="s">
        <v>297</v>
      </c>
      <c r="B55" t="s">
        <v>298</v>
      </c>
      <c r="C55">
        <v>2019</v>
      </c>
      <c r="D55" t="s">
        <v>54</v>
      </c>
      <c r="E55">
        <v>127</v>
      </c>
      <c r="F55" t="s">
        <v>299</v>
      </c>
      <c r="G55">
        <v>8.5</v>
      </c>
      <c r="H55">
        <v>98</v>
      </c>
      <c r="I55" t="s">
        <v>300</v>
      </c>
      <c r="J55" t="s">
        <v>125</v>
      </c>
      <c r="K55" t="s">
        <v>301</v>
      </c>
      <c r="L55">
        <v>85642</v>
      </c>
      <c r="M55">
        <v>461.89</v>
      </c>
    </row>
    <row r="56" spans="1:13" x14ac:dyDescent="0.3">
      <c r="A56" t="s">
        <v>302</v>
      </c>
      <c r="B56" t="s">
        <v>303</v>
      </c>
      <c r="C56">
        <v>1998</v>
      </c>
      <c r="D56" t="s">
        <v>17</v>
      </c>
      <c r="E56">
        <v>128</v>
      </c>
      <c r="F56" t="s">
        <v>304</v>
      </c>
      <c r="G56">
        <v>8.5</v>
      </c>
      <c r="I56" t="s">
        <v>305</v>
      </c>
      <c r="J56" t="s">
        <v>27</v>
      </c>
      <c r="K56" t="s">
        <v>306</v>
      </c>
      <c r="L56">
        <v>2060246</v>
      </c>
      <c r="M56">
        <v>59.8</v>
      </c>
    </row>
    <row r="57" spans="1:13" x14ac:dyDescent="0.3">
      <c r="A57" t="s">
        <v>307</v>
      </c>
      <c r="B57">
        <v>1917</v>
      </c>
      <c r="C57">
        <v>1962</v>
      </c>
      <c r="D57" t="s">
        <v>285</v>
      </c>
      <c r="E57">
        <v>125</v>
      </c>
      <c r="F57" t="s">
        <v>308</v>
      </c>
      <c r="G57">
        <v>8.5</v>
      </c>
      <c r="H57">
        <v>86</v>
      </c>
      <c r="I57" t="s">
        <v>309</v>
      </c>
      <c r="J57" t="s">
        <v>63</v>
      </c>
      <c r="K57" t="s">
        <v>310</v>
      </c>
      <c r="L57">
        <v>11235</v>
      </c>
      <c r="M57">
        <v>185.74</v>
      </c>
    </row>
    <row r="58" spans="1:13" x14ac:dyDescent="0.3">
      <c r="A58" t="s">
        <v>311</v>
      </c>
      <c r="B58" t="s">
        <v>312</v>
      </c>
      <c r="C58">
        <v>1962</v>
      </c>
      <c r="D58" t="s">
        <v>24</v>
      </c>
      <c r="E58">
        <v>96</v>
      </c>
      <c r="F58" t="s">
        <v>313</v>
      </c>
      <c r="G58">
        <v>8.5</v>
      </c>
      <c r="H58">
        <v>81</v>
      </c>
      <c r="I58" t="s">
        <v>314</v>
      </c>
      <c r="J58" t="s">
        <v>315</v>
      </c>
      <c r="K58" t="s">
        <v>316</v>
      </c>
      <c r="L58">
        <v>549453</v>
      </c>
      <c r="M58">
        <v>297.89</v>
      </c>
    </row>
    <row r="59" spans="1:13" x14ac:dyDescent="0.3">
      <c r="A59" t="s">
        <v>317</v>
      </c>
      <c r="B59" t="s">
        <v>318</v>
      </c>
      <c r="C59">
        <v>2005</v>
      </c>
      <c r="D59" t="s">
        <v>17</v>
      </c>
      <c r="E59">
        <v>87</v>
      </c>
      <c r="F59" t="s">
        <v>319</v>
      </c>
      <c r="G59">
        <v>8.4</v>
      </c>
      <c r="I59" t="s">
        <v>320</v>
      </c>
      <c r="J59" t="s">
        <v>103</v>
      </c>
      <c r="K59" t="s">
        <v>321</v>
      </c>
      <c r="L59">
        <v>951056</v>
      </c>
      <c r="M59">
        <v>478.05</v>
      </c>
    </row>
    <row r="60" spans="1:13" x14ac:dyDescent="0.3">
      <c r="A60" t="s">
        <v>322</v>
      </c>
      <c r="B60" t="s">
        <v>323</v>
      </c>
      <c r="C60">
        <v>1975</v>
      </c>
      <c r="D60" t="s">
        <v>24</v>
      </c>
      <c r="E60">
        <v>93</v>
      </c>
      <c r="F60" t="s">
        <v>324</v>
      </c>
      <c r="G60">
        <v>8.4</v>
      </c>
      <c r="H60">
        <v>98</v>
      </c>
      <c r="I60" t="s">
        <v>325</v>
      </c>
      <c r="J60" t="s">
        <v>326</v>
      </c>
      <c r="K60" t="s">
        <v>327</v>
      </c>
      <c r="L60">
        <v>112172</v>
      </c>
      <c r="M60">
        <v>174.69</v>
      </c>
    </row>
    <row r="61" spans="1:13" x14ac:dyDescent="0.3">
      <c r="A61" t="s">
        <v>328</v>
      </c>
      <c r="B61" t="s">
        <v>329</v>
      </c>
      <c r="C61">
        <v>1968</v>
      </c>
      <c r="D61" t="s">
        <v>17</v>
      </c>
      <c r="E61">
        <v>91</v>
      </c>
      <c r="F61" t="s">
        <v>78</v>
      </c>
      <c r="G61">
        <v>8.4</v>
      </c>
      <c r="H61">
        <v>88</v>
      </c>
      <c r="I61" t="s">
        <v>305</v>
      </c>
      <c r="J61" t="s">
        <v>92</v>
      </c>
      <c r="K61" t="s">
        <v>330</v>
      </c>
      <c r="L61">
        <v>1920324</v>
      </c>
      <c r="M61">
        <v>84.58</v>
      </c>
    </row>
    <row r="62" spans="1:13" x14ac:dyDescent="0.3">
      <c r="A62" t="s">
        <v>331</v>
      </c>
      <c r="B62" t="s">
        <v>332</v>
      </c>
      <c r="C62">
        <v>2023</v>
      </c>
      <c r="D62" t="s">
        <v>17</v>
      </c>
      <c r="E62">
        <v>107</v>
      </c>
      <c r="F62" t="s">
        <v>55</v>
      </c>
      <c r="G62">
        <v>8.4</v>
      </c>
      <c r="H62">
        <v>93</v>
      </c>
      <c r="I62" t="s">
        <v>333</v>
      </c>
      <c r="J62" t="s">
        <v>137</v>
      </c>
      <c r="K62" t="s">
        <v>334</v>
      </c>
      <c r="L62">
        <v>73960</v>
      </c>
      <c r="M62">
        <v>835.91</v>
      </c>
    </row>
    <row r="63" spans="1:13" x14ac:dyDescent="0.3">
      <c r="A63" t="s">
        <v>335</v>
      </c>
      <c r="B63" t="s">
        <v>336</v>
      </c>
      <c r="C63">
        <v>2000</v>
      </c>
      <c r="D63" t="s">
        <v>17</v>
      </c>
      <c r="E63">
        <v>157</v>
      </c>
      <c r="F63" t="s">
        <v>337</v>
      </c>
      <c r="G63">
        <v>8.4</v>
      </c>
      <c r="I63" t="s">
        <v>338</v>
      </c>
      <c r="J63" t="s">
        <v>63</v>
      </c>
      <c r="K63" t="s">
        <v>339</v>
      </c>
      <c r="L63">
        <v>20054</v>
      </c>
      <c r="M63">
        <v>193.94</v>
      </c>
    </row>
    <row r="64" spans="1:13" x14ac:dyDescent="0.3">
      <c r="A64" t="s">
        <v>340</v>
      </c>
      <c r="B64" t="s">
        <v>341</v>
      </c>
      <c r="C64">
        <v>1940</v>
      </c>
      <c r="D64" t="s">
        <v>17</v>
      </c>
      <c r="E64">
        <v>98</v>
      </c>
      <c r="F64" t="s">
        <v>308</v>
      </c>
      <c r="G64">
        <v>8.4</v>
      </c>
      <c r="H64">
        <v>81</v>
      </c>
      <c r="I64" t="s">
        <v>158</v>
      </c>
      <c r="J64" t="s">
        <v>63</v>
      </c>
      <c r="K64" t="s">
        <v>342</v>
      </c>
      <c r="L64">
        <v>18091</v>
      </c>
    </row>
    <row r="65" spans="1:13" x14ac:dyDescent="0.3">
      <c r="A65" t="s">
        <v>343</v>
      </c>
      <c r="B65" t="s">
        <v>344</v>
      </c>
      <c r="C65">
        <v>2013</v>
      </c>
      <c r="D65" t="s">
        <v>293</v>
      </c>
      <c r="E65">
        <v>162</v>
      </c>
      <c r="F65" t="s">
        <v>345</v>
      </c>
      <c r="G65">
        <v>8.4</v>
      </c>
      <c r="H65">
        <v>71</v>
      </c>
      <c r="I65" t="s">
        <v>164</v>
      </c>
      <c r="J65" t="s">
        <v>27</v>
      </c>
      <c r="K65" t="s">
        <v>346</v>
      </c>
      <c r="L65">
        <v>230412</v>
      </c>
    </row>
    <row r="66" spans="1:13" x14ac:dyDescent="0.3">
      <c r="A66" t="s">
        <v>347</v>
      </c>
      <c r="B66" t="s">
        <v>348</v>
      </c>
      <c r="C66">
        <v>2022</v>
      </c>
      <c r="D66" t="s">
        <v>17</v>
      </c>
      <c r="E66">
        <v>107</v>
      </c>
      <c r="F66" t="s">
        <v>349</v>
      </c>
      <c r="G66">
        <v>8.4</v>
      </c>
      <c r="I66" t="s">
        <v>350</v>
      </c>
      <c r="J66" t="s">
        <v>137</v>
      </c>
      <c r="K66" t="s">
        <v>351</v>
      </c>
      <c r="L66">
        <v>346200</v>
      </c>
      <c r="M66">
        <v>512.29999999999995</v>
      </c>
    </row>
    <row r="67" spans="1:13" x14ac:dyDescent="0.3">
      <c r="A67" t="s">
        <v>352</v>
      </c>
      <c r="B67" t="s">
        <v>353</v>
      </c>
      <c r="C67">
        <v>2007</v>
      </c>
      <c r="D67" t="s">
        <v>17</v>
      </c>
      <c r="E67">
        <v>106</v>
      </c>
      <c r="F67" t="s">
        <v>354</v>
      </c>
      <c r="G67">
        <v>8.4</v>
      </c>
      <c r="H67">
        <v>81</v>
      </c>
      <c r="I67" t="s">
        <v>355</v>
      </c>
      <c r="J67" t="s">
        <v>103</v>
      </c>
      <c r="K67" t="s">
        <v>356</v>
      </c>
      <c r="L67">
        <v>112746</v>
      </c>
      <c r="M67">
        <v>383.09</v>
      </c>
    </row>
    <row r="68" spans="1:13" x14ac:dyDescent="0.3">
      <c r="A68" t="s">
        <v>357</v>
      </c>
      <c r="B68" t="s">
        <v>358</v>
      </c>
      <c r="C68">
        <v>2003</v>
      </c>
      <c r="D68" t="s">
        <v>285</v>
      </c>
      <c r="E68">
        <v>129</v>
      </c>
      <c r="F68" t="s">
        <v>359</v>
      </c>
      <c r="G68">
        <v>8.4</v>
      </c>
      <c r="H68">
        <v>76</v>
      </c>
      <c r="I68" t="s">
        <v>360</v>
      </c>
      <c r="J68" t="s">
        <v>86</v>
      </c>
      <c r="K68" t="s">
        <v>361</v>
      </c>
      <c r="L68">
        <v>89930</v>
      </c>
      <c r="M68">
        <v>473.41</v>
      </c>
    </row>
    <row r="69" spans="1:13" x14ac:dyDescent="0.3">
      <c r="A69" t="s">
        <v>362</v>
      </c>
      <c r="B69" t="s">
        <v>363</v>
      </c>
      <c r="C69">
        <v>1997</v>
      </c>
      <c r="D69" t="s">
        <v>24</v>
      </c>
      <c r="E69">
        <v>130</v>
      </c>
      <c r="F69" t="s">
        <v>235</v>
      </c>
      <c r="G69">
        <v>8.4</v>
      </c>
      <c r="H69">
        <v>70</v>
      </c>
      <c r="I69" t="s">
        <v>201</v>
      </c>
      <c r="J69" t="s">
        <v>153</v>
      </c>
      <c r="K69" t="s">
        <v>364</v>
      </c>
      <c r="L69">
        <v>2500000</v>
      </c>
      <c r="M69">
        <v>217.75</v>
      </c>
    </row>
    <row r="70" spans="1:13" x14ac:dyDescent="0.3">
      <c r="A70" t="s">
        <v>365</v>
      </c>
      <c r="B70" t="s">
        <v>366</v>
      </c>
      <c r="C70">
        <v>1997</v>
      </c>
      <c r="D70" t="s">
        <v>24</v>
      </c>
      <c r="E70">
        <v>161</v>
      </c>
      <c r="F70" t="s">
        <v>367</v>
      </c>
      <c r="G70">
        <v>8.4</v>
      </c>
      <c r="H70">
        <v>88</v>
      </c>
      <c r="I70" t="s">
        <v>269</v>
      </c>
      <c r="J70" t="s">
        <v>368</v>
      </c>
      <c r="K70" t="s">
        <v>369</v>
      </c>
      <c r="L70">
        <v>82428</v>
      </c>
    </row>
    <row r="71" spans="1:13" x14ac:dyDescent="0.3">
      <c r="A71" t="s">
        <v>370</v>
      </c>
      <c r="B71" t="s">
        <v>371</v>
      </c>
      <c r="C71">
        <v>2001</v>
      </c>
      <c r="D71" t="s">
        <v>54</v>
      </c>
      <c r="E71">
        <v>113</v>
      </c>
      <c r="F71" t="s">
        <v>37</v>
      </c>
      <c r="G71">
        <v>8.4</v>
      </c>
      <c r="I71" t="s">
        <v>38</v>
      </c>
      <c r="J71" t="s">
        <v>165</v>
      </c>
      <c r="K71" t="s">
        <v>372</v>
      </c>
      <c r="L71">
        <v>169100</v>
      </c>
    </row>
    <row r="72" spans="1:13" x14ac:dyDescent="0.3">
      <c r="A72" t="s">
        <v>373</v>
      </c>
      <c r="B72" t="s">
        <v>374</v>
      </c>
      <c r="C72">
        <v>2003</v>
      </c>
      <c r="D72" t="s">
        <v>54</v>
      </c>
      <c r="E72">
        <v>123</v>
      </c>
      <c r="F72" t="s">
        <v>375</v>
      </c>
      <c r="G72">
        <v>8.4</v>
      </c>
      <c r="H72">
        <v>80</v>
      </c>
      <c r="I72" t="s">
        <v>376</v>
      </c>
      <c r="J72" t="s">
        <v>315</v>
      </c>
      <c r="K72" t="s">
        <v>377</v>
      </c>
      <c r="L72">
        <v>768016</v>
      </c>
      <c r="M72">
        <v>185.42</v>
      </c>
    </row>
    <row r="73" spans="1:13" x14ac:dyDescent="0.3">
      <c r="A73" t="s">
        <v>378</v>
      </c>
      <c r="B73" t="s">
        <v>379</v>
      </c>
      <c r="C73">
        <v>2004</v>
      </c>
      <c r="D73" t="s">
        <v>54</v>
      </c>
      <c r="E73">
        <v>148</v>
      </c>
      <c r="F73" t="s">
        <v>380</v>
      </c>
      <c r="G73">
        <v>8.4</v>
      </c>
      <c r="I73" t="s">
        <v>381</v>
      </c>
      <c r="J73" t="s">
        <v>326</v>
      </c>
      <c r="K73" t="s">
        <v>382</v>
      </c>
      <c r="L73">
        <v>519922</v>
      </c>
      <c r="M73">
        <v>415.45</v>
      </c>
    </row>
    <row r="74" spans="1:13" x14ac:dyDescent="0.3">
      <c r="A74" t="s">
        <v>383</v>
      </c>
      <c r="B74" t="s">
        <v>384</v>
      </c>
      <c r="C74">
        <v>1969</v>
      </c>
      <c r="D74" t="s">
        <v>17</v>
      </c>
      <c r="E74">
        <v>113</v>
      </c>
      <c r="F74" t="s">
        <v>385</v>
      </c>
      <c r="G74">
        <v>8.3000000000000007</v>
      </c>
      <c r="H74">
        <v>69</v>
      </c>
      <c r="I74" t="s">
        <v>386</v>
      </c>
      <c r="J74" t="s">
        <v>165</v>
      </c>
      <c r="K74" t="s">
        <v>387</v>
      </c>
      <c r="L74">
        <v>310406</v>
      </c>
      <c r="M74">
        <v>169.85</v>
      </c>
    </row>
    <row r="75" spans="1:13" x14ac:dyDescent="0.3">
      <c r="A75" t="s">
        <v>388</v>
      </c>
      <c r="B75" t="s">
        <v>389</v>
      </c>
      <c r="C75">
        <v>1981</v>
      </c>
      <c r="D75" t="s">
        <v>169</v>
      </c>
      <c r="E75">
        <v>121</v>
      </c>
      <c r="F75" t="s">
        <v>390</v>
      </c>
      <c r="G75">
        <v>8.3000000000000007</v>
      </c>
      <c r="I75" t="s">
        <v>391</v>
      </c>
      <c r="J75" t="s">
        <v>221</v>
      </c>
      <c r="K75" t="s">
        <v>392</v>
      </c>
      <c r="L75">
        <v>9064</v>
      </c>
    </row>
    <row r="76" spans="1:13" x14ac:dyDescent="0.3">
      <c r="A76" t="s">
        <v>393</v>
      </c>
      <c r="B76" t="s">
        <v>394</v>
      </c>
      <c r="C76">
        <v>2024</v>
      </c>
      <c r="D76" t="s">
        <v>17</v>
      </c>
      <c r="E76">
        <v>128</v>
      </c>
      <c r="F76" t="s">
        <v>189</v>
      </c>
      <c r="G76">
        <v>8.3000000000000007</v>
      </c>
      <c r="I76" t="s">
        <v>395</v>
      </c>
      <c r="J76" t="s">
        <v>236</v>
      </c>
      <c r="K76" t="s">
        <v>396</v>
      </c>
      <c r="L76">
        <v>236438</v>
      </c>
      <c r="M76">
        <v>150.6</v>
      </c>
    </row>
    <row r="77" spans="1:13" x14ac:dyDescent="0.3">
      <c r="A77" t="s">
        <v>397</v>
      </c>
      <c r="B77" t="s">
        <v>398</v>
      </c>
      <c r="C77">
        <v>2001</v>
      </c>
      <c r="D77" t="s">
        <v>54</v>
      </c>
      <c r="E77">
        <v>78</v>
      </c>
      <c r="F77" t="s">
        <v>399</v>
      </c>
      <c r="G77">
        <v>8.3000000000000007</v>
      </c>
      <c r="I77" t="s">
        <v>400</v>
      </c>
      <c r="J77" t="s">
        <v>125</v>
      </c>
      <c r="K77" t="s">
        <v>401</v>
      </c>
      <c r="L77">
        <v>164336</v>
      </c>
    </row>
    <row r="78" spans="1:13" x14ac:dyDescent="0.3">
      <c r="A78" t="s">
        <v>402</v>
      </c>
      <c r="B78" t="s">
        <v>403</v>
      </c>
      <c r="C78">
        <v>2019</v>
      </c>
      <c r="D78" t="s">
        <v>54</v>
      </c>
      <c r="E78">
        <v>120</v>
      </c>
      <c r="F78" t="s">
        <v>404</v>
      </c>
      <c r="G78">
        <v>8.3000000000000007</v>
      </c>
      <c r="I78" t="s">
        <v>231</v>
      </c>
      <c r="J78" t="s">
        <v>119</v>
      </c>
      <c r="K78" t="s">
        <v>405</v>
      </c>
      <c r="L78">
        <v>47058</v>
      </c>
    </row>
    <row r="79" spans="1:13" x14ac:dyDescent="0.3">
      <c r="A79" t="s">
        <v>406</v>
      </c>
      <c r="B79" t="s">
        <v>407</v>
      </c>
      <c r="C79">
        <v>1982</v>
      </c>
      <c r="D79" t="s">
        <v>17</v>
      </c>
      <c r="E79">
        <v>125</v>
      </c>
      <c r="F79" t="s">
        <v>55</v>
      </c>
      <c r="G79">
        <v>8.3000000000000007</v>
      </c>
      <c r="H79">
        <v>93</v>
      </c>
      <c r="I79" t="s">
        <v>408</v>
      </c>
      <c r="J79" t="s">
        <v>68</v>
      </c>
      <c r="K79" t="s">
        <v>409</v>
      </c>
      <c r="L79">
        <v>25906</v>
      </c>
      <c r="M79">
        <v>282.5</v>
      </c>
    </row>
    <row r="80" spans="1:13" x14ac:dyDescent="0.3">
      <c r="A80" t="s">
        <v>410</v>
      </c>
      <c r="B80" t="s">
        <v>411</v>
      </c>
      <c r="C80">
        <v>1983</v>
      </c>
      <c r="D80" t="s">
        <v>293</v>
      </c>
      <c r="E80">
        <v>124</v>
      </c>
      <c r="F80" t="s">
        <v>78</v>
      </c>
      <c r="G80">
        <v>8.3000000000000007</v>
      </c>
      <c r="H80">
        <v>80</v>
      </c>
      <c r="I80" t="s">
        <v>412</v>
      </c>
      <c r="J80" t="s">
        <v>57</v>
      </c>
      <c r="K80" t="s">
        <v>413</v>
      </c>
      <c r="L80">
        <v>24607</v>
      </c>
      <c r="M80">
        <v>106.21</v>
      </c>
    </row>
    <row r="81" spans="1:13" x14ac:dyDescent="0.3">
      <c r="A81" t="s">
        <v>414</v>
      </c>
      <c r="B81" t="s">
        <v>415</v>
      </c>
      <c r="C81">
        <v>1974</v>
      </c>
      <c r="D81" t="s">
        <v>293</v>
      </c>
      <c r="E81">
        <v>125</v>
      </c>
      <c r="F81" t="s">
        <v>416</v>
      </c>
      <c r="G81">
        <v>8.3000000000000007</v>
      </c>
      <c r="I81" t="s">
        <v>417</v>
      </c>
      <c r="J81" t="s">
        <v>125</v>
      </c>
      <c r="K81" t="s">
        <v>418</v>
      </c>
      <c r="L81">
        <v>72402</v>
      </c>
    </row>
    <row r="82" spans="1:13" x14ac:dyDescent="0.3">
      <c r="A82" t="s">
        <v>419</v>
      </c>
      <c r="B82" t="s">
        <v>420</v>
      </c>
      <c r="C82">
        <v>1955</v>
      </c>
      <c r="D82" t="s">
        <v>17</v>
      </c>
      <c r="E82">
        <v>116</v>
      </c>
      <c r="F82" t="s">
        <v>421</v>
      </c>
      <c r="G82">
        <v>8.3000000000000007</v>
      </c>
      <c r="H82">
        <v>70</v>
      </c>
      <c r="I82" t="s">
        <v>422</v>
      </c>
      <c r="J82" t="s">
        <v>27</v>
      </c>
      <c r="K82" t="s">
        <v>423</v>
      </c>
      <c r="L82">
        <v>68203</v>
      </c>
      <c r="M82">
        <v>255.59</v>
      </c>
    </row>
    <row r="83" spans="1:13" x14ac:dyDescent="0.3">
      <c r="A83" t="s">
        <v>424</v>
      </c>
      <c r="B83" t="s">
        <v>425</v>
      </c>
      <c r="C83">
        <v>1943</v>
      </c>
      <c r="D83" t="s">
        <v>24</v>
      </c>
      <c r="E83">
        <v>107</v>
      </c>
      <c r="F83" t="s">
        <v>426</v>
      </c>
      <c r="G83">
        <v>8.3000000000000007</v>
      </c>
      <c r="H83">
        <v>92</v>
      </c>
      <c r="I83" t="s">
        <v>381</v>
      </c>
      <c r="J83" t="s">
        <v>125</v>
      </c>
      <c r="K83" t="s">
        <v>427</v>
      </c>
      <c r="L83">
        <v>721707</v>
      </c>
      <c r="M83">
        <v>18.05</v>
      </c>
    </row>
    <row r="84" spans="1:13" x14ac:dyDescent="0.3">
      <c r="A84" t="s">
        <v>428</v>
      </c>
      <c r="B84" t="s">
        <v>429</v>
      </c>
      <c r="C84">
        <v>2024</v>
      </c>
      <c r="D84" t="s">
        <v>24</v>
      </c>
      <c r="E84">
        <v>114</v>
      </c>
      <c r="F84" t="s">
        <v>430</v>
      </c>
      <c r="G84">
        <v>8.3000000000000007</v>
      </c>
      <c r="H84">
        <v>90</v>
      </c>
      <c r="I84" t="s">
        <v>431</v>
      </c>
      <c r="J84" t="s">
        <v>165</v>
      </c>
      <c r="K84" t="s">
        <v>432</v>
      </c>
      <c r="L84">
        <v>894336</v>
      </c>
      <c r="M84">
        <v>676.44</v>
      </c>
    </row>
    <row r="85" spans="1:13" x14ac:dyDescent="0.3">
      <c r="A85" t="s">
        <v>433</v>
      </c>
      <c r="B85" t="s">
        <v>434</v>
      </c>
      <c r="C85">
        <v>2015</v>
      </c>
      <c r="D85" t="s">
        <v>24</v>
      </c>
      <c r="E85">
        <v>129</v>
      </c>
      <c r="F85" t="s">
        <v>268</v>
      </c>
      <c r="G85">
        <v>8.3000000000000007</v>
      </c>
      <c r="H85">
        <v>82</v>
      </c>
      <c r="I85" t="s">
        <v>435</v>
      </c>
      <c r="J85" t="s">
        <v>86</v>
      </c>
      <c r="K85" t="s">
        <v>436</v>
      </c>
      <c r="L85">
        <v>118746</v>
      </c>
      <c r="M85">
        <v>434.07</v>
      </c>
    </row>
    <row r="86" spans="1:13" x14ac:dyDescent="0.3">
      <c r="A86" t="s">
        <v>437</v>
      </c>
      <c r="B86" t="s">
        <v>438</v>
      </c>
      <c r="C86">
        <v>1982</v>
      </c>
      <c r="D86" t="s">
        <v>17</v>
      </c>
      <c r="E86">
        <v>120</v>
      </c>
      <c r="F86" t="s">
        <v>439</v>
      </c>
      <c r="G86">
        <v>8.3000000000000007</v>
      </c>
      <c r="H86">
        <v>68</v>
      </c>
      <c r="I86" t="s">
        <v>440</v>
      </c>
      <c r="J86" t="s">
        <v>50</v>
      </c>
      <c r="K86" t="s">
        <v>441</v>
      </c>
      <c r="L86">
        <v>117325</v>
      </c>
      <c r="M86">
        <v>106.37</v>
      </c>
    </row>
    <row r="87" spans="1:13" x14ac:dyDescent="0.3">
      <c r="A87" t="s">
        <v>442</v>
      </c>
      <c r="B87" t="s">
        <v>443</v>
      </c>
      <c r="C87">
        <v>2010</v>
      </c>
      <c r="D87" t="s">
        <v>54</v>
      </c>
      <c r="E87">
        <v>144</v>
      </c>
      <c r="F87" t="s">
        <v>444</v>
      </c>
      <c r="G87">
        <v>8.3000000000000007</v>
      </c>
      <c r="I87" t="s">
        <v>102</v>
      </c>
      <c r="J87" t="s">
        <v>33</v>
      </c>
      <c r="K87" t="s">
        <v>445</v>
      </c>
      <c r="L87">
        <v>278582</v>
      </c>
      <c r="M87">
        <v>385.34</v>
      </c>
    </row>
    <row r="88" spans="1:13" x14ac:dyDescent="0.3">
      <c r="A88" t="s">
        <v>446</v>
      </c>
      <c r="B88" t="s">
        <v>447</v>
      </c>
      <c r="C88">
        <v>1957</v>
      </c>
      <c r="D88" t="s">
        <v>293</v>
      </c>
      <c r="E88">
        <v>119</v>
      </c>
      <c r="F88" t="s">
        <v>448</v>
      </c>
      <c r="G88">
        <v>8.1999999999999993</v>
      </c>
      <c r="H88">
        <v>85</v>
      </c>
      <c r="I88" t="s">
        <v>449</v>
      </c>
      <c r="J88" t="s">
        <v>39</v>
      </c>
      <c r="K88" t="s">
        <v>450</v>
      </c>
      <c r="L88">
        <v>2500000</v>
      </c>
    </row>
    <row r="89" spans="1:13" x14ac:dyDescent="0.3">
      <c r="A89" t="s">
        <v>451</v>
      </c>
      <c r="B89" t="s">
        <v>452</v>
      </c>
      <c r="C89">
        <v>2006</v>
      </c>
      <c r="D89" t="s">
        <v>17</v>
      </c>
      <c r="E89">
        <v>114</v>
      </c>
      <c r="F89" t="s">
        <v>453</v>
      </c>
      <c r="G89">
        <v>8.1999999999999993</v>
      </c>
      <c r="H89">
        <v>73</v>
      </c>
      <c r="I89" t="s">
        <v>454</v>
      </c>
      <c r="J89" t="s">
        <v>74</v>
      </c>
      <c r="K89" t="s">
        <v>455</v>
      </c>
      <c r="L89">
        <v>2244</v>
      </c>
      <c r="M89">
        <v>266.39999999999998</v>
      </c>
    </row>
    <row r="90" spans="1:13" x14ac:dyDescent="0.3">
      <c r="A90" t="s">
        <v>456</v>
      </c>
      <c r="B90" t="s">
        <v>457</v>
      </c>
      <c r="C90">
        <v>1969</v>
      </c>
      <c r="D90" t="s">
        <v>17</v>
      </c>
      <c r="E90">
        <v>115</v>
      </c>
      <c r="F90" t="s">
        <v>107</v>
      </c>
      <c r="G90">
        <v>8.1999999999999993</v>
      </c>
      <c r="I90" t="s">
        <v>458</v>
      </c>
      <c r="J90" t="s">
        <v>147</v>
      </c>
      <c r="K90" t="s">
        <v>459</v>
      </c>
      <c r="L90">
        <v>8476</v>
      </c>
    </row>
    <row r="91" spans="1:13" x14ac:dyDescent="0.3">
      <c r="A91" t="s">
        <v>460</v>
      </c>
      <c r="B91" t="s">
        <v>461</v>
      </c>
      <c r="C91">
        <v>2002</v>
      </c>
      <c r="D91" t="s">
        <v>17</v>
      </c>
      <c r="E91">
        <v>86</v>
      </c>
      <c r="F91" t="s">
        <v>462</v>
      </c>
      <c r="G91">
        <v>8.1999999999999993</v>
      </c>
      <c r="I91" t="s">
        <v>395</v>
      </c>
      <c r="J91" t="s">
        <v>147</v>
      </c>
      <c r="K91" t="s">
        <v>463</v>
      </c>
      <c r="L91">
        <v>94478</v>
      </c>
    </row>
    <row r="92" spans="1:13" x14ac:dyDescent="0.3">
      <c r="A92" t="s">
        <v>464</v>
      </c>
      <c r="B92" t="s">
        <v>465</v>
      </c>
      <c r="C92">
        <v>1959</v>
      </c>
      <c r="D92" t="s">
        <v>17</v>
      </c>
      <c r="E92">
        <v>109</v>
      </c>
      <c r="F92" t="s">
        <v>466</v>
      </c>
      <c r="G92">
        <v>8.1999999999999993</v>
      </c>
      <c r="I92" t="s">
        <v>269</v>
      </c>
      <c r="J92" t="s">
        <v>92</v>
      </c>
      <c r="K92" t="s">
        <v>467</v>
      </c>
      <c r="L92">
        <v>12782</v>
      </c>
    </row>
    <row r="93" spans="1:13" x14ac:dyDescent="0.3">
      <c r="A93" t="s">
        <v>468</v>
      </c>
      <c r="B93" t="s">
        <v>469</v>
      </c>
      <c r="C93">
        <v>1964</v>
      </c>
      <c r="D93" t="s">
        <v>54</v>
      </c>
      <c r="E93">
        <v>136</v>
      </c>
      <c r="F93" t="s">
        <v>470</v>
      </c>
      <c r="G93">
        <v>8.1999999999999993</v>
      </c>
      <c r="H93">
        <v>89</v>
      </c>
      <c r="I93" t="s">
        <v>471</v>
      </c>
      <c r="J93" t="s">
        <v>251</v>
      </c>
      <c r="K93" t="s">
        <v>472</v>
      </c>
      <c r="L93">
        <v>45880</v>
      </c>
    </row>
    <row r="94" spans="1:13" x14ac:dyDescent="0.3">
      <c r="A94" t="s">
        <v>473</v>
      </c>
      <c r="B94" t="s">
        <v>474</v>
      </c>
      <c r="C94">
        <v>1950</v>
      </c>
      <c r="D94" t="s">
        <v>24</v>
      </c>
      <c r="E94">
        <v>125</v>
      </c>
      <c r="F94" t="s">
        <v>244</v>
      </c>
      <c r="G94">
        <v>8.1999999999999993</v>
      </c>
      <c r="I94" t="s">
        <v>475</v>
      </c>
      <c r="J94" t="s">
        <v>131</v>
      </c>
      <c r="K94" t="s">
        <v>476</v>
      </c>
      <c r="L94">
        <v>4040</v>
      </c>
      <c r="M94">
        <v>254.37</v>
      </c>
    </row>
    <row r="95" spans="1:13" x14ac:dyDescent="0.3">
      <c r="A95" t="s">
        <v>477</v>
      </c>
      <c r="B95" t="s">
        <v>478</v>
      </c>
      <c r="C95">
        <v>2008</v>
      </c>
      <c r="D95" t="s">
        <v>54</v>
      </c>
      <c r="E95">
        <v>124</v>
      </c>
      <c r="F95" t="s">
        <v>479</v>
      </c>
      <c r="G95">
        <v>8.1999999999999993</v>
      </c>
      <c r="I95" t="s">
        <v>136</v>
      </c>
      <c r="J95" t="s">
        <v>137</v>
      </c>
      <c r="K95" t="s">
        <v>480</v>
      </c>
      <c r="L95">
        <v>103798</v>
      </c>
      <c r="M95">
        <v>110.53</v>
      </c>
    </row>
    <row r="96" spans="1:13" x14ac:dyDescent="0.3">
      <c r="A96" t="s">
        <v>481</v>
      </c>
      <c r="B96" t="s">
        <v>482</v>
      </c>
      <c r="C96">
        <v>2013</v>
      </c>
      <c r="D96" t="s">
        <v>54</v>
      </c>
      <c r="E96">
        <v>127</v>
      </c>
      <c r="F96" t="s">
        <v>179</v>
      </c>
      <c r="G96">
        <v>8.1999999999999993</v>
      </c>
      <c r="H96">
        <v>75</v>
      </c>
      <c r="I96" t="s">
        <v>226</v>
      </c>
      <c r="J96" t="s">
        <v>483</v>
      </c>
      <c r="K96" t="s">
        <v>484</v>
      </c>
      <c r="L96">
        <v>108500</v>
      </c>
    </row>
    <row r="97" spans="1:13" x14ac:dyDescent="0.3">
      <c r="A97" t="s">
        <v>485</v>
      </c>
      <c r="B97" t="s">
        <v>486</v>
      </c>
      <c r="C97">
        <v>2003</v>
      </c>
      <c r="D97" t="s">
        <v>24</v>
      </c>
      <c r="E97">
        <v>89</v>
      </c>
      <c r="F97" t="s">
        <v>487</v>
      </c>
      <c r="G97">
        <v>8.1999999999999993</v>
      </c>
      <c r="H97">
        <v>72</v>
      </c>
      <c r="I97" t="s">
        <v>231</v>
      </c>
      <c r="J97" t="s">
        <v>68</v>
      </c>
      <c r="K97" t="s">
        <v>488</v>
      </c>
      <c r="L97">
        <v>1770838</v>
      </c>
      <c r="M97">
        <v>432.74</v>
      </c>
    </row>
    <row r="98" spans="1:13" x14ac:dyDescent="0.3">
      <c r="A98" t="s">
        <v>489</v>
      </c>
      <c r="B98" t="s">
        <v>490</v>
      </c>
      <c r="C98">
        <v>2002</v>
      </c>
      <c r="D98" t="s">
        <v>54</v>
      </c>
      <c r="E98">
        <v>129</v>
      </c>
      <c r="F98" t="s">
        <v>72</v>
      </c>
      <c r="G98">
        <v>8.1999999999999993</v>
      </c>
      <c r="H98">
        <v>73</v>
      </c>
      <c r="I98" t="s">
        <v>491</v>
      </c>
      <c r="J98" t="s">
        <v>326</v>
      </c>
      <c r="K98" t="s">
        <v>492</v>
      </c>
      <c r="L98">
        <v>28846</v>
      </c>
      <c r="M98">
        <v>10.23</v>
      </c>
    </row>
    <row r="99" spans="1:13" x14ac:dyDescent="0.3">
      <c r="A99" t="s">
        <v>493</v>
      </c>
      <c r="B99" t="s">
        <v>494</v>
      </c>
      <c r="C99">
        <v>2019</v>
      </c>
      <c r="D99" t="s">
        <v>17</v>
      </c>
      <c r="E99">
        <v>117</v>
      </c>
      <c r="F99" t="s">
        <v>277</v>
      </c>
      <c r="G99">
        <v>8.1999999999999993</v>
      </c>
      <c r="H99">
        <v>95</v>
      </c>
      <c r="I99" t="s">
        <v>495</v>
      </c>
      <c r="J99" t="s">
        <v>20</v>
      </c>
      <c r="K99" t="s">
        <v>496</v>
      </c>
      <c r="L99">
        <v>13580</v>
      </c>
      <c r="M99">
        <v>677.4</v>
      </c>
    </row>
    <row r="100" spans="1:13" x14ac:dyDescent="0.3">
      <c r="A100" t="s">
        <v>497</v>
      </c>
      <c r="B100" t="s">
        <v>498</v>
      </c>
      <c r="C100">
        <v>1980</v>
      </c>
      <c r="D100" t="s">
        <v>17</v>
      </c>
      <c r="E100">
        <v>141</v>
      </c>
      <c r="F100" t="s">
        <v>499</v>
      </c>
      <c r="G100">
        <v>8.1999999999999993</v>
      </c>
      <c r="H100">
        <v>70</v>
      </c>
      <c r="I100" t="s">
        <v>500</v>
      </c>
      <c r="J100" t="s">
        <v>326</v>
      </c>
      <c r="K100" t="s">
        <v>501</v>
      </c>
      <c r="L100">
        <v>14266</v>
      </c>
      <c r="M100">
        <v>131.65</v>
      </c>
    </row>
    <row r="101" spans="1:13" x14ac:dyDescent="0.3">
      <c r="A101" t="s">
        <v>502</v>
      </c>
      <c r="B101" t="s">
        <v>503</v>
      </c>
      <c r="C101">
        <v>2001</v>
      </c>
      <c r="D101" t="s">
        <v>54</v>
      </c>
      <c r="E101">
        <v>107</v>
      </c>
      <c r="F101" t="s">
        <v>504</v>
      </c>
      <c r="G101">
        <v>8.1999999999999993</v>
      </c>
      <c r="H101">
        <v>95</v>
      </c>
      <c r="I101" t="s">
        <v>269</v>
      </c>
      <c r="J101" t="s">
        <v>251</v>
      </c>
      <c r="K101" t="s">
        <v>505</v>
      </c>
      <c r="L101">
        <v>53606</v>
      </c>
      <c r="M101">
        <v>46.22</v>
      </c>
    </row>
    <row r="102" spans="1:13" x14ac:dyDescent="0.3">
      <c r="A102" t="s">
        <v>506</v>
      </c>
      <c r="B102" t="s">
        <v>507</v>
      </c>
      <c r="C102">
        <v>1982</v>
      </c>
      <c r="D102" t="s">
        <v>169</v>
      </c>
      <c r="E102">
        <v>112</v>
      </c>
      <c r="F102" t="s">
        <v>453</v>
      </c>
      <c r="G102">
        <v>8.1999999999999993</v>
      </c>
      <c r="H102">
        <v>85</v>
      </c>
      <c r="I102" t="s">
        <v>508</v>
      </c>
      <c r="J102" t="s">
        <v>147</v>
      </c>
      <c r="K102" t="s">
        <v>509</v>
      </c>
      <c r="L102">
        <v>193981</v>
      </c>
      <c r="M102">
        <v>182.49</v>
      </c>
    </row>
    <row r="103" spans="1:13" x14ac:dyDescent="0.3">
      <c r="A103" t="s">
        <v>510</v>
      </c>
      <c r="B103" t="s">
        <v>511</v>
      </c>
      <c r="C103">
        <v>1985</v>
      </c>
      <c r="D103" t="s">
        <v>17</v>
      </c>
      <c r="E103">
        <v>124</v>
      </c>
      <c r="F103" t="s">
        <v>512</v>
      </c>
      <c r="G103">
        <v>8.1999999999999993</v>
      </c>
      <c r="H103">
        <v>92</v>
      </c>
      <c r="I103" t="s">
        <v>513</v>
      </c>
      <c r="J103" t="s">
        <v>191</v>
      </c>
      <c r="K103" t="s">
        <v>514</v>
      </c>
      <c r="L103">
        <v>27034</v>
      </c>
    </row>
    <row r="104" spans="1:13" x14ac:dyDescent="0.3">
      <c r="A104" t="s">
        <v>515</v>
      </c>
      <c r="B104" t="s">
        <v>516</v>
      </c>
      <c r="C104">
        <v>1991</v>
      </c>
      <c r="D104" t="s">
        <v>17</v>
      </c>
      <c r="E104">
        <v>129</v>
      </c>
      <c r="F104" t="s">
        <v>517</v>
      </c>
      <c r="G104">
        <v>8.1999999999999993</v>
      </c>
      <c r="I104" t="s">
        <v>226</v>
      </c>
      <c r="J104" t="s">
        <v>518</v>
      </c>
      <c r="K104" t="s">
        <v>519</v>
      </c>
      <c r="L104">
        <v>33622</v>
      </c>
      <c r="M104">
        <v>148.97</v>
      </c>
    </row>
    <row r="105" spans="1:13" x14ac:dyDescent="0.3">
      <c r="A105" t="s">
        <v>520</v>
      </c>
      <c r="B105" t="s">
        <v>521</v>
      </c>
      <c r="C105">
        <v>1987</v>
      </c>
      <c r="D105" t="s">
        <v>54</v>
      </c>
      <c r="E105">
        <v>103</v>
      </c>
      <c r="F105" t="s">
        <v>522</v>
      </c>
      <c r="G105">
        <v>8.1999999999999993</v>
      </c>
      <c r="I105" t="s">
        <v>523</v>
      </c>
      <c r="J105" t="s">
        <v>524</v>
      </c>
      <c r="K105" t="s">
        <v>525</v>
      </c>
      <c r="L105">
        <v>119856</v>
      </c>
      <c r="M105">
        <v>54.62</v>
      </c>
    </row>
    <row r="106" spans="1:13" x14ac:dyDescent="0.3">
      <c r="A106" t="s">
        <v>526</v>
      </c>
      <c r="B106" t="s">
        <v>527</v>
      </c>
      <c r="C106">
        <v>1980</v>
      </c>
      <c r="D106" t="s">
        <v>24</v>
      </c>
      <c r="E106">
        <v>104</v>
      </c>
      <c r="F106" t="s">
        <v>528</v>
      </c>
      <c r="G106">
        <v>8.1999999999999993</v>
      </c>
      <c r="H106">
        <v>68</v>
      </c>
      <c r="I106" t="s">
        <v>201</v>
      </c>
      <c r="J106" t="s">
        <v>251</v>
      </c>
      <c r="K106" t="s">
        <v>529</v>
      </c>
      <c r="L106">
        <v>153246</v>
      </c>
      <c r="M106">
        <v>107.19</v>
      </c>
    </row>
    <row r="107" spans="1:13" x14ac:dyDescent="0.3">
      <c r="A107" t="s">
        <v>530</v>
      </c>
      <c r="B107" t="s">
        <v>531</v>
      </c>
      <c r="C107">
        <v>2008</v>
      </c>
      <c r="D107" t="s">
        <v>24</v>
      </c>
      <c r="E107">
        <v>75</v>
      </c>
      <c r="F107" t="s">
        <v>532</v>
      </c>
      <c r="G107">
        <v>8.1999999999999993</v>
      </c>
      <c r="H107">
        <v>84</v>
      </c>
      <c r="I107" t="s">
        <v>533</v>
      </c>
      <c r="J107" t="s">
        <v>147</v>
      </c>
      <c r="K107" t="s">
        <v>534</v>
      </c>
      <c r="L107">
        <v>14146</v>
      </c>
    </row>
    <row r="108" spans="1:13" x14ac:dyDescent="0.3">
      <c r="A108" t="s">
        <v>535</v>
      </c>
      <c r="B108" t="s">
        <v>536</v>
      </c>
      <c r="C108">
        <v>2022</v>
      </c>
      <c r="D108" t="s">
        <v>54</v>
      </c>
      <c r="E108">
        <v>142</v>
      </c>
      <c r="F108" t="s">
        <v>537</v>
      </c>
      <c r="G108">
        <v>8.1999999999999993</v>
      </c>
      <c r="H108">
        <v>95</v>
      </c>
      <c r="I108" t="s">
        <v>538</v>
      </c>
      <c r="J108" t="s">
        <v>113</v>
      </c>
      <c r="K108" t="s">
        <v>539</v>
      </c>
      <c r="L108">
        <v>26120</v>
      </c>
      <c r="M108">
        <v>316.14</v>
      </c>
    </row>
    <row r="109" spans="1:13" x14ac:dyDescent="0.3">
      <c r="A109" t="s">
        <v>540</v>
      </c>
      <c r="B109" t="s">
        <v>541</v>
      </c>
      <c r="C109">
        <v>2019</v>
      </c>
      <c r="D109" t="s">
        <v>54</v>
      </c>
      <c r="E109">
        <v>117</v>
      </c>
      <c r="F109" t="s">
        <v>542</v>
      </c>
      <c r="G109">
        <v>8.1999999999999993</v>
      </c>
      <c r="H109">
        <v>75</v>
      </c>
      <c r="I109" t="s">
        <v>38</v>
      </c>
      <c r="J109" t="s">
        <v>165</v>
      </c>
      <c r="K109" t="s">
        <v>543</v>
      </c>
      <c r="L109">
        <v>308464</v>
      </c>
      <c r="M109">
        <v>225.6</v>
      </c>
    </row>
    <row r="110" spans="1:13" x14ac:dyDescent="0.3">
      <c r="A110" t="s">
        <v>544</v>
      </c>
      <c r="B110" t="s">
        <v>545</v>
      </c>
      <c r="C110">
        <v>1992</v>
      </c>
      <c r="D110" t="s">
        <v>17</v>
      </c>
      <c r="E110">
        <v>130</v>
      </c>
      <c r="F110" t="s">
        <v>546</v>
      </c>
      <c r="G110">
        <v>8.1999999999999993</v>
      </c>
      <c r="H110">
        <v>72</v>
      </c>
      <c r="I110" t="s">
        <v>220</v>
      </c>
      <c r="J110" t="s">
        <v>547</v>
      </c>
      <c r="K110" t="s">
        <v>548</v>
      </c>
      <c r="L110">
        <v>101722</v>
      </c>
      <c r="M110">
        <v>126.87</v>
      </c>
    </row>
    <row r="111" spans="1:13" x14ac:dyDescent="0.3">
      <c r="A111" t="s">
        <v>549</v>
      </c>
      <c r="B111" t="s">
        <v>550</v>
      </c>
      <c r="C111">
        <v>2024</v>
      </c>
      <c r="D111" t="s">
        <v>17</v>
      </c>
      <c r="E111">
        <v>131</v>
      </c>
      <c r="F111" t="s">
        <v>551</v>
      </c>
      <c r="G111">
        <v>8.1999999999999993</v>
      </c>
      <c r="I111" t="s">
        <v>552</v>
      </c>
      <c r="J111" t="s">
        <v>165</v>
      </c>
      <c r="K111" t="s">
        <v>553</v>
      </c>
      <c r="L111">
        <v>745112</v>
      </c>
      <c r="M111">
        <v>287.20999999999998</v>
      </c>
    </row>
    <row r="112" spans="1:13" x14ac:dyDescent="0.3">
      <c r="A112" t="s">
        <v>554</v>
      </c>
      <c r="B112" t="s">
        <v>555</v>
      </c>
      <c r="C112">
        <v>2003</v>
      </c>
      <c r="D112" t="s">
        <v>24</v>
      </c>
      <c r="E112">
        <v>146</v>
      </c>
      <c r="F112" t="s">
        <v>556</v>
      </c>
      <c r="G112">
        <v>8.1999999999999993</v>
      </c>
      <c r="H112">
        <v>83</v>
      </c>
      <c r="I112" t="s">
        <v>557</v>
      </c>
      <c r="J112" t="s">
        <v>159</v>
      </c>
      <c r="K112" t="s">
        <v>558</v>
      </c>
      <c r="L112">
        <v>125636</v>
      </c>
      <c r="M112">
        <v>177.65</v>
      </c>
    </row>
    <row r="113" spans="1:13" x14ac:dyDescent="0.3">
      <c r="A113" t="s">
        <v>559</v>
      </c>
      <c r="B113" t="s">
        <v>560</v>
      </c>
      <c r="C113">
        <v>2000</v>
      </c>
      <c r="D113" t="s">
        <v>17</v>
      </c>
      <c r="E113">
        <v>111</v>
      </c>
      <c r="F113" t="s">
        <v>37</v>
      </c>
      <c r="G113">
        <v>8.1999999999999993</v>
      </c>
      <c r="H113">
        <v>97</v>
      </c>
      <c r="I113" t="s">
        <v>561</v>
      </c>
      <c r="J113" t="s">
        <v>159</v>
      </c>
      <c r="K113" t="s">
        <v>562</v>
      </c>
      <c r="L113">
        <v>428684</v>
      </c>
      <c r="M113">
        <v>294.49</v>
      </c>
    </row>
    <row r="114" spans="1:13" x14ac:dyDescent="0.3">
      <c r="A114" t="s">
        <v>563</v>
      </c>
      <c r="B114" t="s">
        <v>564</v>
      </c>
      <c r="C114">
        <v>2020</v>
      </c>
      <c r="D114" t="s">
        <v>293</v>
      </c>
      <c r="E114">
        <v>149</v>
      </c>
      <c r="F114" t="s">
        <v>565</v>
      </c>
      <c r="G114">
        <v>8.1999999999999993</v>
      </c>
      <c r="H114">
        <v>82</v>
      </c>
      <c r="I114" t="s">
        <v>566</v>
      </c>
      <c r="J114" t="s">
        <v>221</v>
      </c>
      <c r="K114" t="s">
        <v>567</v>
      </c>
      <c r="L114">
        <v>54658</v>
      </c>
      <c r="M114">
        <v>186.68</v>
      </c>
    </row>
    <row r="115" spans="1:13" x14ac:dyDescent="0.3">
      <c r="A115" t="s">
        <v>568</v>
      </c>
      <c r="B115" t="s">
        <v>569</v>
      </c>
      <c r="C115">
        <v>2003</v>
      </c>
      <c r="D115" t="s">
        <v>24</v>
      </c>
      <c r="E115">
        <v>114</v>
      </c>
      <c r="F115" t="s">
        <v>230</v>
      </c>
      <c r="G115">
        <v>8.1999999999999993</v>
      </c>
      <c r="H115">
        <v>97</v>
      </c>
      <c r="I115" t="s">
        <v>570</v>
      </c>
      <c r="J115" t="s">
        <v>326</v>
      </c>
      <c r="K115" t="s">
        <v>571</v>
      </c>
      <c r="L115">
        <v>277762</v>
      </c>
      <c r="M115">
        <v>251.71</v>
      </c>
    </row>
    <row r="116" spans="1:13" x14ac:dyDescent="0.3">
      <c r="A116" t="s">
        <v>572</v>
      </c>
      <c r="B116" t="s">
        <v>573</v>
      </c>
      <c r="C116">
        <v>2024</v>
      </c>
      <c r="D116" t="s">
        <v>24</v>
      </c>
      <c r="E116">
        <v>122</v>
      </c>
      <c r="F116" t="s">
        <v>151</v>
      </c>
      <c r="G116">
        <v>8.1999999999999993</v>
      </c>
      <c r="H116">
        <v>70</v>
      </c>
      <c r="I116" t="s">
        <v>574</v>
      </c>
      <c r="J116" t="s">
        <v>80</v>
      </c>
      <c r="K116" t="s">
        <v>575</v>
      </c>
      <c r="L116">
        <v>18666</v>
      </c>
      <c r="M116">
        <v>491.06</v>
      </c>
    </row>
    <row r="117" spans="1:13" x14ac:dyDescent="0.3">
      <c r="A117" t="s">
        <v>576</v>
      </c>
      <c r="B117" t="s">
        <v>577</v>
      </c>
      <c r="C117">
        <v>2013</v>
      </c>
      <c r="D117" t="s">
        <v>17</v>
      </c>
      <c r="E117">
        <v>103</v>
      </c>
      <c r="F117" t="s">
        <v>72</v>
      </c>
      <c r="G117">
        <v>8.1</v>
      </c>
      <c r="I117" t="s">
        <v>578</v>
      </c>
      <c r="J117" t="s">
        <v>518</v>
      </c>
      <c r="K117" t="s">
        <v>579</v>
      </c>
      <c r="L117">
        <v>79734</v>
      </c>
      <c r="M117">
        <v>916.56</v>
      </c>
    </row>
    <row r="118" spans="1:13" x14ac:dyDescent="0.3">
      <c r="A118" t="s">
        <v>580</v>
      </c>
      <c r="B118" t="s">
        <v>581</v>
      </c>
      <c r="C118">
        <v>2001</v>
      </c>
      <c r="D118" t="s">
        <v>17</v>
      </c>
      <c r="E118">
        <v>115</v>
      </c>
      <c r="F118" t="s">
        <v>426</v>
      </c>
      <c r="G118">
        <v>8.1</v>
      </c>
      <c r="H118">
        <v>71</v>
      </c>
      <c r="I118" t="s">
        <v>582</v>
      </c>
      <c r="J118" t="s">
        <v>119</v>
      </c>
      <c r="K118" t="s">
        <v>583</v>
      </c>
      <c r="L118">
        <v>149664</v>
      </c>
      <c r="M118">
        <v>62.77</v>
      </c>
    </row>
    <row r="119" spans="1:13" x14ac:dyDescent="0.3">
      <c r="A119" t="s">
        <v>584</v>
      </c>
      <c r="B119" t="s">
        <v>585</v>
      </c>
      <c r="C119">
        <v>1940</v>
      </c>
      <c r="D119" t="s">
        <v>17</v>
      </c>
      <c r="E119">
        <v>117</v>
      </c>
      <c r="F119" t="s">
        <v>586</v>
      </c>
      <c r="G119">
        <v>8.1</v>
      </c>
      <c r="H119">
        <v>70</v>
      </c>
      <c r="I119" t="s">
        <v>587</v>
      </c>
      <c r="J119" t="s">
        <v>50</v>
      </c>
      <c r="K119" t="s">
        <v>588</v>
      </c>
      <c r="L119">
        <v>7820</v>
      </c>
    </row>
    <row r="120" spans="1:13" x14ac:dyDescent="0.3">
      <c r="A120" t="s">
        <v>589</v>
      </c>
      <c r="B120" t="s">
        <v>590</v>
      </c>
      <c r="C120">
        <v>2012</v>
      </c>
      <c r="D120" t="s">
        <v>293</v>
      </c>
      <c r="E120">
        <v>88</v>
      </c>
      <c r="F120" t="s">
        <v>591</v>
      </c>
      <c r="G120">
        <v>8.1</v>
      </c>
      <c r="H120">
        <v>85</v>
      </c>
      <c r="I120" t="s">
        <v>592</v>
      </c>
      <c r="J120" t="s">
        <v>593</v>
      </c>
      <c r="K120" t="s">
        <v>594</v>
      </c>
      <c r="L120">
        <v>949114</v>
      </c>
    </row>
    <row r="121" spans="1:13" x14ac:dyDescent="0.3">
      <c r="A121" t="s">
        <v>595</v>
      </c>
      <c r="B121" t="s">
        <v>596</v>
      </c>
      <c r="C121">
        <v>2024</v>
      </c>
      <c r="D121" t="s">
        <v>17</v>
      </c>
      <c r="E121">
        <v>89</v>
      </c>
      <c r="F121" t="s">
        <v>157</v>
      </c>
      <c r="G121">
        <v>8.1</v>
      </c>
      <c r="I121" t="s">
        <v>597</v>
      </c>
      <c r="J121" t="s">
        <v>326</v>
      </c>
      <c r="K121" t="s">
        <v>598</v>
      </c>
      <c r="L121">
        <v>20774</v>
      </c>
      <c r="M121">
        <v>640.57000000000005</v>
      </c>
    </row>
    <row r="122" spans="1:13" x14ac:dyDescent="0.3">
      <c r="A122" t="s">
        <v>599</v>
      </c>
      <c r="B122" t="s">
        <v>600</v>
      </c>
      <c r="C122">
        <v>1950</v>
      </c>
      <c r="D122" t="s">
        <v>169</v>
      </c>
      <c r="E122">
        <v>129</v>
      </c>
      <c r="F122" t="s">
        <v>601</v>
      </c>
      <c r="G122">
        <v>8.1</v>
      </c>
      <c r="H122">
        <v>85</v>
      </c>
      <c r="I122" t="s">
        <v>602</v>
      </c>
      <c r="J122" t="s">
        <v>50</v>
      </c>
      <c r="K122" t="s">
        <v>603</v>
      </c>
      <c r="L122">
        <v>189823</v>
      </c>
      <c r="M122">
        <v>156.84</v>
      </c>
    </row>
    <row r="123" spans="1:13" x14ac:dyDescent="0.3">
      <c r="A123" t="s">
        <v>604</v>
      </c>
      <c r="B123" t="s">
        <v>605</v>
      </c>
      <c r="C123">
        <v>1970</v>
      </c>
      <c r="D123" t="s">
        <v>24</v>
      </c>
      <c r="E123">
        <v>150</v>
      </c>
      <c r="F123" t="s">
        <v>606</v>
      </c>
      <c r="G123">
        <v>8.1</v>
      </c>
      <c r="H123">
        <v>75</v>
      </c>
      <c r="I123" t="s">
        <v>607</v>
      </c>
      <c r="J123" t="s">
        <v>608</v>
      </c>
      <c r="K123" t="s">
        <v>609</v>
      </c>
      <c r="L123">
        <v>50569</v>
      </c>
      <c r="M123">
        <v>7.41</v>
      </c>
    </row>
    <row r="124" spans="1:13" x14ac:dyDescent="0.3">
      <c r="A124" t="s">
        <v>610</v>
      </c>
      <c r="B124" t="s">
        <v>611</v>
      </c>
      <c r="C124">
        <v>2016</v>
      </c>
      <c r="D124" t="s">
        <v>24</v>
      </c>
      <c r="E124">
        <v>137</v>
      </c>
      <c r="F124" t="s">
        <v>612</v>
      </c>
      <c r="G124">
        <v>8.1</v>
      </c>
      <c r="I124" t="s">
        <v>613</v>
      </c>
      <c r="J124" t="s">
        <v>251</v>
      </c>
      <c r="K124" t="s">
        <v>614</v>
      </c>
      <c r="L124">
        <v>48396</v>
      </c>
      <c r="M124">
        <v>421.14</v>
      </c>
    </row>
    <row r="125" spans="1:13" x14ac:dyDescent="0.3">
      <c r="A125" t="s">
        <v>615</v>
      </c>
      <c r="B125" t="s">
        <v>616</v>
      </c>
      <c r="C125">
        <v>1944</v>
      </c>
      <c r="D125" t="s">
        <v>54</v>
      </c>
      <c r="E125">
        <v>110</v>
      </c>
      <c r="F125" t="s">
        <v>617</v>
      </c>
      <c r="G125">
        <v>8.1</v>
      </c>
      <c r="I125" t="s">
        <v>618</v>
      </c>
      <c r="J125" t="s">
        <v>27</v>
      </c>
      <c r="K125" t="s">
        <v>619</v>
      </c>
      <c r="L125">
        <v>13668</v>
      </c>
    </row>
    <row r="126" spans="1:13" x14ac:dyDescent="0.3">
      <c r="A126" t="s">
        <v>620</v>
      </c>
      <c r="B126" t="s">
        <v>621</v>
      </c>
      <c r="C126">
        <v>2015</v>
      </c>
      <c r="D126" t="s">
        <v>17</v>
      </c>
      <c r="E126">
        <v>131</v>
      </c>
      <c r="F126" t="s">
        <v>308</v>
      </c>
      <c r="G126">
        <v>8.1</v>
      </c>
      <c r="H126">
        <v>75</v>
      </c>
      <c r="I126" t="s">
        <v>158</v>
      </c>
      <c r="J126" t="s">
        <v>103</v>
      </c>
      <c r="K126" t="s">
        <v>622</v>
      </c>
      <c r="L126">
        <v>479306</v>
      </c>
      <c r="M126">
        <v>986.48</v>
      </c>
    </row>
    <row r="127" spans="1:13" x14ac:dyDescent="0.3">
      <c r="A127" t="s">
        <v>623</v>
      </c>
      <c r="B127" t="s">
        <v>624</v>
      </c>
      <c r="C127">
        <v>2001</v>
      </c>
      <c r="D127" t="s">
        <v>285</v>
      </c>
      <c r="E127">
        <v>126</v>
      </c>
      <c r="F127" t="s">
        <v>277</v>
      </c>
      <c r="G127">
        <v>8.1</v>
      </c>
      <c r="H127">
        <v>88</v>
      </c>
      <c r="I127" t="s">
        <v>278</v>
      </c>
      <c r="J127" t="s">
        <v>27</v>
      </c>
      <c r="K127" t="s">
        <v>625</v>
      </c>
      <c r="L127">
        <v>606704</v>
      </c>
      <c r="M127">
        <v>297.95999999999998</v>
      </c>
    </row>
    <row r="128" spans="1:13" x14ac:dyDescent="0.3">
      <c r="A128" t="s">
        <v>626</v>
      </c>
      <c r="B128" t="s">
        <v>627</v>
      </c>
      <c r="C128">
        <v>1984</v>
      </c>
      <c r="D128" t="s">
        <v>17</v>
      </c>
      <c r="E128">
        <v>129</v>
      </c>
      <c r="F128" t="s">
        <v>628</v>
      </c>
      <c r="G128">
        <v>8.1</v>
      </c>
      <c r="H128">
        <v>74</v>
      </c>
      <c r="I128" t="s">
        <v>629</v>
      </c>
      <c r="J128" t="s">
        <v>33</v>
      </c>
      <c r="K128" t="s">
        <v>630</v>
      </c>
      <c r="L128">
        <v>209676</v>
      </c>
      <c r="M128">
        <v>214.86</v>
      </c>
    </row>
    <row r="129" spans="1:13" x14ac:dyDescent="0.3">
      <c r="A129" t="s">
        <v>631</v>
      </c>
      <c r="B129" t="s">
        <v>632</v>
      </c>
      <c r="C129">
        <v>2008</v>
      </c>
      <c r="D129" t="s">
        <v>17</v>
      </c>
      <c r="E129">
        <v>121</v>
      </c>
      <c r="F129" t="s">
        <v>633</v>
      </c>
      <c r="G129">
        <v>8.1</v>
      </c>
      <c r="H129">
        <v>96</v>
      </c>
      <c r="I129" t="s">
        <v>634</v>
      </c>
      <c r="J129" t="s">
        <v>236</v>
      </c>
      <c r="K129" t="s">
        <v>635</v>
      </c>
      <c r="L129">
        <v>221414</v>
      </c>
      <c r="M129">
        <v>153.63999999999999</v>
      </c>
    </row>
    <row r="130" spans="1:13" x14ac:dyDescent="0.3">
      <c r="A130" t="s">
        <v>636</v>
      </c>
      <c r="B130" t="s">
        <v>637</v>
      </c>
      <c r="C130">
        <v>2013</v>
      </c>
      <c r="D130" t="s">
        <v>17</v>
      </c>
      <c r="E130">
        <v>102</v>
      </c>
      <c r="F130" t="s">
        <v>48</v>
      </c>
      <c r="G130">
        <v>8.1</v>
      </c>
      <c r="I130" t="s">
        <v>638</v>
      </c>
      <c r="J130" t="s">
        <v>80</v>
      </c>
      <c r="K130" t="s">
        <v>639</v>
      </c>
      <c r="L130">
        <v>341124</v>
      </c>
    </row>
    <row r="131" spans="1:13" x14ac:dyDescent="0.3">
      <c r="A131" t="s">
        <v>640</v>
      </c>
      <c r="B131" t="s">
        <v>641</v>
      </c>
      <c r="C131">
        <v>2016</v>
      </c>
      <c r="D131" t="s">
        <v>24</v>
      </c>
      <c r="E131">
        <v>129</v>
      </c>
      <c r="F131" t="s">
        <v>642</v>
      </c>
      <c r="G131">
        <v>8.1</v>
      </c>
      <c r="H131">
        <v>77</v>
      </c>
      <c r="I131" t="s">
        <v>305</v>
      </c>
      <c r="J131" t="s">
        <v>524</v>
      </c>
      <c r="K131" t="s">
        <v>643</v>
      </c>
      <c r="L131">
        <v>204140</v>
      </c>
    </row>
    <row r="132" spans="1:13" x14ac:dyDescent="0.3">
      <c r="A132" t="s">
        <v>644</v>
      </c>
      <c r="B132" t="s">
        <v>645</v>
      </c>
      <c r="C132">
        <v>2004</v>
      </c>
      <c r="D132" t="s">
        <v>54</v>
      </c>
      <c r="E132">
        <v>110</v>
      </c>
      <c r="F132" t="s">
        <v>157</v>
      </c>
      <c r="G132">
        <v>8.1</v>
      </c>
      <c r="H132">
        <v>72</v>
      </c>
      <c r="I132" t="s">
        <v>629</v>
      </c>
      <c r="J132" t="s">
        <v>524</v>
      </c>
      <c r="K132" t="s">
        <v>646</v>
      </c>
      <c r="L132">
        <v>195488</v>
      </c>
      <c r="M132">
        <v>474.92</v>
      </c>
    </row>
    <row r="133" spans="1:13" x14ac:dyDescent="0.3">
      <c r="A133" t="s">
        <v>647</v>
      </c>
      <c r="B133" t="s">
        <v>648</v>
      </c>
      <c r="C133">
        <v>1993</v>
      </c>
      <c r="D133" t="s">
        <v>54</v>
      </c>
      <c r="E133">
        <v>80</v>
      </c>
      <c r="F133" t="s">
        <v>649</v>
      </c>
      <c r="G133">
        <v>8.1</v>
      </c>
      <c r="I133" t="s">
        <v>650</v>
      </c>
      <c r="J133" t="s">
        <v>368</v>
      </c>
      <c r="K133" t="s">
        <v>651</v>
      </c>
      <c r="L133">
        <v>289416</v>
      </c>
    </row>
    <row r="134" spans="1:13" x14ac:dyDescent="0.3">
      <c r="A134" t="s">
        <v>652</v>
      </c>
      <c r="B134" t="s">
        <v>653</v>
      </c>
      <c r="C134">
        <v>1987</v>
      </c>
      <c r="D134" t="s">
        <v>17</v>
      </c>
      <c r="E134">
        <v>149</v>
      </c>
      <c r="F134" t="s">
        <v>96</v>
      </c>
      <c r="G134">
        <v>8.1</v>
      </c>
      <c r="H134">
        <v>71</v>
      </c>
      <c r="I134" t="s">
        <v>491</v>
      </c>
      <c r="J134" t="s">
        <v>68</v>
      </c>
      <c r="K134" t="s">
        <v>654</v>
      </c>
      <c r="L134">
        <v>2500000</v>
      </c>
      <c r="M134">
        <v>222.6</v>
      </c>
    </row>
    <row r="135" spans="1:13" x14ac:dyDescent="0.3">
      <c r="A135" t="s">
        <v>655</v>
      </c>
      <c r="B135" t="s">
        <v>656</v>
      </c>
      <c r="C135">
        <v>1993</v>
      </c>
      <c r="D135" t="s">
        <v>54</v>
      </c>
      <c r="E135">
        <v>104</v>
      </c>
      <c r="F135" t="s">
        <v>380</v>
      </c>
      <c r="G135">
        <v>8.1</v>
      </c>
      <c r="H135">
        <v>86</v>
      </c>
      <c r="I135" t="s">
        <v>381</v>
      </c>
      <c r="J135" t="s">
        <v>153</v>
      </c>
      <c r="K135" t="s">
        <v>657</v>
      </c>
      <c r="L135">
        <v>57820</v>
      </c>
      <c r="M135">
        <v>123.67</v>
      </c>
    </row>
    <row r="136" spans="1:13" x14ac:dyDescent="0.3">
      <c r="A136" t="s">
        <v>658</v>
      </c>
      <c r="B136" t="s">
        <v>659</v>
      </c>
      <c r="C136">
        <v>2023</v>
      </c>
      <c r="D136" t="s">
        <v>17</v>
      </c>
      <c r="E136">
        <v>133</v>
      </c>
      <c r="F136" t="s">
        <v>660</v>
      </c>
      <c r="G136">
        <v>8.1</v>
      </c>
      <c r="I136" t="s">
        <v>634</v>
      </c>
      <c r="J136" t="s">
        <v>125</v>
      </c>
      <c r="K136" t="s">
        <v>661</v>
      </c>
      <c r="L136">
        <v>50164</v>
      </c>
      <c r="M136">
        <v>477.01</v>
      </c>
    </row>
    <row r="137" spans="1:13" x14ac:dyDescent="0.3">
      <c r="A137" t="s">
        <v>662</v>
      </c>
      <c r="B137" t="s">
        <v>663</v>
      </c>
      <c r="C137">
        <v>2005</v>
      </c>
      <c r="D137" t="s">
        <v>17</v>
      </c>
      <c r="E137">
        <v>136</v>
      </c>
      <c r="F137" t="s">
        <v>664</v>
      </c>
      <c r="G137">
        <v>8.1</v>
      </c>
      <c r="I137" t="s">
        <v>491</v>
      </c>
      <c r="J137" t="s">
        <v>368</v>
      </c>
      <c r="K137" t="s">
        <v>665</v>
      </c>
      <c r="L137">
        <v>276470</v>
      </c>
      <c r="M137">
        <v>97.99</v>
      </c>
    </row>
    <row r="138" spans="1:13" x14ac:dyDescent="0.3">
      <c r="A138" t="s">
        <v>666</v>
      </c>
      <c r="B138" t="s">
        <v>667</v>
      </c>
      <c r="C138">
        <v>2020</v>
      </c>
      <c r="D138" t="s">
        <v>285</v>
      </c>
      <c r="E138">
        <v>117</v>
      </c>
      <c r="F138" t="s">
        <v>230</v>
      </c>
      <c r="G138">
        <v>8.1</v>
      </c>
      <c r="I138" t="s">
        <v>668</v>
      </c>
      <c r="J138" t="s">
        <v>86</v>
      </c>
      <c r="K138" t="s">
        <v>669</v>
      </c>
      <c r="L138">
        <v>480446</v>
      </c>
    </row>
    <row r="139" spans="1:13" x14ac:dyDescent="0.3">
      <c r="A139" t="s">
        <v>670</v>
      </c>
      <c r="B139" t="s">
        <v>671</v>
      </c>
      <c r="C139">
        <v>1995</v>
      </c>
      <c r="D139" t="s">
        <v>169</v>
      </c>
      <c r="E139">
        <v>133</v>
      </c>
      <c r="F139" t="s">
        <v>672</v>
      </c>
      <c r="G139">
        <v>8.1</v>
      </c>
      <c r="H139">
        <v>82</v>
      </c>
      <c r="I139" t="s">
        <v>673</v>
      </c>
      <c r="J139" t="s">
        <v>68</v>
      </c>
      <c r="K139" t="s">
        <v>674</v>
      </c>
      <c r="L139">
        <v>373846</v>
      </c>
    </row>
    <row r="140" spans="1:13" x14ac:dyDescent="0.3">
      <c r="A140" t="s">
        <v>675</v>
      </c>
      <c r="B140" t="s">
        <v>676</v>
      </c>
      <c r="C140">
        <v>2019</v>
      </c>
      <c r="D140" t="s">
        <v>24</v>
      </c>
      <c r="E140">
        <v>109</v>
      </c>
      <c r="F140" t="s">
        <v>677</v>
      </c>
      <c r="G140">
        <v>8</v>
      </c>
      <c r="H140">
        <v>72</v>
      </c>
      <c r="I140" t="s">
        <v>678</v>
      </c>
      <c r="J140" t="s">
        <v>80</v>
      </c>
      <c r="K140" t="s">
        <v>679</v>
      </c>
      <c r="L140">
        <v>33606</v>
      </c>
      <c r="M140">
        <v>422.17</v>
      </c>
    </row>
    <row r="141" spans="1:13" x14ac:dyDescent="0.3">
      <c r="A141" t="s">
        <v>680</v>
      </c>
      <c r="B141" t="s">
        <v>681</v>
      </c>
      <c r="C141">
        <v>1978</v>
      </c>
      <c r="D141" t="s">
        <v>17</v>
      </c>
      <c r="E141">
        <v>100</v>
      </c>
      <c r="F141" t="s">
        <v>682</v>
      </c>
      <c r="G141">
        <v>8</v>
      </c>
      <c r="H141">
        <v>74</v>
      </c>
      <c r="I141" t="s">
        <v>683</v>
      </c>
      <c r="J141" t="s">
        <v>86</v>
      </c>
      <c r="K141" t="s">
        <v>684</v>
      </c>
      <c r="L141">
        <v>41716</v>
      </c>
    </row>
    <row r="142" spans="1:13" x14ac:dyDescent="0.3">
      <c r="A142" t="s">
        <v>685</v>
      </c>
      <c r="B142" t="s">
        <v>686</v>
      </c>
      <c r="C142">
        <v>1964</v>
      </c>
      <c r="D142" t="s">
        <v>24</v>
      </c>
      <c r="E142">
        <v>126</v>
      </c>
      <c r="F142" t="s">
        <v>687</v>
      </c>
      <c r="G142">
        <v>8</v>
      </c>
      <c r="H142">
        <v>66</v>
      </c>
      <c r="I142" t="s">
        <v>38</v>
      </c>
      <c r="J142" t="s">
        <v>20</v>
      </c>
      <c r="K142" t="s">
        <v>688</v>
      </c>
      <c r="L142">
        <v>77580</v>
      </c>
      <c r="M142">
        <v>196.37</v>
      </c>
    </row>
    <row r="143" spans="1:13" x14ac:dyDescent="0.3">
      <c r="A143" t="s">
        <v>689</v>
      </c>
      <c r="B143" t="s">
        <v>690</v>
      </c>
      <c r="C143">
        <v>1972</v>
      </c>
      <c r="D143" t="s">
        <v>17</v>
      </c>
      <c r="E143">
        <v>130</v>
      </c>
      <c r="F143" t="s">
        <v>522</v>
      </c>
      <c r="G143">
        <v>8</v>
      </c>
      <c r="H143">
        <v>81</v>
      </c>
      <c r="I143" t="s">
        <v>435</v>
      </c>
      <c r="J143" t="s">
        <v>326</v>
      </c>
      <c r="K143" t="s">
        <v>691</v>
      </c>
      <c r="L143">
        <v>17864</v>
      </c>
      <c r="M143">
        <v>16.48</v>
      </c>
    </row>
    <row r="144" spans="1:13" x14ac:dyDescent="0.3">
      <c r="A144" t="s">
        <v>692</v>
      </c>
      <c r="B144" t="s">
        <v>693</v>
      </c>
      <c r="C144">
        <v>1961</v>
      </c>
      <c r="D144" t="s">
        <v>285</v>
      </c>
      <c r="E144">
        <v>103</v>
      </c>
      <c r="F144" t="s">
        <v>48</v>
      </c>
      <c r="G144">
        <v>8</v>
      </c>
      <c r="I144" t="s">
        <v>67</v>
      </c>
      <c r="J144" t="s">
        <v>524</v>
      </c>
      <c r="K144" t="s">
        <v>694</v>
      </c>
      <c r="L144">
        <v>141814</v>
      </c>
      <c r="M144">
        <v>273.14999999999998</v>
      </c>
    </row>
    <row r="145" spans="1:13" x14ac:dyDescent="0.3">
      <c r="A145" t="s">
        <v>695</v>
      </c>
      <c r="B145" t="s">
        <v>696</v>
      </c>
      <c r="C145">
        <v>1971</v>
      </c>
      <c r="D145" t="s">
        <v>17</v>
      </c>
      <c r="E145">
        <v>113</v>
      </c>
      <c r="F145" t="s">
        <v>556</v>
      </c>
      <c r="G145">
        <v>8</v>
      </c>
      <c r="I145" t="s">
        <v>697</v>
      </c>
      <c r="J145" t="s">
        <v>518</v>
      </c>
      <c r="K145" t="s">
        <v>698</v>
      </c>
      <c r="L145">
        <v>3999</v>
      </c>
      <c r="M145">
        <v>283.32</v>
      </c>
    </row>
    <row r="146" spans="1:13" x14ac:dyDescent="0.3">
      <c r="A146" t="s">
        <v>699</v>
      </c>
      <c r="B146" t="s">
        <v>700</v>
      </c>
      <c r="C146">
        <v>1995</v>
      </c>
      <c r="D146" t="s">
        <v>24</v>
      </c>
      <c r="E146">
        <v>89</v>
      </c>
      <c r="F146" t="s">
        <v>701</v>
      </c>
      <c r="G146">
        <v>8</v>
      </c>
      <c r="I146" t="s">
        <v>702</v>
      </c>
      <c r="J146" t="s">
        <v>125</v>
      </c>
      <c r="K146" t="s">
        <v>703</v>
      </c>
      <c r="L146">
        <v>216338</v>
      </c>
      <c r="M146">
        <v>249.36</v>
      </c>
    </row>
    <row r="147" spans="1:13" x14ac:dyDescent="0.3">
      <c r="A147" t="s">
        <v>704</v>
      </c>
      <c r="B147" t="s">
        <v>705</v>
      </c>
      <c r="C147">
        <v>2012</v>
      </c>
      <c r="D147" t="s">
        <v>293</v>
      </c>
      <c r="E147">
        <v>126</v>
      </c>
      <c r="F147" t="s">
        <v>706</v>
      </c>
      <c r="G147">
        <v>8</v>
      </c>
      <c r="H147">
        <v>92</v>
      </c>
      <c r="I147" t="s">
        <v>707</v>
      </c>
      <c r="J147" t="s">
        <v>518</v>
      </c>
      <c r="K147" t="s">
        <v>708</v>
      </c>
      <c r="L147">
        <v>3594</v>
      </c>
      <c r="M147">
        <v>337.62</v>
      </c>
    </row>
    <row r="148" spans="1:13" x14ac:dyDescent="0.3">
      <c r="A148" t="s">
        <v>709</v>
      </c>
      <c r="B148" t="s">
        <v>710</v>
      </c>
      <c r="C148">
        <v>2017</v>
      </c>
      <c r="D148" t="s">
        <v>285</v>
      </c>
      <c r="E148">
        <v>85</v>
      </c>
      <c r="F148" t="s">
        <v>129</v>
      </c>
      <c r="G148">
        <v>8</v>
      </c>
      <c r="H148">
        <v>68</v>
      </c>
      <c r="I148" t="s">
        <v>711</v>
      </c>
      <c r="J148" t="s">
        <v>315</v>
      </c>
      <c r="K148" t="s">
        <v>712</v>
      </c>
      <c r="L148">
        <v>4945</v>
      </c>
    </row>
    <row r="149" spans="1:13" x14ac:dyDescent="0.3">
      <c r="A149" t="s">
        <v>713</v>
      </c>
      <c r="B149" t="s">
        <v>714</v>
      </c>
      <c r="C149">
        <v>2000</v>
      </c>
      <c r="D149" t="s">
        <v>54</v>
      </c>
      <c r="E149">
        <v>113</v>
      </c>
      <c r="F149" t="s">
        <v>129</v>
      </c>
      <c r="G149">
        <v>8</v>
      </c>
      <c r="H149">
        <v>88</v>
      </c>
      <c r="I149" t="s">
        <v>634</v>
      </c>
      <c r="J149" t="s">
        <v>608</v>
      </c>
      <c r="K149" t="s">
        <v>715</v>
      </c>
      <c r="L149">
        <v>138210</v>
      </c>
    </row>
    <row r="150" spans="1:13" x14ac:dyDescent="0.3">
      <c r="A150" t="s">
        <v>716</v>
      </c>
      <c r="B150" t="s">
        <v>717</v>
      </c>
      <c r="C150">
        <v>1995</v>
      </c>
      <c r="D150" t="s">
        <v>17</v>
      </c>
      <c r="E150">
        <v>91</v>
      </c>
      <c r="F150" t="s">
        <v>48</v>
      </c>
      <c r="G150">
        <v>8</v>
      </c>
      <c r="H150">
        <v>90</v>
      </c>
      <c r="I150" t="s">
        <v>67</v>
      </c>
      <c r="J150" t="s">
        <v>718</v>
      </c>
      <c r="K150" t="s">
        <v>719</v>
      </c>
      <c r="L150">
        <v>72846</v>
      </c>
      <c r="M150">
        <v>87.53</v>
      </c>
    </row>
    <row r="151" spans="1:13" x14ac:dyDescent="0.3">
      <c r="A151" t="s">
        <v>720</v>
      </c>
      <c r="B151" t="s">
        <v>721</v>
      </c>
      <c r="C151">
        <v>1985</v>
      </c>
      <c r="D151" t="s">
        <v>54</v>
      </c>
      <c r="E151">
        <v>110</v>
      </c>
      <c r="F151" t="s">
        <v>722</v>
      </c>
      <c r="G151">
        <v>8</v>
      </c>
      <c r="H151">
        <v>88</v>
      </c>
      <c r="I151" t="s">
        <v>723</v>
      </c>
      <c r="J151" t="s">
        <v>57</v>
      </c>
      <c r="K151" t="s">
        <v>724</v>
      </c>
      <c r="L151">
        <v>128485</v>
      </c>
      <c r="M151">
        <v>289.11</v>
      </c>
    </row>
    <row r="152" spans="1:13" x14ac:dyDescent="0.3">
      <c r="A152" t="s">
        <v>725</v>
      </c>
      <c r="B152" t="s">
        <v>726</v>
      </c>
      <c r="C152">
        <v>1998</v>
      </c>
      <c r="D152" t="s">
        <v>293</v>
      </c>
      <c r="E152">
        <v>125</v>
      </c>
      <c r="F152" t="s">
        <v>727</v>
      </c>
      <c r="G152">
        <v>8</v>
      </c>
      <c r="H152">
        <v>75</v>
      </c>
      <c r="I152" t="s">
        <v>728</v>
      </c>
      <c r="J152" t="s">
        <v>593</v>
      </c>
      <c r="K152" t="s">
        <v>729</v>
      </c>
      <c r="L152">
        <v>43818</v>
      </c>
      <c r="M152">
        <v>298.31</v>
      </c>
    </row>
    <row r="153" spans="1:13" x14ac:dyDescent="0.3">
      <c r="A153" t="s">
        <v>730</v>
      </c>
      <c r="B153" t="s">
        <v>731</v>
      </c>
      <c r="C153">
        <v>1991</v>
      </c>
      <c r="D153" t="s">
        <v>293</v>
      </c>
      <c r="E153">
        <v>123</v>
      </c>
      <c r="F153" t="s">
        <v>37</v>
      </c>
      <c r="G153">
        <v>8</v>
      </c>
      <c r="H153">
        <v>66</v>
      </c>
      <c r="I153" t="s">
        <v>38</v>
      </c>
      <c r="J153" t="s">
        <v>547</v>
      </c>
      <c r="K153" t="s">
        <v>732</v>
      </c>
      <c r="L153">
        <v>66483</v>
      </c>
    </row>
    <row r="154" spans="1:13" x14ac:dyDescent="0.3">
      <c r="A154" t="s">
        <v>733</v>
      </c>
      <c r="B154" t="s">
        <v>734</v>
      </c>
      <c r="C154">
        <v>2013</v>
      </c>
      <c r="D154" t="s">
        <v>24</v>
      </c>
      <c r="E154">
        <v>123</v>
      </c>
      <c r="F154" t="s">
        <v>157</v>
      </c>
      <c r="G154">
        <v>8</v>
      </c>
      <c r="H154">
        <v>78</v>
      </c>
      <c r="I154" t="s">
        <v>158</v>
      </c>
      <c r="J154" t="s">
        <v>547</v>
      </c>
      <c r="K154" t="s">
        <v>735</v>
      </c>
      <c r="L154">
        <v>13229</v>
      </c>
      <c r="M154">
        <v>974.82</v>
      </c>
    </row>
    <row r="155" spans="1:13" x14ac:dyDescent="0.3">
      <c r="A155" t="s">
        <v>736</v>
      </c>
      <c r="B155" t="s">
        <v>737</v>
      </c>
      <c r="C155">
        <v>2013</v>
      </c>
      <c r="D155" t="s">
        <v>17</v>
      </c>
      <c r="E155">
        <v>114</v>
      </c>
      <c r="F155" t="s">
        <v>738</v>
      </c>
      <c r="G155">
        <v>8</v>
      </c>
      <c r="I155" t="s">
        <v>231</v>
      </c>
      <c r="J155" t="s">
        <v>165</v>
      </c>
      <c r="K155" t="s">
        <v>739</v>
      </c>
      <c r="L155">
        <v>47806</v>
      </c>
    </row>
    <row r="156" spans="1:13" x14ac:dyDescent="0.3">
      <c r="A156" t="s">
        <v>740</v>
      </c>
      <c r="B156" t="s">
        <v>741</v>
      </c>
      <c r="C156">
        <v>2011</v>
      </c>
      <c r="D156" t="s">
        <v>24</v>
      </c>
      <c r="E156">
        <v>111</v>
      </c>
      <c r="F156" t="s">
        <v>742</v>
      </c>
      <c r="G156">
        <v>8</v>
      </c>
      <c r="H156">
        <v>67</v>
      </c>
      <c r="I156" t="s">
        <v>743</v>
      </c>
      <c r="J156" t="s">
        <v>63</v>
      </c>
      <c r="K156" t="s">
        <v>744</v>
      </c>
      <c r="L156">
        <v>66289</v>
      </c>
    </row>
    <row r="157" spans="1:13" x14ac:dyDescent="0.3">
      <c r="A157" t="s">
        <v>745</v>
      </c>
      <c r="B157" t="s">
        <v>746</v>
      </c>
      <c r="C157">
        <v>2007</v>
      </c>
      <c r="D157" t="s">
        <v>24</v>
      </c>
      <c r="E157">
        <v>142</v>
      </c>
      <c r="F157" t="s">
        <v>747</v>
      </c>
      <c r="G157">
        <v>8</v>
      </c>
      <c r="H157">
        <v>83</v>
      </c>
      <c r="I157" t="s">
        <v>748</v>
      </c>
      <c r="J157" t="s">
        <v>236</v>
      </c>
      <c r="K157" t="s">
        <v>749</v>
      </c>
      <c r="L157">
        <v>50156</v>
      </c>
      <c r="M157">
        <v>402.57</v>
      </c>
    </row>
    <row r="158" spans="1:13" x14ac:dyDescent="0.3">
      <c r="A158" t="s">
        <v>750</v>
      </c>
      <c r="B158" t="s">
        <v>751</v>
      </c>
      <c r="C158">
        <v>1991</v>
      </c>
      <c r="D158" t="s">
        <v>54</v>
      </c>
      <c r="E158">
        <v>85</v>
      </c>
      <c r="F158" t="s">
        <v>752</v>
      </c>
      <c r="G158">
        <v>8</v>
      </c>
      <c r="I158" t="s">
        <v>753</v>
      </c>
      <c r="J158" t="s">
        <v>191</v>
      </c>
      <c r="K158" t="s">
        <v>754</v>
      </c>
      <c r="L158">
        <v>50422</v>
      </c>
      <c r="M158">
        <v>259.45999999999998</v>
      </c>
    </row>
    <row r="159" spans="1:13" x14ac:dyDescent="0.3">
      <c r="A159" t="s">
        <v>755</v>
      </c>
      <c r="B159" t="s">
        <v>756</v>
      </c>
      <c r="C159">
        <v>2000</v>
      </c>
      <c r="D159" t="s">
        <v>24</v>
      </c>
      <c r="E159">
        <v>152</v>
      </c>
      <c r="F159" t="s">
        <v>757</v>
      </c>
      <c r="G159">
        <v>8</v>
      </c>
      <c r="H159">
        <v>76</v>
      </c>
      <c r="I159" t="s">
        <v>758</v>
      </c>
      <c r="J159" t="s">
        <v>74</v>
      </c>
      <c r="K159" t="s">
        <v>759</v>
      </c>
      <c r="L159">
        <v>700778</v>
      </c>
      <c r="M159">
        <v>45.63</v>
      </c>
    </row>
    <row r="160" spans="1:13" x14ac:dyDescent="0.3">
      <c r="A160" t="s">
        <v>760</v>
      </c>
      <c r="B160" t="s">
        <v>761</v>
      </c>
      <c r="C160">
        <v>2008</v>
      </c>
      <c r="D160" t="s">
        <v>24</v>
      </c>
      <c r="E160">
        <v>132</v>
      </c>
      <c r="F160" t="s">
        <v>762</v>
      </c>
      <c r="G160">
        <v>8</v>
      </c>
      <c r="I160" t="s">
        <v>763</v>
      </c>
      <c r="J160" t="s">
        <v>57</v>
      </c>
      <c r="K160" t="s">
        <v>764</v>
      </c>
      <c r="L160">
        <v>80400</v>
      </c>
    </row>
    <row r="161" spans="1:13" x14ac:dyDescent="0.3">
      <c r="A161" t="s">
        <v>765</v>
      </c>
      <c r="B161" t="s">
        <v>766</v>
      </c>
      <c r="C161">
        <v>1970</v>
      </c>
      <c r="D161" t="s">
        <v>17</v>
      </c>
      <c r="E161">
        <v>105</v>
      </c>
      <c r="F161" t="s">
        <v>767</v>
      </c>
      <c r="G161">
        <v>8</v>
      </c>
      <c r="H161">
        <v>68</v>
      </c>
      <c r="I161" t="s">
        <v>768</v>
      </c>
      <c r="J161" t="s">
        <v>33</v>
      </c>
      <c r="K161" t="s">
        <v>769</v>
      </c>
      <c r="L161">
        <v>175405</v>
      </c>
      <c r="M161">
        <v>78.17</v>
      </c>
    </row>
    <row r="162" spans="1:13" x14ac:dyDescent="0.3">
      <c r="A162" t="s">
        <v>770</v>
      </c>
      <c r="B162" t="s">
        <v>771</v>
      </c>
      <c r="C162">
        <v>1949</v>
      </c>
      <c r="D162" t="s">
        <v>24</v>
      </c>
      <c r="E162">
        <v>127</v>
      </c>
      <c r="F162" t="s">
        <v>772</v>
      </c>
      <c r="G162">
        <v>8</v>
      </c>
      <c r="H162">
        <v>84</v>
      </c>
      <c r="I162" t="s">
        <v>38</v>
      </c>
      <c r="J162" t="s">
        <v>483</v>
      </c>
      <c r="K162" t="s">
        <v>773</v>
      </c>
      <c r="L162">
        <v>23193</v>
      </c>
      <c r="M162">
        <v>89.85</v>
      </c>
    </row>
    <row r="163" spans="1:13" x14ac:dyDescent="0.3">
      <c r="A163" t="s">
        <v>774</v>
      </c>
      <c r="B163" t="s">
        <v>775</v>
      </c>
      <c r="C163">
        <v>2016</v>
      </c>
      <c r="D163" t="s">
        <v>24</v>
      </c>
      <c r="E163">
        <v>130</v>
      </c>
      <c r="F163" t="s">
        <v>776</v>
      </c>
      <c r="G163">
        <v>7.9</v>
      </c>
      <c r="I163" t="s">
        <v>777</v>
      </c>
      <c r="J163" t="s">
        <v>608</v>
      </c>
      <c r="K163" t="s">
        <v>778</v>
      </c>
      <c r="L163">
        <v>23018</v>
      </c>
      <c r="M163">
        <v>823.99</v>
      </c>
    </row>
    <row r="164" spans="1:13" x14ac:dyDescent="0.3">
      <c r="A164" t="s">
        <v>779</v>
      </c>
      <c r="B164" t="s">
        <v>780</v>
      </c>
      <c r="C164">
        <v>2003</v>
      </c>
      <c r="D164" t="s">
        <v>54</v>
      </c>
      <c r="E164">
        <v>124</v>
      </c>
      <c r="F164" t="s">
        <v>230</v>
      </c>
      <c r="G164">
        <v>7.9</v>
      </c>
      <c r="I164" t="s">
        <v>231</v>
      </c>
      <c r="J164" t="s">
        <v>92</v>
      </c>
      <c r="K164" t="s">
        <v>781</v>
      </c>
      <c r="L164">
        <v>27728</v>
      </c>
    </row>
    <row r="165" spans="1:13" x14ac:dyDescent="0.3">
      <c r="A165" t="s">
        <v>782</v>
      </c>
      <c r="B165" t="s">
        <v>783</v>
      </c>
      <c r="C165">
        <v>1960</v>
      </c>
      <c r="D165" t="s">
        <v>17</v>
      </c>
      <c r="E165">
        <v>150</v>
      </c>
      <c r="F165" t="s">
        <v>784</v>
      </c>
      <c r="G165">
        <v>7.9</v>
      </c>
      <c r="I165" t="s">
        <v>785</v>
      </c>
      <c r="J165" t="s">
        <v>50</v>
      </c>
      <c r="K165" t="s">
        <v>786</v>
      </c>
      <c r="L165">
        <v>22160</v>
      </c>
      <c r="M165">
        <v>210.01</v>
      </c>
    </row>
    <row r="166" spans="1:13" x14ac:dyDescent="0.3">
      <c r="A166" t="s">
        <v>787</v>
      </c>
      <c r="B166" t="s">
        <v>788</v>
      </c>
      <c r="C166">
        <v>2008</v>
      </c>
      <c r="D166" t="s">
        <v>54</v>
      </c>
      <c r="E166">
        <v>118</v>
      </c>
      <c r="F166" t="s">
        <v>789</v>
      </c>
      <c r="G166">
        <v>7.9</v>
      </c>
      <c r="H166">
        <v>65</v>
      </c>
      <c r="I166" t="s">
        <v>422</v>
      </c>
      <c r="J166" t="s">
        <v>221</v>
      </c>
      <c r="K166" t="s">
        <v>790</v>
      </c>
      <c r="L166">
        <v>30153</v>
      </c>
      <c r="M166">
        <v>133.74</v>
      </c>
    </row>
    <row r="167" spans="1:13" x14ac:dyDescent="0.3">
      <c r="A167" t="s">
        <v>791</v>
      </c>
      <c r="B167" t="s">
        <v>792</v>
      </c>
      <c r="C167">
        <v>1989</v>
      </c>
      <c r="D167" t="s">
        <v>54</v>
      </c>
      <c r="E167">
        <v>143</v>
      </c>
      <c r="F167" t="s">
        <v>793</v>
      </c>
      <c r="G167">
        <v>7.9</v>
      </c>
      <c r="H167">
        <v>68</v>
      </c>
      <c r="I167" t="s">
        <v>220</v>
      </c>
      <c r="J167" t="s">
        <v>153</v>
      </c>
      <c r="K167" t="s">
        <v>794</v>
      </c>
      <c r="L167">
        <v>152395</v>
      </c>
    </row>
    <row r="168" spans="1:13" x14ac:dyDescent="0.3">
      <c r="A168" t="s">
        <v>795</v>
      </c>
      <c r="B168" t="s">
        <v>796</v>
      </c>
      <c r="C168">
        <v>1995</v>
      </c>
      <c r="D168" t="s">
        <v>24</v>
      </c>
      <c r="E168">
        <v>115</v>
      </c>
      <c r="F168" t="s">
        <v>797</v>
      </c>
      <c r="G168">
        <v>7.9</v>
      </c>
      <c r="H168">
        <v>72</v>
      </c>
      <c r="I168" t="s">
        <v>798</v>
      </c>
      <c r="J168" t="s">
        <v>191</v>
      </c>
      <c r="K168" t="s">
        <v>799</v>
      </c>
      <c r="L168">
        <v>15767</v>
      </c>
      <c r="M168">
        <v>245.49</v>
      </c>
    </row>
    <row r="169" spans="1:13" x14ac:dyDescent="0.3">
      <c r="A169" t="s">
        <v>800</v>
      </c>
      <c r="B169" t="s">
        <v>801</v>
      </c>
      <c r="C169">
        <v>1990</v>
      </c>
      <c r="D169" t="s">
        <v>285</v>
      </c>
      <c r="E169">
        <v>132</v>
      </c>
      <c r="F169" t="s">
        <v>129</v>
      </c>
      <c r="G169">
        <v>7.9</v>
      </c>
      <c r="I169" t="s">
        <v>500</v>
      </c>
      <c r="J169" t="s">
        <v>326</v>
      </c>
      <c r="K169" t="s">
        <v>802</v>
      </c>
      <c r="L169">
        <v>12011</v>
      </c>
    </row>
    <row r="170" spans="1:13" x14ac:dyDescent="0.3">
      <c r="A170" t="s">
        <v>803</v>
      </c>
      <c r="B170" t="s">
        <v>804</v>
      </c>
      <c r="C170">
        <v>1982</v>
      </c>
      <c r="D170" t="s">
        <v>54</v>
      </c>
      <c r="E170">
        <v>110</v>
      </c>
      <c r="F170" t="s">
        <v>313</v>
      </c>
      <c r="G170">
        <v>7.9</v>
      </c>
      <c r="I170" t="s">
        <v>805</v>
      </c>
      <c r="J170" t="s">
        <v>39</v>
      </c>
      <c r="K170" t="s">
        <v>806</v>
      </c>
      <c r="L170">
        <v>507552</v>
      </c>
      <c r="M170">
        <v>23.37</v>
      </c>
    </row>
    <row r="171" spans="1:13" x14ac:dyDescent="0.3">
      <c r="A171" t="s">
        <v>807</v>
      </c>
      <c r="B171" t="s">
        <v>808</v>
      </c>
      <c r="C171">
        <v>2020</v>
      </c>
      <c r="D171" t="s">
        <v>54</v>
      </c>
      <c r="E171">
        <v>138</v>
      </c>
      <c r="F171" t="s">
        <v>809</v>
      </c>
      <c r="G171">
        <v>7.9</v>
      </c>
      <c r="H171">
        <v>68</v>
      </c>
      <c r="I171" t="s">
        <v>201</v>
      </c>
      <c r="J171" t="s">
        <v>50</v>
      </c>
      <c r="K171" t="s">
        <v>810</v>
      </c>
      <c r="L171">
        <v>176752</v>
      </c>
      <c r="M171">
        <v>417.81</v>
      </c>
    </row>
    <row r="172" spans="1:13" x14ac:dyDescent="0.3">
      <c r="A172" t="s">
        <v>811</v>
      </c>
      <c r="B172" t="s">
        <v>812</v>
      </c>
      <c r="C172">
        <v>2022</v>
      </c>
      <c r="D172" t="s">
        <v>17</v>
      </c>
      <c r="E172">
        <v>141</v>
      </c>
      <c r="F172" t="s">
        <v>672</v>
      </c>
      <c r="G172">
        <v>7.9</v>
      </c>
      <c r="I172" t="s">
        <v>813</v>
      </c>
      <c r="J172" t="s">
        <v>33</v>
      </c>
      <c r="K172" t="s">
        <v>814</v>
      </c>
      <c r="L172">
        <v>2670</v>
      </c>
      <c r="M172">
        <v>100.43</v>
      </c>
    </row>
    <row r="173" spans="1:13" x14ac:dyDescent="0.3">
      <c r="A173" t="s">
        <v>815</v>
      </c>
      <c r="B173" t="s">
        <v>816</v>
      </c>
      <c r="C173">
        <v>2012</v>
      </c>
      <c r="D173" t="s">
        <v>54</v>
      </c>
      <c r="E173">
        <v>99</v>
      </c>
      <c r="F173" t="s">
        <v>817</v>
      </c>
      <c r="G173">
        <v>7.9</v>
      </c>
      <c r="I173" t="s">
        <v>19</v>
      </c>
      <c r="J173" t="s">
        <v>368</v>
      </c>
      <c r="K173" t="s">
        <v>818</v>
      </c>
      <c r="L173">
        <v>16329</v>
      </c>
      <c r="M173">
        <v>869.63</v>
      </c>
    </row>
    <row r="174" spans="1:13" x14ac:dyDescent="0.3">
      <c r="A174" t="s">
        <v>819</v>
      </c>
      <c r="B174" t="s">
        <v>820</v>
      </c>
      <c r="C174">
        <v>1957</v>
      </c>
      <c r="D174" t="s">
        <v>54</v>
      </c>
      <c r="E174">
        <v>113</v>
      </c>
      <c r="F174" t="s">
        <v>96</v>
      </c>
      <c r="G174">
        <v>7.9</v>
      </c>
      <c r="H174">
        <v>76</v>
      </c>
      <c r="I174" t="s">
        <v>491</v>
      </c>
      <c r="J174" t="s">
        <v>159</v>
      </c>
      <c r="K174" t="s">
        <v>821</v>
      </c>
      <c r="L174">
        <v>28204</v>
      </c>
      <c r="M174">
        <v>89.57</v>
      </c>
    </row>
    <row r="175" spans="1:13" x14ac:dyDescent="0.3">
      <c r="A175" t="s">
        <v>822</v>
      </c>
      <c r="B175" t="s">
        <v>823</v>
      </c>
      <c r="C175">
        <v>2010</v>
      </c>
      <c r="D175" t="s">
        <v>54</v>
      </c>
      <c r="E175">
        <v>87</v>
      </c>
      <c r="F175" t="s">
        <v>157</v>
      </c>
      <c r="G175">
        <v>7.9</v>
      </c>
      <c r="I175" t="s">
        <v>824</v>
      </c>
      <c r="J175" t="s">
        <v>119</v>
      </c>
      <c r="K175" t="s">
        <v>825</v>
      </c>
      <c r="L175">
        <v>192165</v>
      </c>
      <c r="M175">
        <v>466</v>
      </c>
    </row>
    <row r="176" spans="1:13" x14ac:dyDescent="0.3">
      <c r="A176" t="s">
        <v>826</v>
      </c>
      <c r="B176" t="s">
        <v>162</v>
      </c>
      <c r="C176">
        <v>1978</v>
      </c>
      <c r="D176" t="s">
        <v>24</v>
      </c>
      <c r="E176">
        <v>112</v>
      </c>
      <c r="F176" t="s">
        <v>827</v>
      </c>
      <c r="G176">
        <v>7.9</v>
      </c>
      <c r="I176" t="s">
        <v>828</v>
      </c>
      <c r="J176" t="s">
        <v>86</v>
      </c>
      <c r="K176" t="s">
        <v>829</v>
      </c>
      <c r="L176">
        <v>89920</v>
      </c>
      <c r="M176">
        <v>212.07</v>
      </c>
    </row>
    <row r="177" spans="1:13" x14ac:dyDescent="0.3">
      <c r="A177" t="s">
        <v>830</v>
      </c>
      <c r="B177" t="s">
        <v>831</v>
      </c>
      <c r="C177">
        <v>1986</v>
      </c>
      <c r="D177" t="s">
        <v>169</v>
      </c>
      <c r="E177">
        <v>122</v>
      </c>
      <c r="F177" t="s">
        <v>72</v>
      </c>
      <c r="G177">
        <v>7.9</v>
      </c>
      <c r="H177">
        <v>65</v>
      </c>
      <c r="I177" t="s">
        <v>832</v>
      </c>
      <c r="J177" t="s">
        <v>524</v>
      </c>
      <c r="K177" t="s">
        <v>833</v>
      </c>
      <c r="L177">
        <v>39753</v>
      </c>
    </row>
    <row r="178" spans="1:13" x14ac:dyDescent="0.3">
      <c r="A178" t="s">
        <v>834</v>
      </c>
      <c r="B178" t="s">
        <v>835</v>
      </c>
      <c r="C178">
        <v>2019</v>
      </c>
      <c r="D178" t="s">
        <v>54</v>
      </c>
      <c r="E178">
        <v>139</v>
      </c>
      <c r="F178" t="s">
        <v>375</v>
      </c>
      <c r="G178">
        <v>7.9</v>
      </c>
      <c r="H178">
        <v>67</v>
      </c>
      <c r="I178" t="s">
        <v>422</v>
      </c>
      <c r="J178" t="s">
        <v>137</v>
      </c>
      <c r="K178" t="s">
        <v>836</v>
      </c>
      <c r="L178">
        <v>2500000</v>
      </c>
    </row>
    <row r="179" spans="1:13" x14ac:dyDescent="0.3">
      <c r="A179" t="s">
        <v>837</v>
      </c>
      <c r="B179" t="s">
        <v>838</v>
      </c>
      <c r="C179">
        <v>1995</v>
      </c>
      <c r="D179" t="s">
        <v>54</v>
      </c>
      <c r="E179">
        <v>156</v>
      </c>
      <c r="F179" t="s">
        <v>839</v>
      </c>
      <c r="G179">
        <v>7.9</v>
      </c>
      <c r="H179">
        <v>76</v>
      </c>
      <c r="I179" t="s">
        <v>412</v>
      </c>
      <c r="J179" t="s">
        <v>125</v>
      </c>
      <c r="K179" t="s">
        <v>840</v>
      </c>
      <c r="L179">
        <v>29620</v>
      </c>
    </row>
    <row r="180" spans="1:13" x14ac:dyDescent="0.3">
      <c r="A180" t="s">
        <v>841</v>
      </c>
      <c r="B180" t="s">
        <v>842</v>
      </c>
      <c r="C180">
        <v>2012</v>
      </c>
      <c r="D180" t="s">
        <v>17</v>
      </c>
      <c r="E180">
        <v>135</v>
      </c>
      <c r="F180" t="s">
        <v>843</v>
      </c>
      <c r="G180">
        <v>7.9</v>
      </c>
      <c r="I180" t="s">
        <v>844</v>
      </c>
      <c r="J180" t="s">
        <v>315</v>
      </c>
      <c r="K180" t="s">
        <v>845</v>
      </c>
      <c r="L180">
        <v>51522</v>
      </c>
      <c r="M180">
        <v>550.44000000000005</v>
      </c>
    </row>
    <row r="181" spans="1:13" x14ac:dyDescent="0.3">
      <c r="A181" t="s">
        <v>846</v>
      </c>
      <c r="B181" t="s">
        <v>847</v>
      </c>
      <c r="C181">
        <v>2000</v>
      </c>
      <c r="D181" t="s">
        <v>17</v>
      </c>
      <c r="E181">
        <v>89</v>
      </c>
      <c r="F181" t="s">
        <v>843</v>
      </c>
      <c r="G181">
        <v>7.9</v>
      </c>
      <c r="H181">
        <v>79</v>
      </c>
      <c r="I181" t="s">
        <v>201</v>
      </c>
      <c r="J181" t="s">
        <v>147</v>
      </c>
      <c r="K181" t="s">
        <v>848</v>
      </c>
      <c r="L181">
        <v>26165</v>
      </c>
      <c r="M181">
        <v>218.12</v>
      </c>
    </row>
    <row r="182" spans="1:13" x14ac:dyDescent="0.3">
      <c r="A182" t="s">
        <v>849</v>
      </c>
      <c r="B182" t="s">
        <v>850</v>
      </c>
      <c r="C182">
        <v>2005</v>
      </c>
      <c r="D182" t="s">
        <v>54</v>
      </c>
      <c r="E182">
        <v>133</v>
      </c>
      <c r="F182" t="s">
        <v>851</v>
      </c>
      <c r="G182">
        <v>7.9</v>
      </c>
      <c r="H182">
        <v>90</v>
      </c>
      <c r="I182" t="s">
        <v>852</v>
      </c>
      <c r="J182" t="s">
        <v>80</v>
      </c>
      <c r="K182" t="s">
        <v>853</v>
      </c>
      <c r="L182">
        <v>78553</v>
      </c>
      <c r="M182">
        <v>499.98</v>
      </c>
    </row>
    <row r="183" spans="1:13" x14ac:dyDescent="0.3">
      <c r="A183" t="s">
        <v>854</v>
      </c>
      <c r="B183" t="s">
        <v>855</v>
      </c>
      <c r="C183">
        <v>2002</v>
      </c>
      <c r="D183" t="s">
        <v>24</v>
      </c>
      <c r="E183">
        <v>130</v>
      </c>
      <c r="F183" t="s">
        <v>856</v>
      </c>
      <c r="G183">
        <v>7.9</v>
      </c>
      <c r="H183">
        <v>86</v>
      </c>
      <c r="I183" t="s">
        <v>857</v>
      </c>
      <c r="J183" t="s">
        <v>524</v>
      </c>
      <c r="K183" t="s">
        <v>858</v>
      </c>
      <c r="L183">
        <v>176033</v>
      </c>
      <c r="M183">
        <v>339.8</v>
      </c>
    </row>
    <row r="184" spans="1:13" x14ac:dyDescent="0.3">
      <c r="A184" t="s">
        <v>859</v>
      </c>
      <c r="B184" t="s">
        <v>860</v>
      </c>
      <c r="C184">
        <v>2007</v>
      </c>
      <c r="D184" t="s">
        <v>169</v>
      </c>
      <c r="E184">
        <v>119</v>
      </c>
      <c r="F184" t="s">
        <v>861</v>
      </c>
      <c r="G184">
        <v>7.9</v>
      </c>
      <c r="H184">
        <v>81</v>
      </c>
      <c r="I184" t="s">
        <v>355</v>
      </c>
      <c r="J184" t="s">
        <v>27</v>
      </c>
      <c r="K184" t="s">
        <v>862</v>
      </c>
      <c r="L184">
        <v>135320</v>
      </c>
      <c r="M184">
        <v>454.59</v>
      </c>
    </row>
    <row r="185" spans="1:13" x14ac:dyDescent="0.3">
      <c r="A185" t="s">
        <v>863</v>
      </c>
      <c r="B185" t="s">
        <v>864</v>
      </c>
      <c r="C185">
        <v>2004</v>
      </c>
      <c r="D185" t="s">
        <v>17</v>
      </c>
      <c r="E185">
        <v>107</v>
      </c>
      <c r="F185" t="s">
        <v>37</v>
      </c>
      <c r="G185">
        <v>7.9</v>
      </c>
      <c r="I185" t="s">
        <v>561</v>
      </c>
      <c r="J185" t="s">
        <v>137</v>
      </c>
      <c r="K185" t="s">
        <v>865</v>
      </c>
      <c r="L185">
        <v>504214</v>
      </c>
    </row>
    <row r="186" spans="1:13" x14ac:dyDescent="0.3">
      <c r="A186" t="s">
        <v>866</v>
      </c>
      <c r="B186" t="s">
        <v>867</v>
      </c>
      <c r="C186">
        <v>2024</v>
      </c>
      <c r="D186" t="s">
        <v>17</v>
      </c>
      <c r="E186">
        <v>110</v>
      </c>
      <c r="F186" t="s">
        <v>868</v>
      </c>
      <c r="G186">
        <v>7.9</v>
      </c>
      <c r="H186">
        <v>91</v>
      </c>
      <c r="I186" t="s">
        <v>355</v>
      </c>
      <c r="J186" t="s">
        <v>153</v>
      </c>
      <c r="K186" t="s">
        <v>869</v>
      </c>
      <c r="L186">
        <v>15647</v>
      </c>
    </row>
    <row r="187" spans="1:13" x14ac:dyDescent="0.3">
      <c r="A187" t="s">
        <v>870</v>
      </c>
      <c r="B187" t="s">
        <v>871</v>
      </c>
      <c r="C187">
        <v>2023</v>
      </c>
      <c r="D187" t="s">
        <v>54</v>
      </c>
      <c r="E187">
        <v>84</v>
      </c>
      <c r="F187" t="s">
        <v>872</v>
      </c>
      <c r="G187">
        <v>7.9</v>
      </c>
      <c r="H187">
        <v>74</v>
      </c>
      <c r="I187" t="s">
        <v>873</v>
      </c>
      <c r="J187" t="s">
        <v>315</v>
      </c>
      <c r="K187" t="s">
        <v>874</v>
      </c>
      <c r="L187">
        <v>15388</v>
      </c>
      <c r="M187">
        <v>404.1</v>
      </c>
    </row>
    <row r="188" spans="1:13" x14ac:dyDescent="0.3">
      <c r="A188" t="s">
        <v>875</v>
      </c>
      <c r="B188" t="s">
        <v>876</v>
      </c>
      <c r="C188">
        <v>2021</v>
      </c>
      <c r="D188" t="s">
        <v>54</v>
      </c>
      <c r="E188">
        <v>122</v>
      </c>
      <c r="F188" t="s">
        <v>877</v>
      </c>
      <c r="G188">
        <v>7.9</v>
      </c>
      <c r="I188" t="s">
        <v>355</v>
      </c>
      <c r="J188" t="s">
        <v>20</v>
      </c>
      <c r="K188" t="s">
        <v>878</v>
      </c>
      <c r="L188">
        <v>17581</v>
      </c>
    </row>
    <row r="189" spans="1:13" x14ac:dyDescent="0.3">
      <c r="A189" t="s">
        <v>879</v>
      </c>
      <c r="B189" t="s">
        <v>880</v>
      </c>
      <c r="C189">
        <v>1989</v>
      </c>
      <c r="D189" t="s">
        <v>17</v>
      </c>
      <c r="E189">
        <v>123</v>
      </c>
      <c r="F189" t="s">
        <v>37</v>
      </c>
      <c r="G189">
        <v>7.9</v>
      </c>
      <c r="I189" t="s">
        <v>881</v>
      </c>
      <c r="J189" t="s">
        <v>103</v>
      </c>
      <c r="K189" t="s">
        <v>882</v>
      </c>
      <c r="L189">
        <v>129033</v>
      </c>
    </row>
    <row r="190" spans="1:13" x14ac:dyDescent="0.3">
      <c r="A190" t="s">
        <v>883</v>
      </c>
      <c r="B190" t="s">
        <v>884</v>
      </c>
      <c r="C190">
        <v>2008</v>
      </c>
      <c r="D190" t="s">
        <v>285</v>
      </c>
      <c r="E190">
        <v>139</v>
      </c>
      <c r="F190" t="s">
        <v>885</v>
      </c>
      <c r="G190">
        <v>7.9</v>
      </c>
      <c r="H190">
        <v>79</v>
      </c>
      <c r="I190" t="s">
        <v>886</v>
      </c>
      <c r="J190" t="s">
        <v>147</v>
      </c>
      <c r="K190" t="s">
        <v>887</v>
      </c>
      <c r="L190">
        <v>68390</v>
      </c>
    </row>
    <row r="191" spans="1:13" x14ac:dyDescent="0.3">
      <c r="A191" t="s">
        <v>888</v>
      </c>
      <c r="B191" t="s">
        <v>889</v>
      </c>
      <c r="C191">
        <v>2013</v>
      </c>
      <c r="D191" t="s">
        <v>54</v>
      </c>
      <c r="E191">
        <v>132</v>
      </c>
      <c r="F191" t="s">
        <v>244</v>
      </c>
      <c r="G191">
        <v>7.9</v>
      </c>
      <c r="H191">
        <v>74</v>
      </c>
      <c r="I191" t="s">
        <v>136</v>
      </c>
      <c r="J191" t="s">
        <v>315</v>
      </c>
      <c r="K191" t="s">
        <v>890</v>
      </c>
      <c r="L191">
        <v>48573</v>
      </c>
      <c r="M191">
        <v>311.02999999999997</v>
      </c>
    </row>
    <row r="192" spans="1:13" x14ac:dyDescent="0.3">
      <c r="A192" t="s">
        <v>891</v>
      </c>
      <c r="B192" t="s">
        <v>892</v>
      </c>
      <c r="C192">
        <v>1993</v>
      </c>
      <c r="D192" t="s">
        <v>17</v>
      </c>
      <c r="E192">
        <v>127</v>
      </c>
      <c r="F192" t="s">
        <v>893</v>
      </c>
      <c r="G192">
        <v>7.9</v>
      </c>
      <c r="H192">
        <v>74</v>
      </c>
      <c r="I192" t="s">
        <v>894</v>
      </c>
      <c r="J192" t="s">
        <v>159</v>
      </c>
      <c r="K192" t="s">
        <v>895</v>
      </c>
      <c r="L192">
        <v>230821</v>
      </c>
    </row>
    <row r="193" spans="1:13" x14ac:dyDescent="0.3">
      <c r="A193" t="s">
        <v>896</v>
      </c>
      <c r="B193" t="s">
        <v>897</v>
      </c>
      <c r="C193">
        <v>2024</v>
      </c>
      <c r="D193" t="s">
        <v>17</v>
      </c>
      <c r="E193">
        <v>153</v>
      </c>
      <c r="F193" t="s">
        <v>55</v>
      </c>
      <c r="G193">
        <v>7.8</v>
      </c>
      <c r="I193" t="s">
        <v>898</v>
      </c>
      <c r="J193" t="s">
        <v>103</v>
      </c>
      <c r="K193" t="s">
        <v>899</v>
      </c>
      <c r="L193">
        <v>79694</v>
      </c>
      <c r="M193">
        <v>983.71</v>
      </c>
    </row>
    <row r="194" spans="1:13" x14ac:dyDescent="0.3">
      <c r="A194" t="s">
        <v>900</v>
      </c>
      <c r="B194" t="s">
        <v>901</v>
      </c>
      <c r="C194">
        <v>2001</v>
      </c>
      <c r="D194" t="s">
        <v>54</v>
      </c>
      <c r="E194">
        <v>130</v>
      </c>
      <c r="F194" t="s">
        <v>902</v>
      </c>
      <c r="G194">
        <v>7.8</v>
      </c>
      <c r="I194" t="s">
        <v>903</v>
      </c>
      <c r="J194" t="s">
        <v>113</v>
      </c>
      <c r="K194" t="s">
        <v>904</v>
      </c>
      <c r="L194">
        <v>345913</v>
      </c>
      <c r="M194">
        <v>95.88</v>
      </c>
    </row>
    <row r="195" spans="1:13" x14ac:dyDescent="0.3">
      <c r="A195" t="s">
        <v>905</v>
      </c>
      <c r="B195" t="s">
        <v>906</v>
      </c>
      <c r="C195">
        <v>2010</v>
      </c>
      <c r="D195" t="s">
        <v>24</v>
      </c>
      <c r="E195">
        <v>131</v>
      </c>
      <c r="F195" t="s">
        <v>426</v>
      </c>
      <c r="G195">
        <v>7.8</v>
      </c>
      <c r="H195">
        <v>82</v>
      </c>
      <c r="I195" t="s">
        <v>422</v>
      </c>
      <c r="J195" t="s">
        <v>86</v>
      </c>
      <c r="K195" t="s">
        <v>907</v>
      </c>
      <c r="L195">
        <v>204991</v>
      </c>
      <c r="M195">
        <v>155.33000000000001</v>
      </c>
    </row>
    <row r="196" spans="1:13" x14ac:dyDescent="0.3">
      <c r="A196" t="s">
        <v>908</v>
      </c>
      <c r="B196" t="s">
        <v>909</v>
      </c>
      <c r="C196">
        <v>2002</v>
      </c>
      <c r="D196" t="s">
        <v>54</v>
      </c>
      <c r="E196">
        <v>119</v>
      </c>
      <c r="F196" t="s">
        <v>910</v>
      </c>
      <c r="G196">
        <v>7.8</v>
      </c>
      <c r="H196">
        <v>76</v>
      </c>
      <c r="I196" t="s">
        <v>911</v>
      </c>
      <c r="J196" t="s">
        <v>125</v>
      </c>
      <c r="K196" t="s">
        <v>912</v>
      </c>
      <c r="L196">
        <v>71064</v>
      </c>
      <c r="M196">
        <v>13.22</v>
      </c>
    </row>
    <row r="197" spans="1:13" x14ac:dyDescent="0.3">
      <c r="A197" t="s">
        <v>913</v>
      </c>
      <c r="B197" t="s">
        <v>914</v>
      </c>
      <c r="C197">
        <v>1987</v>
      </c>
      <c r="D197" t="s">
        <v>54</v>
      </c>
      <c r="E197">
        <v>120</v>
      </c>
      <c r="F197" t="s">
        <v>767</v>
      </c>
      <c r="G197">
        <v>7.8</v>
      </c>
      <c r="H197">
        <v>73</v>
      </c>
      <c r="I197" t="s">
        <v>915</v>
      </c>
      <c r="J197" t="s">
        <v>125</v>
      </c>
      <c r="K197" t="s">
        <v>916</v>
      </c>
      <c r="L197">
        <v>71849</v>
      </c>
    </row>
    <row r="198" spans="1:13" x14ac:dyDescent="0.3">
      <c r="A198" t="s">
        <v>917</v>
      </c>
      <c r="B198" t="s">
        <v>918</v>
      </c>
      <c r="C198">
        <v>2008</v>
      </c>
      <c r="D198" t="s">
        <v>17</v>
      </c>
      <c r="E198">
        <v>119</v>
      </c>
      <c r="F198" t="s">
        <v>919</v>
      </c>
      <c r="G198">
        <v>7.8</v>
      </c>
      <c r="H198">
        <v>78</v>
      </c>
      <c r="I198" t="s">
        <v>920</v>
      </c>
      <c r="J198" t="s">
        <v>593</v>
      </c>
      <c r="K198" t="s">
        <v>921</v>
      </c>
      <c r="L198">
        <v>55431</v>
      </c>
    </row>
    <row r="199" spans="1:13" x14ac:dyDescent="0.3">
      <c r="A199" t="s">
        <v>922</v>
      </c>
      <c r="B199" t="s">
        <v>923</v>
      </c>
      <c r="C199">
        <v>2016</v>
      </c>
      <c r="D199" t="s">
        <v>17</v>
      </c>
      <c r="E199">
        <v>140</v>
      </c>
      <c r="F199" t="s">
        <v>924</v>
      </c>
      <c r="G199">
        <v>7.8</v>
      </c>
      <c r="I199" t="s">
        <v>491</v>
      </c>
      <c r="J199" t="s">
        <v>196</v>
      </c>
      <c r="K199" t="s">
        <v>925</v>
      </c>
      <c r="L199">
        <v>11655</v>
      </c>
      <c r="M199">
        <v>243.84</v>
      </c>
    </row>
    <row r="200" spans="1:13" x14ac:dyDescent="0.3">
      <c r="A200" t="s">
        <v>926</v>
      </c>
      <c r="B200" t="s">
        <v>927</v>
      </c>
      <c r="C200">
        <v>2015</v>
      </c>
      <c r="D200" t="s">
        <v>169</v>
      </c>
      <c r="E200">
        <v>116</v>
      </c>
      <c r="F200" t="s">
        <v>928</v>
      </c>
      <c r="G200">
        <v>7.8</v>
      </c>
      <c r="H200">
        <v>69</v>
      </c>
      <c r="I200" t="s">
        <v>929</v>
      </c>
      <c r="J200" t="s">
        <v>191</v>
      </c>
      <c r="K200" t="s">
        <v>930</v>
      </c>
      <c r="L200">
        <v>145850</v>
      </c>
      <c r="M200">
        <v>939.39</v>
      </c>
    </row>
    <row r="201" spans="1:13" x14ac:dyDescent="0.3">
      <c r="A201" t="s">
        <v>931</v>
      </c>
      <c r="B201" t="s">
        <v>932</v>
      </c>
      <c r="C201">
        <v>2012</v>
      </c>
      <c r="D201" t="s">
        <v>24</v>
      </c>
      <c r="E201">
        <v>104</v>
      </c>
      <c r="F201" t="s">
        <v>299</v>
      </c>
      <c r="G201">
        <v>7.8</v>
      </c>
      <c r="I201" t="s">
        <v>933</v>
      </c>
      <c r="J201" t="s">
        <v>103</v>
      </c>
      <c r="K201" t="s">
        <v>934</v>
      </c>
      <c r="L201">
        <v>61819</v>
      </c>
      <c r="M201">
        <v>78.05</v>
      </c>
    </row>
    <row r="202" spans="1:13" x14ac:dyDescent="0.3">
      <c r="A202" t="s">
        <v>935</v>
      </c>
      <c r="B202" t="s">
        <v>936</v>
      </c>
      <c r="C202">
        <v>2016</v>
      </c>
      <c r="D202" t="s">
        <v>24</v>
      </c>
      <c r="E202">
        <v>144</v>
      </c>
      <c r="F202" t="s">
        <v>937</v>
      </c>
      <c r="G202">
        <v>7.8</v>
      </c>
      <c r="H202">
        <v>68</v>
      </c>
      <c r="I202" t="s">
        <v>566</v>
      </c>
      <c r="J202" t="s">
        <v>80</v>
      </c>
      <c r="K202" t="s">
        <v>938</v>
      </c>
      <c r="L202">
        <v>149299</v>
      </c>
    </row>
    <row r="203" spans="1:13" x14ac:dyDescent="0.3">
      <c r="A203" t="s">
        <v>939</v>
      </c>
      <c r="B203" t="s">
        <v>940</v>
      </c>
      <c r="C203">
        <v>2007</v>
      </c>
      <c r="D203" t="s">
        <v>24</v>
      </c>
      <c r="E203">
        <v>141</v>
      </c>
      <c r="F203" t="s">
        <v>941</v>
      </c>
      <c r="G203">
        <v>7.8</v>
      </c>
      <c r="I203" t="s">
        <v>355</v>
      </c>
      <c r="J203" t="s">
        <v>251</v>
      </c>
      <c r="K203" t="s">
        <v>942</v>
      </c>
      <c r="L203">
        <v>355238</v>
      </c>
      <c r="M203">
        <v>297.95</v>
      </c>
    </row>
    <row r="204" spans="1:13" x14ac:dyDescent="0.3">
      <c r="A204" t="s">
        <v>943</v>
      </c>
      <c r="B204" t="s">
        <v>944</v>
      </c>
      <c r="C204">
        <v>2016</v>
      </c>
      <c r="D204" t="s">
        <v>24</v>
      </c>
      <c r="E204">
        <v>112</v>
      </c>
      <c r="F204" t="s">
        <v>129</v>
      </c>
      <c r="G204">
        <v>7.8</v>
      </c>
      <c r="I204" t="s">
        <v>130</v>
      </c>
      <c r="J204" t="s">
        <v>27</v>
      </c>
      <c r="K204" t="s">
        <v>945</v>
      </c>
      <c r="L204">
        <v>1011433</v>
      </c>
    </row>
    <row r="205" spans="1:13" x14ac:dyDescent="0.3">
      <c r="A205" t="s">
        <v>946</v>
      </c>
      <c r="B205" t="s">
        <v>947</v>
      </c>
      <c r="C205">
        <v>1977</v>
      </c>
      <c r="D205" t="s">
        <v>24</v>
      </c>
      <c r="E205">
        <v>108</v>
      </c>
      <c r="F205" t="s">
        <v>948</v>
      </c>
      <c r="G205">
        <v>7.8</v>
      </c>
      <c r="H205">
        <v>67</v>
      </c>
      <c r="I205" t="s">
        <v>629</v>
      </c>
      <c r="J205" t="s">
        <v>57</v>
      </c>
      <c r="K205" t="s">
        <v>949</v>
      </c>
      <c r="L205">
        <v>57557</v>
      </c>
      <c r="M205">
        <v>159.65</v>
      </c>
    </row>
    <row r="206" spans="1:13" x14ac:dyDescent="0.3">
      <c r="A206" t="s">
        <v>950</v>
      </c>
      <c r="B206" t="s">
        <v>951</v>
      </c>
      <c r="C206">
        <v>1964</v>
      </c>
      <c r="D206" t="s">
        <v>54</v>
      </c>
      <c r="E206">
        <v>135</v>
      </c>
      <c r="F206" t="s">
        <v>225</v>
      </c>
      <c r="G206">
        <v>7.8</v>
      </c>
      <c r="H206">
        <v>72</v>
      </c>
      <c r="I206" t="s">
        <v>952</v>
      </c>
      <c r="J206" t="s">
        <v>251</v>
      </c>
      <c r="K206" t="s">
        <v>953</v>
      </c>
      <c r="L206">
        <v>294597</v>
      </c>
      <c r="M206">
        <v>187.49</v>
      </c>
    </row>
    <row r="207" spans="1:13" x14ac:dyDescent="0.3">
      <c r="A207" t="s">
        <v>954</v>
      </c>
      <c r="B207" t="s">
        <v>955</v>
      </c>
      <c r="C207">
        <v>2001</v>
      </c>
      <c r="D207" t="s">
        <v>17</v>
      </c>
      <c r="E207">
        <v>127</v>
      </c>
      <c r="F207" t="s">
        <v>956</v>
      </c>
      <c r="G207">
        <v>7.8</v>
      </c>
      <c r="I207" t="s">
        <v>957</v>
      </c>
      <c r="J207" t="s">
        <v>50</v>
      </c>
      <c r="K207" t="s">
        <v>958</v>
      </c>
      <c r="L207">
        <v>1224943</v>
      </c>
    </row>
    <row r="208" spans="1:13" x14ac:dyDescent="0.3">
      <c r="A208" t="s">
        <v>959</v>
      </c>
      <c r="B208" t="s">
        <v>960</v>
      </c>
      <c r="C208">
        <v>2000</v>
      </c>
      <c r="D208" t="s">
        <v>24</v>
      </c>
      <c r="E208">
        <v>127</v>
      </c>
      <c r="F208" t="s">
        <v>961</v>
      </c>
      <c r="G208">
        <v>7.8</v>
      </c>
      <c r="H208">
        <v>79</v>
      </c>
      <c r="I208" t="s">
        <v>962</v>
      </c>
      <c r="J208" t="s">
        <v>159</v>
      </c>
      <c r="K208" t="s">
        <v>963</v>
      </c>
      <c r="L208">
        <v>75401</v>
      </c>
      <c r="M208">
        <v>121.92</v>
      </c>
    </row>
    <row r="209" spans="1:13" x14ac:dyDescent="0.3">
      <c r="A209" t="s">
        <v>964</v>
      </c>
      <c r="B209" t="s">
        <v>965</v>
      </c>
      <c r="C209">
        <v>1982</v>
      </c>
      <c r="D209" t="s">
        <v>17</v>
      </c>
      <c r="E209">
        <v>92</v>
      </c>
      <c r="F209" t="s">
        <v>277</v>
      </c>
      <c r="G209">
        <v>7.8</v>
      </c>
      <c r="H209">
        <v>70</v>
      </c>
      <c r="I209" t="s">
        <v>278</v>
      </c>
      <c r="J209" t="s">
        <v>251</v>
      </c>
      <c r="K209" t="s">
        <v>966</v>
      </c>
      <c r="L209">
        <v>77786</v>
      </c>
    </row>
    <row r="210" spans="1:13" x14ac:dyDescent="0.3">
      <c r="A210" t="s">
        <v>967</v>
      </c>
      <c r="B210" t="s">
        <v>968</v>
      </c>
      <c r="C210">
        <v>1997</v>
      </c>
      <c r="D210" t="s">
        <v>17</v>
      </c>
      <c r="E210">
        <v>133</v>
      </c>
      <c r="F210" t="s">
        <v>969</v>
      </c>
      <c r="G210">
        <v>7.8</v>
      </c>
      <c r="I210" t="s">
        <v>970</v>
      </c>
      <c r="J210" t="s">
        <v>39</v>
      </c>
      <c r="K210" t="s">
        <v>971</v>
      </c>
      <c r="L210">
        <v>194975</v>
      </c>
      <c r="M210">
        <v>101.17</v>
      </c>
    </row>
    <row r="211" spans="1:13" x14ac:dyDescent="0.3">
      <c r="A211" t="s">
        <v>972</v>
      </c>
      <c r="B211" t="s">
        <v>973</v>
      </c>
      <c r="C211">
        <v>2006</v>
      </c>
      <c r="D211" t="s">
        <v>54</v>
      </c>
      <c r="E211">
        <v>112</v>
      </c>
      <c r="F211" t="s">
        <v>974</v>
      </c>
      <c r="G211">
        <v>7.8</v>
      </c>
      <c r="H211">
        <v>77</v>
      </c>
      <c r="I211" t="s">
        <v>395</v>
      </c>
      <c r="J211" t="s">
        <v>251</v>
      </c>
      <c r="K211" t="s">
        <v>975</v>
      </c>
      <c r="L211">
        <v>151071</v>
      </c>
      <c r="M211">
        <v>497.82</v>
      </c>
    </row>
    <row r="212" spans="1:13" x14ac:dyDescent="0.3">
      <c r="A212" t="s">
        <v>976</v>
      </c>
      <c r="B212" t="s">
        <v>977</v>
      </c>
      <c r="C212">
        <v>2021</v>
      </c>
      <c r="D212" t="s">
        <v>24</v>
      </c>
      <c r="E212">
        <v>144</v>
      </c>
      <c r="F212" t="s">
        <v>978</v>
      </c>
      <c r="G212">
        <v>7.8</v>
      </c>
      <c r="H212">
        <v>86</v>
      </c>
      <c r="I212" t="s">
        <v>607</v>
      </c>
      <c r="J212" t="s">
        <v>608</v>
      </c>
      <c r="K212" t="s">
        <v>979</v>
      </c>
      <c r="L212">
        <v>23423</v>
      </c>
      <c r="M212">
        <v>779.9</v>
      </c>
    </row>
    <row r="213" spans="1:13" x14ac:dyDescent="0.3">
      <c r="A213" t="s">
        <v>980</v>
      </c>
      <c r="B213" t="s">
        <v>981</v>
      </c>
      <c r="C213">
        <v>2001</v>
      </c>
      <c r="D213" t="s">
        <v>54</v>
      </c>
      <c r="E213">
        <v>115</v>
      </c>
      <c r="F213" t="s">
        <v>982</v>
      </c>
      <c r="G213">
        <v>7.8</v>
      </c>
      <c r="I213" t="s">
        <v>983</v>
      </c>
      <c r="J213" t="s">
        <v>27</v>
      </c>
      <c r="K213" t="s">
        <v>984</v>
      </c>
      <c r="L213">
        <v>2075699</v>
      </c>
      <c r="M213">
        <v>168.77</v>
      </c>
    </row>
    <row r="214" spans="1:13" x14ac:dyDescent="0.3">
      <c r="A214" t="s">
        <v>985</v>
      </c>
      <c r="B214" t="s">
        <v>986</v>
      </c>
      <c r="C214">
        <v>2014</v>
      </c>
      <c r="D214" t="s">
        <v>54</v>
      </c>
      <c r="E214">
        <v>130</v>
      </c>
      <c r="F214" t="s">
        <v>987</v>
      </c>
      <c r="G214">
        <v>7.8</v>
      </c>
      <c r="H214">
        <v>69</v>
      </c>
      <c r="I214" t="s">
        <v>124</v>
      </c>
      <c r="J214" t="s">
        <v>147</v>
      </c>
      <c r="K214" t="s">
        <v>988</v>
      </c>
      <c r="L214">
        <v>525838</v>
      </c>
      <c r="M214">
        <v>359.71</v>
      </c>
    </row>
    <row r="215" spans="1:13" x14ac:dyDescent="0.3">
      <c r="A215" t="s">
        <v>989</v>
      </c>
      <c r="B215" t="s">
        <v>990</v>
      </c>
      <c r="C215">
        <v>2001</v>
      </c>
      <c r="D215" t="s">
        <v>169</v>
      </c>
      <c r="E215">
        <v>118</v>
      </c>
      <c r="F215" t="s">
        <v>868</v>
      </c>
      <c r="G215">
        <v>7.8</v>
      </c>
      <c r="H215">
        <v>88</v>
      </c>
      <c r="I215" t="s">
        <v>102</v>
      </c>
      <c r="J215" t="s">
        <v>86</v>
      </c>
      <c r="K215" t="s">
        <v>991</v>
      </c>
      <c r="L215">
        <v>36275</v>
      </c>
      <c r="M215">
        <v>410.67</v>
      </c>
    </row>
    <row r="216" spans="1:13" x14ac:dyDescent="0.3">
      <c r="A216" t="s">
        <v>992</v>
      </c>
      <c r="B216" t="s">
        <v>993</v>
      </c>
      <c r="C216">
        <v>2011</v>
      </c>
      <c r="D216" t="s">
        <v>54</v>
      </c>
      <c r="E216">
        <v>112</v>
      </c>
      <c r="F216" t="s">
        <v>994</v>
      </c>
      <c r="G216">
        <v>7.8</v>
      </c>
      <c r="I216" t="s">
        <v>995</v>
      </c>
      <c r="J216" t="s">
        <v>191</v>
      </c>
      <c r="K216" t="s">
        <v>996</v>
      </c>
      <c r="L216">
        <v>11830</v>
      </c>
      <c r="M216">
        <v>418.09</v>
      </c>
    </row>
    <row r="217" spans="1:13" x14ac:dyDescent="0.3">
      <c r="A217" t="s">
        <v>997</v>
      </c>
      <c r="B217" t="s">
        <v>998</v>
      </c>
      <c r="C217">
        <v>2013</v>
      </c>
      <c r="D217" t="s">
        <v>24</v>
      </c>
      <c r="E217">
        <v>118</v>
      </c>
      <c r="F217" t="s">
        <v>453</v>
      </c>
      <c r="G217">
        <v>7.8</v>
      </c>
      <c r="H217">
        <v>92</v>
      </c>
      <c r="I217" t="s">
        <v>999</v>
      </c>
      <c r="J217" t="s">
        <v>131</v>
      </c>
      <c r="K217" t="s">
        <v>1000</v>
      </c>
      <c r="L217">
        <v>100116</v>
      </c>
      <c r="M217">
        <v>794.83</v>
      </c>
    </row>
    <row r="218" spans="1:13" x14ac:dyDescent="0.3">
      <c r="A218" t="s">
        <v>1001</v>
      </c>
      <c r="B218" t="s">
        <v>1002</v>
      </c>
      <c r="C218">
        <v>2023</v>
      </c>
      <c r="D218" t="s">
        <v>24</v>
      </c>
      <c r="E218">
        <v>110</v>
      </c>
      <c r="F218" t="s">
        <v>1003</v>
      </c>
      <c r="G218">
        <v>7.8</v>
      </c>
      <c r="H218">
        <v>65</v>
      </c>
      <c r="I218" t="s">
        <v>355</v>
      </c>
      <c r="J218" t="s">
        <v>368</v>
      </c>
      <c r="K218" t="s">
        <v>1004</v>
      </c>
      <c r="L218">
        <v>56513</v>
      </c>
    </row>
    <row r="219" spans="1:13" x14ac:dyDescent="0.3">
      <c r="A219" t="s">
        <v>1005</v>
      </c>
      <c r="B219" t="s">
        <v>1006</v>
      </c>
      <c r="C219">
        <v>2005</v>
      </c>
      <c r="D219" t="s">
        <v>54</v>
      </c>
      <c r="E219">
        <v>130</v>
      </c>
      <c r="F219" t="s">
        <v>1007</v>
      </c>
      <c r="G219">
        <v>7.7</v>
      </c>
      <c r="H219">
        <v>87</v>
      </c>
      <c r="I219" t="s">
        <v>422</v>
      </c>
      <c r="J219" t="s">
        <v>326</v>
      </c>
      <c r="K219" t="s">
        <v>1008</v>
      </c>
      <c r="L219">
        <v>22320</v>
      </c>
      <c r="M219">
        <v>59.64</v>
      </c>
    </row>
    <row r="220" spans="1:13" x14ac:dyDescent="0.3">
      <c r="A220" t="s">
        <v>1009</v>
      </c>
      <c r="B220" t="s">
        <v>1010</v>
      </c>
      <c r="C220">
        <v>2013</v>
      </c>
      <c r="D220" t="s">
        <v>54</v>
      </c>
      <c r="E220">
        <v>108</v>
      </c>
      <c r="F220" t="s">
        <v>1011</v>
      </c>
      <c r="G220">
        <v>7.7</v>
      </c>
      <c r="I220" t="s">
        <v>67</v>
      </c>
      <c r="J220" t="s">
        <v>251</v>
      </c>
      <c r="K220" t="s">
        <v>1012</v>
      </c>
      <c r="L220">
        <v>1373213</v>
      </c>
      <c r="M220">
        <v>197.06</v>
      </c>
    </row>
    <row r="221" spans="1:13" x14ac:dyDescent="0.3">
      <c r="A221" t="s">
        <v>1013</v>
      </c>
      <c r="B221" t="s">
        <v>1014</v>
      </c>
      <c r="C221">
        <v>1996</v>
      </c>
      <c r="D221" t="s">
        <v>17</v>
      </c>
      <c r="E221">
        <v>112</v>
      </c>
      <c r="F221" t="s">
        <v>1015</v>
      </c>
      <c r="G221">
        <v>7.7</v>
      </c>
      <c r="H221">
        <v>82</v>
      </c>
      <c r="I221" t="s">
        <v>634</v>
      </c>
      <c r="J221" t="s">
        <v>57</v>
      </c>
      <c r="K221" t="s">
        <v>1016</v>
      </c>
      <c r="L221">
        <v>25201</v>
      </c>
    </row>
    <row r="222" spans="1:13" x14ac:dyDescent="0.3">
      <c r="A222" t="s">
        <v>1017</v>
      </c>
      <c r="B222" t="s">
        <v>1018</v>
      </c>
      <c r="C222">
        <v>1969</v>
      </c>
      <c r="D222" t="s">
        <v>24</v>
      </c>
      <c r="E222">
        <v>136</v>
      </c>
      <c r="F222" t="s">
        <v>55</v>
      </c>
      <c r="G222">
        <v>7.7</v>
      </c>
      <c r="I222" t="s">
        <v>898</v>
      </c>
      <c r="J222" t="s">
        <v>80</v>
      </c>
      <c r="K222" t="s">
        <v>1019</v>
      </c>
      <c r="L222">
        <v>50532</v>
      </c>
    </row>
    <row r="223" spans="1:13" x14ac:dyDescent="0.3">
      <c r="A223" t="s">
        <v>1020</v>
      </c>
      <c r="B223" t="s">
        <v>1021</v>
      </c>
      <c r="C223">
        <v>1985</v>
      </c>
      <c r="D223" t="s">
        <v>54</v>
      </c>
      <c r="E223">
        <v>124</v>
      </c>
      <c r="F223" t="s">
        <v>1022</v>
      </c>
      <c r="G223">
        <v>7.7</v>
      </c>
      <c r="I223" t="s">
        <v>67</v>
      </c>
      <c r="J223" t="s">
        <v>33</v>
      </c>
      <c r="K223" t="s">
        <v>1023</v>
      </c>
      <c r="L223">
        <v>46580</v>
      </c>
      <c r="M223">
        <v>5.2</v>
      </c>
    </row>
    <row r="224" spans="1:13" x14ac:dyDescent="0.3">
      <c r="A224" t="s">
        <v>1024</v>
      </c>
      <c r="B224" t="s">
        <v>1025</v>
      </c>
      <c r="C224">
        <v>1994</v>
      </c>
      <c r="D224" t="s">
        <v>54</v>
      </c>
      <c r="E224">
        <v>121</v>
      </c>
      <c r="F224" t="s">
        <v>1026</v>
      </c>
      <c r="G224">
        <v>7.7</v>
      </c>
      <c r="H224">
        <v>86</v>
      </c>
      <c r="I224" t="s">
        <v>491</v>
      </c>
      <c r="J224" t="s">
        <v>251</v>
      </c>
      <c r="K224" t="s">
        <v>1027</v>
      </c>
      <c r="L224">
        <v>102403</v>
      </c>
      <c r="M224">
        <v>210.2</v>
      </c>
    </row>
    <row r="225" spans="1:13" x14ac:dyDescent="0.3">
      <c r="A225" t="s">
        <v>1028</v>
      </c>
      <c r="B225" t="s">
        <v>1029</v>
      </c>
      <c r="C225">
        <v>2001</v>
      </c>
      <c r="D225" t="s">
        <v>24</v>
      </c>
      <c r="E225">
        <v>114</v>
      </c>
      <c r="F225" t="s">
        <v>453</v>
      </c>
      <c r="G225">
        <v>7.7</v>
      </c>
      <c r="H225">
        <v>77</v>
      </c>
      <c r="I225" t="s">
        <v>269</v>
      </c>
      <c r="J225" t="s">
        <v>251</v>
      </c>
      <c r="K225" t="s">
        <v>1030</v>
      </c>
      <c r="L225">
        <v>237442</v>
      </c>
      <c r="M225">
        <v>182.23</v>
      </c>
    </row>
    <row r="226" spans="1:13" x14ac:dyDescent="0.3">
      <c r="A226" t="s">
        <v>1031</v>
      </c>
      <c r="B226" t="s">
        <v>1032</v>
      </c>
      <c r="C226">
        <v>1984</v>
      </c>
      <c r="D226" t="s">
        <v>54</v>
      </c>
      <c r="E226">
        <v>128</v>
      </c>
      <c r="F226" t="s">
        <v>1033</v>
      </c>
      <c r="G226">
        <v>7.7</v>
      </c>
      <c r="H226">
        <v>76</v>
      </c>
      <c r="I226" t="s">
        <v>1034</v>
      </c>
      <c r="J226" t="s">
        <v>20</v>
      </c>
      <c r="K226" t="s">
        <v>1035</v>
      </c>
      <c r="L226">
        <v>142338</v>
      </c>
    </row>
    <row r="227" spans="1:13" x14ac:dyDescent="0.3">
      <c r="A227" t="s">
        <v>1036</v>
      </c>
      <c r="B227" t="s">
        <v>1037</v>
      </c>
      <c r="C227">
        <v>2003</v>
      </c>
      <c r="D227" t="s">
        <v>24</v>
      </c>
      <c r="E227">
        <v>151</v>
      </c>
      <c r="F227" t="s">
        <v>48</v>
      </c>
      <c r="G227">
        <v>7.7</v>
      </c>
      <c r="H227">
        <v>69</v>
      </c>
      <c r="I227" t="s">
        <v>566</v>
      </c>
      <c r="J227" t="s">
        <v>39</v>
      </c>
      <c r="K227" t="s">
        <v>1038</v>
      </c>
      <c r="L227">
        <v>220517</v>
      </c>
      <c r="M227">
        <v>345.98</v>
      </c>
    </row>
    <row r="228" spans="1:13" x14ac:dyDescent="0.3">
      <c r="A228" t="s">
        <v>1039</v>
      </c>
      <c r="B228" t="s">
        <v>1040</v>
      </c>
      <c r="C228">
        <v>2020</v>
      </c>
      <c r="D228" t="s">
        <v>24</v>
      </c>
      <c r="E228">
        <v>100</v>
      </c>
      <c r="F228" t="s">
        <v>235</v>
      </c>
      <c r="G228">
        <v>7.7</v>
      </c>
      <c r="H228">
        <v>88</v>
      </c>
      <c r="I228" t="s">
        <v>201</v>
      </c>
      <c r="J228" t="s">
        <v>57</v>
      </c>
      <c r="K228" t="s">
        <v>1041</v>
      </c>
      <c r="L228">
        <v>43434</v>
      </c>
      <c r="M228">
        <v>229.99</v>
      </c>
    </row>
    <row r="229" spans="1:13" x14ac:dyDescent="0.3">
      <c r="A229" t="s">
        <v>1042</v>
      </c>
      <c r="B229" t="s">
        <v>1043</v>
      </c>
      <c r="C229">
        <v>2013</v>
      </c>
      <c r="D229" t="s">
        <v>54</v>
      </c>
      <c r="E229">
        <v>98</v>
      </c>
      <c r="F229" t="s">
        <v>1044</v>
      </c>
      <c r="G229">
        <v>7.7</v>
      </c>
      <c r="H229">
        <v>88</v>
      </c>
      <c r="I229" t="s">
        <v>226</v>
      </c>
      <c r="J229" t="s">
        <v>165</v>
      </c>
      <c r="K229" t="s">
        <v>1045</v>
      </c>
      <c r="L229">
        <v>779119</v>
      </c>
      <c r="M229">
        <v>218.64</v>
      </c>
    </row>
    <row r="230" spans="1:13" x14ac:dyDescent="0.3">
      <c r="A230" t="s">
        <v>1046</v>
      </c>
      <c r="B230" t="s">
        <v>1047</v>
      </c>
      <c r="C230">
        <v>2015</v>
      </c>
      <c r="D230" t="s">
        <v>17</v>
      </c>
      <c r="E230">
        <v>110</v>
      </c>
      <c r="F230" t="s">
        <v>872</v>
      </c>
      <c r="G230">
        <v>7.7</v>
      </c>
      <c r="H230">
        <v>64</v>
      </c>
      <c r="I230" t="s">
        <v>278</v>
      </c>
      <c r="J230" t="s">
        <v>86</v>
      </c>
      <c r="K230" t="s">
        <v>1048</v>
      </c>
      <c r="L230">
        <v>166514</v>
      </c>
    </row>
    <row r="231" spans="1:13" x14ac:dyDescent="0.3">
      <c r="A231" t="s">
        <v>1049</v>
      </c>
      <c r="B231" t="s">
        <v>1050</v>
      </c>
      <c r="C231">
        <v>2003</v>
      </c>
      <c r="D231" t="s">
        <v>17</v>
      </c>
      <c r="E231">
        <v>123</v>
      </c>
      <c r="F231" t="s">
        <v>319</v>
      </c>
      <c r="G231">
        <v>7.7</v>
      </c>
      <c r="H231">
        <v>83</v>
      </c>
      <c r="I231" t="s">
        <v>1051</v>
      </c>
      <c r="J231" t="s">
        <v>368</v>
      </c>
      <c r="K231" t="s">
        <v>1052</v>
      </c>
      <c r="L231">
        <v>6448</v>
      </c>
      <c r="M231">
        <v>296.25</v>
      </c>
    </row>
    <row r="232" spans="1:13" x14ac:dyDescent="0.3">
      <c r="A232" t="s">
        <v>1053</v>
      </c>
      <c r="B232" t="s">
        <v>1054</v>
      </c>
      <c r="C232">
        <v>1983</v>
      </c>
      <c r="D232" t="s">
        <v>17</v>
      </c>
      <c r="E232">
        <v>157</v>
      </c>
      <c r="F232" t="s">
        <v>1055</v>
      </c>
      <c r="G232">
        <v>7.7</v>
      </c>
      <c r="H232">
        <v>90</v>
      </c>
      <c r="I232" t="s">
        <v>1056</v>
      </c>
      <c r="J232" t="s">
        <v>524</v>
      </c>
      <c r="K232" t="s">
        <v>1057</v>
      </c>
      <c r="L232">
        <v>15120</v>
      </c>
    </row>
    <row r="233" spans="1:13" x14ac:dyDescent="0.3">
      <c r="A233" t="s">
        <v>1058</v>
      </c>
      <c r="B233" t="s">
        <v>1059</v>
      </c>
      <c r="C233">
        <v>2023</v>
      </c>
      <c r="D233" t="s">
        <v>285</v>
      </c>
      <c r="E233">
        <v>150</v>
      </c>
      <c r="F233" t="s">
        <v>48</v>
      </c>
      <c r="G233">
        <v>7.7</v>
      </c>
      <c r="I233" t="s">
        <v>566</v>
      </c>
      <c r="J233" t="s">
        <v>518</v>
      </c>
      <c r="K233" t="s">
        <v>1060</v>
      </c>
      <c r="L233">
        <v>31337</v>
      </c>
      <c r="M233">
        <v>170.25</v>
      </c>
    </row>
    <row r="234" spans="1:13" x14ac:dyDescent="0.3">
      <c r="A234" t="s">
        <v>1061</v>
      </c>
      <c r="B234" t="s">
        <v>1062</v>
      </c>
      <c r="C234">
        <v>2015</v>
      </c>
      <c r="D234" t="s">
        <v>17</v>
      </c>
      <c r="E234">
        <v>115</v>
      </c>
      <c r="F234" t="s">
        <v>37</v>
      </c>
      <c r="G234">
        <v>7.7</v>
      </c>
      <c r="H234">
        <v>87</v>
      </c>
      <c r="I234" t="s">
        <v>1063</v>
      </c>
      <c r="J234" t="s">
        <v>27</v>
      </c>
      <c r="K234" t="s">
        <v>1064</v>
      </c>
      <c r="L234">
        <v>356541</v>
      </c>
    </row>
    <row r="235" spans="1:13" x14ac:dyDescent="0.3">
      <c r="A235" t="s">
        <v>1065</v>
      </c>
      <c r="B235" t="s">
        <v>1066</v>
      </c>
      <c r="C235">
        <v>2000</v>
      </c>
      <c r="D235" t="s">
        <v>285</v>
      </c>
      <c r="E235">
        <v>117</v>
      </c>
      <c r="F235" t="s">
        <v>72</v>
      </c>
      <c r="G235">
        <v>7.7</v>
      </c>
      <c r="H235">
        <v>65</v>
      </c>
      <c r="I235" t="s">
        <v>1067</v>
      </c>
      <c r="J235" t="s">
        <v>57</v>
      </c>
      <c r="K235" t="s">
        <v>1068</v>
      </c>
      <c r="L235">
        <v>1649172</v>
      </c>
    </row>
    <row r="236" spans="1:13" x14ac:dyDescent="0.3">
      <c r="A236" t="s">
        <v>1069</v>
      </c>
      <c r="B236" t="s">
        <v>1070</v>
      </c>
      <c r="C236">
        <v>2008</v>
      </c>
      <c r="D236" t="s">
        <v>293</v>
      </c>
      <c r="E236">
        <v>124</v>
      </c>
      <c r="F236" t="s">
        <v>1071</v>
      </c>
      <c r="G236">
        <v>7.7</v>
      </c>
      <c r="H236">
        <v>81</v>
      </c>
      <c r="I236" t="s">
        <v>1072</v>
      </c>
      <c r="J236" t="s">
        <v>113</v>
      </c>
      <c r="K236" t="s">
        <v>1073</v>
      </c>
      <c r="L236">
        <v>748548</v>
      </c>
    </row>
    <row r="237" spans="1:13" x14ac:dyDescent="0.3">
      <c r="A237" t="s">
        <v>1074</v>
      </c>
      <c r="B237" t="s">
        <v>1075</v>
      </c>
      <c r="C237">
        <v>1989</v>
      </c>
      <c r="D237" t="s">
        <v>17</v>
      </c>
      <c r="E237">
        <v>118</v>
      </c>
      <c r="F237" t="s">
        <v>1076</v>
      </c>
      <c r="G237">
        <v>7.7</v>
      </c>
      <c r="H237">
        <v>92</v>
      </c>
      <c r="I237" t="s">
        <v>1077</v>
      </c>
      <c r="J237" t="s">
        <v>131</v>
      </c>
      <c r="K237" t="s">
        <v>1078</v>
      </c>
      <c r="L237">
        <v>8188</v>
      </c>
      <c r="M237">
        <v>157.47999999999999</v>
      </c>
    </row>
    <row r="238" spans="1:13" x14ac:dyDescent="0.3">
      <c r="A238" t="s">
        <v>1079</v>
      </c>
      <c r="B238" t="s">
        <v>1080</v>
      </c>
      <c r="C238">
        <v>2009</v>
      </c>
      <c r="D238" t="s">
        <v>285</v>
      </c>
      <c r="E238">
        <v>107</v>
      </c>
      <c r="F238" t="s">
        <v>1081</v>
      </c>
      <c r="G238">
        <v>7.7</v>
      </c>
      <c r="I238" t="s">
        <v>1082</v>
      </c>
      <c r="J238" t="s">
        <v>63</v>
      </c>
      <c r="K238" t="s">
        <v>1083</v>
      </c>
      <c r="L238">
        <v>36237</v>
      </c>
      <c r="M238">
        <v>181.15</v>
      </c>
    </row>
    <row r="239" spans="1:13" x14ac:dyDescent="0.3">
      <c r="A239" t="s">
        <v>1084</v>
      </c>
      <c r="B239" t="s">
        <v>1085</v>
      </c>
      <c r="C239">
        <v>2018</v>
      </c>
      <c r="D239" t="s">
        <v>169</v>
      </c>
      <c r="E239">
        <v>133</v>
      </c>
      <c r="F239" t="s">
        <v>157</v>
      </c>
      <c r="G239">
        <v>7.7</v>
      </c>
      <c r="I239" t="s">
        <v>1086</v>
      </c>
      <c r="J239" t="s">
        <v>147</v>
      </c>
      <c r="K239" t="s">
        <v>1087</v>
      </c>
      <c r="L239">
        <v>68364</v>
      </c>
      <c r="M239">
        <v>191.29</v>
      </c>
    </row>
    <row r="240" spans="1:13" x14ac:dyDescent="0.3">
      <c r="A240" t="s">
        <v>1088</v>
      </c>
      <c r="B240" t="s">
        <v>1089</v>
      </c>
      <c r="C240">
        <v>2005</v>
      </c>
      <c r="D240" t="s">
        <v>17</v>
      </c>
      <c r="E240">
        <v>144</v>
      </c>
      <c r="F240" t="s">
        <v>1090</v>
      </c>
      <c r="G240">
        <v>7.7</v>
      </c>
      <c r="H240">
        <v>65</v>
      </c>
      <c r="I240" t="s">
        <v>1091</v>
      </c>
      <c r="J240" t="s">
        <v>103</v>
      </c>
      <c r="K240" t="s">
        <v>1092</v>
      </c>
      <c r="L240">
        <v>145625</v>
      </c>
      <c r="M240">
        <v>474.7</v>
      </c>
    </row>
    <row r="241" spans="1:13" x14ac:dyDescent="0.3">
      <c r="A241" t="s">
        <v>1093</v>
      </c>
      <c r="B241" t="s">
        <v>1094</v>
      </c>
      <c r="C241">
        <v>1984</v>
      </c>
      <c r="D241" t="s">
        <v>293</v>
      </c>
      <c r="E241">
        <v>149</v>
      </c>
      <c r="F241" t="s">
        <v>586</v>
      </c>
      <c r="G241">
        <v>7.7</v>
      </c>
      <c r="H241">
        <v>67</v>
      </c>
      <c r="I241" t="s">
        <v>1095</v>
      </c>
      <c r="J241" t="s">
        <v>50</v>
      </c>
      <c r="K241" t="s">
        <v>1096</v>
      </c>
      <c r="L241">
        <v>907953</v>
      </c>
      <c r="M241">
        <v>270.91000000000003</v>
      </c>
    </row>
    <row r="242" spans="1:13" x14ac:dyDescent="0.3">
      <c r="A242" t="s">
        <v>1097</v>
      </c>
      <c r="B242" t="s">
        <v>1098</v>
      </c>
      <c r="C242">
        <v>2024</v>
      </c>
      <c r="D242" t="s">
        <v>24</v>
      </c>
      <c r="E242">
        <v>129</v>
      </c>
      <c r="F242" t="s">
        <v>1099</v>
      </c>
      <c r="G242">
        <v>7.7</v>
      </c>
      <c r="H242">
        <v>73</v>
      </c>
      <c r="I242" t="s">
        <v>201</v>
      </c>
      <c r="J242" t="s">
        <v>39</v>
      </c>
      <c r="K242" t="s">
        <v>1100</v>
      </c>
      <c r="L242">
        <v>53427</v>
      </c>
      <c r="M242">
        <v>578.84</v>
      </c>
    </row>
    <row r="243" spans="1:13" x14ac:dyDescent="0.3">
      <c r="A243" t="s">
        <v>1101</v>
      </c>
      <c r="B243" t="s">
        <v>1102</v>
      </c>
      <c r="C243">
        <v>1992</v>
      </c>
      <c r="D243" t="s">
        <v>24</v>
      </c>
      <c r="E243">
        <v>106</v>
      </c>
      <c r="F243" t="s">
        <v>1103</v>
      </c>
      <c r="G243">
        <v>7.7</v>
      </c>
      <c r="I243" t="s">
        <v>1104</v>
      </c>
      <c r="J243" t="s">
        <v>147</v>
      </c>
      <c r="K243" t="s">
        <v>1105</v>
      </c>
      <c r="L243">
        <v>48021</v>
      </c>
      <c r="M243">
        <v>256.13</v>
      </c>
    </row>
    <row r="244" spans="1:13" x14ac:dyDescent="0.3">
      <c r="A244" t="s">
        <v>1106</v>
      </c>
      <c r="B244" t="s">
        <v>1107</v>
      </c>
      <c r="C244">
        <v>2005</v>
      </c>
      <c r="D244" t="s">
        <v>54</v>
      </c>
      <c r="E244">
        <v>153</v>
      </c>
      <c r="F244" t="s">
        <v>390</v>
      </c>
      <c r="G244">
        <v>7.7</v>
      </c>
      <c r="H244">
        <v>67</v>
      </c>
      <c r="I244" t="s">
        <v>295</v>
      </c>
      <c r="J244" t="s">
        <v>86</v>
      </c>
      <c r="K244" t="s">
        <v>1108</v>
      </c>
      <c r="L244">
        <v>3784</v>
      </c>
      <c r="M244">
        <v>433.65</v>
      </c>
    </row>
    <row r="245" spans="1:13" x14ac:dyDescent="0.3">
      <c r="A245" t="s">
        <v>1109</v>
      </c>
      <c r="B245" t="s">
        <v>457</v>
      </c>
      <c r="C245">
        <v>1984</v>
      </c>
      <c r="D245" t="s">
        <v>24</v>
      </c>
      <c r="E245">
        <v>137</v>
      </c>
      <c r="F245" t="s">
        <v>767</v>
      </c>
      <c r="G245">
        <v>7.7</v>
      </c>
      <c r="H245">
        <v>74</v>
      </c>
      <c r="I245" t="s">
        <v>1110</v>
      </c>
      <c r="J245" t="s">
        <v>718</v>
      </c>
      <c r="K245" t="s">
        <v>1111</v>
      </c>
      <c r="L245">
        <v>21750</v>
      </c>
    </row>
    <row r="246" spans="1:13" x14ac:dyDescent="0.3">
      <c r="A246" t="s">
        <v>1112</v>
      </c>
      <c r="B246" t="s">
        <v>1113</v>
      </c>
      <c r="C246">
        <v>2012</v>
      </c>
      <c r="D246" t="s">
        <v>24</v>
      </c>
      <c r="E246">
        <v>137</v>
      </c>
      <c r="F246" t="s">
        <v>1114</v>
      </c>
      <c r="G246">
        <v>7.7</v>
      </c>
      <c r="H246">
        <v>77</v>
      </c>
      <c r="I246" t="s">
        <v>561</v>
      </c>
      <c r="J246" t="s">
        <v>39</v>
      </c>
      <c r="K246" t="s">
        <v>1115</v>
      </c>
      <c r="L246">
        <v>129266</v>
      </c>
    </row>
    <row r="247" spans="1:13" x14ac:dyDescent="0.3">
      <c r="A247" t="s">
        <v>1116</v>
      </c>
      <c r="B247" t="s">
        <v>1117</v>
      </c>
      <c r="C247">
        <v>1984</v>
      </c>
      <c r="D247" t="s">
        <v>24</v>
      </c>
      <c r="E247">
        <v>151</v>
      </c>
      <c r="F247" t="s">
        <v>1118</v>
      </c>
      <c r="G247">
        <v>7.7</v>
      </c>
      <c r="I247" t="s">
        <v>1119</v>
      </c>
      <c r="J247" t="s">
        <v>50</v>
      </c>
      <c r="K247" t="s">
        <v>1120</v>
      </c>
      <c r="L247">
        <v>880921</v>
      </c>
    </row>
    <row r="248" spans="1:13" x14ac:dyDescent="0.3">
      <c r="A248" t="s">
        <v>1121</v>
      </c>
      <c r="B248" t="s">
        <v>1122</v>
      </c>
      <c r="C248">
        <v>1993</v>
      </c>
      <c r="D248" t="s">
        <v>17</v>
      </c>
      <c r="E248">
        <v>114</v>
      </c>
      <c r="F248" t="s">
        <v>129</v>
      </c>
      <c r="G248">
        <v>7.7</v>
      </c>
      <c r="I248" t="s">
        <v>130</v>
      </c>
      <c r="J248" t="s">
        <v>74</v>
      </c>
      <c r="K248" t="s">
        <v>1123</v>
      </c>
      <c r="L248">
        <v>692883</v>
      </c>
      <c r="M248">
        <v>68.34</v>
      </c>
    </row>
    <row r="249" spans="1:13" x14ac:dyDescent="0.3">
      <c r="A249" t="s">
        <v>1124</v>
      </c>
      <c r="B249" t="s">
        <v>1125</v>
      </c>
      <c r="C249">
        <v>2017</v>
      </c>
      <c r="D249" t="s">
        <v>17</v>
      </c>
      <c r="E249">
        <v>137</v>
      </c>
      <c r="F249" t="s">
        <v>277</v>
      </c>
      <c r="G249">
        <v>7.7</v>
      </c>
      <c r="I249" t="s">
        <v>1126</v>
      </c>
      <c r="J249" t="s">
        <v>191</v>
      </c>
      <c r="K249" t="s">
        <v>1127</v>
      </c>
      <c r="L249">
        <v>3754</v>
      </c>
      <c r="M249">
        <v>886.53</v>
      </c>
    </row>
    <row r="250" spans="1:13" x14ac:dyDescent="0.3">
      <c r="A250" t="s">
        <v>1128</v>
      </c>
      <c r="B250" t="s">
        <v>1129</v>
      </c>
      <c r="C250">
        <v>2013</v>
      </c>
      <c r="D250" t="s">
        <v>169</v>
      </c>
      <c r="E250">
        <v>75</v>
      </c>
      <c r="F250" t="s">
        <v>1130</v>
      </c>
      <c r="G250">
        <v>7.6</v>
      </c>
      <c r="H250">
        <v>76</v>
      </c>
      <c r="I250" t="s">
        <v>158</v>
      </c>
      <c r="J250" t="s">
        <v>33</v>
      </c>
      <c r="K250" t="s">
        <v>1131</v>
      </c>
      <c r="L250">
        <v>405271</v>
      </c>
    </row>
    <row r="251" spans="1:13" x14ac:dyDescent="0.3">
      <c r="A251" t="s">
        <v>1132</v>
      </c>
      <c r="B251" t="s">
        <v>1133</v>
      </c>
      <c r="C251">
        <v>2019</v>
      </c>
      <c r="D251" t="s">
        <v>24</v>
      </c>
      <c r="E251">
        <v>109</v>
      </c>
      <c r="F251" t="s">
        <v>1134</v>
      </c>
      <c r="G251">
        <v>7.6</v>
      </c>
      <c r="I251" t="s">
        <v>38</v>
      </c>
      <c r="J251" t="s">
        <v>718</v>
      </c>
      <c r="K251" t="s">
        <v>1135</v>
      </c>
      <c r="L251">
        <v>11415</v>
      </c>
    </row>
    <row r="252" spans="1:13" x14ac:dyDescent="0.3">
      <c r="A252" t="s">
        <v>1136</v>
      </c>
      <c r="B252" t="s">
        <v>1137</v>
      </c>
      <c r="C252">
        <v>2017</v>
      </c>
      <c r="D252" t="s">
        <v>17</v>
      </c>
      <c r="E252">
        <v>109</v>
      </c>
      <c r="F252" t="s">
        <v>1138</v>
      </c>
      <c r="G252">
        <v>7.6</v>
      </c>
      <c r="I252" t="s">
        <v>634</v>
      </c>
      <c r="J252" t="s">
        <v>236</v>
      </c>
      <c r="K252" t="s">
        <v>1139</v>
      </c>
      <c r="L252">
        <v>33500</v>
      </c>
      <c r="M252">
        <v>646.29999999999995</v>
      </c>
    </row>
    <row r="253" spans="1:13" x14ac:dyDescent="0.3">
      <c r="A253" t="s">
        <v>1140</v>
      </c>
      <c r="B253" t="s">
        <v>1141</v>
      </c>
      <c r="C253">
        <v>2000</v>
      </c>
      <c r="D253" t="s">
        <v>54</v>
      </c>
      <c r="E253">
        <v>113</v>
      </c>
      <c r="F253" t="s">
        <v>1142</v>
      </c>
      <c r="G253">
        <v>7.6</v>
      </c>
      <c r="H253">
        <v>81</v>
      </c>
      <c r="I253" t="s">
        <v>1143</v>
      </c>
      <c r="J253" t="s">
        <v>608</v>
      </c>
      <c r="K253" t="s">
        <v>1144</v>
      </c>
      <c r="L253">
        <v>123504</v>
      </c>
      <c r="M253">
        <v>167.38</v>
      </c>
    </row>
    <row r="254" spans="1:13" x14ac:dyDescent="0.3">
      <c r="A254" t="s">
        <v>1145</v>
      </c>
      <c r="B254" t="s">
        <v>1146</v>
      </c>
      <c r="C254">
        <v>2024</v>
      </c>
      <c r="D254" t="s">
        <v>54</v>
      </c>
      <c r="E254">
        <v>133</v>
      </c>
      <c r="F254" t="s">
        <v>210</v>
      </c>
      <c r="G254">
        <v>7.6</v>
      </c>
      <c r="H254">
        <v>70</v>
      </c>
      <c r="I254" t="s">
        <v>574</v>
      </c>
      <c r="J254" t="s">
        <v>86</v>
      </c>
      <c r="K254" t="s">
        <v>1147</v>
      </c>
      <c r="L254">
        <v>38524</v>
      </c>
      <c r="M254">
        <v>699.85</v>
      </c>
    </row>
    <row r="255" spans="1:13" x14ac:dyDescent="0.3">
      <c r="A255" t="s">
        <v>1148</v>
      </c>
      <c r="B255" t="s">
        <v>1149</v>
      </c>
      <c r="C255">
        <v>2004</v>
      </c>
      <c r="D255" t="s">
        <v>24</v>
      </c>
      <c r="E255">
        <v>95</v>
      </c>
      <c r="F255" t="s">
        <v>868</v>
      </c>
      <c r="G255">
        <v>7.6</v>
      </c>
      <c r="H255">
        <v>71</v>
      </c>
      <c r="I255" t="s">
        <v>1150</v>
      </c>
      <c r="J255" t="s">
        <v>159</v>
      </c>
      <c r="K255" t="s">
        <v>1151</v>
      </c>
      <c r="L255">
        <v>226598</v>
      </c>
      <c r="M255">
        <v>197.19</v>
      </c>
    </row>
    <row r="256" spans="1:13" x14ac:dyDescent="0.3">
      <c r="A256" t="s">
        <v>1152</v>
      </c>
      <c r="B256" t="s">
        <v>1153</v>
      </c>
      <c r="C256">
        <v>1957</v>
      </c>
      <c r="D256" t="s">
        <v>17</v>
      </c>
      <c r="E256">
        <v>109</v>
      </c>
      <c r="F256" t="s">
        <v>1154</v>
      </c>
      <c r="G256">
        <v>7.6</v>
      </c>
      <c r="H256">
        <v>70</v>
      </c>
      <c r="I256" t="s">
        <v>1155</v>
      </c>
      <c r="J256" t="s">
        <v>80</v>
      </c>
      <c r="K256" t="s">
        <v>1156</v>
      </c>
      <c r="L256">
        <v>39815</v>
      </c>
      <c r="M256">
        <v>23.66</v>
      </c>
    </row>
    <row r="257" spans="1:13" x14ac:dyDescent="0.3">
      <c r="A257" t="s">
        <v>1157</v>
      </c>
      <c r="B257" t="s">
        <v>1158</v>
      </c>
      <c r="C257">
        <v>1984</v>
      </c>
      <c r="D257" t="s">
        <v>17</v>
      </c>
      <c r="E257">
        <v>161</v>
      </c>
      <c r="F257" t="s">
        <v>1159</v>
      </c>
      <c r="G257">
        <v>7.6</v>
      </c>
      <c r="H257">
        <v>81</v>
      </c>
      <c r="I257" t="s">
        <v>124</v>
      </c>
      <c r="J257" t="s">
        <v>92</v>
      </c>
      <c r="K257" t="s">
        <v>1160</v>
      </c>
      <c r="L257">
        <v>22029</v>
      </c>
    </row>
    <row r="258" spans="1:13" x14ac:dyDescent="0.3">
      <c r="A258" t="s">
        <v>1161</v>
      </c>
      <c r="B258" t="s">
        <v>1162</v>
      </c>
      <c r="C258">
        <v>1966</v>
      </c>
      <c r="D258" t="s">
        <v>24</v>
      </c>
      <c r="E258">
        <v>101</v>
      </c>
      <c r="F258" t="s">
        <v>1163</v>
      </c>
      <c r="G258">
        <v>7.6</v>
      </c>
      <c r="H258">
        <v>66</v>
      </c>
      <c r="I258" t="s">
        <v>269</v>
      </c>
      <c r="J258" t="s">
        <v>718</v>
      </c>
      <c r="K258" t="s">
        <v>1164</v>
      </c>
      <c r="L258">
        <v>323724</v>
      </c>
      <c r="M258">
        <v>126.06</v>
      </c>
    </row>
    <row r="259" spans="1:13" x14ac:dyDescent="0.3">
      <c r="A259" t="s">
        <v>1165</v>
      </c>
      <c r="B259" t="s">
        <v>272</v>
      </c>
      <c r="C259">
        <v>1940</v>
      </c>
      <c r="D259" t="s">
        <v>24</v>
      </c>
      <c r="E259">
        <v>115</v>
      </c>
      <c r="F259" t="s">
        <v>453</v>
      </c>
      <c r="G259">
        <v>7.6</v>
      </c>
      <c r="H259">
        <v>84</v>
      </c>
      <c r="I259" t="s">
        <v>1166</v>
      </c>
      <c r="J259" t="s">
        <v>315</v>
      </c>
      <c r="K259" t="s">
        <v>1167</v>
      </c>
      <c r="L259">
        <v>19114</v>
      </c>
      <c r="M259">
        <v>139.52000000000001</v>
      </c>
    </row>
    <row r="260" spans="1:13" x14ac:dyDescent="0.3">
      <c r="A260" t="s">
        <v>1168</v>
      </c>
      <c r="B260" t="s">
        <v>1169</v>
      </c>
      <c r="C260">
        <v>2012</v>
      </c>
      <c r="D260" t="s">
        <v>17</v>
      </c>
      <c r="E260">
        <v>127</v>
      </c>
      <c r="F260" t="s">
        <v>1170</v>
      </c>
      <c r="G260">
        <v>7.6</v>
      </c>
      <c r="H260">
        <v>63</v>
      </c>
      <c r="I260" t="s">
        <v>1171</v>
      </c>
      <c r="J260" t="s">
        <v>33</v>
      </c>
      <c r="K260" t="s">
        <v>1172</v>
      </c>
      <c r="L260">
        <v>155244</v>
      </c>
    </row>
    <row r="261" spans="1:13" x14ac:dyDescent="0.3">
      <c r="A261" t="s">
        <v>1173</v>
      </c>
      <c r="B261" t="s">
        <v>1174</v>
      </c>
      <c r="C261">
        <v>2003</v>
      </c>
      <c r="D261" t="s">
        <v>17</v>
      </c>
      <c r="E261">
        <v>116</v>
      </c>
      <c r="F261" t="s">
        <v>1175</v>
      </c>
      <c r="G261">
        <v>7.6</v>
      </c>
      <c r="H261">
        <v>66</v>
      </c>
      <c r="I261" t="s">
        <v>1176</v>
      </c>
      <c r="J261" t="s">
        <v>27</v>
      </c>
      <c r="K261" t="s">
        <v>1177</v>
      </c>
      <c r="L261">
        <v>159290</v>
      </c>
      <c r="M261">
        <v>263.02</v>
      </c>
    </row>
    <row r="262" spans="1:13" x14ac:dyDescent="0.3">
      <c r="A262" t="s">
        <v>1178</v>
      </c>
      <c r="B262" t="s">
        <v>1179</v>
      </c>
      <c r="C262">
        <v>2005</v>
      </c>
      <c r="D262" t="s">
        <v>285</v>
      </c>
      <c r="E262">
        <v>159</v>
      </c>
      <c r="F262" t="s">
        <v>1180</v>
      </c>
      <c r="G262">
        <v>7.6</v>
      </c>
      <c r="I262" t="s">
        <v>1181</v>
      </c>
      <c r="J262" t="s">
        <v>608</v>
      </c>
      <c r="K262" t="s">
        <v>1182</v>
      </c>
      <c r="L262">
        <v>70166</v>
      </c>
      <c r="M262">
        <v>318.3</v>
      </c>
    </row>
    <row r="263" spans="1:13" x14ac:dyDescent="0.3">
      <c r="A263" t="s">
        <v>1183</v>
      </c>
      <c r="B263" t="s">
        <v>1184</v>
      </c>
      <c r="C263">
        <v>1989</v>
      </c>
      <c r="D263" t="s">
        <v>17</v>
      </c>
      <c r="E263">
        <v>149</v>
      </c>
      <c r="F263" t="s">
        <v>1185</v>
      </c>
      <c r="G263">
        <v>7.6</v>
      </c>
      <c r="I263" t="s">
        <v>728</v>
      </c>
      <c r="J263" t="s">
        <v>593</v>
      </c>
      <c r="K263" t="s">
        <v>1186</v>
      </c>
      <c r="L263">
        <v>28261</v>
      </c>
      <c r="M263">
        <v>128.47999999999999</v>
      </c>
    </row>
    <row r="264" spans="1:13" x14ac:dyDescent="0.3">
      <c r="A264" t="s">
        <v>1187</v>
      </c>
      <c r="B264" t="s">
        <v>1188</v>
      </c>
      <c r="C264">
        <v>1983</v>
      </c>
      <c r="D264" t="s">
        <v>24</v>
      </c>
      <c r="E264">
        <v>104</v>
      </c>
      <c r="F264" t="s">
        <v>129</v>
      </c>
      <c r="G264">
        <v>7.6</v>
      </c>
      <c r="H264">
        <v>78</v>
      </c>
      <c r="I264" t="s">
        <v>130</v>
      </c>
      <c r="J264" t="s">
        <v>125</v>
      </c>
      <c r="K264" t="s">
        <v>1189</v>
      </c>
      <c r="L264">
        <v>47296</v>
      </c>
      <c r="M264">
        <v>196.91</v>
      </c>
    </row>
    <row r="265" spans="1:13" x14ac:dyDescent="0.3">
      <c r="A265" t="s">
        <v>1190</v>
      </c>
      <c r="B265" t="s">
        <v>1191</v>
      </c>
      <c r="C265">
        <v>2002</v>
      </c>
      <c r="D265" t="s">
        <v>24</v>
      </c>
      <c r="E265">
        <v>88</v>
      </c>
      <c r="F265" t="s">
        <v>1192</v>
      </c>
      <c r="G265">
        <v>7.6</v>
      </c>
      <c r="H265">
        <v>88</v>
      </c>
      <c r="I265" t="s">
        <v>435</v>
      </c>
      <c r="J265" t="s">
        <v>137</v>
      </c>
      <c r="K265" t="s">
        <v>1193</v>
      </c>
      <c r="L265">
        <v>53276</v>
      </c>
      <c r="M265">
        <v>358.22</v>
      </c>
    </row>
    <row r="266" spans="1:13" x14ac:dyDescent="0.3">
      <c r="A266" t="s">
        <v>1194</v>
      </c>
      <c r="B266" t="s">
        <v>1195</v>
      </c>
      <c r="C266">
        <v>2014</v>
      </c>
      <c r="D266" t="s">
        <v>169</v>
      </c>
      <c r="E266">
        <v>125</v>
      </c>
      <c r="F266" t="s">
        <v>210</v>
      </c>
      <c r="G266">
        <v>7.6</v>
      </c>
      <c r="H266">
        <v>85</v>
      </c>
      <c r="I266" t="s">
        <v>1196</v>
      </c>
      <c r="J266" t="s">
        <v>86</v>
      </c>
      <c r="K266" t="s">
        <v>1197</v>
      </c>
      <c r="L266">
        <v>67739</v>
      </c>
      <c r="M266">
        <v>738.99</v>
      </c>
    </row>
    <row r="267" spans="1:13" x14ac:dyDescent="0.3">
      <c r="A267" t="s">
        <v>1198</v>
      </c>
      <c r="B267" t="s">
        <v>1199</v>
      </c>
      <c r="C267">
        <v>2018</v>
      </c>
      <c r="D267" t="s">
        <v>17</v>
      </c>
      <c r="E267">
        <v>152</v>
      </c>
      <c r="F267" t="s">
        <v>277</v>
      </c>
      <c r="G267">
        <v>7.6</v>
      </c>
      <c r="H267">
        <v>72</v>
      </c>
      <c r="I267" t="s">
        <v>278</v>
      </c>
      <c r="J267" t="s">
        <v>125</v>
      </c>
      <c r="K267" t="s">
        <v>1200</v>
      </c>
      <c r="L267">
        <v>40022</v>
      </c>
      <c r="M267">
        <v>793.27</v>
      </c>
    </row>
    <row r="268" spans="1:13" x14ac:dyDescent="0.3">
      <c r="A268" t="s">
        <v>1201</v>
      </c>
      <c r="B268" t="s">
        <v>1202</v>
      </c>
      <c r="C268">
        <v>2011</v>
      </c>
      <c r="D268" t="s">
        <v>54</v>
      </c>
      <c r="E268">
        <v>132</v>
      </c>
      <c r="F268" t="s">
        <v>1044</v>
      </c>
      <c r="G268">
        <v>7.6</v>
      </c>
      <c r="H268">
        <v>76</v>
      </c>
      <c r="I268" t="s">
        <v>1203</v>
      </c>
      <c r="J268" t="s">
        <v>483</v>
      </c>
      <c r="K268" t="s">
        <v>1204</v>
      </c>
      <c r="L268">
        <v>30389</v>
      </c>
    </row>
    <row r="269" spans="1:13" x14ac:dyDescent="0.3">
      <c r="A269" t="s">
        <v>1205</v>
      </c>
      <c r="B269" t="s">
        <v>1206</v>
      </c>
      <c r="C269">
        <v>2006</v>
      </c>
      <c r="D269" t="s">
        <v>17</v>
      </c>
      <c r="E269">
        <v>154</v>
      </c>
      <c r="F269" t="s">
        <v>439</v>
      </c>
      <c r="G269">
        <v>7.6</v>
      </c>
      <c r="I269" t="s">
        <v>1207</v>
      </c>
      <c r="J269" t="s">
        <v>236</v>
      </c>
      <c r="K269" t="s">
        <v>1208</v>
      </c>
      <c r="L269">
        <v>41989</v>
      </c>
      <c r="M269">
        <v>446.79</v>
      </c>
    </row>
    <row r="270" spans="1:13" x14ac:dyDescent="0.3">
      <c r="A270" t="s">
        <v>1209</v>
      </c>
      <c r="B270" t="s">
        <v>1210</v>
      </c>
      <c r="C270">
        <v>2006</v>
      </c>
      <c r="D270" t="s">
        <v>24</v>
      </c>
      <c r="E270">
        <v>105</v>
      </c>
      <c r="F270" t="s">
        <v>129</v>
      </c>
      <c r="G270">
        <v>7.6</v>
      </c>
      <c r="I270" t="s">
        <v>1211</v>
      </c>
      <c r="J270" t="s">
        <v>518</v>
      </c>
      <c r="K270" t="s">
        <v>1212</v>
      </c>
      <c r="L270">
        <v>38467</v>
      </c>
      <c r="M270">
        <v>118.55</v>
      </c>
    </row>
    <row r="271" spans="1:13" x14ac:dyDescent="0.3">
      <c r="A271" t="s">
        <v>1213</v>
      </c>
      <c r="B271" t="s">
        <v>1214</v>
      </c>
      <c r="C271">
        <v>2017</v>
      </c>
      <c r="D271" t="s">
        <v>54</v>
      </c>
      <c r="E271">
        <v>80</v>
      </c>
      <c r="F271" t="s">
        <v>230</v>
      </c>
      <c r="G271">
        <v>7.6</v>
      </c>
      <c r="I271" t="s">
        <v>570</v>
      </c>
      <c r="J271" t="s">
        <v>326</v>
      </c>
      <c r="K271" t="s">
        <v>1215</v>
      </c>
      <c r="L271">
        <v>9732</v>
      </c>
    </row>
    <row r="272" spans="1:13" x14ac:dyDescent="0.3">
      <c r="A272" t="s">
        <v>1216</v>
      </c>
      <c r="B272" t="s">
        <v>1217</v>
      </c>
      <c r="C272">
        <v>1995</v>
      </c>
      <c r="D272" t="s">
        <v>169</v>
      </c>
      <c r="E272">
        <v>148</v>
      </c>
      <c r="F272" t="s">
        <v>1218</v>
      </c>
      <c r="G272">
        <v>7.6</v>
      </c>
      <c r="I272" t="s">
        <v>634</v>
      </c>
      <c r="J272" t="s">
        <v>593</v>
      </c>
      <c r="K272" t="s">
        <v>1219</v>
      </c>
      <c r="L272">
        <v>342746</v>
      </c>
      <c r="M272">
        <v>171.87</v>
      </c>
    </row>
    <row r="273" spans="1:13" x14ac:dyDescent="0.3">
      <c r="A273" t="s">
        <v>1220</v>
      </c>
      <c r="B273" t="s">
        <v>1221</v>
      </c>
      <c r="C273">
        <v>1984</v>
      </c>
      <c r="D273" t="s">
        <v>17</v>
      </c>
      <c r="E273">
        <v>133</v>
      </c>
      <c r="F273" t="s">
        <v>37</v>
      </c>
      <c r="G273">
        <v>7.6</v>
      </c>
      <c r="I273" t="s">
        <v>1222</v>
      </c>
      <c r="J273" t="s">
        <v>221</v>
      </c>
      <c r="K273" t="s">
        <v>1223</v>
      </c>
      <c r="L273">
        <v>17698</v>
      </c>
    </row>
    <row r="274" spans="1:13" x14ac:dyDescent="0.3">
      <c r="A274" t="s">
        <v>1224</v>
      </c>
      <c r="B274" t="s">
        <v>1225</v>
      </c>
      <c r="C274">
        <v>1967</v>
      </c>
      <c r="D274" t="s">
        <v>17</v>
      </c>
      <c r="E274">
        <v>146</v>
      </c>
      <c r="F274" t="s">
        <v>453</v>
      </c>
      <c r="G274">
        <v>7.6</v>
      </c>
      <c r="I274" t="s">
        <v>1226</v>
      </c>
      <c r="J274" t="s">
        <v>119</v>
      </c>
      <c r="K274" t="s">
        <v>1227</v>
      </c>
      <c r="L274">
        <v>47388</v>
      </c>
    </row>
    <row r="275" spans="1:13" x14ac:dyDescent="0.3">
      <c r="A275" t="s">
        <v>1228</v>
      </c>
      <c r="B275" t="s">
        <v>1229</v>
      </c>
      <c r="C275">
        <v>2005</v>
      </c>
      <c r="D275" t="s">
        <v>17</v>
      </c>
      <c r="E275">
        <v>114</v>
      </c>
      <c r="F275" t="s">
        <v>1230</v>
      </c>
      <c r="G275">
        <v>7.6</v>
      </c>
      <c r="H275">
        <v>73</v>
      </c>
      <c r="I275" t="s">
        <v>1231</v>
      </c>
      <c r="J275" t="s">
        <v>137</v>
      </c>
      <c r="K275" t="s">
        <v>1232</v>
      </c>
      <c r="L275">
        <v>55639</v>
      </c>
    </row>
    <row r="276" spans="1:13" x14ac:dyDescent="0.3">
      <c r="A276" t="s">
        <v>1233</v>
      </c>
      <c r="B276" t="s">
        <v>1234</v>
      </c>
      <c r="C276">
        <v>2018</v>
      </c>
      <c r="D276" t="s">
        <v>293</v>
      </c>
      <c r="E276">
        <v>136</v>
      </c>
      <c r="F276" t="s">
        <v>1235</v>
      </c>
      <c r="G276">
        <v>7.6</v>
      </c>
      <c r="H276">
        <v>65</v>
      </c>
      <c r="I276" t="s">
        <v>158</v>
      </c>
      <c r="J276" t="s">
        <v>159</v>
      </c>
      <c r="K276" t="s">
        <v>1236</v>
      </c>
      <c r="L276">
        <v>24968</v>
      </c>
      <c r="M276">
        <v>796.22</v>
      </c>
    </row>
    <row r="277" spans="1:13" x14ac:dyDescent="0.3">
      <c r="A277" t="s">
        <v>1237</v>
      </c>
      <c r="B277" t="s">
        <v>1238</v>
      </c>
      <c r="C277">
        <v>1984</v>
      </c>
      <c r="D277" t="s">
        <v>54</v>
      </c>
      <c r="E277">
        <v>115</v>
      </c>
      <c r="F277" t="s">
        <v>902</v>
      </c>
      <c r="G277">
        <v>7.5</v>
      </c>
      <c r="H277">
        <v>72</v>
      </c>
      <c r="I277" t="s">
        <v>1239</v>
      </c>
      <c r="J277" t="s">
        <v>159</v>
      </c>
      <c r="K277" t="s">
        <v>1240</v>
      </c>
      <c r="L277">
        <v>1302</v>
      </c>
    </row>
    <row r="278" spans="1:13" x14ac:dyDescent="0.3">
      <c r="A278" t="s">
        <v>1241</v>
      </c>
      <c r="B278" t="s">
        <v>1242</v>
      </c>
      <c r="C278">
        <v>2022</v>
      </c>
      <c r="D278" t="s">
        <v>169</v>
      </c>
      <c r="E278">
        <v>113</v>
      </c>
      <c r="F278" t="s">
        <v>78</v>
      </c>
      <c r="G278">
        <v>7.5</v>
      </c>
      <c r="H278">
        <v>61</v>
      </c>
      <c r="I278" t="s">
        <v>305</v>
      </c>
      <c r="J278" t="s">
        <v>196</v>
      </c>
      <c r="K278" t="s">
        <v>1243</v>
      </c>
      <c r="L278">
        <v>98971</v>
      </c>
      <c r="M278">
        <v>496</v>
      </c>
    </row>
    <row r="279" spans="1:13" x14ac:dyDescent="0.3">
      <c r="A279" t="s">
        <v>1244</v>
      </c>
      <c r="B279" t="s">
        <v>1245</v>
      </c>
      <c r="C279">
        <v>2021</v>
      </c>
      <c r="D279" t="s">
        <v>54</v>
      </c>
      <c r="E279">
        <v>117</v>
      </c>
      <c r="F279" t="s">
        <v>78</v>
      </c>
      <c r="G279">
        <v>7.5</v>
      </c>
      <c r="H279">
        <v>72</v>
      </c>
      <c r="I279" t="s">
        <v>1246</v>
      </c>
      <c r="J279" t="s">
        <v>315</v>
      </c>
      <c r="K279" t="s">
        <v>1247</v>
      </c>
      <c r="L279">
        <v>31096</v>
      </c>
    </row>
    <row r="280" spans="1:13" x14ac:dyDescent="0.3">
      <c r="A280" t="s">
        <v>1248</v>
      </c>
      <c r="B280" t="s">
        <v>1249</v>
      </c>
      <c r="C280">
        <v>1996</v>
      </c>
      <c r="D280" t="s">
        <v>17</v>
      </c>
      <c r="E280">
        <v>124</v>
      </c>
      <c r="F280" t="s">
        <v>129</v>
      </c>
      <c r="G280">
        <v>7.5</v>
      </c>
      <c r="H280">
        <v>64</v>
      </c>
      <c r="I280" t="s">
        <v>130</v>
      </c>
      <c r="J280" t="s">
        <v>86</v>
      </c>
      <c r="K280" t="s">
        <v>1250</v>
      </c>
      <c r="L280">
        <v>6516</v>
      </c>
    </row>
    <row r="281" spans="1:13" x14ac:dyDescent="0.3">
      <c r="A281" t="s">
        <v>1251</v>
      </c>
      <c r="B281" t="s">
        <v>1252</v>
      </c>
      <c r="C281">
        <v>2024</v>
      </c>
      <c r="D281" t="s">
        <v>24</v>
      </c>
      <c r="E281">
        <v>156</v>
      </c>
      <c r="F281" t="s">
        <v>1044</v>
      </c>
      <c r="G281">
        <v>7.5</v>
      </c>
      <c r="H281">
        <v>81</v>
      </c>
      <c r="I281" t="s">
        <v>1253</v>
      </c>
      <c r="J281" t="s">
        <v>236</v>
      </c>
      <c r="K281" t="s">
        <v>1254</v>
      </c>
      <c r="L281">
        <v>123389</v>
      </c>
      <c r="M281">
        <v>346.51</v>
      </c>
    </row>
    <row r="282" spans="1:13" x14ac:dyDescent="0.3">
      <c r="A282" t="s">
        <v>1255</v>
      </c>
      <c r="B282" t="s">
        <v>1256</v>
      </c>
      <c r="C282">
        <v>2011</v>
      </c>
      <c r="D282" t="s">
        <v>54</v>
      </c>
      <c r="E282">
        <v>109</v>
      </c>
      <c r="F282" t="s">
        <v>1257</v>
      </c>
      <c r="G282">
        <v>7.5</v>
      </c>
      <c r="H282">
        <v>86</v>
      </c>
      <c r="I282" t="s">
        <v>1155</v>
      </c>
      <c r="J282" t="s">
        <v>57</v>
      </c>
      <c r="K282" t="s">
        <v>1258</v>
      </c>
      <c r="L282">
        <v>9123</v>
      </c>
      <c r="M282">
        <v>217.68</v>
      </c>
    </row>
    <row r="283" spans="1:13" x14ac:dyDescent="0.3">
      <c r="A283" t="s">
        <v>1259</v>
      </c>
      <c r="B283" t="s">
        <v>1260</v>
      </c>
      <c r="C283">
        <v>2022</v>
      </c>
      <c r="D283" t="s">
        <v>285</v>
      </c>
      <c r="E283">
        <v>111</v>
      </c>
      <c r="F283" t="s">
        <v>1261</v>
      </c>
      <c r="G283">
        <v>7.5</v>
      </c>
      <c r="H283">
        <v>90</v>
      </c>
      <c r="I283" t="s">
        <v>1262</v>
      </c>
      <c r="J283" t="s">
        <v>718</v>
      </c>
      <c r="K283" t="s">
        <v>1263</v>
      </c>
      <c r="L283">
        <v>34226</v>
      </c>
      <c r="M283">
        <v>179.08</v>
      </c>
    </row>
    <row r="284" spans="1:13" x14ac:dyDescent="0.3">
      <c r="A284" t="s">
        <v>1264</v>
      </c>
      <c r="B284" t="s">
        <v>1265</v>
      </c>
      <c r="C284">
        <v>2013</v>
      </c>
      <c r="D284" t="s">
        <v>24</v>
      </c>
      <c r="E284">
        <v>137</v>
      </c>
      <c r="F284" t="s">
        <v>1266</v>
      </c>
      <c r="G284">
        <v>7.5</v>
      </c>
      <c r="I284" t="s">
        <v>1267</v>
      </c>
      <c r="J284" t="s">
        <v>33</v>
      </c>
      <c r="K284" t="s">
        <v>1268</v>
      </c>
      <c r="L284">
        <v>39261</v>
      </c>
      <c r="M284">
        <v>336.96</v>
      </c>
    </row>
    <row r="285" spans="1:13" x14ac:dyDescent="0.3">
      <c r="A285" t="s">
        <v>1269</v>
      </c>
      <c r="B285" t="s">
        <v>1270</v>
      </c>
      <c r="C285">
        <v>2004</v>
      </c>
      <c r="D285" t="s">
        <v>17</v>
      </c>
      <c r="E285">
        <v>92</v>
      </c>
      <c r="F285" t="s">
        <v>1271</v>
      </c>
      <c r="G285">
        <v>7.5</v>
      </c>
      <c r="I285" t="s">
        <v>130</v>
      </c>
      <c r="J285" t="s">
        <v>196</v>
      </c>
      <c r="K285" t="s">
        <v>1272</v>
      </c>
      <c r="L285">
        <v>157664</v>
      </c>
    </row>
    <row r="286" spans="1:13" x14ac:dyDescent="0.3">
      <c r="A286" t="s">
        <v>1273</v>
      </c>
      <c r="B286" t="s">
        <v>1274</v>
      </c>
      <c r="C286">
        <v>2013</v>
      </c>
      <c r="D286" t="s">
        <v>17</v>
      </c>
      <c r="E286">
        <v>84</v>
      </c>
      <c r="F286" t="s">
        <v>1275</v>
      </c>
      <c r="G286">
        <v>7.5</v>
      </c>
      <c r="I286" t="s">
        <v>305</v>
      </c>
      <c r="J286" t="s">
        <v>221</v>
      </c>
      <c r="K286" t="s">
        <v>1276</v>
      </c>
      <c r="L286">
        <v>106057</v>
      </c>
      <c r="M286">
        <v>134.93</v>
      </c>
    </row>
    <row r="287" spans="1:13" x14ac:dyDescent="0.3">
      <c r="A287" t="s">
        <v>1277</v>
      </c>
      <c r="B287" t="s">
        <v>1278</v>
      </c>
      <c r="C287">
        <v>2013</v>
      </c>
      <c r="D287" t="s">
        <v>54</v>
      </c>
      <c r="E287">
        <v>121</v>
      </c>
      <c r="F287" t="s">
        <v>1279</v>
      </c>
      <c r="G287">
        <v>7.5</v>
      </c>
      <c r="I287" t="s">
        <v>852</v>
      </c>
      <c r="J287" t="s">
        <v>315</v>
      </c>
      <c r="K287" t="s">
        <v>1280</v>
      </c>
      <c r="L287">
        <v>123423</v>
      </c>
    </row>
    <row r="288" spans="1:13" x14ac:dyDescent="0.3">
      <c r="A288" t="s">
        <v>1281</v>
      </c>
      <c r="B288" t="s">
        <v>1282</v>
      </c>
      <c r="C288">
        <v>2002</v>
      </c>
      <c r="D288" t="s">
        <v>169</v>
      </c>
      <c r="E288">
        <v>97</v>
      </c>
      <c r="F288" t="s">
        <v>1283</v>
      </c>
      <c r="G288">
        <v>7.5</v>
      </c>
      <c r="H288">
        <v>78</v>
      </c>
      <c r="I288" t="s">
        <v>164</v>
      </c>
      <c r="J288" t="s">
        <v>27</v>
      </c>
      <c r="K288" t="s">
        <v>1284</v>
      </c>
      <c r="L288">
        <v>601329</v>
      </c>
    </row>
    <row r="289" spans="1:13" x14ac:dyDescent="0.3">
      <c r="A289" t="s">
        <v>1285</v>
      </c>
      <c r="B289" t="s">
        <v>1286</v>
      </c>
      <c r="C289">
        <v>2021</v>
      </c>
      <c r="D289" t="s">
        <v>17</v>
      </c>
      <c r="E289">
        <v>94</v>
      </c>
      <c r="F289" t="s">
        <v>1287</v>
      </c>
      <c r="G289">
        <v>7.5</v>
      </c>
      <c r="H289">
        <v>68</v>
      </c>
      <c r="I289" t="s">
        <v>1288</v>
      </c>
      <c r="J289" t="s">
        <v>113</v>
      </c>
      <c r="K289" t="s">
        <v>1289</v>
      </c>
      <c r="L289">
        <v>202216</v>
      </c>
      <c r="M289">
        <v>193.82</v>
      </c>
    </row>
    <row r="290" spans="1:13" x14ac:dyDescent="0.3">
      <c r="A290" t="s">
        <v>1290</v>
      </c>
      <c r="B290" t="s">
        <v>1291</v>
      </c>
      <c r="C290">
        <v>2008</v>
      </c>
      <c r="D290" t="s">
        <v>54</v>
      </c>
      <c r="E290">
        <v>117</v>
      </c>
      <c r="F290" t="s">
        <v>78</v>
      </c>
      <c r="G290">
        <v>7.5</v>
      </c>
      <c r="H290">
        <v>61</v>
      </c>
      <c r="I290" t="s">
        <v>412</v>
      </c>
      <c r="J290" t="s">
        <v>125</v>
      </c>
      <c r="K290" t="s">
        <v>1292</v>
      </c>
      <c r="L290">
        <v>196857</v>
      </c>
      <c r="M290">
        <v>252.52</v>
      </c>
    </row>
    <row r="291" spans="1:13" x14ac:dyDescent="0.3">
      <c r="A291" t="s">
        <v>1293</v>
      </c>
      <c r="B291" t="s">
        <v>1294</v>
      </c>
      <c r="C291">
        <v>2003</v>
      </c>
      <c r="D291" t="s">
        <v>24</v>
      </c>
      <c r="E291">
        <v>123</v>
      </c>
      <c r="F291" t="s">
        <v>1295</v>
      </c>
      <c r="G291">
        <v>7.5</v>
      </c>
      <c r="I291" t="s">
        <v>395</v>
      </c>
      <c r="J291" t="s">
        <v>165</v>
      </c>
      <c r="K291" t="s">
        <v>1296</v>
      </c>
      <c r="L291">
        <v>16306</v>
      </c>
      <c r="M291">
        <v>50.49</v>
      </c>
    </row>
    <row r="292" spans="1:13" x14ac:dyDescent="0.3">
      <c r="A292" t="s">
        <v>1297</v>
      </c>
      <c r="B292" t="s">
        <v>1298</v>
      </c>
      <c r="C292">
        <v>2001</v>
      </c>
      <c r="D292" t="s">
        <v>17</v>
      </c>
      <c r="E292">
        <v>80</v>
      </c>
      <c r="F292" t="s">
        <v>1299</v>
      </c>
      <c r="G292">
        <v>7.5</v>
      </c>
      <c r="H292">
        <v>69</v>
      </c>
      <c r="I292" t="s">
        <v>320</v>
      </c>
      <c r="J292" t="s">
        <v>368</v>
      </c>
      <c r="K292" t="s">
        <v>1300</v>
      </c>
      <c r="L292">
        <v>11978</v>
      </c>
      <c r="M292">
        <v>138.91</v>
      </c>
    </row>
    <row r="293" spans="1:13" x14ac:dyDescent="0.3">
      <c r="A293" t="s">
        <v>1301</v>
      </c>
      <c r="B293" t="s">
        <v>1302</v>
      </c>
      <c r="C293">
        <v>2023</v>
      </c>
      <c r="D293" t="s">
        <v>24</v>
      </c>
      <c r="E293">
        <v>113</v>
      </c>
      <c r="F293" t="s">
        <v>1303</v>
      </c>
      <c r="G293">
        <v>7.5</v>
      </c>
      <c r="H293">
        <v>63</v>
      </c>
      <c r="I293" t="s">
        <v>566</v>
      </c>
      <c r="J293" t="s">
        <v>131</v>
      </c>
      <c r="K293" t="s">
        <v>1304</v>
      </c>
      <c r="L293">
        <v>427394</v>
      </c>
      <c r="M293">
        <v>294.93</v>
      </c>
    </row>
    <row r="294" spans="1:13" x14ac:dyDescent="0.3">
      <c r="A294" t="s">
        <v>1305</v>
      </c>
      <c r="B294" t="s">
        <v>1306</v>
      </c>
      <c r="C294">
        <v>2007</v>
      </c>
      <c r="D294" t="s">
        <v>17</v>
      </c>
      <c r="E294">
        <v>89</v>
      </c>
      <c r="F294" t="s">
        <v>354</v>
      </c>
      <c r="G294">
        <v>7.5</v>
      </c>
      <c r="H294">
        <v>69</v>
      </c>
      <c r="I294" t="s">
        <v>1307</v>
      </c>
      <c r="J294" t="s">
        <v>315</v>
      </c>
      <c r="K294" t="s">
        <v>1308</v>
      </c>
      <c r="L294">
        <v>67755</v>
      </c>
    </row>
    <row r="295" spans="1:13" x14ac:dyDescent="0.3">
      <c r="A295" t="s">
        <v>1309</v>
      </c>
      <c r="B295" t="s">
        <v>1310</v>
      </c>
      <c r="C295">
        <v>2010</v>
      </c>
      <c r="D295" t="s">
        <v>54</v>
      </c>
      <c r="E295">
        <v>101</v>
      </c>
      <c r="F295" t="s">
        <v>48</v>
      </c>
      <c r="G295">
        <v>7.5</v>
      </c>
      <c r="H295">
        <v>71</v>
      </c>
      <c r="I295" t="s">
        <v>67</v>
      </c>
      <c r="J295" t="s">
        <v>196</v>
      </c>
      <c r="K295" t="s">
        <v>1311</v>
      </c>
      <c r="L295">
        <v>44768</v>
      </c>
      <c r="M295">
        <v>419.28</v>
      </c>
    </row>
    <row r="296" spans="1:13" x14ac:dyDescent="0.3">
      <c r="A296" t="s">
        <v>1312</v>
      </c>
      <c r="B296" t="s">
        <v>1313</v>
      </c>
      <c r="C296">
        <v>2006</v>
      </c>
      <c r="D296" t="s">
        <v>17</v>
      </c>
      <c r="E296">
        <v>128</v>
      </c>
      <c r="F296" t="s">
        <v>337</v>
      </c>
      <c r="G296">
        <v>7.5</v>
      </c>
      <c r="I296" t="s">
        <v>1314</v>
      </c>
      <c r="J296" t="s">
        <v>718</v>
      </c>
      <c r="K296" t="s">
        <v>1315</v>
      </c>
      <c r="L296">
        <v>185616</v>
      </c>
      <c r="M296">
        <v>97.71</v>
      </c>
    </row>
    <row r="297" spans="1:13" x14ac:dyDescent="0.3">
      <c r="A297" t="s">
        <v>1316</v>
      </c>
      <c r="B297" t="s">
        <v>1317</v>
      </c>
      <c r="C297">
        <v>1993</v>
      </c>
      <c r="D297" t="s">
        <v>24</v>
      </c>
      <c r="E297">
        <v>136</v>
      </c>
      <c r="F297" t="s">
        <v>1318</v>
      </c>
      <c r="G297">
        <v>7.5</v>
      </c>
      <c r="H297">
        <v>87</v>
      </c>
      <c r="I297" t="s">
        <v>1319</v>
      </c>
      <c r="J297" t="s">
        <v>718</v>
      </c>
      <c r="K297" t="s">
        <v>1320</v>
      </c>
      <c r="L297">
        <v>424309</v>
      </c>
    </row>
    <row r="298" spans="1:13" x14ac:dyDescent="0.3">
      <c r="A298" t="s">
        <v>1321</v>
      </c>
      <c r="B298" t="s">
        <v>1322</v>
      </c>
      <c r="C298">
        <v>2003</v>
      </c>
      <c r="D298" t="s">
        <v>24</v>
      </c>
      <c r="E298">
        <v>107</v>
      </c>
      <c r="F298" t="s">
        <v>210</v>
      </c>
      <c r="G298">
        <v>7.5</v>
      </c>
      <c r="H298">
        <v>72</v>
      </c>
      <c r="I298" t="s">
        <v>1323</v>
      </c>
      <c r="J298" t="s">
        <v>147</v>
      </c>
      <c r="K298" t="s">
        <v>1324</v>
      </c>
      <c r="L298">
        <v>93801</v>
      </c>
      <c r="M298">
        <v>409.04</v>
      </c>
    </row>
    <row r="299" spans="1:13" x14ac:dyDescent="0.3">
      <c r="A299" t="s">
        <v>1325</v>
      </c>
      <c r="B299" t="s">
        <v>1326</v>
      </c>
      <c r="C299">
        <v>2001</v>
      </c>
      <c r="D299" t="s">
        <v>169</v>
      </c>
      <c r="E299">
        <v>112</v>
      </c>
      <c r="F299" t="s">
        <v>1327</v>
      </c>
      <c r="G299">
        <v>7.5</v>
      </c>
      <c r="H299">
        <v>68</v>
      </c>
      <c r="I299" t="s">
        <v>1328</v>
      </c>
      <c r="J299" t="s">
        <v>326</v>
      </c>
      <c r="K299" t="s">
        <v>1329</v>
      </c>
      <c r="L299">
        <v>1000</v>
      </c>
      <c r="M299">
        <v>466.22</v>
      </c>
    </row>
    <row r="300" spans="1:13" x14ac:dyDescent="0.3">
      <c r="A300" t="s">
        <v>1330</v>
      </c>
      <c r="B300" t="s">
        <v>1331</v>
      </c>
      <c r="C300">
        <v>2017</v>
      </c>
      <c r="D300" t="s">
        <v>54</v>
      </c>
      <c r="E300">
        <v>89</v>
      </c>
      <c r="F300" t="s">
        <v>1332</v>
      </c>
      <c r="G300">
        <v>7.5</v>
      </c>
      <c r="H300">
        <v>71</v>
      </c>
      <c r="I300" t="s">
        <v>1333</v>
      </c>
      <c r="J300" t="s">
        <v>483</v>
      </c>
      <c r="K300" t="s">
        <v>1334</v>
      </c>
      <c r="L300">
        <v>32071</v>
      </c>
      <c r="M300">
        <v>268.63</v>
      </c>
    </row>
    <row r="301" spans="1:13" x14ac:dyDescent="0.3">
      <c r="A301" t="s">
        <v>1335</v>
      </c>
      <c r="B301" t="s">
        <v>498</v>
      </c>
      <c r="C301">
        <v>1969</v>
      </c>
      <c r="D301" t="s">
        <v>17</v>
      </c>
      <c r="E301">
        <v>126</v>
      </c>
      <c r="F301" t="s">
        <v>1336</v>
      </c>
      <c r="G301">
        <v>7.5</v>
      </c>
      <c r="I301" t="s">
        <v>852</v>
      </c>
      <c r="J301" t="s">
        <v>196</v>
      </c>
      <c r="K301" t="s">
        <v>1337</v>
      </c>
      <c r="L301">
        <v>58413</v>
      </c>
      <c r="M301">
        <v>124.6</v>
      </c>
    </row>
    <row r="302" spans="1:13" x14ac:dyDescent="0.3">
      <c r="A302" t="s">
        <v>1338</v>
      </c>
      <c r="B302" t="s">
        <v>1339</v>
      </c>
      <c r="C302">
        <v>2003</v>
      </c>
      <c r="D302" t="s">
        <v>169</v>
      </c>
      <c r="E302">
        <v>88</v>
      </c>
      <c r="F302" t="s">
        <v>606</v>
      </c>
      <c r="G302">
        <v>7.5</v>
      </c>
      <c r="H302">
        <v>70</v>
      </c>
      <c r="I302" t="s">
        <v>220</v>
      </c>
      <c r="J302" t="s">
        <v>125</v>
      </c>
      <c r="K302" t="s">
        <v>1340</v>
      </c>
      <c r="L302">
        <v>194599</v>
      </c>
      <c r="M302">
        <v>249.78</v>
      </c>
    </row>
    <row r="303" spans="1:13" x14ac:dyDescent="0.3">
      <c r="A303" t="s">
        <v>1341</v>
      </c>
      <c r="B303" t="s">
        <v>1342</v>
      </c>
      <c r="C303">
        <v>2015</v>
      </c>
      <c r="D303" t="s">
        <v>293</v>
      </c>
      <c r="E303">
        <v>93</v>
      </c>
      <c r="F303" t="s">
        <v>1343</v>
      </c>
      <c r="G303">
        <v>7.4</v>
      </c>
      <c r="H303">
        <v>60</v>
      </c>
      <c r="I303" t="s">
        <v>1344</v>
      </c>
      <c r="J303" t="s">
        <v>68</v>
      </c>
      <c r="K303" t="s">
        <v>1345</v>
      </c>
      <c r="L303">
        <v>439503</v>
      </c>
      <c r="M303">
        <v>70.08</v>
      </c>
    </row>
    <row r="304" spans="1:13" x14ac:dyDescent="0.3">
      <c r="A304" t="s">
        <v>1346</v>
      </c>
      <c r="B304" t="s">
        <v>1347</v>
      </c>
      <c r="C304">
        <v>2024</v>
      </c>
      <c r="D304" t="s">
        <v>54</v>
      </c>
      <c r="E304">
        <v>97</v>
      </c>
      <c r="F304" t="s">
        <v>157</v>
      </c>
      <c r="G304">
        <v>7.4</v>
      </c>
      <c r="H304">
        <v>84</v>
      </c>
      <c r="I304" t="s">
        <v>597</v>
      </c>
      <c r="J304" t="s">
        <v>251</v>
      </c>
      <c r="K304" t="s">
        <v>1348</v>
      </c>
      <c r="L304">
        <v>110515</v>
      </c>
      <c r="M304">
        <v>236.36</v>
      </c>
    </row>
    <row r="305" spans="1:13" x14ac:dyDescent="0.3">
      <c r="A305" t="s">
        <v>1349</v>
      </c>
      <c r="B305" t="s">
        <v>804</v>
      </c>
      <c r="C305">
        <v>1972</v>
      </c>
      <c r="D305" t="s">
        <v>17</v>
      </c>
      <c r="E305">
        <v>124</v>
      </c>
      <c r="F305" t="s">
        <v>235</v>
      </c>
      <c r="G305">
        <v>7.4</v>
      </c>
      <c r="I305" t="s">
        <v>1350</v>
      </c>
      <c r="J305" t="s">
        <v>524</v>
      </c>
      <c r="K305" t="s">
        <v>1351</v>
      </c>
      <c r="L305">
        <v>2701</v>
      </c>
      <c r="M305">
        <v>214.08</v>
      </c>
    </row>
    <row r="306" spans="1:13" x14ac:dyDescent="0.3">
      <c r="A306" t="s">
        <v>1352</v>
      </c>
      <c r="B306" t="s">
        <v>1353</v>
      </c>
      <c r="C306">
        <v>2024</v>
      </c>
      <c r="D306" t="s">
        <v>24</v>
      </c>
      <c r="E306">
        <v>115</v>
      </c>
      <c r="F306" t="s">
        <v>1354</v>
      </c>
      <c r="G306">
        <v>7.4</v>
      </c>
      <c r="H306">
        <v>63</v>
      </c>
      <c r="I306" t="s">
        <v>278</v>
      </c>
      <c r="J306" t="s">
        <v>165</v>
      </c>
      <c r="K306" t="s">
        <v>1355</v>
      </c>
      <c r="L306">
        <v>958796</v>
      </c>
      <c r="M306">
        <v>441.1</v>
      </c>
    </row>
    <row r="307" spans="1:13" x14ac:dyDescent="0.3">
      <c r="A307" t="s">
        <v>1356</v>
      </c>
      <c r="B307" t="s">
        <v>1357</v>
      </c>
      <c r="C307">
        <v>2003</v>
      </c>
      <c r="D307" t="s">
        <v>54</v>
      </c>
      <c r="E307">
        <v>112</v>
      </c>
      <c r="F307" t="s">
        <v>1358</v>
      </c>
      <c r="G307">
        <v>7.4</v>
      </c>
      <c r="I307" t="s">
        <v>130</v>
      </c>
      <c r="J307" t="s">
        <v>315</v>
      </c>
      <c r="K307" t="s">
        <v>1359</v>
      </c>
      <c r="L307">
        <v>116587</v>
      </c>
      <c r="M307">
        <v>22.84</v>
      </c>
    </row>
    <row r="308" spans="1:13" x14ac:dyDescent="0.3">
      <c r="A308" t="s">
        <v>1360</v>
      </c>
      <c r="B308" t="s">
        <v>1361</v>
      </c>
      <c r="C308">
        <v>2024</v>
      </c>
      <c r="D308" t="s">
        <v>54</v>
      </c>
      <c r="E308">
        <v>95</v>
      </c>
      <c r="F308" t="s">
        <v>1362</v>
      </c>
      <c r="G308">
        <v>7.4</v>
      </c>
      <c r="H308">
        <v>65</v>
      </c>
      <c r="I308" t="s">
        <v>1363</v>
      </c>
      <c r="J308" t="s">
        <v>74</v>
      </c>
      <c r="K308" t="s">
        <v>1364</v>
      </c>
      <c r="L308">
        <v>41752</v>
      </c>
      <c r="M308">
        <v>467.18</v>
      </c>
    </row>
    <row r="309" spans="1:13" x14ac:dyDescent="0.3">
      <c r="A309" t="s">
        <v>1365</v>
      </c>
      <c r="B309" t="s">
        <v>1366</v>
      </c>
      <c r="C309">
        <v>2002</v>
      </c>
      <c r="D309" t="s">
        <v>54</v>
      </c>
      <c r="E309">
        <v>94</v>
      </c>
      <c r="F309" t="s">
        <v>851</v>
      </c>
      <c r="G309">
        <v>7.4</v>
      </c>
      <c r="H309">
        <v>69</v>
      </c>
      <c r="I309" t="s">
        <v>898</v>
      </c>
      <c r="J309" t="s">
        <v>103</v>
      </c>
      <c r="K309" t="s">
        <v>1367</v>
      </c>
      <c r="L309">
        <v>28156</v>
      </c>
    </row>
    <row r="310" spans="1:13" x14ac:dyDescent="0.3">
      <c r="A310" t="s">
        <v>1368</v>
      </c>
      <c r="B310" t="s">
        <v>1369</v>
      </c>
      <c r="C310">
        <v>2022</v>
      </c>
      <c r="D310" t="s">
        <v>293</v>
      </c>
      <c r="E310">
        <v>93</v>
      </c>
      <c r="F310" t="s">
        <v>767</v>
      </c>
      <c r="G310">
        <v>7.4</v>
      </c>
      <c r="H310">
        <v>80</v>
      </c>
      <c r="I310" t="s">
        <v>320</v>
      </c>
      <c r="J310" t="s">
        <v>27</v>
      </c>
      <c r="K310" t="s">
        <v>1370</v>
      </c>
      <c r="L310">
        <v>24129</v>
      </c>
      <c r="M310">
        <v>30.77</v>
      </c>
    </row>
    <row r="311" spans="1:13" x14ac:dyDescent="0.3">
      <c r="A311" t="s">
        <v>1371</v>
      </c>
      <c r="B311" t="s">
        <v>1372</v>
      </c>
      <c r="C311">
        <v>2019</v>
      </c>
      <c r="D311" t="s">
        <v>17</v>
      </c>
      <c r="E311">
        <v>149</v>
      </c>
      <c r="F311" t="s">
        <v>1373</v>
      </c>
      <c r="G311">
        <v>7.4</v>
      </c>
      <c r="I311" t="s">
        <v>19</v>
      </c>
      <c r="J311" t="s">
        <v>74</v>
      </c>
      <c r="K311" t="s">
        <v>1374</v>
      </c>
      <c r="L311">
        <v>55084</v>
      </c>
      <c r="M311">
        <v>485.13</v>
      </c>
    </row>
    <row r="312" spans="1:13" x14ac:dyDescent="0.3">
      <c r="A312" t="s">
        <v>1375</v>
      </c>
      <c r="B312" t="s">
        <v>1376</v>
      </c>
      <c r="C312">
        <v>2005</v>
      </c>
      <c r="D312" t="s">
        <v>54</v>
      </c>
      <c r="E312">
        <v>114</v>
      </c>
      <c r="F312" t="s">
        <v>1170</v>
      </c>
      <c r="G312">
        <v>7.4</v>
      </c>
      <c r="I312" t="s">
        <v>1377</v>
      </c>
      <c r="J312" t="s">
        <v>165</v>
      </c>
      <c r="K312" t="s">
        <v>1378</v>
      </c>
      <c r="L312">
        <v>38060</v>
      </c>
      <c r="M312">
        <v>303.01</v>
      </c>
    </row>
    <row r="313" spans="1:13" x14ac:dyDescent="0.3">
      <c r="A313" t="s">
        <v>1379</v>
      </c>
      <c r="B313" t="s">
        <v>1380</v>
      </c>
      <c r="C313">
        <v>2018</v>
      </c>
      <c r="D313" t="s">
        <v>169</v>
      </c>
      <c r="E313">
        <v>149</v>
      </c>
      <c r="F313" t="s">
        <v>1381</v>
      </c>
      <c r="G313">
        <v>7.4</v>
      </c>
      <c r="H313">
        <v>75</v>
      </c>
      <c r="I313" t="s">
        <v>1382</v>
      </c>
      <c r="J313" t="s">
        <v>593</v>
      </c>
      <c r="K313" t="s">
        <v>1383</v>
      </c>
      <c r="L313">
        <v>195552</v>
      </c>
      <c r="M313">
        <v>303.56</v>
      </c>
    </row>
    <row r="314" spans="1:13" x14ac:dyDescent="0.3">
      <c r="A314" t="s">
        <v>1384</v>
      </c>
      <c r="B314" t="s">
        <v>1385</v>
      </c>
      <c r="C314">
        <v>2009</v>
      </c>
      <c r="D314" t="s">
        <v>17</v>
      </c>
      <c r="E314">
        <v>135</v>
      </c>
      <c r="F314" t="s">
        <v>1386</v>
      </c>
      <c r="G314">
        <v>7.4</v>
      </c>
      <c r="I314" t="s">
        <v>412</v>
      </c>
      <c r="J314" t="s">
        <v>593</v>
      </c>
      <c r="K314" t="s">
        <v>1387</v>
      </c>
      <c r="L314">
        <v>13029</v>
      </c>
      <c r="M314">
        <v>236.54</v>
      </c>
    </row>
    <row r="315" spans="1:13" x14ac:dyDescent="0.3">
      <c r="A315" t="s">
        <v>1388</v>
      </c>
      <c r="B315" t="s">
        <v>1389</v>
      </c>
      <c r="C315">
        <v>2001</v>
      </c>
      <c r="D315" t="s">
        <v>54</v>
      </c>
      <c r="E315">
        <v>77</v>
      </c>
      <c r="F315" t="s">
        <v>1390</v>
      </c>
      <c r="G315">
        <v>7.4</v>
      </c>
      <c r="H315">
        <v>72</v>
      </c>
      <c r="I315" t="s">
        <v>1391</v>
      </c>
      <c r="J315" t="s">
        <v>718</v>
      </c>
      <c r="K315" t="s">
        <v>1392</v>
      </c>
      <c r="L315">
        <v>225899</v>
      </c>
    </row>
    <row r="316" spans="1:13" x14ac:dyDescent="0.3">
      <c r="A316" t="s">
        <v>1393</v>
      </c>
      <c r="B316" t="s">
        <v>1394</v>
      </c>
      <c r="C316">
        <v>2013</v>
      </c>
      <c r="D316" t="s">
        <v>17</v>
      </c>
      <c r="E316">
        <v>126</v>
      </c>
      <c r="F316" t="s">
        <v>37</v>
      </c>
      <c r="G316">
        <v>7.4</v>
      </c>
      <c r="I316" t="s">
        <v>38</v>
      </c>
      <c r="J316" t="s">
        <v>39</v>
      </c>
      <c r="K316" t="s">
        <v>1395</v>
      </c>
      <c r="L316">
        <v>10848</v>
      </c>
    </row>
    <row r="317" spans="1:13" x14ac:dyDescent="0.3">
      <c r="A317" t="s">
        <v>1396</v>
      </c>
      <c r="B317" t="s">
        <v>1397</v>
      </c>
      <c r="C317">
        <v>2005</v>
      </c>
      <c r="D317" t="s">
        <v>285</v>
      </c>
      <c r="E317">
        <v>129</v>
      </c>
      <c r="F317" t="s">
        <v>48</v>
      </c>
      <c r="G317">
        <v>7.4</v>
      </c>
      <c r="I317" t="s">
        <v>1398</v>
      </c>
      <c r="J317" t="s">
        <v>159</v>
      </c>
      <c r="K317" t="s">
        <v>1399</v>
      </c>
      <c r="L317">
        <v>112688</v>
      </c>
      <c r="M317">
        <v>314.23</v>
      </c>
    </row>
    <row r="318" spans="1:13" x14ac:dyDescent="0.3">
      <c r="A318" t="s">
        <v>1400</v>
      </c>
      <c r="B318" t="s">
        <v>1401</v>
      </c>
      <c r="C318">
        <v>2022</v>
      </c>
      <c r="D318" t="s">
        <v>24</v>
      </c>
      <c r="E318">
        <v>97</v>
      </c>
      <c r="F318" t="s">
        <v>660</v>
      </c>
      <c r="G318">
        <v>7.4</v>
      </c>
      <c r="H318">
        <v>61</v>
      </c>
      <c r="I318" t="s">
        <v>634</v>
      </c>
      <c r="J318" t="s">
        <v>119</v>
      </c>
      <c r="K318" t="s">
        <v>1402</v>
      </c>
      <c r="L318">
        <v>119836</v>
      </c>
      <c r="M318">
        <v>439.7</v>
      </c>
    </row>
    <row r="319" spans="1:13" x14ac:dyDescent="0.3">
      <c r="A319" t="s">
        <v>1403</v>
      </c>
      <c r="B319" t="s">
        <v>1404</v>
      </c>
      <c r="C319">
        <v>2002</v>
      </c>
      <c r="D319" t="s">
        <v>24</v>
      </c>
      <c r="E319">
        <v>101</v>
      </c>
      <c r="F319" t="s">
        <v>1405</v>
      </c>
      <c r="G319">
        <v>7.4</v>
      </c>
      <c r="H319">
        <v>82</v>
      </c>
      <c r="I319" t="s">
        <v>231</v>
      </c>
      <c r="J319" t="s">
        <v>80</v>
      </c>
      <c r="K319" t="s">
        <v>1406</v>
      </c>
      <c r="L319">
        <v>36573</v>
      </c>
      <c r="M319">
        <v>25.84</v>
      </c>
    </row>
    <row r="320" spans="1:13" x14ac:dyDescent="0.3">
      <c r="A320" t="s">
        <v>1407</v>
      </c>
      <c r="B320" t="s">
        <v>1408</v>
      </c>
      <c r="C320">
        <v>2005</v>
      </c>
      <c r="D320" t="s">
        <v>17</v>
      </c>
      <c r="E320">
        <v>111</v>
      </c>
      <c r="F320" t="s">
        <v>606</v>
      </c>
      <c r="G320">
        <v>7.4</v>
      </c>
      <c r="H320">
        <v>75</v>
      </c>
      <c r="I320" t="s">
        <v>250</v>
      </c>
      <c r="J320" t="s">
        <v>63</v>
      </c>
      <c r="K320" t="s">
        <v>1409</v>
      </c>
      <c r="L320">
        <v>70181</v>
      </c>
      <c r="M320">
        <v>430.88</v>
      </c>
    </row>
    <row r="321" spans="1:13" x14ac:dyDescent="0.3">
      <c r="A321" t="s">
        <v>1410</v>
      </c>
      <c r="B321" t="s">
        <v>1411</v>
      </c>
      <c r="C321">
        <v>2000</v>
      </c>
      <c r="D321" t="s">
        <v>17</v>
      </c>
      <c r="E321">
        <v>103</v>
      </c>
      <c r="F321" t="s">
        <v>868</v>
      </c>
      <c r="G321">
        <v>7.4</v>
      </c>
      <c r="I321" t="s">
        <v>1412</v>
      </c>
      <c r="J321" t="s">
        <v>86</v>
      </c>
      <c r="K321" t="s">
        <v>1413</v>
      </c>
      <c r="L321">
        <v>244349</v>
      </c>
      <c r="M321">
        <v>170.37</v>
      </c>
    </row>
    <row r="322" spans="1:13" x14ac:dyDescent="0.3">
      <c r="A322" t="s">
        <v>1414</v>
      </c>
      <c r="B322" t="s">
        <v>1415</v>
      </c>
      <c r="C322">
        <v>2010</v>
      </c>
      <c r="D322" t="s">
        <v>17</v>
      </c>
      <c r="E322">
        <v>129</v>
      </c>
      <c r="F322" t="s">
        <v>868</v>
      </c>
      <c r="G322">
        <v>7.4</v>
      </c>
      <c r="H322">
        <v>69</v>
      </c>
      <c r="I322" t="s">
        <v>1416</v>
      </c>
      <c r="J322" t="s">
        <v>524</v>
      </c>
      <c r="K322" t="s">
        <v>1417</v>
      </c>
      <c r="L322">
        <v>316332</v>
      </c>
      <c r="M322">
        <v>33.07</v>
      </c>
    </row>
    <row r="323" spans="1:13" x14ac:dyDescent="0.3">
      <c r="A323" t="s">
        <v>1418</v>
      </c>
      <c r="B323" t="s">
        <v>1419</v>
      </c>
      <c r="C323">
        <v>2005</v>
      </c>
      <c r="D323" t="s">
        <v>54</v>
      </c>
      <c r="E323">
        <v>134</v>
      </c>
      <c r="F323" t="s">
        <v>107</v>
      </c>
      <c r="G323">
        <v>7.4</v>
      </c>
      <c r="H323">
        <v>72</v>
      </c>
      <c r="I323" t="s">
        <v>1420</v>
      </c>
      <c r="J323" t="s">
        <v>92</v>
      </c>
      <c r="K323" t="s">
        <v>1421</v>
      </c>
      <c r="L323">
        <v>14718</v>
      </c>
      <c r="M323">
        <v>243.36</v>
      </c>
    </row>
    <row r="324" spans="1:13" x14ac:dyDescent="0.3">
      <c r="A324" t="s">
        <v>1422</v>
      </c>
      <c r="B324" t="s">
        <v>1423</v>
      </c>
      <c r="C324">
        <v>2005</v>
      </c>
      <c r="D324" t="s">
        <v>24</v>
      </c>
      <c r="E324">
        <v>126</v>
      </c>
      <c r="F324" t="s">
        <v>1424</v>
      </c>
      <c r="G324">
        <v>7.4</v>
      </c>
      <c r="H324">
        <v>66</v>
      </c>
      <c r="I324" t="s">
        <v>164</v>
      </c>
      <c r="J324" t="s">
        <v>39</v>
      </c>
      <c r="K324" t="s">
        <v>1425</v>
      </c>
      <c r="L324">
        <v>1221153</v>
      </c>
      <c r="M324">
        <v>24.24</v>
      </c>
    </row>
    <row r="325" spans="1:13" x14ac:dyDescent="0.3">
      <c r="A325" t="s">
        <v>1426</v>
      </c>
      <c r="B325" t="s">
        <v>1427</v>
      </c>
      <c r="C325">
        <v>2014</v>
      </c>
      <c r="D325" t="s">
        <v>24</v>
      </c>
      <c r="E325">
        <v>108</v>
      </c>
      <c r="F325" t="s">
        <v>448</v>
      </c>
      <c r="G325">
        <v>7.4</v>
      </c>
      <c r="H325">
        <v>75</v>
      </c>
      <c r="I325" t="s">
        <v>1196</v>
      </c>
      <c r="J325" t="s">
        <v>86</v>
      </c>
      <c r="K325" t="s">
        <v>1428</v>
      </c>
      <c r="L325">
        <v>81176</v>
      </c>
      <c r="M325">
        <v>469.66</v>
      </c>
    </row>
    <row r="326" spans="1:13" x14ac:dyDescent="0.3">
      <c r="A326" t="s">
        <v>1429</v>
      </c>
      <c r="B326" t="s">
        <v>1430</v>
      </c>
      <c r="C326">
        <v>2024</v>
      </c>
      <c r="D326" t="s">
        <v>54</v>
      </c>
      <c r="E326">
        <v>147</v>
      </c>
      <c r="F326" t="s">
        <v>72</v>
      </c>
      <c r="G326">
        <v>7.4</v>
      </c>
      <c r="H326">
        <v>76</v>
      </c>
      <c r="I326" t="s">
        <v>1431</v>
      </c>
      <c r="J326" t="s">
        <v>80</v>
      </c>
      <c r="K326" t="s">
        <v>1432</v>
      </c>
      <c r="L326">
        <v>46598</v>
      </c>
      <c r="M326">
        <v>182.83</v>
      </c>
    </row>
    <row r="327" spans="1:13" x14ac:dyDescent="0.3">
      <c r="A327" t="s">
        <v>1433</v>
      </c>
      <c r="B327" t="s">
        <v>1434</v>
      </c>
      <c r="C327">
        <v>2006</v>
      </c>
      <c r="D327" t="s">
        <v>17</v>
      </c>
      <c r="E327">
        <v>70</v>
      </c>
      <c r="F327" t="s">
        <v>1435</v>
      </c>
      <c r="G327">
        <v>7.4</v>
      </c>
      <c r="H327">
        <v>85</v>
      </c>
      <c r="I327" t="s">
        <v>1436</v>
      </c>
      <c r="J327" t="s">
        <v>80</v>
      </c>
      <c r="K327" t="s">
        <v>1437</v>
      </c>
      <c r="L327">
        <v>80186</v>
      </c>
      <c r="M327">
        <v>273.49</v>
      </c>
    </row>
    <row r="328" spans="1:13" x14ac:dyDescent="0.3">
      <c r="A328" t="s">
        <v>1438</v>
      </c>
      <c r="B328" t="s">
        <v>1439</v>
      </c>
      <c r="C328">
        <v>2023</v>
      </c>
      <c r="D328" t="s">
        <v>17</v>
      </c>
      <c r="E328">
        <v>164</v>
      </c>
      <c r="F328" t="s">
        <v>1440</v>
      </c>
      <c r="G328">
        <v>7.4</v>
      </c>
      <c r="H328">
        <v>81</v>
      </c>
      <c r="I328" t="s">
        <v>136</v>
      </c>
      <c r="J328" t="s">
        <v>33</v>
      </c>
      <c r="K328" t="s">
        <v>1441</v>
      </c>
      <c r="L328">
        <v>126914</v>
      </c>
    </row>
    <row r="329" spans="1:13" x14ac:dyDescent="0.3">
      <c r="A329" t="s">
        <v>1442</v>
      </c>
      <c r="B329" t="s">
        <v>1443</v>
      </c>
      <c r="C329">
        <v>2023</v>
      </c>
      <c r="D329" t="s">
        <v>54</v>
      </c>
      <c r="E329">
        <v>114</v>
      </c>
      <c r="F329" t="s">
        <v>117</v>
      </c>
      <c r="G329">
        <v>7.4</v>
      </c>
      <c r="H329">
        <v>74</v>
      </c>
      <c r="I329" t="s">
        <v>73</v>
      </c>
      <c r="J329" t="s">
        <v>39</v>
      </c>
      <c r="K329" t="s">
        <v>1444</v>
      </c>
      <c r="L329">
        <v>36289</v>
      </c>
    </row>
    <row r="330" spans="1:13" x14ac:dyDescent="0.3">
      <c r="A330" t="s">
        <v>1445</v>
      </c>
      <c r="B330" t="s">
        <v>1446</v>
      </c>
      <c r="C330">
        <v>2003</v>
      </c>
      <c r="D330" t="s">
        <v>17</v>
      </c>
      <c r="E330">
        <v>130</v>
      </c>
      <c r="F330" t="s">
        <v>230</v>
      </c>
      <c r="G330">
        <v>7.4</v>
      </c>
      <c r="I330" t="s">
        <v>231</v>
      </c>
      <c r="J330" t="s">
        <v>92</v>
      </c>
      <c r="K330" t="s">
        <v>1447</v>
      </c>
      <c r="L330">
        <v>137779</v>
      </c>
      <c r="M330">
        <v>217.85</v>
      </c>
    </row>
    <row r="331" spans="1:13" x14ac:dyDescent="0.3">
      <c r="A331" t="s">
        <v>1448</v>
      </c>
      <c r="B331" t="s">
        <v>1449</v>
      </c>
      <c r="C331">
        <v>2014</v>
      </c>
      <c r="D331" t="s">
        <v>54</v>
      </c>
      <c r="E331">
        <v>119</v>
      </c>
      <c r="F331" t="s">
        <v>43</v>
      </c>
      <c r="G331">
        <v>7.4</v>
      </c>
      <c r="I331" t="s">
        <v>1450</v>
      </c>
      <c r="J331" t="s">
        <v>131</v>
      </c>
      <c r="K331" t="s">
        <v>1451</v>
      </c>
      <c r="L331">
        <v>11113</v>
      </c>
    </row>
    <row r="332" spans="1:13" x14ac:dyDescent="0.3">
      <c r="A332" t="s">
        <v>1452</v>
      </c>
      <c r="B332" t="s">
        <v>1453</v>
      </c>
      <c r="C332">
        <v>2019</v>
      </c>
      <c r="D332" t="s">
        <v>54</v>
      </c>
      <c r="E332">
        <v>108</v>
      </c>
      <c r="F332" t="s">
        <v>1163</v>
      </c>
      <c r="G332">
        <v>7.4</v>
      </c>
      <c r="H332">
        <v>73</v>
      </c>
      <c r="I332" t="s">
        <v>269</v>
      </c>
      <c r="J332" t="s">
        <v>27</v>
      </c>
      <c r="K332" t="s">
        <v>1454</v>
      </c>
      <c r="L332">
        <v>257514</v>
      </c>
    </row>
    <row r="333" spans="1:13" x14ac:dyDescent="0.3">
      <c r="A333" t="s">
        <v>1455</v>
      </c>
      <c r="B333" t="s">
        <v>1456</v>
      </c>
      <c r="C333">
        <v>1981</v>
      </c>
      <c r="D333" t="s">
        <v>54</v>
      </c>
      <c r="E333">
        <v>120</v>
      </c>
      <c r="F333" t="s">
        <v>1457</v>
      </c>
      <c r="G333">
        <v>7.4</v>
      </c>
      <c r="H333">
        <v>80</v>
      </c>
      <c r="I333" t="s">
        <v>220</v>
      </c>
      <c r="J333" t="s">
        <v>236</v>
      </c>
      <c r="K333" t="s">
        <v>1458</v>
      </c>
      <c r="L333">
        <v>22556</v>
      </c>
      <c r="M333">
        <v>270.63</v>
      </c>
    </row>
    <row r="334" spans="1:13" x14ac:dyDescent="0.3">
      <c r="A334" t="s">
        <v>1459</v>
      </c>
      <c r="B334" t="s">
        <v>1460</v>
      </c>
      <c r="C334">
        <v>2008</v>
      </c>
      <c r="D334" t="s">
        <v>17</v>
      </c>
      <c r="E334">
        <v>142</v>
      </c>
      <c r="F334" t="s">
        <v>48</v>
      </c>
      <c r="G334">
        <v>7.4</v>
      </c>
      <c r="H334">
        <v>62</v>
      </c>
      <c r="I334" t="s">
        <v>1461</v>
      </c>
      <c r="J334" t="s">
        <v>20</v>
      </c>
      <c r="K334" t="s">
        <v>1462</v>
      </c>
      <c r="L334">
        <v>175831</v>
      </c>
      <c r="M334">
        <v>367.09</v>
      </c>
    </row>
    <row r="335" spans="1:13" x14ac:dyDescent="0.3">
      <c r="A335" t="s">
        <v>1463</v>
      </c>
      <c r="B335" t="s">
        <v>1464</v>
      </c>
      <c r="C335">
        <v>1991</v>
      </c>
      <c r="D335" t="s">
        <v>24</v>
      </c>
      <c r="E335">
        <v>135</v>
      </c>
      <c r="F335" t="s">
        <v>969</v>
      </c>
      <c r="G335">
        <v>7.4</v>
      </c>
      <c r="H335">
        <v>72</v>
      </c>
      <c r="I335" t="s">
        <v>634</v>
      </c>
      <c r="J335" t="s">
        <v>159</v>
      </c>
      <c r="K335" t="s">
        <v>1465</v>
      </c>
      <c r="L335">
        <v>153663</v>
      </c>
      <c r="M335">
        <v>246.13</v>
      </c>
    </row>
    <row r="336" spans="1:13" x14ac:dyDescent="0.3">
      <c r="A336" t="s">
        <v>1466</v>
      </c>
      <c r="B336" t="s">
        <v>1467</v>
      </c>
      <c r="C336">
        <v>2008</v>
      </c>
      <c r="D336" t="s">
        <v>17</v>
      </c>
      <c r="E336">
        <v>143</v>
      </c>
      <c r="F336" t="s">
        <v>129</v>
      </c>
      <c r="G336">
        <v>7.4</v>
      </c>
      <c r="I336" t="s">
        <v>1468</v>
      </c>
      <c r="J336" t="s">
        <v>50</v>
      </c>
      <c r="K336" t="s">
        <v>1469</v>
      </c>
      <c r="L336">
        <v>101434</v>
      </c>
      <c r="M336">
        <v>16.37</v>
      </c>
    </row>
    <row r="337" spans="1:13" x14ac:dyDescent="0.3">
      <c r="A337" t="s">
        <v>1470</v>
      </c>
      <c r="B337" t="s">
        <v>1471</v>
      </c>
      <c r="C337">
        <v>2001</v>
      </c>
      <c r="D337" t="s">
        <v>17</v>
      </c>
      <c r="E337">
        <v>128</v>
      </c>
      <c r="F337" t="s">
        <v>78</v>
      </c>
      <c r="G337">
        <v>7.4</v>
      </c>
      <c r="I337" t="s">
        <v>305</v>
      </c>
      <c r="J337" t="s">
        <v>165</v>
      </c>
      <c r="K337" t="s">
        <v>1472</v>
      </c>
      <c r="L337">
        <v>78015</v>
      </c>
    </row>
    <row r="338" spans="1:13" x14ac:dyDescent="0.3">
      <c r="A338" t="s">
        <v>1473</v>
      </c>
      <c r="B338" t="s">
        <v>1474</v>
      </c>
      <c r="C338">
        <v>1996</v>
      </c>
      <c r="D338" t="s">
        <v>54</v>
      </c>
      <c r="E338">
        <v>93</v>
      </c>
      <c r="F338" t="s">
        <v>1475</v>
      </c>
      <c r="G338">
        <v>7.4</v>
      </c>
      <c r="I338" t="s">
        <v>1476</v>
      </c>
      <c r="J338" t="s">
        <v>593</v>
      </c>
      <c r="K338" t="s">
        <v>1477</v>
      </c>
      <c r="L338">
        <v>103766</v>
      </c>
      <c r="M338">
        <v>154.02000000000001</v>
      </c>
    </row>
    <row r="339" spans="1:13" x14ac:dyDescent="0.3">
      <c r="A339" t="s">
        <v>1478</v>
      </c>
      <c r="B339" t="s">
        <v>1479</v>
      </c>
      <c r="C339">
        <v>2002</v>
      </c>
      <c r="D339" t="s">
        <v>293</v>
      </c>
      <c r="E339">
        <v>116</v>
      </c>
      <c r="F339" t="s">
        <v>1480</v>
      </c>
      <c r="G339">
        <v>7.4</v>
      </c>
      <c r="H339">
        <v>80</v>
      </c>
      <c r="I339" t="s">
        <v>1481</v>
      </c>
      <c r="J339" t="s">
        <v>159</v>
      </c>
      <c r="K339" t="s">
        <v>1482</v>
      </c>
      <c r="L339">
        <v>251463</v>
      </c>
      <c r="M339">
        <v>50.39</v>
      </c>
    </row>
    <row r="340" spans="1:13" x14ac:dyDescent="0.3">
      <c r="A340" t="s">
        <v>1483</v>
      </c>
      <c r="B340" t="s">
        <v>1484</v>
      </c>
      <c r="C340">
        <v>2020</v>
      </c>
      <c r="D340" t="s">
        <v>17</v>
      </c>
      <c r="E340">
        <v>99</v>
      </c>
      <c r="F340" t="s">
        <v>1044</v>
      </c>
      <c r="G340">
        <v>7.4</v>
      </c>
      <c r="I340" t="s">
        <v>1485</v>
      </c>
      <c r="J340" t="s">
        <v>608</v>
      </c>
      <c r="K340" t="s">
        <v>1486</v>
      </c>
      <c r="L340">
        <v>86310</v>
      </c>
      <c r="M340">
        <v>68.48</v>
      </c>
    </row>
    <row r="341" spans="1:13" x14ac:dyDescent="0.3">
      <c r="A341" t="s">
        <v>1487</v>
      </c>
      <c r="B341" t="s">
        <v>1488</v>
      </c>
      <c r="C341">
        <v>2022</v>
      </c>
      <c r="D341" t="s">
        <v>17</v>
      </c>
      <c r="E341">
        <v>145</v>
      </c>
      <c r="F341" t="s">
        <v>1489</v>
      </c>
      <c r="G341">
        <v>7.4</v>
      </c>
      <c r="H341">
        <v>76</v>
      </c>
      <c r="I341" t="s">
        <v>1490</v>
      </c>
      <c r="J341" t="s">
        <v>74</v>
      </c>
      <c r="K341" t="s">
        <v>1491</v>
      </c>
      <c r="L341">
        <v>48645</v>
      </c>
      <c r="M341">
        <v>360.08</v>
      </c>
    </row>
    <row r="342" spans="1:13" x14ac:dyDescent="0.3">
      <c r="A342" t="s">
        <v>1492</v>
      </c>
      <c r="B342" t="s">
        <v>1493</v>
      </c>
      <c r="C342">
        <v>1990</v>
      </c>
      <c r="D342" t="s">
        <v>17</v>
      </c>
      <c r="E342">
        <v>128</v>
      </c>
      <c r="F342" t="s">
        <v>78</v>
      </c>
      <c r="G342">
        <v>7.4</v>
      </c>
      <c r="I342" t="s">
        <v>412</v>
      </c>
      <c r="J342" t="s">
        <v>236</v>
      </c>
      <c r="K342" t="s">
        <v>1494</v>
      </c>
      <c r="L342">
        <v>32799</v>
      </c>
      <c r="M342">
        <v>6.39</v>
      </c>
    </row>
    <row r="343" spans="1:13" x14ac:dyDescent="0.3">
      <c r="A343" t="s">
        <v>1495</v>
      </c>
      <c r="B343" t="s">
        <v>1496</v>
      </c>
      <c r="C343">
        <v>1980</v>
      </c>
      <c r="D343" t="s">
        <v>17</v>
      </c>
      <c r="E343">
        <v>115</v>
      </c>
      <c r="F343" t="s">
        <v>235</v>
      </c>
      <c r="G343">
        <v>7.4</v>
      </c>
      <c r="H343">
        <v>79</v>
      </c>
      <c r="I343" t="s">
        <v>1497</v>
      </c>
      <c r="J343" t="s">
        <v>50</v>
      </c>
      <c r="K343" t="s">
        <v>1498</v>
      </c>
      <c r="L343">
        <v>111907</v>
      </c>
      <c r="M343">
        <v>168.75</v>
      </c>
    </row>
    <row r="344" spans="1:13" x14ac:dyDescent="0.3">
      <c r="A344" t="s">
        <v>1499</v>
      </c>
      <c r="B344" t="s">
        <v>1500</v>
      </c>
      <c r="C344">
        <v>1987</v>
      </c>
      <c r="D344" t="s">
        <v>17</v>
      </c>
      <c r="E344">
        <v>139</v>
      </c>
      <c r="F344" t="s">
        <v>1501</v>
      </c>
      <c r="G344">
        <v>7.4</v>
      </c>
      <c r="H344">
        <v>68</v>
      </c>
      <c r="I344" t="s">
        <v>1502</v>
      </c>
      <c r="J344" t="s">
        <v>326</v>
      </c>
      <c r="K344" t="s">
        <v>1503</v>
      </c>
      <c r="L344">
        <v>279881</v>
      </c>
      <c r="M344">
        <v>289.26</v>
      </c>
    </row>
    <row r="345" spans="1:13" x14ac:dyDescent="0.3">
      <c r="A345" t="s">
        <v>1504</v>
      </c>
      <c r="B345" t="s">
        <v>1505</v>
      </c>
      <c r="C345">
        <v>2002</v>
      </c>
      <c r="D345" t="s">
        <v>169</v>
      </c>
      <c r="E345">
        <v>155</v>
      </c>
      <c r="F345" t="s">
        <v>78</v>
      </c>
      <c r="G345">
        <v>7.4</v>
      </c>
      <c r="H345">
        <v>81</v>
      </c>
      <c r="I345" t="s">
        <v>412</v>
      </c>
      <c r="J345" t="s">
        <v>39</v>
      </c>
      <c r="K345" t="s">
        <v>1506</v>
      </c>
      <c r="L345">
        <v>25418</v>
      </c>
    </row>
    <row r="346" spans="1:13" x14ac:dyDescent="0.3">
      <c r="A346" t="s">
        <v>1507</v>
      </c>
      <c r="B346" t="s">
        <v>1508</v>
      </c>
      <c r="C346">
        <v>2022</v>
      </c>
      <c r="D346" t="s">
        <v>293</v>
      </c>
      <c r="E346">
        <v>126</v>
      </c>
      <c r="F346" t="s">
        <v>1003</v>
      </c>
      <c r="G346">
        <v>7.4</v>
      </c>
      <c r="H346">
        <v>75</v>
      </c>
      <c r="I346" t="s">
        <v>102</v>
      </c>
      <c r="J346" t="s">
        <v>125</v>
      </c>
      <c r="K346" t="s">
        <v>1509</v>
      </c>
      <c r="L346">
        <v>111379</v>
      </c>
      <c r="M346">
        <v>311.08</v>
      </c>
    </row>
    <row r="347" spans="1:13" x14ac:dyDescent="0.3">
      <c r="A347" t="s">
        <v>1510</v>
      </c>
      <c r="B347" t="s">
        <v>1511</v>
      </c>
      <c r="C347">
        <v>1991</v>
      </c>
      <c r="D347" t="s">
        <v>17</v>
      </c>
      <c r="E347">
        <v>100</v>
      </c>
      <c r="F347" t="s">
        <v>78</v>
      </c>
      <c r="G347">
        <v>7.4</v>
      </c>
      <c r="I347" t="s">
        <v>305</v>
      </c>
      <c r="J347" t="s">
        <v>39</v>
      </c>
      <c r="K347" t="s">
        <v>1512</v>
      </c>
      <c r="L347">
        <v>292914</v>
      </c>
    </row>
    <row r="348" spans="1:13" x14ac:dyDescent="0.3">
      <c r="A348" t="s">
        <v>1513</v>
      </c>
      <c r="B348" t="s">
        <v>1514</v>
      </c>
      <c r="C348">
        <v>1989</v>
      </c>
      <c r="D348" t="s">
        <v>17</v>
      </c>
      <c r="E348">
        <v>114</v>
      </c>
      <c r="F348" t="s">
        <v>354</v>
      </c>
      <c r="G348">
        <v>7.4</v>
      </c>
      <c r="I348" t="s">
        <v>355</v>
      </c>
      <c r="J348" t="s">
        <v>92</v>
      </c>
      <c r="K348" t="s">
        <v>1515</v>
      </c>
      <c r="L348">
        <v>342049</v>
      </c>
      <c r="M348">
        <v>164.65</v>
      </c>
    </row>
    <row r="349" spans="1:13" x14ac:dyDescent="0.3">
      <c r="A349" t="s">
        <v>1516</v>
      </c>
      <c r="B349" t="s">
        <v>1517</v>
      </c>
      <c r="C349">
        <v>2000</v>
      </c>
      <c r="D349" t="s">
        <v>24</v>
      </c>
      <c r="E349">
        <v>127</v>
      </c>
      <c r="F349" t="s">
        <v>210</v>
      </c>
      <c r="G349">
        <v>7.4</v>
      </c>
      <c r="H349">
        <v>66</v>
      </c>
      <c r="I349" t="s">
        <v>1518</v>
      </c>
      <c r="J349" t="s">
        <v>57</v>
      </c>
      <c r="K349" t="s">
        <v>1519</v>
      </c>
      <c r="L349">
        <v>29004</v>
      </c>
      <c r="M349">
        <v>272.04000000000002</v>
      </c>
    </row>
    <row r="350" spans="1:13" x14ac:dyDescent="0.3">
      <c r="A350" t="s">
        <v>1520</v>
      </c>
      <c r="B350" t="s">
        <v>1521</v>
      </c>
      <c r="C350">
        <v>2009</v>
      </c>
      <c r="D350" t="s">
        <v>17</v>
      </c>
      <c r="E350">
        <v>135</v>
      </c>
      <c r="F350" t="s">
        <v>263</v>
      </c>
      <c r="G350">
        <v>7.4</v>
      </c>
      <c r="I350" t="s">
        <v>962</v>
      </c>
      <c r="J350" t="s">
        <v>159</v>
      </c>
      <c r="K350" t="s">
        <v>1522</v>
      </c>
      <c r="L350">
        <v>958297</v>
      </c>
      <c r="M350">
        <v>393.93</v>
      </c>
    </row>
    <row r="351" spans="1:13" x14ac:dyDescent="0.3">
      <c r="A351" t="s">
        <v>1523</v>
      </c>
      <c r="B351" t="s">
        <v>1524</v>
      </c>
      <c r="C351">
        <v>2003</v>
      </c>
      <c r="D351" t="s">
        <v>17</v>
      </c>
      <c r="E351">
        <v>116</v>
      </c>
      <c r="F351" t="s">
        <v>1525</v>
      </c>
      <c r="G351">
        <v>7.4</v>
      </c>
      <c r="H351">
        <v>79</v>
      </c>
      <c r="I351" t="s">
        <v>852</v>
      </c>
      <c r="J351" t="s">
        <v>92</v>
      </c>
      <c r="K351" t="s">
        <v>1526</v>
      </c>
      <c r="L351">
        <v>69362</v>
      </c>
      <c r="M351">
        <v>392.36</v>
      </c>
    </row>
    <row r="352" spans="1:13" x14ac:dyDescent="0.3">
      <c r="A352" t="s">
        <v>1527</v>
      </c>
      <c r="B352" t="s">
        <v>1528</v>
      </c>
      <c r="C352">
        <v>1949</v>
      </c>
      <c r="D352" t="s">
        <v>17</v>
      </c>
      <c r="E352">
        <v>121</v>
      </c>
      <c r="F352" t="s">
        <v>1529</v>
      </c>
      <c r="G352">
        <v>7.4</v>
      </c>
      <c r="I352" t="s">
        <v>1530</v>
      </c>
      <c r="J352" t="s">
        <v>27</v>
      </c>
      <c r="K352" t="s">
        <v>1531</v>
      </c>
      <c r="L352">
        <v>25839</v>
      </c>
    </row>
    <row r="353" spans="1:13" x14ac:dyDescent="0.3">
      <c r="A353" t="s">
        <v>1532</v>
      </c>
      <c r="B353" t="s">
        <v>1533</v>
      </c>
      <c r="C353">
        <v>1942</v>
      </c>
      <c r="D353" t="s">
        <v>293</v>
      </c>
      <c r="E353">
        <v>124</v>
      </c>
      <c r="F353" t="s">
        <v>1081</v>
      </c>
      <c r="G353">
        <v>7.4</v>
      </c>
      <c r="H353">
        <v>79</v>
      </c>
      <c r="I353" t="s">
        <v>435</v>
      </c>
      <c r="J353" t="s">
        <v>196</v>
      </c>
      <c r="K353" t="s">
        <v>1534</v>
      </c>
      <c r="L353">
        <v>4899</v>
      </c>
    </row>
    <row r="354" spans="1:13" x14ac:dyDescent="0.3">
      <c r="A354" t="s">
        <v>1535</v>
      </c>
      <c r="B354" t="s">
        <v>1536</v>
      </c>
      <c r="C354">
        <v>2007</v>
      </c>
      <c r="D354" t="s">
        <v>17</v>
      </c>
      <c r="E354">
        <v>139</v>
      </c>
      <c r="F354" t="s">
        <v>961</v>
      </c>
      <c r="G354">
        <v>7.3</v>
      </c>
      <c r="I354" t="s">
        <v>85</v>
      </c>
      <c r="J354" t="s">
        <v>86</v>
      </c>
      <c r="K354" t="s">
        <v>1537</v>
      </c>
      <c r="L354">
        <v>79568</v>
      </c>
      <c r="M354">
        <v>79.400000000000006</v>
      </c>
    </row>
    <row r="355" spans="1:13" x14ac:dyDescent="0.3">
      <c r="A355" t="s">
        <v>1538</v>
      </c>
      <c r="B355" t="s">
        <v>1539</v>
      </c>
      <c r="C355">
        <v>2015</v>
      </c>
      <c r="D355" t="s">
        <v>24</v>
      </c>
      <c r="E355">
        <v>95</v>
      </c>
      <c r="F355" t="s">
        <v>37</v>
      </c>
      <c r="G355">
        <v>7.3</v>
      </c>
      <c r="H355">
        <v>71</v>
      </c>
      <c r="I355" t="s">
        <v>1540</v>
      </c>
      <c r="J355" t="s">
        <v>191</v>
      </c>
      <c r="K355" t="s">
        <v>1541</v>
      </c>
      <c r="L355">
        <v>171400</v>
      </c>
      <c r="M355">
        <v>257.45999999999998</v>
      </c>
    </row>
    <row r="356" spans="1:13" x14ac:dyDescent="0.3">
      <c r="A356" t="s">
        <v>1542</v>
      </c>
      <c r="B356" t="s">
        <v>1543</v>
      </c>
      <c r="C356">
        <v>2014</v>
      </c>
      <c r="D356" t="s">
        <v>54</v>
      </c>
      <c r="E356">
        <v>131</v>
      </c>
      <c r="F356" t="s">
        <v>1544</v>
      </c>
      <c r="G356">
        <v>7.3</v>
      </c>
      <c r="H356">
        <v>69</v>
      </c>
      <c r="I356" t="s">
        <v>38</v>
      </c>
      <c r="J356" t="s">
        <v>608</v>
      </c>
      <c r="K356" t="s">
        <v>1545</v>
      </c>
      <c r="L356">
        <v>215372</v>
      </c>
      <c r="M356">
        <v>375.78</v>
      </c>
    </row>
    <row r="357" spans="1:13" x14ac:dyDescent="0.3">
      <c r="A357" t="s">
        <v>1546</v>
      </c>
      <c r="B357" t="s">
        <v>1547</v>
      </c>
      <c r="C357">
        <v>2000</v>
      </c>
      <c r="D357" t="s">
        <v>17</v>
      </c>
      <c r="E357">
        <v>156</v>
      </c>
      <c r="F357" t="s">
        <v>1548</v>
      </c>
      <c r="G357">
        <v>7.3</v>
      </c>
      <c r="H357">
        <v>80</v>
      </c>
      <c r="I357" t="s">
        <v>338</v>
      </c>
      <c r="J357" t="s">
        <v>27</v>
      </c>
      <c r="K357" t="s">
        <v>1549</v>
      </c>
      <c r="L357">
        <v>34928</v>
      </c>
      <c r="M357">
        <v>94.93</v>
      </c>
    </row>
    <row r="358" spans="1:13" x14ac:dyDescent="0.3">
      <c r="A358" t="s">
        <v>1550</v>
      </c>
      <c r="B358" t="s">
        <v>1551</v>
      </c>
      <c r="C358">
        <v>2004</v>
      </c>
      <c r="D358" t="s">
        <v>54</v>
      </c>
      <c r="E358">
        <v>132</v>
      </c>
      <c r="F358" t="s">
        <v>235</v>
      </c>
      <c r="G358">
        <v>7.3</v>
      </c>
      <c r="H358">
        <v>83</v>
      </c>
      <c r="I358" t="s">
        <v>1552</v>
      </c>
      <c r="J358" t="s">
        <v>315</v>
      </c>
      <c r="K358" t="s">
        <v>1553</v>
      </c>
      <c r="L358">
        <v>302903</v>
      </c>
      <c r="M358">
        <v>437.64</v>
      </c>
    </row>
    <row r="359" spans="1:13" x14ac:dyDescent="0.3">
      <c r="A359" t="s">
        <v>1554</v>
      </c>
      <c r="B359" t="s">
        <v>1555</v>
      </c>
      <c r="C359">
        <v>2016</v>
      </c>
      <c r="D359" t="s">
        <v>54</v>
      </c>
      <c r="E359">
        <v>111</v>
      </c>
      <c r="F359" t="s">
        <v>72</v>
      </c>
      <c r="G359">
        <v>7.3</v>
      </c>
      <c r="I359" t="s">
        <v>1556</v>
      </c>
      <c r="J359" t="s">
        <v>153</v>
      </c>
      <c r="K359" t="s">
        <v>1557</v>
      </c>
      <c r="L359">
        <v>40565</v>
      </c>
      <c r="M359">
        <v>206.1</v>
      </c>
    </row>
    <row r="360" spans="1:13" x14ac:dyDescent="0.3">
      <c r="A360" t="s">
        <v>1558</v>
      </c>
      <c r="B360" t="s">
        <v>1559</v>
      </c>
      <c r="C360">
        <v>2022</v>
      </c>
      <c r="D360" t="s">
        <v>24</v>
      </c>
      <c r="E360">
        <v>134</v>
      </c>
      <c r="F360" t="s">
        <v>1560</v>
      </c>
      <c r="G360">
        <v>7.3</v>
      </c>
      <c r="H360">
        <v>75</v>
      </c>
      <c r="I360" t="s">
        <v>422</v>
      </c>
      <c r="J360" t="s">
        <v>368</v>
      </c>
      <c r="K360" t="s">
        <v>1561</v>
      </c>
      <c r="L360">
        <v>22874</v>
      </c>
    </row>
    <row r="361" spans="1:13" x14ac:dyDescent="0.3">
      <c r="A361" t="s">
        <v>1562</v>
      </c>
      <c r="B361" t="s">
        <v>1563</v>
      </c>
      <c r="C361">
        <v>2000</v>
      </c>
      <c r="D361" t="s">
        <v>169</v>
      </c>
      <c r="E361">
        <v>122</v>
      </c>
      <c r="F361" t="s">
        <v>375</v>
      </c>
      <c r="G361">
        <v>7.3</v>
      </c>
      <c r="H361">
        <v>59</v>
      </c>
      <c r="I361" t="s">
        <v>381</v>
      </c>
      <c r="J361" t="s">
        <v>86</v>
      </c>
      <c r="K361" t="s">
        <v>1564</v>
      </c>
      <c r="L361">
        <v>174106</v>
      </c>
      <c r="M361">
        <v>124.01</v>
      </c>
    </row>
    <row r="362" spans="1:13" x14ac:dyDescent="0.3">
      <c r="A362" t="s">
        <v>1565</v>
      </c>
      <c r="B362" t="s">
        <v>1566</v>
      </c>
      <c r="C362">
        <v>2005</v>
      </c>
      <c r="D362" t="s">
        <v>54</v>
      </c>
      <c r="E362">
        <v>126</v>
      </c>
      <c r="F362" t="s">
        <v>1567</v>
      </c>
      <c r="G362">
        <v>7.3</v>
      </c>
      <c r="H362">
        <v>87</v>
      </c>
      <c r="I362" t="s">
        <v>491</v>
      </c>
      <c r="J362" t="s">
        <v>191</v>
      </c>
      <c r="K362" t="s">
        <v>1568</v>
      </c>
      <c r="L362">
        <v>255832</v>
      </c>
      <c r="M362">
        <v>190.34</v>
      </c>
    </row>
    <row r="363" spans="1:13" x14ac:dyDescent="0.3">
      <c r="A363" t="s">
        <v>1569</v>
      </c>
      <c r="B363" t="s">
        <v>1570</v>
      </c>
      <c r="C363">
        <v>2014</v>
      </c>
      <c r="D363" t="s">
        <v>24</v>
      </c>
      <c r="E363">
        <v>128</v>
      </c>
      <c r="F363" t="s">
        <v>1571</v>
      </c>
      <c r="G363">
        <v>7.3</v>
      </c>
      <c r="H363">
        <v>64</v>
      </c>
      <c r="I363" t="s">
        <v>201</v>
      </c>
      <c r="J363" t="s">
        <v>103</v>
      </c>
      <c r="K363" t="s">
        <v>1572</v>
      </c>
      <c r="L363">
        <v>1309054</v>
      </c>
      <c r="M363">
        <v>350.03</v>
      </c>
    </row>
    <row r="364" spans="1:13" x14ac:dyDescent="0.3">
      <c r="A364" t="s">
        <v>1573</v>
      </c>
      <c r="B364" t="s">
        <v>1574</v>
      </c>
      <c r="C364">
        <v>2015</v>
      </c>
      <c r="D364" t="s">
        <v>17</v>
      </c>
      <c r="E364">
        <v>130</v>
      </c>
      <c r="F364" t="s">
        <v>1575</v>
      </c>
      <c r="G364">
        <v>7.3</v>
      </c>
      <c r="I364" t="s">
        <v>19</v>
      </c>
      <c r="J364" t="s">
        <v>608</v>
      </c>
      <c r="K364" t="s">
        <v>1576</v>
      </c>
      <c r="L364">
        <v>40846</v>
      </c>
    </row>
    <row r="365" spans="1:13" x14ac:dyDescent="0.3">
      <c r="A365" t="s">
        <v>1577</v>
      </c>
      <c r="B365" t="s">
        <v>1578</v>
      </c>
      <c r="C365">
        <v>2019</v>
      </c>
      <c r="D365" t="s">
        <v>17</v>
      </c>
      <c r="E365">
        <v>120</v>
      </c>
      <c r="F365" t="s">
        <v>556</v>
      </c>
      <c r="G365">
        <v>7.3</v>
      </c>
      <c r="H365">
        <v>71</v>
      </c>
      <c r="I365" t="s">
        <v>435</v>
      </c>
      <c r="J365" t="s">
        <v>92</v>
      </c>
      <c r="K365" t="s">
        <v>1579</v>
      </c>
      <c r="L365">
        <v>1347</v>
      </c>
      <c r="M365">
        <v>385.4</v>
      </c>
    </row>
    <row r="366" spans="1:13" x14ac:dyDescent="0.3">
      <c r="A366" t="s">
        <v>1580</v>
      </c>
      <c r="B366" t="s">
        <v>1581</v>
      </c>
      <c r="C366">
        <v>2010</v>
      </c>
      <c r="D366" t="s">
        <v>54</v>
      </c>
      <c r="E366">
        <v>120</v>
      </c>
      <c r="F366" t="s">
        <v>1582</v>
      </c>
      <c r="G366">
        <v>7.3</v>
      </c>
      <c r="H366">
        <v>62</v>
      </c>
      <c r="I366" t="s">
        <v>305</v>
      </c>
      <c r="J366" t="s">
        <v>251</v>
      </c>
      <c r="K366" t="s">
        <v>1583</v>
      </c>
      <c r="L366">
        <v>10186</v>
      </c>
      <c r="M366">
        <v>195.21</v>
      </c>
    </row>
    <row r="367" spans="1:13" x14ac:dyDescent="0.3">
      <c r="A367" t="s">
        <v>1584</v>
      </c>
      <c r="B367" t="s">
        <v>1585</v>
      </c>
      <c r="C367">
        <v>2021</v>
      </c>
      <c r="D367" t="s">
        <v>24</v>
      </c>
      <c r="E367">
        <v>114</v>
      </c>
      <c r="F367" t="s">
        <v>1586</v>
      </c>
      <c r="G367">
        <v>7.3</v>
      </c>
      <c r="H367">
        <v>77</v>
      </c>
      <c r="I367" t="s">
        <v>1587</v>
      </c>
      <c r="J367" t="s">
        <v>113</v>
      </c>
      <c r="K367" t="s">
        <v>1588</v>
      </c>
      <c r="L367">
        <v>29367</v>
      </c>
      <c r="M367">
        <v>81.069999999999993</v>
      </c>
    </row>
    <row r="368" spans="1:13" x14ac:dyDescent="0.3">
      <c r="A368" t="s">
        <v>1589</v>
      </c>
      <c r="B368" t="s">
        <v>1590</v>
      </c>
      <c r="C368">
        <v>2002</v>
      </c>
      <c r="D368" t="s">
        <v>17</v>
      </c>
      <c r="E368">
        <v>136</v>
      </c>
      <c r="F368" t="s">
        <v>1591</v>
      </c>
      <c r="G368">
        <v>7.3</v>
      </c>
      <c r="I368" t="s">
        <v>566</v>
      </c>
      <c r="J368" t="s">
        <v>315</v>
      </c>
      <c r="K368" t="s">
        <v>1592</v>
      </c>
      <c r="L368">
        <v>41839</v>
      </c>
      <c r="M368">
        <v>423.87</v>
      </c>
    </row>
    <row r="369" spans="1:13" x14ac:dyDescent="0.3">
      <c r="A369" t="s">
        <v>1593</v>
      </c>
      <c r="B369" t="s">
        <v>1594</v>
      </c>
      <c r="C369">
        <v>2012</v>
      </c>
      <c r="D369" t="s">
        <v>17</v>
      </c>
      <c r="E369">
        <v>108</v>
      </c>
      <c r="F369" t="s">
        <v>1595</v>
      </c>
      <c r="G369">
        <v>7.3</v>
      </c>
      <c r="H369">
        <v>86</v>
      </c>
      <c r="I369" t="s">
        <v>278</v>
      </c>
      <c r="J369" t="s">
        <v>153</v>
      </c>
      <c r="K369" t="s">
        <v>1596</v>
      </c>
      <c r="L369">
        <v>732967</v>
      </c>
    </row>
    <row r="370" spans="1:13" x14ac:dyDescent="0.3">
      <c r="A370" t="s">
        <v>1597</v>
      </c>
      <c r="B370" t="s">
        <v>1598</v>
      </c>
      <c r="C370">
        <v>2005</v>
      </c>
      <c r="D370" t="s">
        <v>17</v>
      </c>
      <c r="E370">
        <v>137</v>
      </c>
      <c r="F370" t="s">
        <v>902</v>
      </c>
      <c r="G370">
        <v>7.3</v>
      </c>
      <c r="H370">
        <v>65</v>
      </c>
      <c r="I370" t="s">
        <v>164</v>
      </c>
      <c r="J370" t="s">
        <v>547</v>
      </c>
      <c r="K370" t="s">
        <v>1599</v>
      </c>
      <c r="L370">
        <v>126880</v>
      </c>
    </row>
    <row r="371" spans="1:13" x14ac:dyDescent="0.3">
      <c r="A371" t="s">
        <v>1600</v>
      </c>
      <c r="B371" t="s">
        <v>1601</v>
      </c>
      <c r="C371">
        <v>2006</v>
      </c>
      <c r="D371" t="s">
        <v>54</v>
      </c>
      <c r="E371">
        <v>109</v>
      </c>
      <c r="F371" t="s">
        <v>210</v>
      </c>
      <c r="G371">
        <v>7.3</v>
      </c>
      <c r="H371">
        <v>59</v>
      </c>
      <c r="I371" t="s">
        <v>1602</v>
      </c>
      <c r="J371" t="s">
        <v>524</v>
      </c>
      <c r="K371" t="s">
        <v>1603</v>
      </c>
      <c r="L371">
        <v>383626</v>
      </c>
      <c r="M371">
        <v>53.03</v>
      </c>
    </row>
    <row r="372" spans="1:13" x14ac:dyDescent="0.3">
      <c r="A372" t="s">
        <v>1604</v>
      </c>
      <c r="B372" t="s">
        <v>1605</v>
      </c>
      <c r="C372">
        <v>2004</v>
      </c>
      <c r="D372" t="s">
        <v>54</v>
      </c>
      <c r="E372">
        <v>123</v>
      </c>
      <c r="F372" t="s">
        <v>1606</v>
      </c>
      <c r="G372">
        <v>7.3</v>
      </c>
      <c r="H372">
        <v>67</v>
      </c>
      <c r="I372" t="s">
        <v>1607</v>
      </c>
      <c r="J372" t="s">
        <v>147</v>
      </c>
      <c r="K372" t="s">
        <v>1608</v>
      </c>
      <c r="L372">
        <v>10266</v>
      </c>
    </row>
    <row r="373" spans="1:13" x14ac:dyDescent="0.3">
      <c r="A373" t="s">
        <v>1609</v>
      </c>
      <c r="B373" t="s">
        <v>1610</v>
      </c>
      <c r="C373">
        <v>2002</v>
      </c>
      <c r="D373" t="s">
        <v>24</v>
      </c>
      <c r="E373">
        <v>132</v>
      </c>
      <c r="F373" t="s">
        <v>466</v>
      </c>
      <c r="G373">
        <v>7.3</v>
      </c>
      <c r="H373">
        <v>81</v>
      </c>
      <c r="I373" t="s">
        <v>269</v>
      </c>
      <c r="J373" t="s">
        <v>57</v>
      </c>
      <c r="K373" t="s">
        <v>1611</v>
      </c>
      <c r="L373">
        <v>37634</v>
      </c>
      <c r="M373">
        <v>477.8</v>
      </c>
    </row>
    <row r="374" spans="1:13" x14ac:dyDescent="0.3">
      <c r="A374" t="s">
        <v>1612</v>
      </c>
      <c r="B374" t="s">
        <v>1613</v>
      </c>
      <c r="C374">
        <v>2008</v>
      </c>
      <c r="D374" t="s">
        <v>285</v>
      </c>
      <c r="E374">
        <v>116</v>
      </c>
      <c r="F374" t="s">
        <v>1299</v>
      </c>
      <c r="G374">
        <v>7.3</v>
      </c>
      <c r="I374" t="s">
        <v>1614</v>
      </c>
      <c r="J374" t="s">
        <v>86</v>
      </c>
      <c r="K374" t="s">
        <v>1615</v>
      </c>
      <c r="L374">
        <v>226722</v>
      </c>
      <c r="M374">
        <v>100.44</v>
      </c>
    </row>
    <row r="375" spans="1:13" x14ac:dyDescent="0.3">
      <c r="A375" t="s">
        <v>1616</v>
      </c>
      <c r="B375" t="s">
        <v>1617</v>
      </c>
      <c r="C375">
        <v>2004</v>
      </c>
      <c r="D375" t="s">
        <v>54</v>
      </c>
      <c r="E375">
        <v>121</v>
      </c>
      <c r="F375" t="s">
        <v>1618</v>
      </c>
      <c r="G375">
        <v>7.3</v>
      </c>
      <c r="I375" t="s">
        <v>1619</v>
      </c>
      <c r="J375" t="s">
        <v>63</v>
      </c>
      <c r="K375" t="s">
        <v>1620</v>
      </c>
      <c r="L375">
        <v>5745</v>
      </c>
      <c r="M375">
        <v>201.39</v>
      </c>
    </row>
    <row r="376" spans="1:13" x14ac:dyDescent="0.3">
      <c r="A376" t="s">
        <v>1621</v>
      </c>
      <c r="B376" t="s">
        <v>1622</v>
      </c>
      <c r="C376">
        <v>2024</v>
      </c>
      <c r="D376" t="s">
        <v>17</v>
      </c>
      <c r="E376">
        <v>125</v>
      </c>
      <c r="F376" t="s">
        <v>1571</v>
      </c>
      <c r="G376">
        <v>7.3</v>
      </c>
      <c r="I376" t="s">
        <v>1623</v>
      </c>
      <c r="J376" t="s">
        <v>196</v>
      </c>
      <c r="K376" t="s">
        <v>1624</v>
      </c>
      <c r="L376">
        <v>79214</v>
      </c>
      <c r="M376">
        <v>234.44</v>
      </c>
    </row>
    <row r="377" spans="1:13" x14ac:dyDescent="0.3">
      <c r="A377" t="s">
        <v>1625</v>
      </c>
      <c r="B377" t="s">
        <v>1626</v>
      </c>
      <c r="C377">
        <v>2010</v>
      </c>
      <c r="D377" t="s">
        <v>24</v>
      </c>
      <c r="E377">
        <v>146</v>
      </c>
      <c r="F377" t="s">
        <v>1627</v>
      </c>
      <c r="G377">
        <v>7.3</v>
      </c>
      <c r="I377" t="s">
        <v>395</v>
      </c>
      <c r="J377" t="s">
        <v>251</v>
      </c>
      <c r="K377" t="s">
        <v>1628</v>
      </c>
      <c r="L377">
        <v>118637</v>
      </c>
    </row>
    <row r="378" spans="1:13" x14ac:dyDescent="0.3">
      <c r="A378" t="s">
        <v>1629</v>
      </c>
      <c r="B378" t="s">
        <v>1630</v>
      </c>
      <c r="C378">
        <v>2022</v>
      </c>
      <c r="D378" t="s">
        <v>24</v>
      </c>
      <c r="E378">
        <v>130</v>
      </c>
      <c r="F378" t="s">
        <v>55</v>
      </c>
      <c r="G378">
        <v>7.3</v>
      </c>
      <c r="I378" t="s">
        <v>1631</v>
      </c>
      <c r="J378" t="s">
        <v>251</v>
      </c>
      <c r="K378" t="s">
        <v>1632</v>
      </c>
      <c r="L378">
        <v>299168</v>
      </c>
      <c r="M378">
        <v>319.23</v>
      </c>
    </row>
    <row r="379" spans="1:13" x14ac:dyDescent="0.3">
      <c r="A379" t="s">
        <v>1633</v>
      </c>
      <c r="B379" t="s">
        <v>1634</v>
      </c>
      <c r="C379">
        <v>2006</v>
      </c>
      <c r="D379" t="s">
        <v>24</v>
      </c>
      <c r="E379">
        <v>89</v>
      </c>
      <c r="F379" t="s">
        <v>1635</v>
      </c>
      <c r="G379">
        <v>7.3</v>
      </c>
      <c r="I379" t="s">
        <v>124</v>
      </c>
      <c r="J379" t="s">
        <v>221</v>
      </c>
      <c r="K379" t="s">
        <v>1636</v>
      </c>
      <c r="L379">
        <v>141221</v>
      </c>
      <c r="M379">
        <v>413.99</v>
      </c>
    </row>
    <row r="380" spans="1:13" x14ac:dyDescent="0.3">
      <c r="A380" t="s">
        <v>1637</v>
      </c>
      <c r="B380" t="s">
        <v>1638</v>
      </c>
      <c r="C380">
        <v>2006</v>
      </c>
      <c r="D380" t="s">
        <v>169</v>
      </c>
      <c r="E380">
        <v>125</v>
      </c>
      <c r="F380" t="s">
        <v>1639</v>
      </c>
      <c r="G380">
        <v>7.3</v>
      </c>
      <c r="H380">
        <v>64</v>
      </c>
      <c r="I380" t="s">
        <v>305</v>
      </c>
      <c r="J380" t="s">
        <v>593</v>
      </c>
      <c r="K380" t="s">
        <v>1640</v>
      </c>
      <c r="L380">
        <v>99796</v>
      </c>
    </row>
    <row r="381" spans="1:13" x14ac:dyDescent="0.3">
      <c r="A381" t="s">
        <v>1641</v>
      </c>
      <c r="B381" t="s">
        <v>1642</v>
      </c>
      <c r="C381">
        <v>2006</v>
      </c>
      <c r="D381" t="s">
        <v>24</v>
      </c>
      <c r="E381">
        <v>125</v>
      </c>
      <c r="F381" t="s">
        <v>1643</v>
      </c>
      <c r="G381">
        <v>7.3</v>
      </c>
      <c r="I381" t="s">
        <v>1644</v>
      </c>
      <c r="J381" t="s">
        <v>165</v>
      </c>
      <c r="K381" t="s">
        <v>1645</v>
      </c>
      <c r="L381">
        <v>5587</v>
      </c>
      <c r="M381">
        <v>21.88</v>
      </c>
    </row>
    <row r="382" spans="1:13" x14ac:dyDescent="0.3">
      <c r="A382" t="s">
        <v>1646</v>
      </c>
      <c r="B382" t="s">
        <v>1647</v>
      </c>
      <c r="C382">
        <v>1997</v>
      </c>
      <c r="D382" t="s">
        <v>285</v>
      </c>
      <c r="E382">
        <v>106</v>
      </c>
      <c r="F382" t="s">
        <v>157</v>
      </c>
      <c r="G382">
        <v>7.3</v>
      </c>
      <c r="H382">
        <v>65</v>
      </c>
      <c r="I382" t="s">
        <v>1648</v>
      </c>
      <c r="J382" t="s">
        <v>165</v>
      </c>
      <c r="K382" t="s">
        <v>1649</v>
      </c>
      <c r="L382">
        <v>19055</v>
      </c>
      <c r="M382">
        <v>206.95</v>
      </c>
    </row>
    <row r="383" spans="1:13" x14ac:dyDescent="0.3">
      <c r="A383" t="s">
        <v>1650</v>
      </c>
      <c r="B383" t="s">
        <v>1651</v>
      </c>
      <c r="C383">
        <v>2004</v>
      </c>
      <c r="D383" t="s">
        <v>17</v>
      </c>
      <c r="E383">
        <v>121</v>
      </c>
      <c r="F383" t="s">
        <v>225</v>
      </c>
      <c r="G383">
        <v>7.3</v>
      </c>
      <c r="I383" t="s">
        <v>1652</v>
      </c>
      <c r="J383" t="s">
        <v>57</v>
      </c>
      <c r="K383" t="s">
        <v>1653</v>
      </c>
      <c r="L383">
        <v>53865</v>
      </c>
      <c r="M383">
        <v>376.85</v>
      </c>
    </row>
    <row r="384" spans="1:13" x14ac:dyDescent="0.3">
      <c r="A384" t="s">
        <v>1654</v>
      </c>
      <c r="B384" t="s">
        <v>1655</v>
      </c>
      <c r="C384">
        <v>2022</v>
      </c>
      <c r="D384" t="s">
        <v>24</v>
      </c>
      <c r="E384">
        <v>119</v>
      </c>
      <c r="F384" t="s">
        <v>1656</v>
      </c>
      <c r="G384">
        <v>7.3</v>
      </c>
      <c r="H384">
        <v>69</v>
      </c>
      <c r="I384" t="s">
        <v>269</v>
      </c>
      <c r="J384" t="s">
        <v>547</v>
      </c>
      <c r="K384" t="s">
        <v>1657</v>
      </c>
      <c r="L384">
        <v>163163</v>
      </c>
      <c r="M384">
        <v>123.14</v>
      </c>
    </row>
    <row r="385" spans="1:13" x14ac:dyDescent="0.3">
      <c r="A385" t="s">
        <v>1658</v>
      </c>
      <c r="B385" t="s">
        <v>1659</v>
      </c>
      <c r="C385">
        <v>2008</v>
      </c>
      <c r="D385" t="s">
        <v>24</v>
      </c>
      <c r="E385">
        <v>129</v>
      </c>
      <c r="F385" t="s">
        <v>277</v>
      </c>
      <c r="G385">
        <v>7.3</v>
      </c>
      <c r="I385" t="s">
        <v>1660</v>
      </c>
      <c r="J385" t="s">
        <v>68</v>
      </c>
      <c r="K385" t="s">
        <v>1661</v>
      </c>
      <c r="L385">
        <v>117191</v>
      </c>
      <c r="M385">
        <v>157.81</v>
      </c>
    </row>
    <row r="386" spans="1:13" x14ac:dyDescent="0.3">
      <c r="A386" t="s">
        <v>1662</v>
      </c>
      <c r="B386" t="s">
        <v>1663</v>
      </c>
      <c r="C386">
        <v>2016</v>
      </c>
      <c r="D386" t="s">
        <v>54</v>
      </c>
      <c r="E386">
        <v>106</v>
      </c>
      <c r="F386" t="s">
        <v>1664</v>
      </c>
      <c r="G386">
        <v>7.3</v>
      </c>
      <c r="H386">
        <v>70</v>
      </c>
      <c r="I386" t="s">
        <v>19</v>
      </c>
      <c r="J386" t="s">
        <v>74</v>
      </c>
      <c r="K386" t="s">
        <v>1665</v>
      </c>
      <c r="L386">
        <v>88491</v>
      </c>
      <c r="M386">
        <v>486.65</v>
      </c>
    </row>
    <row r="387" spans="1:13" x14ac:dyDescent="0.3">
      <c r="A387" t="s">
        <v>1666</v>
      </c>
      <c r="B387" t="s">
        <v>1667</v>
      </c>
      <c r="C387">
        <v>2008</v>
      </c>
      <c r="D387" t="s">
        <v>24</v>
      </c>
      <c r="E387">
        <v>95</v>
      </c>
      <c r="F387" t="s">
        <v>1668</v>
      </c>
      <c r="G387">
        <v>7.3</v>
      </c>
      <c r="H387">
        <v>88</v>
      </c>
      <c r="I387" t="s">
        <v>136</v>
      </c>
      <c r="J387" t="s">
        <v>718</v>
      </c>
      <c r="K387" t="s">
        <v>1669</v>
      </c>
      <c r="L387">
        <v>153038</v>
      </c>
      <c r="M387">
        <v>278.48</v>
      </c>
    </row>
    <row r="388" spans="1:13" x14ac:dyDescent="0.3">
      <c r="A388" t="s">
        <v>1670</v>
      </c>
      <c r="B388" t="s">
        <v>1671</v>
      </c>
      <c r="C388">
        <v>2000</v>
      </c>
      <c r="D388" t="s">
        <v>17</v>
      </c>
      <c r="E388">
        <v>102</v>
      </c>
      <c r="F388" t="s">
        <v>48</v>
      </c>
      <c r="G388">
        <v>7.3</v>
      </c>
      <c r="H388">
        <v>59</v>
      </c>
      <c r="I388" t="s">
        <v>1672</v>
      </c>
      <c r="J388" t="s">
        <v>74</v>
      </c>
      <c r="K388" t="s">
        <v>1673</v>
      </c>
      <c r="L388">
        <v>14435</v>
      </c>
    </row>
    <row r="389" spans="1:13" x14ac:dyDescent="0.3">
      <c r="A389" t="s">
        <v>1674</v>
      </c>
      <c r="B389" t="s">
        <v>1675</v>
      </c>
      <c r="C389">
        <v>2013</v>
      </c>
      <c r="D389" t="s">
        <v>24</v>
      </c>
      <c r="E389">
        <v>107</v>
      </c>
      <c r="F389" t="s">
        <v>1676</v>
      </c>
      <c r="G389">
        <v>7.2</v>
      </c>
      <c r="I389" t="s">
        <v>1677</v>
      </c>
      <c r="J389" t="s">
        <v>63</v>
      </c>
      <c r="K389" t="s">
        <v>1678</v>
      </c>
      <c r="L389">
        <v>125623</v>
      </c>
      <c r="M389">
        <v>83.13</v>
      </c>
    </row>
    <row r="390" spans="1:13" x14ac:dyDescent="0.3">
      <c r="A390" t="s">
        <v>1679</v>
      </c>
      <c r="B390" t="s">
        <v>1680</v>
      </c>
      <c r="C390">
        <v>2013</v>
      </c>
      <c r="D390" t="s">
        <v>17</v>
      </c>
      <c r="E390">
        <v>127</v>
      </c>
      <c r="F390" t="s">
        <v>606</v>
      </c>
      <c r="G390">
        <v>7.2</v>
      </c>
      <c r="I390" t="s">
        <v>250</v>
      </c>
      <c r="J390" t="s">
        <v>63</v>
      </c>
      <c r="K390" t="s">
        <v>1681</v>
      </c>
      <c r="L390">
        <v>3322</v>
      </c>
      <c r="M390">
        <v>384.56</v>
      </c>
    </row>
    <row r="391" spans="1:13" x14ac:dyDescent="0.3">
      <c r="A391" t="s">
        <v>1682</v>
      </c>
      <c r="B391" t="s">
        <v>1683</v>
      </c>
      <c r="C391">
        <v>2021</v>
      </c>
      <c r="D391" t="s">
        <v>54</v>
      </c>
      <c r="E391">
        <v>118</v>
      </c>
      <c r="F391" t="s">
        <v>210</v>
      </c>
      <c r="G391">
        <v>7.2</v>
      </c>
      <c r="H391">
        <v>60</v>
      </c>
      <c r="I391" t="s">
        <v>19</v>
      </c>
      <c r="J391" t="s">
        <v>63</v>
      </c>
      <c r="K391" t="s">
        <v>1684</v>
      </c>
      <c r="L391">
        <v>222298</v>
      </c>
      <c r="M391">
        <v>249.57</v>
      </c>
    </row>
    <row r="392" spans="1:13" x14ac:dyDescent="0.3">
      <c r="A392" t="s">
        <v>1685</v>
      </c>
      <c r="B392" t="s">
        <v>1686</v>
      </c>
      <c r="C392">
        <v>2019</v>
      </c>
      <c r="D392" t="s">
        <v>24</v>
      </c>
      <c r="E392">
        <v>139</v>
      </c>
      <c r="F392" t="s">
        <v>1687</v>
      </c>
      <c r="G392">
        <v>7.2</v>
      </c>
      <c r="I392" t="s">
        <v>634</v>
      </c>
      <c r="J392" t="s">
        <v>113</v>
      </c>
      <c r="K392" t="s">
        <v>1688</v>
      </c>
      <c r="L392">
        <v>22712</v>
      </c>
    </row>
    <row r="393" spans="1:13" x14ac:dyDescent="0.3">
      <c r="A393" t="s">
        <v>1689</v>
      </c>
      <c r="B393" t="s">
        <v>1690</v>
      </c>
      <c r="C393">
        <v>2022</v>
      </c>
      <c r="D393" t="s">
        <v>17</v>
      </c>
      <c r="E393">
        <v>133</v>
      </c>
      <c r="F393" t="s">
        <v>1691</v>
      </c>
      <c r="G393">
        <v>7.2</v>
      </c>
      <c r="H393">
        <v>57</v>
      </c>
      <c r="I393" t="s">
        <v>566</v>
      </c>
      <c r="J393" t="s">
        <v>165</v>
      </c>
      <c r="K393" t="s">
        <v>1692</v>
      </c>
      <c r="L393">
        <v>125245</v>
      </c>
    </row>
    <row r="394" spans="1:13" x14ac:dyDescent="0.3">
      <c r="A394" t="s">
        <v>1693</v>
      </c>
      <c r="B394" t="s">
        <v>1694</v>
      </c>
      <c r="C394">
        <v>2014</v>
      </c>
      <c r="D394" t="s">
        <v>54</v>
      </c>
      <c r="E394">
        <v>84</v>
      </c>
      <c r="F394" t="s">
        <v>1695</v>
      </c>
      <c r="G394">
        <v>7.2</v>
      </c>
      <c r="H394">
        <v>62</v>
      </c>
      <c r="I394" t="s">
        <v>1696</v>
      </c>
      <c r="J394" t="s">
        <v>39</v>
      </c>
      <c r="K394" t="s">
        <v>1697</v>
      </c>
      <c r="L394">
        <v>12783</v>
      </c>
      <c r="M394">
        <v>225.86</v>
      </c>
    </row>
    <row r="395" spans="1:13" x14ac:dyDescent="0.3">
      <c r="A395" t="s">
        <v>1698</v>
      </c>
      <c r="B395" t="s">
        <v>1699</v>
      </c>
      <c r="C395">
        <v>2019</v>
      </c>
      <c r="D395" t="s">
        <v>293</v>
      </c>
      <c r="E395">
        <v>97</v>
      </c>
      <c r="F395" t="s">
        <v>1700</v>
      </c>
      <c r="G395">
        <v>7.2</v>
      </c>
      <c r="H395">
        <v>83</v>
      </c>
      <c r="I395" t="s">
        <v>1701</v>
      </c>
      <c r="J395" t="s">
        <v>92</v>
      </c>
      <c r="K395" t="s">
        <v>1702</v>
      </c>
      <c r="L395">
        <v>192606</v>
      </c>
    </row>
    <row r="396" spans="1:13" x14ac:dyDescent="0.3">
      <c r="A396" t="s">
        <v>1703</v>
      </c>
      <c r="B396" t="s">
        <v>1704</v>
      </c>
      <c r="C396">
        <v>2000</v>
      </c>
      <c r="D396" t="s">
        <v>17</v>
      </c>
      <c r="E396">
        <v>117</v>
      </c>
      <c r="F396" t="s">
        <v>1705</v>
      </c>
      <c r="G396">
        <v>7.2</v>
      </c>
      <c r="I396" t="s">
        <v>758</v>
      </c>
      <c r="J396" t="s">
        <v>326</v>
      </c>
      <c r="K396" t="s">
        <v>1706</v>
      </c>
      <c r="L396">
        <v>15815</v>
      </c>
    </row>
    <row r="397" spans="1:13" x14ac:dyDescent="0.3">
      <c r="A397" t="s">
        <v>1707</v>
      </c>
      <c r="B397" t="s">
        <v>1708</v>
      </c>
      <c r="C397">
        <v>2007</v>
      </c>
      <c r="D397" t="s">
        <v>169</v>
      </c>
      <c r="E397">
        <v>88</v>
      </c>
      <c r="F397" t="s">
        <v>37</v>
      </c>
      <c r="G397">
        <v>7.2</v>
      </c>
      <c r="H397">
        <v>71</v>
      </c>
      <c r="I397" t="s">
        <v>1709</v>
      </c>
      <c r="J397" t="s">
        <v>137</v>
      </c>
      <c r="K397" t="s">
        <v>1710</v>
      </c>
      <c r="L397">
        <v>1247265</v>
      </c>
    </row>
    <row r="398" spans="1:13" x14ac:dyDescent="0.3">
      <c r="A398" t="s">
        <v>1711</v>
      </c>
      <c r="B398" t="s">
        <v>1712</v>
      </c>
      <c r="C398">
        <v>2010</v>
      </c>
      <c r="D398" t="s">
        <v>17</v>
      </c>
      <c r="E398">
        <v>98</v>
      </c>
      <c r="F398" t="s">
        <v>304</v>
      </c>
      <c r="G398">
        <v>7.2</v>
      </c>
      <c r="H398">
        <v>57</v>
      </c>
      <c r="I398" t="s">
        <v>1713</v>
      </c>
      <c r="J398" t="s">
        <v>251</v>
      </c>
      <c r="K398" t="s">
        <v>1714</v>
      </c>
      <c r="L398">
        <v>45219</v>
      </c>
      <c r="M398">
        <v>96.15</v>
      </c>
    </row>
    <row r="399" spans="1:13" x14ac:dyDescent="0.3">
      <c r="A399" t="s">
        <v>1715</v>
      </c>
      <c r="B399" t="s">
        <v>1716</v>
      </c>
      <c r="C399">
        <v>2017</v>
      </c>
      <c r="D399" t="s">
        <v>24</v>
      </c>
      <c r="E399">
        <v>130</v>
      </c>
      <c r="F399" t="s">
        <v>1717</v>
      </c>
      <c r="G399">
        <v>7.2</v>
      </c>
      <c r="I399" t="s">
        <v>1718</v>
      </c>
      <c r="J399" t="s">
        <v>80</v>
      </c>
      <c r="K399" t="s">
        <v>1719</v>
      </c>
      <c r="L399">
        <v>490116</v>
      </c>
      <c r="M399">
        <v>448.96</v>
      </c>
    </row>
    <row r="400" spans="1:13" x14ac:dyDescent="0.3">
      <c r="A400" t="s">
        <v>1720</v>
      </c>
      <c r="B400" t="s">
        <v>1721</v>
      </c>
      <c r="C400">
        <v>2015</v>
      </c>
      <c r="D400" t="s">
        <v>285</v>
      </c>
      <c r="E400">
        <v>123</v>
      </c>
      <c r="F400" t="s">
        <v>1722</v>
      </c>
      <c r="G400">
        <v>7.2</v>
      </c>
      <c r="H400">
        <v>78</v>
      </c>
      <c r="I400" t="s">
        <v>1091</v>
      </c>
      <c r="J400" t="s">
        <v>103</v>
      </c>
      <c r="K400" t="s">
        <v>1723</v>
      </c>
      <c r="L400">
        <v>109802</v>
      </c>
      <c r="M400">
        <v>252.54</v>
      </c>
    </row>
    <row r="401" spans="1:13" x14ac:dyDescent="0.3">
      <c r="A401" t="s">
        <v>1724</v>
      </c>
      <c r="B401" t="s">
        <v>1725</v>
      </c>
      <c r="C401">
        <v>2015</v>
      </c>
      <c r="D401" t="s">
        <v>54</v>
      </c>
      <c r="E401">
        <v>86</v>
      </c>
      <c r="F401" t="s">
        <v>230</v>
      </c>
      <c r="G401">
        <v>7.2</v>
      </c>
      <c r="I401" t="s">
        <v>1726</v>
      </c>
      <c r="J401" t="s">
        <v>119</v>
      </c>
      <c r="K401" t="s">
        <v>1727</v>
      </c>
      <c r="L401">
        <v>81759</v>
      </c>
    </row>
    <row r="402" spans="1:13" x14ac:dyDescent="0.3">
      <c r="A402" t="s">
        <v>1728</v>
      </c>
      <c r="B402" t="s">
        <v>1729</v>
      </c>
      <c r="C402">
        <v>2013</v>
      </c>
      <c r="D402" t="s">
        <v>17</v>
      </c>
      <c r="E402">
        <v>136</v>
      </c>
      <c r="F402" t="s">
        <v>1730</v>
      </c>
      <c r="G402">
        <v>7.2</v>
      </c>
      <c r="H402">
        <v>75</v>
      </c>
      <c r="I402" t="s">
        <v>1155</v>
      </c>
      <c r="J402" t="s">
        <v>92</v>
      </c>
      <c r="K402" t="s">
        <v>1731</v>
      </c>
      <c r="L402">
        <v>53892</v>
      </c>
    </row>
    <row r="403" spans="1:13" x14ac:dyDescent="0.3">
      <c r="A403" t="s">
        <v>1732</v>
      </c>
      <c r="B403" t="s">
        <v>1733</v>
      </c>
      <c r="C403">
        <v>2019</v>
      </c>
      <c r="D403" t="s">
        <v>24</v>
      </c>
      <c r="E403">
        <v>100</v>
      </c>
      <c r="F403" t="s">
        <v>1734</v>
      </c>
      <c r="G403">
        <v>7.2</v>
      </c>
      <c r="H403">
        <v>71</v>
      </c>
      <c r="I403" t="s">
        <v>566</v>
      </c>
      <c r="J403" t="s">
        <v>125</v>
      </c>
      <c r="K403" t="s">
        <v>1735</v>
      </c>
      <c r="L403">
        <v>127797</v>
      </c>
    </row>
    <row r="404" spans="1:13" x14ac:dyDescent="0.3">
      <c r="A404" t="s">
        <v>1736</v>
      </c>
      <c r="B404" t="s">
        <v>1737</v>
      </c>
      <c r="C404">
        <v>2014</v>
      </c>
      <c r="D404" t="s">
        <v>17</v>
      </c>
      <c r="E404">
        <v>117</v>
      </c>
      <c r="F404" t="s">
        <v>1327</v>
      </c>
      <c r="G404">
        <v>7.2</v>
      </c>
      <c r="H404">
        <v>61</v>
      </c>
      <c r="I404" t="s">
        <v>1738</v>
      </c>
      <c r="J404" t="s">
        <v>50</v>
      </c>
      <c r="K404" t="s">
        <v>1739</v>
      </c>
      <c r="L404">
        <v>51285</v>
      </c>
      <c r="M404">
        <v>321.63</v>
      </c>
    </row>
    <row r="405" spans="1:13" x14ac:dyDescent="0.3">
      <c r="A405" t="s">
        <v>1740</v>
      </c>
      <c r="B405" t="s">
        <v>1741</v>
      </c>
      <c r="C405">
        <v>2013</v>
      </c>
      <c r="D405" t="s">
        <v>17</v>
      </c>
      <c r="E405">
        <v>119</v>
      </c>
      <c r="F405" t="s">
        <v>767</v>
      </c>
      <c r="G405">
        <v>7.2</v>
      </c>
      <c r="H405">
        <v>80</v>
      </c>
      <c r="I405" t="s">
        <v>85</v>
      </c>
      <c r="J405" t="s">
        <v>524</v>
      </c>
      <c r="K405" t="s">
        <v>1742</v>
      </c>
      <c r="L405">
        <v>27594</v>
      </c>
    </row>
    <row r="406" spans="1:13" x14ac:dyDescent="0.3">
      <c r="A406" t="s">
        <v>1743</v>
      </c>
      <c r="B406" t="s">
        <v>1744</v>
      </c>
      <c r="C406">
        <v>2015</v>
      </c>
      <c r="D406" t="s">
        <v>54</v>
      </c>
      <c r="E406">
        <v>88</v>
      </c>
      <c r="F406" t="s">
        <v>1745</v>
      </c>
      <c r="G406">
        <v>7.2</v>
      </c>
      <c r="I406" t="s">
        <v>1746</v>
      </c>
      <c r="J406" t="s">
        <v>92</v>
      </c>
      <c r="K406" t="s">
        <v>1747</v>
      </c>
      <c r="L406">
        <v>58136</v>
      </c>
      <c r="M406">
        <v>320.44</v>
      </c>
    </row>
    <row r="407" spans="1:13" x14ac:dyDescent="0.3">
      <c r="A407" t="s">
        <v>1748</v>
      </c>
      <c r="B407" t="s">
        <v>1749</v>
      </c>
      <c r="C407">
        <v>1994</v>
      </c>
      <c r="D407" t="s">
        <v>17</v>
      </c>
      <c r="E407">
        <v>102</v>
      </c>
      <c r="F407" t="s">
        <v>1044</v>
      </c>
      <c r="G407">
        <v>7.2</v>
      </c>
      <c r="I407" t="s">
        <v>164</v>
      </c>
      <c r="J407" t="s">
        <v>113</v>
      </c>
      <c r="K407" t="s">
        <v>1750</v>
      </c>
      <c r="L407">
        <v>8263</v>
      </c>
    </row>
    <row r="408" spans="1:13" x14ac:dyDescent="0.3">
      <c r="A408" t="s">
        <v>1751</v>
      </c>
      <c r="B408" t="s">
        <v>1752</v>
      </c>
      <c r="C408">
        <v>2009</v>
      </c>
      <c r="D408" t="s">
        <v>54</v>
      </c>
      <c r="E408">
        <v>137</v>
      </c>
      <c r="F408" t="s">
        <v>117</v>
      </c>
      <c r="G408">
        <v>7.2</v>
      </c>
      <c r="I408" t="s">
        <v>491</v>
      </c>
      <c r="J408" t="s">
        <v>221</v>
      </c>
      <c r="K408" t="s">
        <v>1753</v>
      </c>
      <c r="L408">
        <v>16822</v>
      </c>
    </row>
    <row r="409" spans="1:13" x14ac:dyDescent="0.3">
      <c r="A409" t="s">
        <v>1754</v>
      </c>
      <c r="B409" t="s">
        <v>1755</v>
      </c>
      <c r="C409">
        <v>2015</v>
      </c>
      <c r="D409" t="s">
        <v>24</v>
      </c>
      <c r="E409">
        <v>124</v>
      </c>
      <c r="F409" t="s">
        <v>1756</v>
      </c>
      <c r="G409">
        <v>7.2</v>
      </c>
      <c r="H409">
        <v>69</v>
      </c>
      <c r="I409" t="s">
        <v>435</v>
      </c>
      <c r="J409" t="s">
        <v>147</v>
      </c>
      <c r="K409" t="s">
        <v>1757</v>
      </c>
      <c r="L409">
        <v>121540</v>
      </c>
      <c r="M409">
        <v>394.01</v>
      </c>
    </row>
    <row r="410" spans="1:13" x14ac:dyDescent="0.3">
      <c r="A410" t="s">
        <v>1758</v>
      </c>
      <c r="B410" t="s">
        <v>1759</v>
      </c>
      <c r="C410">
        <v>2018</v>
      </c>
      <c r="D410" t="s">
        <v>54</v>
      </c>
      <c r="E410">
        <v>94</v>
      </c>
      <c r="F410" t="s">
        <v>565</v>
      </c>
      <c r="G410">
        <v>7.2</v>
      </c>
      <c r="H410">
        <v>75</v>
      </c>
      <c r="I410" t="s">
        <v>1760</v>
      </c>
      <c r="J410" t="s">
        <v>368</v>
      </c>
      <c r="K410" t="s">
        <v>1761</v>
      </c>
      <c r="L410">
        <v>22538</v>
      </c>
      <c r="M410">
        <v>411.23</v>
      </c>
    </row>
    <row r="411" spans="1:13" x14ac:dyDescent="0.3">
      <c r="A411" t="s">
        <v>1762</v>
      </c>
      <c r="B411" t="s">
        <v>1763</v>
      </c>
      <c r="C411">
        <v>2014</v>
      </c>
      <c r="D411" t="s">
        <v>17</v>
      </c>
      <c r="E411">
        <v>152</v>
      </c>
      <c r="F411" t="s">
        <v>453</v>
      </c>
      <c r="G411">
        <v>7.2</v>
      </c>
      <c r="I411" t="s">
        <v>1764</v>
      </c>
      <c r="J411" t="s">
        <v>326</v>
      </c>
      <c r="K411" t="s">
        <v>1765</v>
      </c>
      <c r="L411">
        <v>180289</v>
      </c>
      <c r="M411">
        <v>68.8</v>
      </c>
    </row>
    <row r="412" spans="1:13" x14ac:dyDescent="0.3">
      <c r="A412" t="s">
        <v>1766</v>
      </c>
      <c r="B412" t="s">
        <v>1767</v>
      </c>
      <c r="C412">
        <v>2000</v>
      </c>
      <c r="D412" t="s">
        <v>24</v>
      </c>
      <c r="E412">
        <v>104</v>
      </c>
      <c r="F412" t="s">
        <v>1768</v>
      </c>
      <c r="G412">
        <v>7.2</v>
      </c>
      <c r="I412" t="s">
        <v>634</v>
      </c>
      <c r="J412" t="s">
        <v>63</v>
      </c>
      <c r="K412" t="s">
        <v>1769</v>
      </c>
      <c r="L412">
        <v>21664</v>
      </c>
      <c r="M412">
        <v>158.41999999999999</v>
      </c>
    </row>
    <row r="413" spans="1:13" x14ac:dyDescent="0.3">
      <c r="A413" t="s">
        <v>1770</v>
      </c>
      <c r="B413" t="s">
        <v>1771</v>
      </c>
      <c r="C413">
        <v>2018</v>
      </c>
      <c r="D413" t="s">
        <v>24</v>
      </c>
      <c r="E413">
        <v>126</v>
      </c>
      <c r="F413" t="s">
        <v>48</v>
      </c>
      <c r="G413">
        <v>7.2</v>
      </c>
      <c r="I413" t="s">
        <v>1760</v>
      </c>
      <c r="J413" t="s">
        <v>50</v>
      </c>
      <c r="K413" t="s">
        <v>1772</v>
      </c>
      <c r="L413">
        <v>5982</v>
      </c>
      <c r="M413">
        <v>29.36</v>
      </c>
    </row>
    <row r="414" spans="1:13" x14ac:dyDescent="0.3">
      <c r="A414" t="s">
        <v>1773</v>
      </c>
      <c r="B414" t="s">
        <v>1774</v>
      </c>
      <c r="C414">
        <v>2011</v>
      </c>
      <c r="D414" t="s">
        <v>169</v>
      </c>
      <c r="E414">
        <v>137</v>
      </c>
      <c r="F414" t="s">
        <v>1775</v>
      </c>
      <c r="G414">
        <v>7.2</v>
      </c>
      <c r="H414">
        <v>60</v>
      </c>
      <c r="I414" t="s">
        <v>1776</v>
      </c>
      <c r="J414" t="s">
        <v>608</v>
      </c>
      <c r="K414" t="s">
        <v>1777</v>
      </c>
      <c r="L414">
        <v>119962</v>
      </c>
      <c r="M414">
        <v>30.56</v>
      </c>
    </row>
    <row r="415" spans="1:13" x14ac:dyDescent="0.3">
      <c r="A415" t="s">
        <v>1778</v>
      </c>
      <c r="B415" t="s">
        <v>1779</v>
      </c>
      <c r="C415">
        <v>2014</v>
      </c>
      <c r="D415" t="s">
        <v>285</v>
      </c>
      <c r="E415">
        <v>76</v>
      </c>
      <c r="F415" t="s">
        <v>55</v>
      </c>
      <c r="G415">
        <v>7.2</v>
      </c>
      <c r="I415" t="s">
        <v>852</v>
      </c>
      <c r="J415" t="s">
        <v>483</v>
      </c>
      <c r="K415" t="s">
        <v>1780</v>
      </c>
      <c r="L415">
        <v>28195</v>
      </c>
      <c r="M415">
        <v>397.7</v>
      </c>
    </row>
    <row r="416" spans="1:13" x14ac:dyDescent="0.3">
      <c r="A416" t="s">
        <v>1781</v>
      </c>
      <c r="B416" t="s">
        <v>1782</v>
      </c>
      <c r="C416">
        <v>2009</v>
      </c>
      <c r="D416" t="s">
        <v>54</v>
      </c>
      <c r="E416">
        <v>109</v>
      </c>
      <c r="F416" t="s">
        <v>84</v>
      </c>
      <c r="G416">
        <v>7.2</v>
      </c>
      <c r="H416">
        <v>72</v>
      </c>
      <c r="I416" t="s">
        <v>85</v>
      </c>
      <c r="J416" t="s">
        <v>137</v>
      </c>
      <c r="K416" t="s">
        <v>1783</v>
      </c>
      <c r="L416">
        <v>6513</v>
      </c>
      <c r="M416">
        <v>106.79</v>
      </c>
    </row>
    <row r="417" spans="1:13" x14ac:dyDescent="0.3">
      <c r="A417" t="s">
        <v>1784</v>
      </c>
      <c r="B417" t="s">
        <v>1785</v>
      </c>
      <c r="C417">
        <v>2012</v>
      </c>
      <c r="D417" t="s">
        <v>17</v>
      </c>
      <c r="E417">
        <v>168</v>
      </c>
      <c r="F417" t="s">
        <v>1786</v>
      </c>
      <c r="G417">
        <v>7.2</v>
      </c>
      <c r="H417">
        <v>67</v>
      </c>
      <c r="I417" t="s">
        <v>1787</v>
      </c>
      <c r="J417" t="s">
        <v>718</v>
      </c>
      <c r="K417" t="s">
        <v>1788</v>
      </c>
      <c r="L417">
        <v>7582</v>
      </c>
    </row>
    <row r="418" spans="1:13" x14ac:dyDescent="0.3">
      <c r="A418" t="s">
        <v>1789</v>
      </c>
      <c r="B418" t="s">
        <v>1790</v>
      </c>
      <c r="C418">
        <v>2017</v>
      </c>
      <c r="D418" t="s">
        <v>169</v>
      </c>
      <c r="E418">
        <v>97</v>
      </c>
      <c r="F418" t="s">
        <v>235</v>
      </c>
      <c r="G418">
        <v>7.2</v>
      </c>
      <c r="I418" t="s">
        <v>201</v>
      </c>
      <c r="J418" t="s">
        <v>524</v>
      </c>
      <c r="K418" t="s">
        <v>1791</v>
      </c>
      <c r="L418">
        <v>14919</v>
      </c>
      <c r="M418">
        <v>476.26</v>
      </c>
    </row>
    <row r="419" spans="1:13" x14ac:dyDescent="0.3">
      <c r="A419" t="s">
        <v>1792</v>
      </c>
      <c r="B419" t="s">
        <v>1793</v>
      </c>
      <c r="C419">
        <v>2024</v>
      </c>
      <c r="D419" t="s">
        <v>54</v>
      </c>
      <c r="E419">
        <v>120</v>
      </c>
      <c r="F419" t="s">
        <v>1794</v>
      </c>
      <c r="G419">
        <v>7.2</v>
      </c>
      <c r="H419">
        <v>81</v>
      </c>
      <c r="I419" t="s">
        <v>1795</v>
      </c>
      <c r="J419" t="s">
        <v>315</v>
      </c>
      <c r="K419" t="s">
        <v>1796</v>
      </c>
      <c r="L419">
        <v>357170</v>
      </c>
      <c r="M419">
        <v>172.7</v>
      </c>
    </row>
    <row r="420" spans="1:13" x14ac:dyDescent="0.3">
      <c r="A420" t="s">
        <v>1797</v>
      </c>
      <c r="B420" t="s">
        <v>1798</v>
      </c>
      <c r="C420">
        <v>2019</v>
      </c>
      <c r="D420" t="s">
        <v>17</v>
      </c>
      <c r="E420">
        <v>141</v>
      </c>
      <c r="F420" t="s">
        <v>1799</v>
      </c>
      <c r="G420">
        <v>7.2</v>
      </c>
      <c r="H420">
        <v>82</v>
      </c>
      <c r="I420" t="s">
        <v>269</v>
      </c>
      <c r="J420" t="s">
        <v>131</v>
      </c>
      <c r="K420" t="s">
        <v>1800</v>
      </c>
      <c r="L420">
        <v>57668</v>
      </c>
    </row>
    <row r="421" spans="1:13" x14ac:dyDescent="0.3">
      <c r="A421" t="s">
        <v>1801</v>
      </c>
      <c r="B421" t="s">
        <v>1802</v>
      </c>
      <c r="C421">
        <v>2015</v>
      </c>
      <c r="D421" t="s">
        <v>54</v>
      </c>
      <c r="E421">
        <v>147</v>
      </c>
      <c r="F421" t="s">
        <v>1803</v>
      </c>
      <c r="G421">
        <v>7.2</v>
      </c>
      <c r="H421">
        <v>70</v>
      </c>
      <c r="I421" t="s">
        <v>1804</v>
      </c>
      <c r="J421" t="s">
        <v>153</v>
      </c>
      <c r="K421" t="s">
        <v>1805</v>
      </c>
      <c r="L421">
        <v>999683</v>
      </c>
      <c r="M421">
        <v>480.99</v>
      </c>
    </row>
    <row r="422" spans="1:13" x14ac:dyDescent="0.3">
      <c r="A422" t="s">
        <v>1806</v>
      </c>
      <c r="B422" t="s">
        <v>1807</v>
      </c>
      <c r="C422">
        <v>1999</v>
      </c>
      <c r="D422" t="s">
        <v>17</v>
      </c>
      <c r="E422">
        <v>110</v>
      </c>
      <c r="F422" t="s">
        <v>439</v>
      </c>
      <c r="G422">
        <v>7.2</v>
      </c>
      <c r="H422">
        <v>65</v>
      </c>
      <c r="I422" t="s">
        <v>852</v>
      </c>
      <c r="J422" t="s">
        <v>80</v>
      </c>
      <c r="K422" t="s">
        <v>1808</v>
      </c>
      <c r="L422">
        <v>98764</v>
      </c>
    </row>
    <row r="423" spans="1:13" x14ac:dyDescent="0.3">
      <c r="A423" t="s">
        <v>1809</v>
      </c>
      <c r="B423" t="s">
        <v>1810</v>
      </c>
      <c r="C423">
        <v>2009</v>
      </c>
      <c r="D423" t="s">
        <v>17</v>
      </c>
      <c r="E423">
        <v>127</v>
      </c>
      <c r="F423" t="s">
        <v>1811</v>
      </c>
      <c r="G423">
        <v>7.2</v>
      </c>
      <c r="H423">
        <v>70</v>
      </c>
      <c r="I423" t="s">
        <v>1363</v>
      </c>
      <c r="J423" t="s">
        <v>153</v>
      </c>
      <c r="K423" t="s">
        <v>1812</v>
      </c>
      <c r="L423">
        <v>55288</v>
      </c>
      <c r="M423">
        <v>121.64</v>
      </c>
    </row>
    <row r="424" spans="1:13" x14ac:dyDescent="0.3">
      <c r="A424" t="s">
        <v>1813</v>
      </c>
      <c r="B424" t="s">
        <v>1814</v>
      </c>
      <c r="C424">
        <v>2008</v>
      </c>
      <c r="D424" t="s">
        <v>17</v>
      </c>
      <c r="E424">
        <v>123</v>
      </c>
      <c r="F424" t="s">
        <v>453</v>
      </c>
      <c r="G424">
        <v>7.2</v>
      </c>
      <c r="H424">
        <v>82</v>
      </c>
      <c r="I424" t="s">
        <v>1072</v>
      </c>
      <c r="J424" t="s">
        <v>518</v>
      </c>
      <c r="K424" t="s">
        <v>1815</v>
      </c>
      <c r="L424">
        <v>11665</v>
      </c>
    </row>
    <row r="425" spans="1:13" x14ac:dyDescent="0.3">
      <c r="A425" t="s">
        <v>1816</v>
      </c>
      <c r="B425" t="s">
        <v>1817</v>
      </c>
      <c r="C425">
        <v>2005</v>
      </c>
      <c r="D425" t="s">
        <v>54</v>
      </c>
      <c r="E425">
        <v>95</v>
      </c>
      <c r="F425" t="s">
        <v>479</v>
      </c>
      <c r="G425">
        <v>7.1</v>
      </c>
      <c r="H425">
        <v>63</v>
      </c>
      <c r="I425" t="s">
        <v>1363</v>
      </c>
      <c r="J425" t="s">
        <v>368</v>
      </c>
      <c r="K425" t="s">
        <v>1818</v>
      </c>
      <c r="L425">
        <v>47434</v>
      </c>
      <c r="M425">
        <v>275.47000000000003</v>
      </c>
    </row>
    <row r="426" spans="1:13" x14ac:dyDescent="0.3">
      <c r="A426" t="s">
        <v>1819</v>
      </c>
      <c r="B426" t="s">
        <v>1820</v>
      </c>
      <c r="C426">
        <v>2014</v>
      </c>
      <c r="D426" t="s">
        <v>17</v>
      </c>
      <c r="E426">
        <v>116</v>
      </c>
      <c r="F426" t="s">
        <v>1821</v>
      </c>
      <c r="G426">
        <v>7.1</v>
      </c>
      <c r="I426" t="s">
        <v>1155</v>
      </c>
      <c r="J426" t="s">
        <v>518</v>
      </c>
      <c r="K426" t="s">
        <v>1822</v>
      </c>
      <c r="L426">
        <v>10704</v>
      </c>
    </row>
    <row r="427" spans="1:13" x14ac:dyDescent="0.3">
      <c r="A427" t="s">
        <v>1823</v>
      </c>
      <c r="B427" t="s">
        <v>1824</v>
      </c>
      <c r="C427">
        <v>2019</v>
      </c>
      <c r="D427" t="s">
        <v>54</v>
      </c>
      <c r="E427">
        <v>134</v>
      </c>
      <c r="F427" t="s">
        <v>225</v>
      </c>
      <c r="G427">
        <v>7.1</v>
      </c>
      <c r="H427">
        <v>61</v>
      </c>
      <c r="I427" t="s">
        <v>1825</v>
      </c>
      <c r="J427" t="s">
        <v>137</v>
      </c>
      <c r="K427" t="s">
        <v>1826</v>
      </c>
      <c r="L427">
        <v>5002</v>
      </c>
      <c r="M427">
        <v>370.36</v>
      </c>
    </row>
    <row r="428" spans="1:13" x14ac:dyDescent="0.3">
      <c r="A428" t="s">
        <v>1827</v>
      </c>
      <c r="B428" t="s">
        <v>1828</v>
      </c>
      <c r="C428">
        <v>2002</v>
      </c>
      <c r="D428" t="s">
        <v>54</v>
      </c>
      <c r="E428">
        <v>138</v>
      </c>
      <c r="F428" t="s">
        <v>868</v>
      </c>
      <c r="G428">
        <v>7.1</v>
      </c>
      <c r="H428">
        <v>70</v>
      </c>
      <c r="I428" t="s">
        <v>355</v>
      </c>
      <c r="J428" t="s">
        <v>368</v>
      </c>
      <c r="K428" t="s">
        <v>1829</v>
      </c>
      <c r="L428">
        <v>267537</v>
      </c>
    </row>
    <row r="429" spans="1:13" x14ac:dyDescent="0.3">
      <c r="A429" t="s">
        <v>1830</v>
      </c>
      <c r="B429" t="s">
        <v>1831</v>
      </c>
      <c r="C429">
        <v>2014</v>
      </c>
      <c r="D429" t="s">
        <v>24</v>
      </c>
      <c r="E429">
        <v>143</v>
      </c>
      <c r="F429" t="s">
        <v>1832</v>
      </c>
      <c r="G429">
        <v>7.1</v>
      </c>
      <c r="H429">
        <v>84</v>
      </c>
      <c r="I429" t="s">
        <v>1833</v>
      </c>
      <c r="J429" t="s">
        <v>74</v>
      </c>
      <c r="K429" t="s">
        <v>1834</v>
      </c>
      <c r="L429">
        <v>50972</v>
      </c>
      <c r="M429">
        <v>92.97</v>
      </c>
    </row>
    <row r="430" spans="1:13" x14ac:dyDescent="0.3">
      <c r="A430" t="s">
        <v>1835</v>
      </c>
      <c r="B430" t="s">
        <v>1836</v>
      </c>
      <c r="C430">
        <v>2015</v>
      </c>
      <c r="D430" t="s">
        <v>17</v>
      </c>
      <c r="E430">
        <v>139</v>
      </c>
      <c r="F430" t="s">
        <v>1837</v>
      </c>
      <c r="G430">
        <v>7.1</v>
      </c>
      <c r="I430" t="s">
        <v>381</v>
      </c>
      <c r="J430" t="s">
        <v>103</v>
      </c>
      <c r="K430" t="s">
        <v>1838</v>
      </c>
      <c r="L430">
        <v>837294</v>
      </c>
      <c r="M430">
        <v>199.19</v>
      </c>
    </row>
    <row r="431" spans="1:13" x14ac:dyDescent="0.3">
      <c r="A431" t="s">
        <v>1839</v>
      </c>
      <c r="B431" t="s">
        <v>1840</v>
      </c>
      <c r="C431">
        <v>2021</v>
      </c>
      <c r="D431" t="s">
        <v>169</v>
      </c>
      <c r="E431">
        <v>106</v>
      </c>
      <c r="F431" t="s">
        <v>1841</v>
      </c>
      <c r="G431">
        <v>7.1</v>
      </c>
      <c r="I431" t="s">
        <v>136</v>
      </c>
      <c r="J431" t="s">
        <v>191</v>
      </c>
      <c r="K431" t="s">
        <v>1842</v>
      </c>
      <c r="L431">
        <v>45206</v>
      </c>
      <c r="M431">
        <v>116.22</v>
      </c>
    </row>
    <row r="432" spans="1:13" x14ac:dyDescent="0.3">
      <c r="A432" t="s">
        <v>1843</v>
      </c>
      <c r="B432" t="s">
        <v>1844</v>
      </c>
      <c r="C432">
        <v>2016</v>
      </c>
      <c r="D432" t="s">
        <v>24</v>
      </c>
      <c r="E432">
        <v>119</v>
      </c>
      <c r="F432" t="s">
        <v>586</v>
      </c>
      <c r="G432">
        <v>7.1</v>
      </c>
      <c r="I432" t="s">
        <v>566</v>
      </c>
      <c r="J432" t="s">
        <v>165</v>
      </c>
      <c r="K432" t="s">
        <v>1845</v>
      </c>
      <c r="L432">
        <v>17775</v>
      </c>
    </row>
    <row r="433" spans="1:13" x14ac:dyDescent="0.3">
      <c r="A433" t="s">
        <v>1846</v>
      </c>
      <c r="B433" t="s">
        <v>1847</v>
      </c>
      <c r="C433">
        <v>2017</v>
      </c>
      <c r="D433" t="s">
        <v>17</v>
      </c>
      <c r="E433">
        <v>117</v>
      </c>
      <c r="F433" t="s">
        <v>1275</v>
      </c>
      <c r="G433">
        <v>7.1</v>
      </c>
      <c r="I433" t="s">
        <v>305</v>
      </c>
      <c r="J433" t="s">
        <v>518</v>
      </c>
      <c r="K433" t="s">
        <v>1848</v>
      </c>
      <c r="L433">
        <v>68107</v>
      </c>
      <c r="M433">
        <v>370.25</v>
      </c>
    </row>
    <row r="434" spans="1:13" x14ac:dyDescent="0.3">
      <c r="A434" t="s">
        <v>1849</v>
      </c>
      <c r="B434" t="s">
        <v>1850</v>
      </c>
      <c r="C434">
        <v>1996</v>
      </c>
      <c r="D434" t="s">
        <v>24</v>
      </c>
      <c r="E434">
        <v>142</v>
      </c>
      <c r="F434" t="s">
        <v>37</v>
      </c>
      <c r="G434">
        <v>7.1</v>
      </c>
      <c r="H434">
        <v>86</v>
      </c>
      <c r="I434" t="s">
        <v>561</v>
      </c>
      <c r="J434" t="s">
        <v>39</v>
      </c>
      <c r="K434" t="s">
        <v>1851</v>
      </c>
      <c r="L434">
        <v>32114</v>
      </c>
    </row>
    <row r="435" spans="1:13" x14ac:dyDescent="0.3">
      <c r="A435" t="s">
        <v>1852</v>
      </c>
      <c r="B435" t="s">
        <v>1853</v>
      </c>
      <c r="C435">
        <v>2020</v>
      </c>
      <c r="D435" t="s">
        <v>54</v>
      </c>
      <c r="E435">
        <v>116</v>
      </c>
      <c r="F435" t="s">
        <v>277</v>
      </c>
      <c r="G435">
        <v>7.1</v>
      </c>
      <c r="H435">
        <v>76</v>
      </c>
      <c r="I435" t="s">
        <v>395</v>
      </c>
      <c r="J435" t="s">
        <v>103</v>
      </c>
      <c r="K435" t="s">
        <v>1854</v>
      </c>
      <c r="L435">
        <v>41231</v>
      </c>
    </row>
    <row r="436" spans="1:13" x14ac:dyDescent="0.3">
      <c r="A436" t="s">
        <v>1855</v>
      </c>
      <c r="B436" t="s">
        <v>1856</v>
      </c>
      <c r="C436">
        <v>2020</v>
      </c>
      <c r="D436" t="s">
        <v>54</v>
      </c>
      <c r="E436">
        <v>125</v>
      </c>
      <c r="F436" t="s">
        <v>1857</v>
      </c>
      <c r="G436">
        <v>7.1</v>
      </c>
      <c r="H436">
        <v>63</v>
      </c>
      <c r="I436" t="s">
        <v>220</v>
      </c>
      <c r="J436" t="s">
        <v>608</v>
      </c>
      <c r="K436" t="s">
        <v>1858</v>
      </c>
      <c r="L436">
        <v>42124</v>
      </c>
      <c r="M436">
        <v>313.06</v>
      </c>
    </row>
    <row r="437" spans="1:13" x14ac:dyDescent="0.3">
      <c r="A437" t="s">
        <v>1859</v>
      </c>
      <c r="B437" t="s">
        <v>1860</v>
      </c>
      <c r="C437">
        <v>2024</v>
      </c>
      <c r="D437" t="s">
        <v>54</v>
      </c>
      <c r="E437">
        <v>113</v>
      </c>
      <c r="F437" t="s">
        <v>1861</v>
      </c>
      <c r="G437">
        <v>7.1</v>
      </c>
      <c r="H437">
        <v>76</v>
      </c>
      <c r="I437" t="s">
        <v>1155</v>
      </c>
      <c r="J437" t="s">
        <v>147</v>
      </c>
      <c r="K437" t="s">
        <v>1862</v>
      </c>
      <c r="L437">
        <v>616146</v>
      </c>
      <c r="M437">
        <v>24.6</v>
      </c>
    </row>
    <row r="438" spans="1:13" x14ac:dyDescent="0.3">
      <c r="A438" t="s">
        <v>1863</v>
      </c>
      <c r="B438" t="s">
        <v>1864</v>
      </c>
      <c r="C438">
        <v>2016</v>
      </c>
      <c r="D438" t="s">
        <v>17</v>
      </c>
      <c r="E438">
        <v>120</v>
      </c>
      <c r="F438" t="s">
        <v>375</v>
      </c>
      <c r="G438">
        <v>7.1</v>
      </c>
      <c r="I438" t="s">
        <v>1865</v>
      </c>
      <c r="J438" t="s">
        <v>547</v>
      </c>
      <c r="K438" t="s">
        <v>1866</v>
      </c>
      <c r="L438">
        <v>769366</v>
      </c>
    </row>
    <row r="439" spans="1:13" x14ac:dyDescent="0.3">
      <c r="A439" t="s">
        <v>1867</v>
      </c>
      <c r="B439" t="s">
        <v>1868</v>
      </c>
      <c r="C439">
        <v>2011</v>
      </c>
      <c r="D439" t="s">
        <v>24</v>
      </c>
      <c r="E439">
        <v>97</v>
      </c>
      <c r="F439" t="s">
        <v>304</v>
      </c>
      <c r="G439">
        <v>7.1</v>
      </c>
      <c r="H439">
        <v>59</v>
      </c>
      <c r="I439" t="s">
        <v>1869</v>
      </c>
      <c r="J439" t="s">
        <v>326</v>
      </c>
      <c r="K439" t="s">
        <v>1870</v>
      </c>
      <c r="L439">
        <v>19314</v>
      </c>
    </row>
    <row r="440" spans="1:13" x14ac:dyDescent="0.3">
      <c r="A440" t="s">
        <v>1871</v>
      </c>
      <c r="B440" t="s">
        <v>1872</v>
      </c>
      <c r="C440">
        <v>2009</v>
      </c>
      <c r="D440" t="s">
        <v>17</v>
      </c>
      <c r="E440">
        <v>115</v>
      </c>
      <c r="F440" t="s">
        <v>129</v>
      </c>
      <c r="G440">
        <v>7.1</v>
      </c>
      <c r="H440">
        <v>84</v>
      </c>
      <c r="I440" t="s">
        <v>634</v>
      </c>
      <c r="J440" t="s">
        <v>524</v>
      </c>
      <c r="K440" t="s">
        <v>1873</v>
      </c>
      <c r="L440">
        <v>235714</v>
      </c>
      <c r="M440">
        <v>85.71</v>
      </c>
    </row>
    <row r="441" spans="1:13" x14ac:dyDescent="0.3">
      <c r="A441" t="s">
        <v>1874</v>
      </c>
      <c r="B441" t="s">
        <v>1875</v>
      </c>
      <c r="C441">
        <v>2019</v>
      </c>
      <c r="D441" t="s">
        <v>169</v>
      </c>
      <c r="E441">
        <v>120</v>
      </c>
      <c r="F441" t="s">
        <v>277</v>
      </c>
      <c r="G441">
        <v>7.1</v>
      </c>
      <c r="H441">
        <v>62</v>
      </c>
      <c r="I441" t="s">
        <v>1876</v>
      </c>
      <c r="J441" t="s">
        <v>524</v>
      </c>
      <c r="K441" t="s">
        <v>1877</v>
      </c>
      <c r="L441">
        <v>26645</v>
      </c>
      <c r="M441">
        <v>152.34</v>
      </c>
    </row>
    <row r="442" spans="1:13" x14ac:dyDescent="0.3">
      <c r="A442" t="s">
        <v>1878</v>
      </c>
      <c r="B442" t="s">
        <v>1879</v>
      </c>
      <c r="C442">
        <v>2008</v>
      </c>
      <c r="D442" t="s">
        <v>169</v>
      </c>
      <c r="E442">
        <v>112</v>
      </c>
      <c r="F442" t="s">
        <v>1880</v>
      </c>
      <c r="G442">
        <v>7.1</v>
      </c>
      <c r="H442">
        <v>74</v>
      </c>
      <c r="I442" t="s">
        <v>320</v>
      </c>
      <c r="J442" t="s">
        <v>315</v>
      </c>
      <c r="K442" t="s">
        <v>1881</v>
      </c>
      <c r="L442">
        <v>38441</v>
      </c>
      <c r="M442">
        <v>452.31</v>
      </c>
    </row>
    <row r="443" spans="1:13" x14ac:dyDescent="0.3">
      <c r="A443" t="s">
        <v>1882</v>
      </c>
      <c r="B443" t="s">
        <v>1883</v>
      </c>
      <c r="C443">
        <v>2006</v>
      </c>
      <c r="D443" t="s">
        <v>293</v>
      </c>
      <c r="E443">
        <v>131</v>
      </c>
      <c r="F443" t="s">
        <v>1884</v>
      </c>
      <c r="G443">
        <v>7.1</v>
      </c>
      <c r="H443">
        <v>77</v>
      </c>
      <c r="I443" t="s">
        <v>38</v>
      </c>
      <c r="J443" t="s">
        <v>50</v>
      </c>
      <c r="K443" t="s">
        <v>1885</v>
      </c>
      <c r="L443">
        <v>80143</v>
      </c>
    </row>
    <row r="444" spans="1:13" x14ac:dyDescent="0.3">
      <c r="A444" t="s">
        <v>1886</v>
      </c>
      <c r="B444" t="s">
        <v>1887</v>
      </c>
      <c r="C444">
        <v>2005</v>
      </c>
      <c r="D444" t="s">
        <v>54</v>
      </c>
      <c r="E444">
        <v>161</v>
      </c>
      <c r="F444" t="s">
        <v>337</v>
      </c>
      <c r="G444">
        <v>7.1</v>
      </c>
      <c r="I444" t="s">
        <v>201</v>
      </c>
      <c r="J444" t="s">
        <v>50</v>
      </c>
      <c r="K444" t="s">
        <v>1888</v>
      </c>
      <c r="L444">
        <v>114126</v>
      </c>
      <c r="M444">
        <v>387.73</v>
      </c>
    </row>
    <row r="445" spans="1:13" x14ac:dyDescent="0.3">
      <c r="A445" t="s">
        <v>1889</v>
      </c>
      <c r="B445" t="s">
        <v>1890</v>
      </c>
      <c r="C445">
        <v>2000</v>
      </c>
      <c r="D445" t="s">
        <v>17</v>
      </c>
      <c r="E445">
        <v>109</v>
      </c>
      <c r="F445" t="s">
        <v>1218</v>
      </c>
      <c r="G445">
        <v>7.1</v>
      </c>
      <c r="I445" t="s">
        <v>1891</v>
      </c>
      <c r="J445" t="s">
        <v>547</v>
      </c>
      <c r="K445" t="s">
        <v>1892</v>
      </c>
      <c r="L445">
        <v>20001</v>
      </c>
    </row>
    <row r="446" spans="1:13" x14ac:dyDescent="0.3">
      <c r="A446" t="s">
        <v>1893</v>
      </c>
      <c r="B446" t="s">
        <v>1894</v>
      </c>
      <c r="C446">
        <v>2014</v>
      </c>
      <c r="D446" t="s">
        <v>17</v>
      </c>
      <c r="E446">
        <v>114</v>
      </c>
      <c r="F446" t="s">
        <v>426</v>
      </c>
      <c r="G446">
        <v>7.1</v>
      </c>
      <c r="H446">
        <v>81</v>
      </c>
      <c r="I446" t="s">
        <v>1895</v>
      </c>
      <c r="J446" t="s">
        <v>86</v>
      </c>
      <c r="K446" t="s">
        <v>1896</v>
      </c>
      <c r="L446">
        <v>88475</v>
      </c>
      <c r="M446">
        <v>28.13</v>
      </c>
    </row>
    <row r="447" spans="1:13" x14ac:dyDescent="0.3">
      <c r="A447" t="s">
        <v>1897</v>
      </c>
      <c r="B447" t="s">
        <v>1898</v>
      </c>
      <c r="C447">
        <v>2019</v>
      </c>
      <c r="D447" t="s">
        <v>24</v>
      </c>
      <c r="E447">
        <v>114</v>
      </c>
      <c r="F447" t="s">
        <v>606</v>
      </c>
      <c r="G447">
        <v>7.1</v>
      </c>
      <c r="H447">
        <v>82</v>
      </c>
      <c r="I447" t="s">
        <v>250</v>
      </c>
      <c r="J447" t="s">
        <v>80</v>
      </c>
      <c r="K447" t="s">
        <v>1899</v>
      </c>
      <c r="L447">
        <v>55923</v>
      </c>
      <c r="M447">
        <v>436.91</v>
      </c>
    </row>
    <row r="448" spans="1:13" x14ac:dyDescent="0.3">
      <c r="A448" t="s">
        <v>1900</v>
      </c>
      <c r="B448" t="s">
        <v>1901</v>
      </c>
      <c r="C448">
        <v>2009</v>
      </c>
      <c r="D448" t="s">
        <v>169</v>
      </c>
      <c r="E448">
        <v>135</v>
      </c>
      <c r="F448" t="s">
        <v>72</v>
      </c>
      <c r="G448">
        <v>7.1</v>
      </c>
      <c r="H448">
        <v>58</v>
      </c>
      <c r="I448" t="s">
        <v>1902</v>
      </c>
      <c r="J448" t="s">
        <v>153</v>
      </c>
      <c r="K448" t="s">
        <v>1903</v>
      </c>
      <c r="L448">
        <v>70003</v>
      </c>
      <c r="M448">
        <v>23.71</v>
      </c>
    </row>
    <row r="449" spans="1:13" x14ac:dyDescent="0.3">
      <c r="A449" t="s">
        <v>1904</v>
      </c>
      <c r="B449" t="s">
        <v>1905</v>
      </c>
      <c r="C449">
        <v>2015</v>
      </c>
      <c r="D449" t="s">
        <v>54</v>
      </c>
      <c r="E449">
        <v>110</v>
      </c>
      <c r="F449" t="s">
        <v>868</v>
      </c>
      <c r="G449">
        <v>7.1</v>
      </c>
      <c r="H449">
        <v>78</v>
      </c>
      <c r="I449" t="s">
        <v>102</v>
      </c>
      <c r="J449" t="s">
        <v>74</v>
      </c>
      <c r="K449" t="s">
        <v>1906</v>
      </c>
      <c r="L449">
        <v>55805</v>
      </c>
    </row>
    <row r="450" spans="1:13" x14ac:dyDescent="0.3">
      <c r="A450" t="s">
        <v>1907</v>
      </c>
      <c r="B450" t="s">
        <v>1908</v>
      </c>
      <c r="C450">
        <v>1989</v>
      </c>
      <c r="D450" t="s">
        <v>24</v>
      </c>
      <c r="E450">
        <v>114</v>
      </c>
      <c r="F450" t="s">
        <v>1909</v>
      </c>
      <c r="G450">
        <v>7.1</v>
      </c>
      <c r="I450" t="s">
        <v>1910</v>
      </c>
      <c r="J450" t="s">
        <v>483</v>
      </c>
      <c r="K450" t="s">
        <v>1911</v>
      </c>
      <c r="L450">
        <v>10386</v>
      </c>
      <c r="M450">
        <v>266.62</v>
      </c>
    </row>
    <row r="451" spans="1:13" x14ac:dyDescent="0.3">
      <c r="A451" t="s">
        <v>1912</v>
      </c>
      <c r="B451" t="s">
        <v>1913</v>
      </c>
      <c r="C451">
        <v>2017</v>
      </c>
      <c r="D451" t="s">
        <v>24</v>
      </c>
      <c r="E451">
        <v>118</v>
      </c>
      <c r="F451" t="s">
        <v>1327</v>
      </c>
      <c r="G451">
        <v>7.1</v>
      </c>
      <c r="I451" t="s">
        <v>561</v>
      </c>
      <c r="J451" t="s">
        <v>92</v>
      </c>
      <c r="K451" t="s">
        <v>1914</v>
      </c>
      <c r="L451">
        <v>96958</v>
      </c>
      <c r="M451">
        <v>136.33000000000001</v>
      </c>
    </row>
    <row r="452" spans="1:13" x14ac:dyDescent="0.3">
      <c r="A452" t="s">
        <v>1915</v>
      </c>
      <c r="B452" t="s">
        <v>1916</v>
      </c>
      <c r="C452">
        <v>1981</v>
      </c>
      <c r="D452" t="s">
        <v>285</v>
      </c>
      <c r="E452">
        <v>143</v>
      </c>
      <c r="F452" t="s">
        <v>1917</v>
      </c>
      <c r="G452">
        <v>7</v>
      </c>
      <c r="H452">
        <v>74</v>
      </c>
      <c r="I452" t="s">
        <v>1918</v>
      </c>
      <c r="J452" t="s">
        <v>718</v>
      </c>
      <c r="K452" t="s">
        <v>1919</v>
      </c>
      <c r="L452">
        <v>59609</v>
      </c>
      <c r="M452">
        <v>121.15</v>
      </c>
    </row>
    <row r="453" spans="1:13" x14ac:dyDescent="0.3">
      <c r="A453" t="s">
        <v>1920</v>
      </c>
      <c r="B453" t="s">
        <v>1921</v>
      </c>
      <c r="C453">
        <v>2001</v>
      </c>
      <c r="D453" t="s">
        <v>17</v>
      </c>
      <c r="E453">
        <v>129</v>
      </c>
      <c r="F453" t="s">
        <v>37</v>
      </c>
      <c r="G453">
        <v>7</v>
      </c>
      <c r="H453">
        <v>74</v>
      </c>
      <c r="I453" t="s">
        <v>1922</v>
      </c>
      <c r="J453" t="s">
        <v>33</v>
      </c>
      <c r="K453" t="s">
        <v>1923</v>
      </c>
      <c r="L453">
        <v>95507</v>
      </c>
      <c r="M453">
        <v>424.8</v>
      </c>
    </row>
    <row r="454" spans="1:13" x14ac:dyDescent="0.3">
      <c r="A454" t="s">
        <v>1924</v>
      </c>
      <c r="B454" t="s">
        <v>1925</v>
      </c>
      <c r="C454">
        <v>2017</v>
      </c>
      <c r="D454" t="s">
        <v>17</v>
      </c>
      <c r="E454">
        <v>119</v>
      </c>
      <c r="F454" t="s">
        <v>1926</v>
      </c>
      <c r="G454">
        <v>7</v>
      </c>
      <c r="H454">
        <v>66</v>
      </c>
      <c r="I454" t="s">
        <v>381</v>
      </c>
      <c r="J454" t="s">
        <v>80</v>
      </c>
      <c r="K454" t="s">
        <v>1927</v>
      </c>
      <c r="L454">
        <v>41695</v>
      </c>
      <c r="M454">
        <v>417.39</v>
      </c>
    </row>
    <row r="455" spans="1:13" x14ac:dyDescent="0.3">
      <c r="A455" t="s">
        <v>1928</v>
      </c>
      <c r="B455" t="s">
        <v>1929</v>
      </c>
      <c r="C455">
        <v>2009</v>
      </c>
      <c r="D455" t="s">
        <v>285</v>
      </c>
      <c r="E455">
        <v>101</v>
      </c>
      <c r="F455" t="s">
        <v>762</v>
      </c>
      <c r="G455">
        <v>7</v>
      </c>
      <c r="H455">
        <v>77</v>
      </c>
      <c r="I455" t="s">
        <v>1677</v>
      </c>
      <c r="J455" t="s">
        <v>63</v>
      </c>
      <c r="K455" t="s">
        <v>1930</v>
      </c>
      <c r="L455">
        <v>7182</v>
      </c>
      <c r="M455">
        <v>191.12</v>
      </c>
    </row>
    <row r="456" spans="1:13" x14ac:dyDescent="0.3">
      <c r="A456" t="s">
        <v>1931</v>
      </c>
      <c r="B456" t="s">
        <v>1932</v>
      </c>
      <c r="C456">
        <v>2017</v>
      </c>
      <c r="D456" t="s">
        <v>24</v>
      </c>
      <c r="E456">
        <v>129</v>
      </c>
      <c r="F456" t="s">
        <v>1933</v>
      </c>
      <c r="G456">
        <v>7</v>
      </c>
      <c r="H456">
        <v>70</v>
      </c>
      <c r="I456" t="s">
        <v>1934</v>
      </c>
      <c r="J456" t="s">
        <v>608</v>
      </c>
      <c r="K456" t="s">
        <v>1935</v>
      </c>
      <c r="L456">
        <v>18293</v>
      </c>
      <c r="M456">
        <v>10.35</v>
      </c>
    </row>
    <row r="457" spans="1:13" x14ac:dyDescent="0.3">
      <c r="A457" t="s">
        <v>1936</v>
      </c>
      <c r="B457" t="s">
        <v>1937</v>
      </c>
      <c r="C457">
        <v>2009</v>
      </c>
      <c r="D457" t="s">
        <v>24</v>
      </c>
      <c r="E457">
        <v>140</v>
      </c>
      <c r="F457" t="s">
        <v>1938</v>
      </c>
      <c r="G457">
        <v>7</v>
      </c>
      <c r="H457">
        <v>74</v>
      </c>
      <c r="I457" t="s">
        <v>561</v>
      </c>
      <c r="J457" t="s">
        <v>326</v>
      </c>
      <c r="K457" t="s">
        <v>1939</v>
      </c>
      <c r="L457">
        <v>40596</v>
      </c>
    </row>
    <row r="458" spans="1:13" x14ac:dyDescent="0.3">
      <c r="A458" t="s">
        <v>1940</v>
      </c>
      <c r="B458" t="s">
        <v>1941</v>
      </c>
      <c r="C458">
        <v>2008</v>
      </c>
      <c r="D458" t="s">
        <v>17</v>
      </c>
      <c r="E458">
        <v>110</v>
      </c>
      <c r="F458" t="s">
        <v>1942</v>
      </c>
      <c r="G458">
        <v>7</v>
      </c>
      <c r="I458" t="s">
        <v>1943</v>
      </c>
      <c r="J458" t="s">
        <v>547</v>
      </c>
      <c r="K458" t="s">
        <v>1944</v>
      </c>
      <c r="L458">
        <v>31098</v>
      </c>
      <c r="M458">
        <v>331.62</v>
      </c>
    </row>
    <row r="459" spans="1:13" x14ac:dyDescent="0.3">
      <c r="A459" t="s">
        <v>1945</v>
      </c>
      <c r="B459" t="s">
        <v>1946</v>
      </c>
      <c r="C459">
        <v>2014</v>
      </c>
      <c r="D459" t="s">
        <v>285</v>
      </c>
      <c r="E459">
        <v>92</v>
      </c>
      <c r="F459" t="s">
        <v>1947</v>
      </c>
      <c r="G459">
        <v>7</v>
      </c>
      <c r="I459" t="s">
        <v>278</v>
      </c>
      <c r="J459" t="s">
        <v>326</v>
      </c>
      <c r="K459" t="s">
        <v>1948</v>
      </c>
      <c r="L459">
        <v>22181</v>
      </c>
      <c r="M459">
        <v>110.76</v>
      </c>
    </row>
    <row r="460" spans="1:13" x14ac:dyDescent="0.3">
      <c r="A460" t="s">
        <v>1949</v>
      </c>
      <c r="B460" t="s">
        <v>1950</v>
      </c>
      <c r="C460">
        <v>2020</v>
      </c>
      <c r="D460" t="s">
        <v>24</v>
      </c>
      <c r="E460">
        <v>123</v>
      </c>
      <c r="F460" t="s">
        <v>439</v>
      </c>
      <c r="G460">
        <v>7</v>
      </c>
      <c r="H460">
        <v>79</v>
      </c>
      <c r="I460" t="s">
        <v>852</v>
      </c>
      <c r="J460" t="s">
        <v>57</v>
      </c>
      <c r="K460" t="s">
        <v>1951</v>
      </c>
      <c r="L460">
        <v>42838</v>
      </c>
      <c r="M460">
        <v>258.57</v>
      </c>
    </row>
    <row r="461" spans="1:13" x14ac:dyDescent="0.3">
      <c r="A461" t="s">
        <v>1952</v>
      </c>
      <c r="B461" t="s">
        <v>1953</v>
      </c>
      <c r="C461">
        <v>2001</v>
      </c>
      <c r="D461" t="s">
        <v>17</v>
      </c>
      <c r="E461">
        <v>111</v>
      </c>
      <c r="F461" t="s">
        <v>1954</v>
      </c>
      <c r="G461">
        <v>7</v>
      </c>
      <c r="H461">
        <v>57</v>
      </c>
      <c r="I461" t="s">
        <v>158</v>
      </c>
      <c r="J461" t="s">
        <v>86</v>
      </c>
      <c r="K461" t="s">
        <v>1955</v>
      </c>
      <c r="L461">
        <v>299673</v>
      </c>
      <c r="M461">
        <v>279.97000000000003</v>
      </c>
    </row>
    <row r="462" spans="1:13" x14ac:dyDescent="0.3">
      <c r="A462" t="s">
        <v>1956</v>
      </c>
      <c r="B462" t="s">
        <v>1957</v>
      </c>
      <c r="C462">
        <v>2023</v>
      </c>
      <c r="D462" t="s">
        <v>24</v>
      </c>
      <c r="E462">
        <v>145</v>
      </c>
      <c r="F462" t="s">
        <v>767</v>
      </c>
      <c r="G462">
        <v>7</v>
      </c>
      <c r="H462">
        <v>73</v>
      </c>
      <c r="I462" t="s">
        <v>85</v>
      </c>
      <c r="J462" t="s">
        <v>718</v>
      </c>
      <c r="K462" t="s">
        <v>1958</v>
      </c>
      <c r="L462">
        <v>64193</v>
      </c>
      <c r="M462">
        <v>152.84</v>
      </c>
    </row>
    <row r="463" spans="1:13" x14ac:dyDescent="0.3">
      <c r="A463" t="s">
        <v>1959</v>
      </c>
      <c r="B463" t="s">
        <v>1960</v>
      </c>
      <c r="C463">
        <v>2024</v>
      </c>
      <c r="D463" t="s">
        <v>54</v>
      </c>
      <c r="E463">
        <v>97</v>
      </c>
      <c r="F463" t="s">
        <v>1947</v>
      </c>
      <c r="G463">
        <v>7</v>
      </c>
      <c r="H463">
        <v>84</v>
      </c>
      <c r="I463" t="s">
        <v>1961</v>
      </c>
      <c r="J463" t="s">
        <v>119</v>
      </c>
      <c r="K463" t="s">
        <v>1962</v>
      </c>
      <c r="L463">
        <v>483111</v>
      </c>
    </row>
    <row r="464" spans="1:13" x14ac:dyDescent="0.3">
      <c r="A464" t="s">
        <v>1963</v>
      </c>
      <c r="B464" t="s">
        <v>1964</v>
      </c>
      <c r="C464">
        <v>1994</v>
      </c>
      <c r="D464" t="s">
        <v>17</v>
      </c>
      <c r="E464">
        <v>106</v>
      </c>
      <c r="F464" t="s">
        <v>78</v>
      </c>
      <c r="G464">
        <v>7</v>
      </c>
      <c r="I464" t="s">
        <v>305</v>
      </c>
      <c r="J464" t="s">
        <v>27</v>
      </c>
      <c r="K464" t="s">
        <v>1965</v>
      </c>
      <c r="L464">
        <v>50589</v>
      </c>
      <c r="M464">
        <v>247.53</v>
      </c>
    </row>
    <row r="465" spans="1:13" x14ac:dyDescent="0.3">
      <c r="A465" t="s">
        <v>1966</v>
      </c>
      <c r="B465" t="s">
        <v>1967</v>
      </c>
      <c r="C465">
        <v>2006</v>
      </c>
      <c r="D465" t="s">
        <v>54</v>
      </c>
      <c r="E465">
        <v>97</v>
      </c>
      <c r="F465" t="s">
        <v>1606</v>
      </c>
      <c r="G465">
        <v>7</v>
      </c>
      <c r="I465" t="s">
        <v>102</v>
      </c>
      <c r="J465" t="s">
        <v>57</v>
      </c>
      <c r="K465" t="s">
        <v>1968</v>
      </c>
      <c r="L465">
        <v>126415</v>
      </c>
    </row>
    <row r="466" spans="1:13" x14ac:dyDescent="0.3">
      <c r="A466" t="s">
        <v>1969</v>
      </c>
      <c r="B466" t="s">
        <v>1970</v>
      </c>
      <c r="C466">
        <v>2003</v>
      </c>
      <c r="D466" t="s">
        <v>54</v>
      </c>
      <c r="E466">
        <v>125</v>
      </c>
      <c r="F466" t="s">
        <v>1971</v>
      </c>
      <c r="G466">
        <v>7</v>
      </c>
      <c r="H466">
        <v>55</v>
      </c>
      <c r="I466" t="s">
        <v>19</v>
      </c>
      <c r="J466" t="s">
        <v>113</v>
      </c>
      <c r="K466" t="s">
        <v>1972</v>
      </c>
      <c r="L466">
        <v>214560</v>
      </c>
    </row>
    <row r="467" spans="1:13" x14ac:dyDescent="0.3">
      <c r="A467" t="s">
        <v>1973</v>
      </c>
      <c r="B467" t="s">
        <v>1974</v>
      </c>
      <c r="C467">
        <v>2021</v>
      </c>
      <c r="D467" t="s">
        <v>54</v>
      </c>
      <c r="E467">
        <v>82</v>
      </c>
      <c r="F467" t="s">
        <v>1975</v>
      </c>
      <c r="G467">
        <v>7</v>
      </c>
      <c r="H467">
        <v>78</v>
      </c>
      <c r="I467" t="s">
        <v>220</v>
      </c>
      <c r="J467" t="s">
        <v>137</v>
      </c>
      <c r="K467" t="s">
        <v>1976</v>
      </c>
      <c r="L467">
        <v>59982</v>
      </c>
      <c r="M467">
        <v>104.54</v>
      </c>
    </row>
    <row r="468" spans="1:13" x14ac:dyDescent="0.3">
      <c r="A468" t="s">
        <v>1977</v>
      </c>
      <c r="B468" t="s">
        <v>1978</v>
      </c>
      <c r="C468">
        <v>2022</v>
      </c>
      <c r="D468" t="s">
        <v>24</v>
      </c>
      <c r="E468">
        <v>112</v>
      </c>
      <c r="F468" t="s">
        <v>157</v>
      </c>
      <c r="G468">
        <v>7</v>
      </c>
      <c r="H468">
        <v>81</v>
      </c>
      <c r="I468" t="s">
        <v>538</v>
      </c>
      <c r="J468" t="s">
        <v>27</v>
      </c>
      <c r="K468" t="s">
        <v>1979</v>
      </c>
      <c r="L468">
        <v>35782</v>
      </c>
      <c r="M468">
        <v>143.5</v>
      </c>
    </row>
    <row r="469" spans="1:13" x14ac:dyDescent="0.3">
      <c r="A469" t="s">
        <v>1980</v>
      </c>
      <c r="B469" t="s">
        <v>1981</v>
      </c>
      <c r="C469">
        <v>2019</v>
      </c>
      <c r="D469" t="s">
        <v>17</v>
      </c>
      <c r="E469">
        <v>110</v>
      </c>
      <c r="F469" t="s">
        <v>404</v>
      </c>
      <c r="G469">
        <v>7</v>
      </c>
      <c r="H469">
        <v>61</v>
      </c>
      <c r="I469" t="s">
        <v>124</v>
      </c>
      <c r="J469" t="s">
        <v>524</v>
      </c>
      <c r="K469" t="s">
        <v>1982</v>
      </c>
      <c r="L469">
        <v>91576</v>
      </c>
    </row>
    <row r="470" spans="1:13" x14ac:dyDescent="0.3">
      <c r="A470" t="s">
        <v>1983</v>
      </c>
      <c r="B470" t="s">
        <v>1984</v>
      </c>
      <c r="C470">
        <v>2004</v>
      </c>
      <c r="D470" t="s">
        <v>285</v>
      </c>
      <c r="E470">
        <v>131</v>
      </c>
      <c r="F470" t="s">
        <v>1560</v>
      </c>
      <c r="G470">
        <v>7</v>
      </c>
      <c r="H470">
        <v>84</v>
      </c>
      <c r="I470" t="s">
        <v>1701</v>
      </c>
      <c r="J470" t="s">
        <v>92</v>
      </c>
      <c r="K470" t="s">
        <v>1985</v>
      </c>
      <c r="L470">
        <v>463337</v>
      </c>
      <c r="M470">
        <v>492.8</v>
      </c>
    </row>
    <row r="471" spans="1:13" x14ac:dyDescent="0.3">
      <c r="A471" t="s">
        <v>1986</v>
      </c>
      <c r="B471" t="s">
        <v>1987</v>
      </c>
      <c r="C471">
        <v>2009</v>
      </c>
      <c r="D471" t="s">
        <v>285</v>
      </c>
      <c r="E471">
        <v>114</v>
      </c>
      <c r="F471" t="s">
        <v>1988</v>
      </c>
      <c r="G471">
        <v>7</v>
      </c>
      <c r="H471">
        <v>78</v>
      </c>
      <c r="I471" t="s">
        <v>1989</v>
      </c>
      <c r="J471" t="s">
        <v>33</v>
      </c>
      <c r="K471" t="s">
        <v>1990</v>
      </c>
      <c r="L471">
        <v>10651</v>
      </c>
      <c r="M471">
        <v>62.22</v>
      </c>
    </row>
    <row r="472" spans="1:13" x14ac:dyDescent="0.3">
      <c r="A472" t="s">
        <v>1991</v>
      </c>
      <c r="B472" t="s">
        <v>1992</v>
      </c>
      <c r="C472">
        <v>2008</v>
      </c>
      <c r="D472" t="s">
        <v>17</v>
      </c>
      <c r="E472">
        <v>107</v>
      </c>
      <c r="F472" t="s">
        <v>1993</v>
      </c>
      <c r="G472">
        <v>7</v>
      </c>
      <c r="H472">
        <v>73</v>
      </c>
      <c r="I472" t="s">
        <v>1994</v>
      </c>
      <c r="J472" t="s">
        <v>251</v>
      </c>
      <c r="K472" t="s">
        <v>1995</v>
      </c>
      <c r="L472">
        <v>204948</v>
      </c>
      <c r="M472">
        <v>367.63</v>
      </c>
    </row>
    <row r="473" spans="1:13" x14ac:dyDescent="0.3">
      <c r="A473" t="s">
        <v>1996</v>
      </c>
      <c r="B473" t="s">
        <v>1997</v>
      </c>
      <c r="C473">
        <v>2003</v>
      </c>
      <c r="D473" t="s">
        <v>169</v>
      </c>
      <c r="E473">
        <v>116</v>
      </c>
      <c r="F473" t="s">
        <v>556</v>
      </c>
      <c r="G473">
        <v>7</v>
      </c>
      <c r="H473">
        <v>75</v>
      </c>
      <c r="I473" t="s">
        <v>435</v>
      </c>
      <c r="J473" t="s">
        <v>137</v>
      </c>
      <c r="K473" t="s">
        <v>1998</v>
      </c>
      <c r="L473">
        <v>220819</v>
      </c>
      <c r="M473">
        <v>84.69</v>
      </c>
    </row>
    <row r="474" spans="1:13" x14ac:dyDescent="0.3">
      <c r="A474" t="s">
        <v>1999</v>
      </c>
      <c r="B474" t="s">
        <v>2000</v>
      </c>
      <c r="C474">
        <v>2010</v>
      </c>
      <c r="D474" t="s">
        <v>54</v>
      </c>
      <c r="E474">
        <v>129</v>
      </c>
      <c r="F474" t="s">
        <v>479</v>
      </c>
      <c r="G474">
        <v>7</v>
      </c>
      <c r="H474">
        <v>67</v>
      </c>
      <c r="I474" t="s">
        <v>2001</v>
      </c>
      <c r="J474" t="s">
        <v>74</v>
      </c>
      <c r="K474" t="s">
        <v>2002</v>
      </c>
      <c r="L474">
        <v>261459</v>
      </c>
      <c r="M474">
        <v>19.170000000000002</v>
      </c>
    </row>
    <row r="475" spans="1:13" x14ac:dyDescent="0.3">
      <c r="A475" t="s">
        <v>2003</v>
      </c>
      <c r="B475" t="s">
        <v>2004</v>
      </c>
      <c r="C475">
        <v>2022</v>
      </c>
      <c r="D475" t="s">
        <v>24</v>
      </c>
      <c r="E475">
        <v>104</v>
      </c>
      <c r="F475" t="s">
        <v>2005</v>
      </c>
      <c r="G475">
        <v>7</v>
      </c>
      <c r="I475" t="s">
        <v>124</v>
      </c>
      <c r="J475" t="s">
        <v>524</v>
      </c>
      <c r="K475" t="s">
        <v>2006</v>
      </c>
      <c r="L475">
        <v>13800</v>
      </c>
      <c r="M475">
        <v>397.2</v>
      </c>
    </row>
    <row r="476" spans="1:13" x14ac:dyDescent="0.3">
      <c r="A476" t="s">
        <v>2007</v>
      </c>
      <c r="B476" t="s">
        <v>2008</v>
      </c>
      <c r="C476">
        <v>2016</v>
      </c>
      <c r="D476" t="s">
        <v>17</v>
      </c>
      <c r="E476">
        <v>134</v>
      </c>
      <c r="F476" t="s">
        <v>617</v>
      </c>
      <c r="G476">
        <v>7</v>
      </c>
      <c r="H476">
        <v>60</v>
      </c>
      <c r="I476" t="s">
        <v>852</v>
      </c>
      <c r="J476" t="s">
        <v>39</v>
      </c>
      <c r="K476" t="s">
        <v>2009</v>
      </c>
      <c r="L476">
        <v>45434</v>
      </c>
    </row>
    <row r="477" spans="1:13" x14ac:dyDescent="0.3">
      <c r="A477" t="s">
        <v>2010</v>
      </c>
      <c r="B477" t="s">
        <v>2011</v>
      </c>
      <c r="C477">
        <v>2015</v>
      </c>
      <c r="D477" t="s">
        <v>24</v>
      </c>
      <c r="E477">
        <v>112</v>
      </c>
      <c r="F477" t="s">
        <v>375</v>
      </c>
      <c r="G477">
        <v>7</v>
      </c>
      <c r="I477" t="s">
        <v>422</v>
      </c>
      <c r="J477" t="s">
        <v>547</v>
      </c>
      <c r="K477" t="s">
        <v>2012</v>
      </c>
      <c r="L477">
        <v>76180</v>
      </c>
    </row>
    <row r="478" spans="1:13" x14ac:dyDescent="0.3">
      <c r="A478" t="s">
        <v>2013</v>
      </c>
      <c r="B478" t="s">
        <v>2014</v>
      </c>
      <c r="C478">
        <v>2016</v>
      </c>
      <c r="D478" t="s">
        <v>17</v>
      </c>
      <c r="E478">
        <v>101</v>
      </c>
      <c r="F478" t="s">
        <v>129</v>
      </c>
      <c r="G478">
        <v>7</v>
      </c>
      <c r="H478">
        <v>70</v>
      </c>
      <c r="I478" t="s">
        <v>2015</v>
      </c>
      <c r="J478" t="s">
        <v>165</v>
      </c>
      <c r="K478" t="s">
        <v>2016</v>
      </c>
      <c r="L478">
        <v>15630</v>
      </c>
    </row>
    <row r="479" spans="1:13" x14ac:dyDescent="0.3">
      <c r="A479" t="s">
        <v>2017</v>
      </c>
      <c r="B479" t="s">
        <v>2018</v>
      </c>
      <c r="C479">
        <v>2016</v>
      </c>
      <c r="D479" t="s">
        <v>293</v>
      </c>
      <c r="E479">
        <v>105</v>
      </c>
      <c r="F479" t="s">
        <v>43</v>
      </c>
      <c r="G479">
        <v>7</v>
      </c>
      <c r="H479">
        <v>78</v>
      </c>
      <c r="I479" t="s">
        <v>1363</v>
      </c>
      <c r="J479" t="s">
        <v>125</v>
      </c>
      <c r="K479" t="s">
        <v>2019</v>
      </c>
      <c r="L479">
        <v>26369</v>
      </c>
    </row>
    <row r="480" spans="1:13" x14ac:dyDescent="0.3">
      <c r="A480" t="s">
        <v>2020</v>
      </c>
      <c r="B480" t="s">
        <v>2021</v>
      </c>
      <c r="C480">
        <v>2010</v>
      </c>
      <c r="D480" t="s">
        <v>293</v>
      </c>
      <c r="E480">
        <v>135</v>
      </c>
      <c r="F480" t="s">
        <v>1525</v>
      </c>
      <c r="G480">
        <v>7</v>
      </c>
      <c r="H480">
        <v>85</v>
      </c>
      <c r="I480" t="s">
        <v>852</v>
      </c>
      <c r="J480" t="s">
        <v>131</v>
      </c>
      <c r="K480" t="s">
        <v>2022</v>
      </c>
      <c r="L480">
        <v>128335</v>
      </c>
      <c r="M480">
        <v>55.19</v>
      </c>
    </row>
    <row r="481" spans="1:13" x14ac:dyDescent="0.3">
      <c r="A481" t="s">
        <v>2023</v>
      </c>
      <c r="B481" t="s">
        <v>2024</v>
      </c>
      <c r="C481">
        <v>2019</v>
      </c>
      <c r="D481" t="s">
        <v>24</v>
      </c>
      <c r="E481">
        <v>123</v>
      </c>
      <c r="F481" t="s">
        <v>2025</v>
      </c>
      <c r="G481">
        <v>7</v>
      </c>
      <c r="H481">
        <v>64</v>
      </c>
      <c r="I481" t="s">
        <v>305</v>
      </c>
      <c r="J481" t="s">
        <v>131</v>
      </c>
      <c r="K481" t="s">
        <v>2026</v>
      </c>
      <c r="L481">
        <v>403741</v>
      </c>
      <c r="M481">
        <v>393.84</v>
      </c>
    </row>
    <row r="482" spans="1:13" x14ac:dyDescent="0.3">
      <c r="A482" t="s">
        <v>2027</v>
      </c>
      <c r="B482" t="s">
        <v>2028</v>
      </c>
      <c r="C482">
        <v>2006</v>
      </c>
      <c r="D482" t="s">
        <v>24</v>
      </c>
      <c r="E482">
        <v>126</v>
      </c>
      <c r="F482" t="s">
        <v>872</v>
      </c>
      <c r="G482">
        <v>7</v>
      </c>
      <c r="I482" t="s">
        <v>2029</v>
      </c>
      <c r="J482" t="s">
        <v>593</v>
      </c>
      <c r="K482" t="s">
        <v>2030</v>
      </c>
      <c r="L482">
        <v>2500000</v>
      </c>
      <c r="M482">
        <v>272.14</v>
      </c>
    </row>
    <row r="483" spans="1:13" x14ac:dyDescent="0.3">
      <c r="A483" t="s">
        <v>2031</v>
      </c>
      <c r="B483" t="s">
        <v>2032</v>
      </c>
      <c r="C483">
        <v>2020</v>
      </c>
      <c r="D483" t="s">
        <v>17</v>
      </c>
      <c r="E483">
        <v>119</v>
      </c>
      <c r="F483" t="s">
        <v>273</v>
      </c>
      <c r="G483">
        <v>7</v>
      </c>
      <c r="H483">
        <v>83</v>
      </c>
      <c r="I483" t="s">
        <v>164</v>
      </c>
      <c r="J483" t="s">
        <v>368</v>
      </c>
      <c r="K483" t="s">
        <v>2033</v>
      </c>
      <c r="L483">
        <v>612773</v>
      </c>
      <c r="M483">
        <v>271.97000000000003</v>
      </c>
    </row>
    <row r="484" spans="1:13" x14ac:dyDescent="0.3">
      <c r="A484" t="s">
        <v>2034</v>
      </c>
      <c r="B484" t="s">
        <v>2035</v>
      </c>
      <c r="C484">
        <v>2011</v>
      </c>
      <c r="D484" t="s">
        <v>17</v>
      </c>
      <c r="E484">
        <v>134</v>
      </c>
      <c r="F484" t="s">
        <v>2036</v>
      </c>
      <c r="G484">
        <v>7</v>
      </c>
      <c r="H484">
        <v>59</v>
      </c>
      <c r="I484" t="s">
        <v>2037</v>
      </c>
      <c r="J484" t="s">
        <v>593</v>
      </c>
      <c r="K484" t="s">
        <v>2038</v>
      </c>
      <c r="L484">
        <v>250122</v>
      </c>
      <c r="M484">
        <v>178.13</v>
      </c>
    </row>
    <row r="485" spans="1:13" x14ac:dyDescent="0.3">
      <c r="A485" t="s">
        <v>2039</v>
      </c>
      <c r="B485" t="s">
        <v>2040</v>
      </c>
      <c r="C485">
        <v>2016</v>
      </c>
      <c r="D485" t="s">
        <v>54</v>
      </c>
      <c r="E485">
        <v>89</v>
      </c>
      <c r="F485" t="s">
        <v>2041</v>
      </c>
      <c r="G485">
        <v>7</v>
      </c>
      <c r="I485" t="s">
        <v>2042</v>
      </c>
      <c r="J485" t="s">
        <v>236</v>
      </c>
      <c r="K485" t="s">
        <v>2043</v>
      </c>
      <c r="L485">
        <v>120757</v>
      </c>
      <c r="M485">
        <v>272.38</v>
      </c>
    </row>
    <row r="486" spans="1:13" x14ac:dyDescent="0.3">
      <c r="A486" t="s">
        <v>2044</v>
      </c>
      <c r="B486" t="s">
        <v>2045</v>
      </c>
      <c r="C486">
        <v>2024</v>
      </c>
      <c r="D486" t="s">
        <v>54</v>
      </c>
      <c r="E486">
        <v>109</v>
      </c>
      <c r="F486" t="s">
        <v>2046</v>
      </c>
      <c r="G486">
        <v>7</v>
      </c>
      <c r="I486" t="s">
        <v>141</v>
      </c>
      <c r="J486" t="s">
        <v>718</v>
      </c>
      <c r="K486" t="s">
        <v>2047</v>
      </c>
      <c r="L486">
        <v>58417</v>
      </c>
      <c r="M486">
        <v>444.34</v>
      </c>
    </row>
    <row r="487" spans="1:13" x14ac:dyDescent="0.3">
      <c r="A487" t="s">
        <v>2048</v>
      </c>
      <c r="B487" t="s">
        <v>2049</v>
      </c>
      <c r="C487">
        <v>2010</v>
      </c>
      <c r="D487" t="s">
        <v>24</v>
      </c>
      <c r="E487">
        <v>126</v>
      </c>
      <c r="F487" t="s">
        <v>2050</v>
      </c>
      <c r="G487">
        <v>7</v>
      </c>
      <c r="I487" t="s">
        <v>136</v>
      </c>
      <c r="J487" t="s">
        <v>74</v>
      </c>
      <c r="K487" t="s">
        <v>2051</v>
      </c>
      <c r="L487">
        <v>173542</v>
      </c>
      <c r="M487">
        <v>299.36</v>
      </c>
    </row>
    <row r="488" spans="1:13" x14ac:dyDescent="0.3">
      <c r="A488" t="s">
        <v>2052</v>
      </c>
      <c r="B488" t="s">
        <v>2053</v>
      </c>
      <c r="C488">
        <v>2002</v>
      </c>
      <c r="D488" t="s">
        <v>17</v>
      </c>
      <c r="E488">
        <v>129</v>
      </c>
      <c r="F488" t="s">
        <v>2054</v>
      </c>
      <c r="G488">
        <v>7</v>
      </c>
      <c r="H488">
        <v>75</v>
      </c>
      <c r="I488" t="s">
        <v>102</v>
      </c>
      <c r="J488" t="s">
        <v>147</v>
      </c>
      <c r="K488" t="s">
        <v>2055</v>
      </c>
      <c r="L488">
        <v>16522</v>
      </c>
      <c r="M488">
        <v>97.7</v>
      </c>
    </row>
    <row r="489" spans="1:13" x14ac:dyDescent="0.3">
      <c r="A489" t="s">
        <v>2056</v>
      </c>
      <c r="B489" t="s">
        <v>2057</v>
      </c>
      <c r="C489">
        <v>2012</v>
      </c>
      <c r="D489" t="s">
        <v>54</v>
      </c>
      <c r="E489">
        <v>130</v>
      </c>
      <c r="F489" t="s">
        <v>135</v>
      </c>
      <c r="G489">
        <v>7</v>
      </c>
      <c r="H489">
        <v>79</v>
      </c>
      <c r="I489" t="s">
        <v>136</v>
      </c>
      <c r="J489" t="s">
        <v>159</v>
      </c>
      <c r="K489" t="s">
        <v>2058</v>
      </c>
      <c r="L489">
        <v>101310</v>
      </c>
      <c r="M489">
        <v>271.39999999999998</v>
      </c>
    </row>
    <row r="490" spans="1:13" x14ac:dyDescent="0.3">
      <c r="A490" t="s">
        <v>2059</v>
      </c>
      <c r="B490" t="s">
        <v>2060</v>
      </c>
      <c r="C490">
        <v>2006</v>
      </c>
      <c r="D490" t="s">
        <v>54</v>
      </c>
      <c r="E490">
        <v>119</v>
      </c>
      <c r="F490" t="s">
        <v>2061</v>
      </c>
      <c r="G490">
        <v>7</v>
      </c>
      <c r="H490">
        <v>65</v>
      </c>
      <c r="I490" t="s">
        <v>320</v>
      </c>
      <c r="J490" t="s">
        <v>63</v>
      </c>
      <c r="K490" t="s">
        <v>2062</v>
      </c>
      <c r="L490">
        <v>48216</v>
      </c>
      <c r="M490">
        <v>498.57</v>
      </c>
    </row>
    <row r="491" spans="1:13" x14ac:dyDescent="0.3">
      <c r="A491" t="s">
        <v>2063</v>
      </c>
      <c r="B491" t="s">
        <v>2064</v>
      </c>
      <c r="C491">
        <v>2021</v>
      </c>
      <c r="D491" t="s">
        <v>17</v>
      </c>
      <c r="E491">
        <v>99</v>
      </c>
      <c r="F491" t="s">
        <v>1044</v>
      </c>
      <c r="G491">
        <v>7</v>
      </c>
      <c r="H491">
        <v>63</v>
      </c>
      <c r="I491" t="s">
        <v>164</v>
      </c>
      <c r="J491" t="s">
        <v>103</v>
      </c>
      <c r="K491" t="s">
        <v>2065</v>
      </c>
      <c r="L491">
        <v>66437</v>
      </c>
      <c r="M491">
        <v>320.77</v>
      </c>
    </row>
    <row r="492" spans="1:13" x14ac:dyDescent="0.3">
      <c r="A492" t="s">
        <v>2066</v>
      </c>
      <c r="B492" t="s">
        <v>2067</v>
      </c>
      <c r="C492">
        <v>2005</v>
      </c>
      <c r="D492" t="s">
        <v>54</v>
      </c>
      <c r="E492">
        <v>140</v>
      </c>
      <c r="F492" t="s">
        <v>466</v>
      </c>
      <c r="G492">
        <v>7</v>
      </c>
      <c r="I492" t="s">
        <v>2068</v>
      </c>
      <c r="J492" t="s">
        <v>27</v>
      </c>
      <c r="K492" t="s">
        <v>2069</v>
      </c>
      <c r="L492">
        <v>287113</v>
      </c>
    </row>
    <row r="493" spans="1:13" x14ac:dyDescent="0.3">
      <c r="A493" t="s">
        <v>2070</v>
      </c>
      <c r="B493" t="s">
        <v>2071</v>
      </c>
      <c r="C493">
        <v>2007</v>
      </c>
      <c r="D493" t="s">
        <v>17</v>
      </c>
      <c r="E493">
        <v>154</v>
      </c>
      <c r="F493" t="s">
        <v>470</v>
      </c>
      <c r="G493">
        <v>7</v>
      </c>
      <c r="I493" t="s">
        <v>491</v>
      </c>
      <c r="J493" t="s">
        <v>80</v>
      </c>
      <c r="K493" t="s">
        <v>2072</v>
      </c>
      <c r="L493">
        <v>22536</v>
      </c>
      <c r="M493">
        <v>345.8</v>
      </c>
    </row>
    <row r="494" spans="1:13" x14ac:dyDescent="0.3">
      <c r="A494" t="s">
        <v>2073</v>
      </c>
      <c r="B494" t="s">
        <v>2074</v>
      </c>
      <c r="C494">
        <v>2012</v>
      </c>
      <c r="D494" t="s">
        <v>17</v>
      </c>
      <c r="E494">
        <v>116</v>
      </c>
      <c r="F494" t="s">
        <v>2075</v>
      </c>
      <c r="G494">
        <v>7</v>
      </c>
      <c r="H494">
        <v>68</v>
      </c>
      <c r="I494" t="s">
        <v>220</v>
      </c>
      <c r="J494" t="s">
        <v>315</v>
      </c>
      <c r="K494" t="s">
        <v>2076</v>
      </c>
      <c r="L494">
        <v>34396</v>
      </c>
      <c r="M494">
        <v>450.55</v>
      </c>
    </row>
    <row r="495" spans="1:13" x14ac:dyDescent="0.3">
      <c r="A495" t="s">
        <v>2077</v>
      </c>
      <c r="B495" t="s">
        <v>2078</v>
      </c>
      <c r="C495">
        <v>2009</v>
      </c>
      <c r="D495" t="s">
        <v>17</v>
      </c>
      <c r="E495">
        <v>121</v>
      </c>
      <c r="F495" t="s">
        <v>941</v>
      </c>
      <c r="G495">
        <v>7</v>
      </c>
      <c r="I495" t="s">
        <v>355</v>
      </c>
      <c r="J495" t="s">
        <v>74</v>
      </c>
      <c r="K495" t="s">
        <v>2079</v>
      </c>
      <c r="L495">
        <v>592853</v>
      </c>
    </row>
    <row r="496" spans="1:13" x14ac:dyDescent="0.3">
      <c r="A496" t="s">
        <v>2080</v>
      </c>
      <c r="B496" t="s">
        <v>2081</v>
      </c>
      <c r="C496">
        <v>2015</v>
      </c>
      <c r="D496" t="s">
        <v>17</v>
      </c>
      <c r="E496">
        <v>171</v>
      </c>
      <c r="F496" t="s">
        <v>345</v>
      </c>
      <c r="G496">
        <v>6.9</v>
      </c>
      <c r="H496">
        <v>72</v>
      </c>
      <c r="I496" t="s">
        <v>226</v>
      </c>
      <c r="J496" t="s">
        <v>27</v>
      </c>
      <c r="K496" t="s">
        <v>2082</v>
      </c>
      <c r="L496">
        <v>61138</v>
      </c>
      <c r="M496">
        <v>34.159999999999997</v>
      </c>
    </row>
    <row r="497" spans="1:13" x14ac:dyDescent="0.3">
      <c r="A497" t="s">
        <v>2083</v>
      </c>
      <c r="B497" t="s">
        <v>2084</v>
      </c>
      <c r="C497">
        <v>2012</v>
      </c>
      <c r="D497" t="s">
        <v>24</v>
      </c>
      <c r="E497">
        <v>160</v>
      </c>
      <c r="F497" t="s">
        <v>2085</v>
      </c>
      <c r="G497">
        <v>6.9</v>
      </c>
      <c r="H497">
        <v>73</v>
      </c>
      <c r="I497" t="s">
        <v>287</v>
      </c>
      <c r="J497" t="s">
        <v>50</v>
      </c>
      <c r="K497" t="s">
        <v>2086</v>
      </c>
      <c r="L497">
        <v>34614</v>
      </c>
      <c r="M497">
        <v>487.9</v>
      </c>
    </row>
    <row r="498" spans="1:13" x14ac:dyDescent="0.3">
      <c r="A498" t="s">
        <v>2087</v>
      </c>
      <c r="B498" t="s">
        <v>2088</v>
      </c>
      <c r="C498">
        <v>2010</v>
      </c>
      <c r="D498" t="s">
        <v>169</v>
      </c>
      <c r="E498">
        <v>131</v>
      </c>
      <c r="F498" t="s">
        <v>48</v>
      </c>
      <c r="G498">
        <v>6.9</v>
      </c>
      <c r="H498">
        <v>60</v>
      </c>
      <c r="I498" t="s">
        <v>2089</v>
      </c>
      <c r="J498" t="s">
        <v>221</v>
      </c>
      <c r="K498" t="s">
        <v>2090</v>
      </c>
      <c r="L498">
        <v>134340</v>
      </c>
    </row>
    <row r="499" spans="1:13" x14ac:dyDescent="0.3">
      <c r="A499" t="s">
        <v>2091</v>
      </c>
      <c r="B499" t="s">
        <v>2092</v>
      </c>
      <c r="C499">
        <v>2020</v>
      </c>
      <c r="D499" t="s">
        <v>24</v>
      </c>
      <c r="E499">
        <v>100</v>
      </c>
      <c r="F499" t="s">
        <v>2093</v>
      </c>
      <c r="G499">
        <v>6.9</v>
      </c>
      <c r="I499" t="s">
        <v>2094</v>
      </c>
      <c r="J499" t="s">
        <v>608</v>
      </c>
      <c r="K499" t="s">
        <v>2095</v>
      </c>
      <c r="L499">
        <v>88135</v>
      </c>
    </row>
    <row r="500" spans="1:13" x14ac:dyDescent="0.3">
      <c r="A500" t="s">
        <v>2096</v>
      </c>
      <c r="B500" t="s">
        <v>2097</v>
      </c>
      <c r="C500">
        <v>2009</v>
      </c>
      <c r="D500" t="s">
        <v>17</v>
      </c>
      <c r="E500">
        <v>118</v>
      </c>
      <c r="F500" t="s">
        <v>2098</v>
      </c>
      <c r="G500">
        <v>6.9</v>
      </c>
      <c r="H500">
        <v>72</v>
      </c>
      <c r="I500" t="s">
        <v>898</v>
      </c>
      <c r="J500" t="s">
        <v>131</v>
      </c>
      <c r="K500" t="s">
        <v>2099</v>
      </c>
      <c r="L500">
        <v>2989</v>
      </c>
    </row>
    <row r="501" spans="1:13" x14ac:dyDescent="0.3">
      <c r="A501" t="s">
        <v>2100</v>
      </c>
      <c r="B501" t="s">
        <v>2101</v>
      </c>
      <c r="C501">
        <v>2004</v>
      </c>
      <c r="D501" t="s">
        <v>17</v>
      </c>
      <c r="E501">
        <v>132</v>
      </c>
      <c r="F501" t="s">
        <v>230</v>
      </c>
      <c r="G501">
        <v>6.9</v>
      </c>
      <c r="H501">
        <v>75</v>
      </c>
      <c r="I501" t="s">
        <v>231</v>
      </c>
      <c r="J501" t="s">
        <v>103</v>
      </c>
      <c r="K501" t="s">
        <v>2102</v>
      </c>
      <c r="L501">
        <v>43550</v>
      </c>
    </row>
    <row r="502" spans="1:13" x14ac:dyDescent="0.3">
      <c r="A502" t="s">
        <v>2103</v>
      </c>
      <c r="B502" t="s">
        <v>2104</v>
      </c>
      <c r="C502">
        <v>2007</v>
      </c>
      <c r="D502" t="s">
        <v>293</v>
      </c>
      <c r="E502">
        <v>120</v>
      </c>
      <c r="F502" t="s">
        <v>1954</v>
      </c>
      <c r="G502">
        <v>6.9</v>
      </c>
      <c r="H502">
        <v>62</v>
      </c>
      <c r="I502" t="s">
        <v>158</v>
      </c>
      <c r="J502" t="s">
        <v>68</v>
      </c>
      <c r="K502" t="s">
        <v>2105</v>
      </c>
      <c r="L502">
        <v>150283</v>
      </c>
      <c r="M502">
        <v>388.86</v>
      </c>
    </row>
    <row r="503" spans="1:13" x14ac:dyDescent="0.3">
      <c r="A503" t="s">
        <v>2106</v>
      </c>
      <c r="B503" t="s">
        <v>2107</v>
      </c>
      <c r="C503">
        <v>2006</v>
      </c>
      <c r="D503" t="s">
        <v>24</v>
      </c>
      <c r="E503">
        <v>122</v>
      </c>
      <c r="F503" t="s">
        <v>1606</v>
      </c>
      <c r="G503">
        <v>6.9</v>
      </c>
      <c r="H503">
        <v>62</v>
      </c>
      <c r="I503" t="s">
        <v>102</v>
      </c>
      <c r="J503" t="s">
        <v>92</v>
      </c>
      <c r="K503" t="s">
        <v>2108</v>
      </c>
      <c r="L503">
        <v>177841</v>
      </c>
      <c r="M503">
        <v>276.37</v>
      </c>
    </row>
    <row r="504" spans="1:13" x14ac:dyDescent="0.3">
      <c r="A504" t="s">
        <v>2109</v>
      </c>
      <c r="B504" t="s">
        <v>2110</v>
      </c>
      <c r="C504">
        <v>2004</v>
      </c>
      <c r="D504" t="s">
        <v>169</v>
      </c>
      <c r="E504">
        <v>109</v>
      </c>
      <c r="F504" t="s">
        <v>354</v>
      </c>
      <c r="G504">
        <v>6.9</v>
      </c>
      <c r="H504">
        <v>73</v>
      </c>
      <c r="I504" t="s">
        <v>2111</v>
      </c>
      <c r="J504" t="s">
        <v>131</v>
      </c>
      <c r="K504" t="s">
        <v>2112</v>
      </c>
      <c r="L504">
        <v>76098</v>
      </c>
      <c r="M504">
        <v>125.2</v>
      </c>
    </row>
    <row r="505" spans="1:13" x14ac:dyDescent="0.3">
      <c r="A505" t="s">
        <v>2113</v>
      </c>
      <c r="B505" t="s">
        <v>2114</v>
      </c>
      <c r="C505">
        <v>1994</v>
      </c>
      <c r="D505" t="s">
        <v>54</v>
      </c>
      <c r="E505">
        <v>118</v>
      </c>
      <c r="F505" t="s">
        <v>43</v>
      </c>
      <c r="G505">
        <v>6.9</v>
      </c>
      <c r="H505">
        <v>75</v>
      </c>
      <c r="I505" t="s">
        <v>136</v>
      </c>
      <c r="J505" t="s">
        <v>20</v>
      </c>
      <c r="K505" t="s">
        <v>2115</v>
      </c>
      <c r="L505">
        <v>12879</v>
      </c>
    </row>
    <row r="506" spans="1:13" x14ac:dyDescent="0.3">
      <c r="A506" t="s">
        <v>2116</v>
      </c>
      <c r="B506" t="s">
        <v>2117</v>
      </c>
      <c r="C506">
        <v>2008</v>
      </c>
      <c r="D506" t="s">
        <v>17</v>
      </c>
      <c r="E506">
        <v>109</v>
      </c>
      <c r="F506" t="s">
        <v>277</v>
      </c>
      <c r="G506">
        <v>6.9</v>
      </c>
      <c r="H506">
        <v>70</v>
      </c>
      <c r="I506" t="s">
        <v>395</v>
      </c>
      <c r="J506" t="s">
        <v>74</v>
      </c>
      <c r="K506" t="s">
        <v>2118</v>
      </c>
      <c r="L506">
        <v>29929</v>
      </c>
    </row>
    <row r="507" spans="1:13" x14ac:dyDescent="0.3">
      <c r="A507" t="s">
        <v>2119</v>
      </c>
      <c r="B507" t="s">
        <v>2120</v>
      </c>
      <c r="C507">
        <v>2014</v>
      </c>
      <c r="D507" t="s">
        <v>285</v>
      </c>
      <c r="E507">
        <v>129</v>
      </c>
      <c r="F507" t="s">
        <v>2121</v>
      </c>
      <c r="G507">
        <v>6.9</v>
      </c>
      <c r="H507">
        <v>60</v>
      </c>
      <c r="I507" t="s">
        <v>2122</v>
      </c>
      <c r="J507" t="s">
        <v>92</v>
      </c>
      <c r="K507" t="s">
        <v>2123</v>
      </c>
      <c r="L507">
        <v>8738</v>
      </c>
      <c r="M507">
        <v>497.65</v>
      </c>
    </row>
    <row r="508" spans="1:13" x14ac:dyDescent="0.3">
      <c r="A508" t="s">
        <v>2124</v>
      </c>
      <c r="B508" t="s">
        <v>2125</v>
      </c>
      <c r="C508">
        <v>2009</v>
      </c>
      <c r="D508" t="s">
        <v>17</v>
      </c>
      <c r="E508">
        <v>95</v>
      </c>
      <c r="F508" t="s">
        <v>499</v>
      </c>
      <c r="G508">
        <v>6.9</v>
      </c>
      <c r="H508">
        <v>74</v>
      </c>
      <c r="I508" t="s">
        <v>2126</v>
      </c>
      <c r="J508" t="s">
        <v>68</v>
      </c>
      <c r="K508" t="s">
        <v>2127</v>
      </c>
      <c r="L508">
        <v>90768</v>
      </c>
      <c r="M508">
        <v>352.83</v>
      </c>
    </row>
    <row r="509" spans="1:13" x14ac:dyDescent="0.3">
      <c r="A509" t="s">
        <v>2128</v>
      </c>
      <c r="B509" t="s">
        <v>2129</v>
      </c>
      <c r="C509">
        <v>2022</v>
      </c>
      <c r="D509" t="s">
        <v>17</v>
      </c>
      <c r="E509">
        <v>116</v>
      </c>
      <c r="F509" t="s">
        <v>2054</v>
      </c>
      <c r="G509">
        <v>6.9</v>
      </c>
      <c r="I509" t="s">
        <v>350</v>
      </c>
      <c r="J509" t="s">
        <v>191</v>
      </c>
      <c r="K509" t="s">
        <v>2130</v>
      </c>
      <c r="L509">
        <v>136930</v>
      </c>
      <c r="M509">
        <v>468.09</v>
      </c>
    </row>
    <row r="510" spans="1:13" x14ac:dyDescent="0.3">
      <c r="A510" t="s">
        <v>2131</v>
      </c>
      <c r="B510" t="s">
        <v>2132</v>
      </c>
      <c r="C510">
        <v>2007</v>
      </c>
      <c r="D510" t="s">
        <v>17</v>
      </c>
      <c r="E510">
        <v>127</v>
      </c>
      <c r="F510" t="s">
        <v>606</v>
      </c>
      <c r="G510">
        <v>6.9</v>
      </c>
      <c r="H510">
        <v>82</v>
      </c>
      <c r="I510" t="s">
        <v>314</v>
      </c>
      <c r="J510" t="s">
        <v>315</v>
      </c>
      <c r="K510" t="s">
        <v>2133</v>
      </c>
      <c r="L510">
        <v>125326</v>
      </c>
    </row>
    <row r="511" spans="1:13" x14ac:dyDescent="0.3">
      <c r="A511" t="s">
        <v>2134</v>
      </c>
      <c r="B511" t="s">
        <v>2135</v>
      </c>
      <c r="C511">
        <v>2001</v>
      </c>
      <c r="D511" t="s">
        <v>17</v>
      </c>
      <c r="E511">
        <v>141</v>
      </c>
      <c r="F511" t="s">
        <v>2136</v>
      </c>
      <c r="G511">
        <v>6.9</v>
      </c>
      <c r="H511">
        <v>78</v>
      </c>
      <c r="I511" t="s">
        <v>2137</v>
      </c>
      <c r="J511" t="s">
        <v>103</v>
      </c>
      <c r="K511" t="s">
        <v>2138</v>
      </c>
      <c r="L511">
        <v>95042</v>
      </c>
    </row>
    <row r="512" spans="1:13" x14ac:dyDescent="0.3">
      <c r="A512" t="s">
        <v>2139</v>
      </c>
      <c r="B512" t="s">
        <v>2140</v>
      </c>
      <c r="C512">
        <v>2001</v>
      </c>
      <c r="D512" t="s">
        <v>17</v>
      </c>
      <c r="E512">
        <v>108</v>
      </c>
      <c r="F512" t="s">
        <v>2141</v>
      </c>
      <c r="G512">
        <v>6.9</v>
      </c>
      <c r="I512" t="s">
        <v>634</v>
      </c>
      <c r="J512" t="s">
        <v>153</v>
      </c>
      <c r="K512" t="s">
        <v>2142</v>
      </c>
      <c r="L512">
        <v>1122687</v>
      </c>
    </row>
    <row r="513" spans="1:13" x14ac:dyDescent="0.3">
      <c r="A513" t="s">
        <v>2143</v>
      </c>
      <c r="B513" t="s">
        <v>2144</v>
      </c>
      <c r="C513">
        <v>2011</v>
      </c>
      <c r="D513" t="s">
        <v>17</v>
      </c>
      <c r="E513">
        <v>136</v>
      </c>
      <c r="F513" t="s">
        <v>919</v>
      </c>
      <c r="G513">
        <v>6.9</v>
      </c>
      <c r="H513">
        <v>66</v>
      </c>
      <c r="I513" t="s">
        <v>629</v>
      </c>
      <c r="J513" t="s">
        <v>315</v>
      </c>
      <c r="K513" t="s">
        <v>2145</v>
      </c>
      <c r="L513">
        <v>51620</v>
      </c>
      <c r="M513">
        <v>215.38</v>
      </c>
    </row>
    <row r="514" spans="1:13" x14ac:dyDescent="0.3">
      <c r="A514" t="s">
        <v>2146</v>
      </c>
      <c r="B514" t="s">
        <v>2147</v>
      </c>
      <c r="C514">
        <v>2019</v>
      </c>
      <c r="D514" t="s">
        <v>54</v>
      </c>
      <c r="E514">
        <v>129</v>
      </c>
      <c r="F514" t="s">
        <v>1933</v>
      </c>
      <c r="G514">
        <v>6.9</v>
      </c>
      <c r="I514" t="s">
        <v>2148</v>
      </c>
      <c r="J514" t="s">
        <v>165</v>
      </c>
      <c r="K514" t="s">
        <v>2149</v>
      </c>
      <c r="L514">
        <v>3092</v>
      </c>
      <c r="M514">
        <v>154.13</v>
      </c>
    </row>
    <row r="515" spans="1:13" x14ac:dyDescent="0.3">
      <c r="A515" t="s">
        <v>2150</v>
      </c>
      <c r="B515" t="s">
        <v>2151</v>
      </c>
      <c r="C515">
        <v>1998</v>
      </c>
      <c r="D515" t="s">
        <v>17</v>
      </c>
      <c r="E515">
        <v>107</v>
      </c>
      <c r="F515" t="s">
        <v>2152</v>
      </c>
      <c r="G515">
        <v>6.9</v>
      </c>
      <c r="I515" t="s">
        <v>231</v>
      </c>
      <c r="J515" t="s">
        <v>547</v>
      </c>
      <c r="K515" t="s">
        <v>2153</v>
      </c>
      <c r="L515">
        <v>47405</v>
      </c>
    </row>
    <row r="516" spans="1:13" x14ac:dyDescent="0.3">
      <c r="A516" t="s">
        <v>2154</v>
      </c>
      <c r="B516" t="s">
        <v>2155</v>
      </c>
      <c r="C516">
        <v>2013</v>
      </c>
      <c r="D516" t="s">
        <v>17</v>
      </c>
      <c r="E516">
        <v>119</v>
      </c>
      <c r="F516" t="s">
        <v>72</v>
      </c>
      <c r="G516">
        <v>6.9</v>
      </c>
      <c r="H516">
        <v>56</v>
      </c>
      <c r="I516" t="s">
        <v>2156</v>
      </c>
      <c r="J516" t="s">
        <v>524</v>
      </c>
      <c r="K516" t="s">
        <v>2157</v>
      </c>
      <c r="L516">
        <v>213767</v>
      </c>
      <c r="M516">
        <v>249.88</v>
      </c>
    </row>
    <row r="517" spans="1:13" x14ac:dyDescent="0.3">
      <c r="A517" t="s">
        <v>2158</v>
      </c>
      <c r="B517" t="s">
        <v>2159</v>
      </c>
      <c r="C517">
        <v>2012</v>
      </c>
      <c r="D517" t="s">
        <v>17</v>
      </c>
      <c r="E517">
        <v>105</v>
      </c>
      <c r="F517" t="s">
        <v>924</v>
      </c>
      <c r="G517">
        <v>6.9</v>
      </c>
      <c r="H517">
        <v>61</v>
      </c>
      <c r="I517" t="s">
        <v>1155</v>
      </c>
      <c r="J517" t="s">
        <v>518</v>
      </c>
      <c r="K517" t="s">
        <v>2160</v>
      </c>
      <c r="L517">
        <v>118886</v>
      </c>
      <c r="M517">
        <v>223.78</v>
      </c>
    </row>
    <row r="518" spans="1:13" x14ac:dyDescent="0.3">
      <c r="A518" t="s">
        <v>2161</v>
      </c>
      <c r="B518" t="s">
        <v>2162</v>
      </c>
      <c r="C518">
        <v>2009</v>
      </c>
      <c r="D518" t="s">
        <v>24</v>
      </c>
      <c r="E518">
        <v>96</v>
      </c>
      <c r="F518" t="s">
        <v>872</v>
      </c>
      <c r="G518">
        <v>6.9</v>
      </c>
      <c r="I518" t="s">
        <v>278</v>
      </c>
      <c r="J518" t="s">
        <v>103</v>
      </c>
      <c r="K518" t="s">
        <v>2163</v>
      </c>
      <c r="L518">
        <v>805140</v>
      </c>
    </row>
    <row r="519" spans="1:13" x14ac:dyDescent="0.3">
      <c r="A519" t="s">
        <v>2164</v>
      </c>
      <c r="B519" t="s">
        <v>2165</v>
      </c>
      <c r="C519">
        <v>2010</v>
      </c>
      <c r="D519" t="s">
        <v>17</v>
      </c>
      <c r="E519">
        <v>136</v>
      </c>
      <c r="F519" t="s">
        <v>2166</v>
      </c>
      <c r="G519">
        <v>6.9</v>
      </c>
      <c r="H519">
        <v>66</v>
      </c>
      <c r="I519" t="s">
        <v>1155</v>
      </c>
      <c r="J519" t="s">
        <v>547</v>
      </c>
      <c r="K519" t="s">
        <v>2167</v>
      </c>
      <c r="L519">
        <v>8647</v>
      </c>
      <c r="M519">
        <v>498.46</v>
      </c>
    </row>
    <row r="520" spans="1:13" x14ac:dyDescent="0.3">
      <c r="A520" t="s">
        <v>2168</v>
      </c>
      <c r="B520" t="s">
        <v>2169</v>
      </c>
      <c r="C520">
        <v>2006</v>
      </c>
      <c r="D520" t="s">
        <v>17</v>
      </c>
      <c r="E520">
        <v>117</v>
      </c>
      <c r="F520" t="s">
        <v>2170</v>
      </c>
      <c r="G520">
        <v>6.9</v>
      </c>
      <c r="I520" t="s">
        <v>2171</v>
      </c>
      <c r="J520" t="s">
        <v>191</v>
      </c>
      <c r="K520" t="s">
        <v>2172</v>
      </c>
      <c r="L520">
        <v>309058</v>
      </c>
      <c r="M520">
        <v>464.92</v>
      </c>
    </row>
    <row r="521" spans="1:13" x14ac:dyDescent="0.3">
      <c r="A521" t="s">
        <v>2173</v>
      </c>
      <c r="B521" t="s">
        <v>2174</v>
      </c>
      <c r="C521">
        <v>2007</v>
      </c>
      <c r="D521" t="s">
        <v>54</v>
      </c>
      <c r="E521">
        <v>127</v>
      </c>
      <c r="F521" t="s">
        <v>2175</v>
      </c>
      <c r="G521">
        <v>6.9</v>
      </c>
      <c r="H521">
        <v>64</v>
      </c>
      <c r="I521" t="s">
        <v>2176</v>
      </c>
      <c r="J521" t="s">
        <v>236</v>
      </c>
      <c r="K521" t="s">
        <v>2177</v>
      </c>
      <c r="L521">
        <v>2450</v>
      </c>
      <c r="M521">
        <v>243.9</v>
      </c>
    </row>
    <row r="522" spans="1:13" x14ac:dyDescent="0.3">
      <c r="A522" t="s">
        <v>2178</v>
      </c>
      <c r="B522" t="s">
        <v>2179</v>
      </c>
      <c r="C522">
        <v>2017</v>
      </c>
      <c r="D522" t="s">
        <v>17</v>
      </c>
      <c r="E522">
        <v>99</v>
      </c>
      <c r="F522" t="s">
        <v>163</v>
      </c>
      <c r="G522">
        <v>6.9</v>
      </c>
      <c r="I522" t="s">
        <v>2180</v>
      </c>
      <c r="J522" t="s">
        <v>103</v>
      </c>
      <c r="K522" t="s">
        <v>2181</v>
      </c>
      <c r="L522">
        <v>20948</v>
      </c>
    </row>
    <row r="523" spans="1:13" x14ac:dyDescent="0.3">
      <c r="A523" t="s">
        <v>2182</v>
      </c>
      <c r="B523" t="s">
        <v>2183</v>
      </c>
      <c r="C523">
        <v>2005</v>
      </c>
      <c r="D523" t="s">
        <v>17</v>
      </c>
      <c r="E523">
        <v>152</v>
      </c>
      <c r="F523" t="s">
        <v>2184</v>
      </c>
      <c r="G523">
        <v>6.9</v>
      </c>
      <c r="H523">
        <v>66</v>
      </c>
      <c r="I523" t="s">
        <v>320</v>
      </c>
      <c r="J523" t="s">
        <v>50</v>
      </c>
      <c r="K523" t="s">
        <v>2185</v>
      </c>
      <c r="L523">
        <v>15550</v>
      </c>
    </row>
    <row r="524" spans="1:13" x14ac:dyDescent="0.3">
      <c r="A524" t="s">
        <v>2186</v>
      </c>
      <c r="B524" t="s">
        <v>2187</v>
      </c>
      <c r="C524">
        <v>2011</v>
      </c>
      <c r="D524" t="s">
        <v>24</v>
      </c>
      <c r="E524">
        <v>97</v>
      </c>
      <c r="F524" t="s">
        <v>2188</v>
      </c>
      <c r="G524">
        <v>6.9</v>
      </c>
      <c r="H524">
        <v>82</v>
      </c>
      <c r="I524" t="s">
        <v>2189</v>
      </c>
      <c r="J524" t="s">
        <v>196</v>
      </c>
      <c r="K524" t="s">
        <v>2190</v>
      </c>
      <c r="L524">
        <v>56962</v>
      </c>
    </row>
    <row r="525" spans="1:13" x14ac:dyDescent="0.3">
      <c r="A525" t="s">
        <v>2191</v>
      </c>
      <c r="B525" t="s">
        <v>2192</v>
      </c>
      <c r="C525">
        <v>2007</v>
      </c>
      <c r="D525" t="s">
        <v>285</v>
      </c>
      <c r="E525">
        <v>134</v>
      </c>
      <c r="F525" t="s">
        <v>25</v>
      </c>
      <c r="G525">
        <v>6.9</v>
      </c>
      <c r="I525" t="s">
        <v>2193</v>
      </c>
      <c r="J525" t="s">
        <v>159</v>
      </c>
      <c r="K525" t="s">
        <v>2194</v>
      </c>
      <c r="L525">
        <v>5415</v>
      </c>
    </row>
    <row r="526" spans="1:13" x14ac:dyDescent="0.3">
      <c r="A526" t="s">
        <v>2195</v>
      </c>
      <c r="B526" t="s">
        <v>2196</v>
      </c>
      <c r="C526">
        <v>1995</v>
      </c>
      <c r="D526" t="s">
        <v>54</v>
      </c>
      <c r="E526">
        <v>104</v>
      </c>
      <c r="F526" t="s">
        <v>1942</v>
      </c>
      <c r="G526">
        <v>6.9</v>
      </c>
      <c r="H526">
        <v>55</v>
      </c>
      <c r="I526" t="s">
        <v>278</v>
      </c>
      <c r="J526" t="s">
        <v>86</v>
      </c>
      <c r="K526" t="s">
        <v>2197</v>
      </c>
      <c r="L526">
        <v>99970</v>
      </c>
      <c r="M526">
        <v>5.81</v>
      </c>
    </row>
    <row r="527" spans="1:13" x14ac:dyDescent="0.3">
      <c r="A527" t="s">
        <v>2198</v>
      </c>
      <c r="B527" t="s">
        <v>2199</v>
      </c>
      <c r="C527">
        <v>2022</v>
      </c>
      <c r="D527" t="s">
        <v>169</v>
      </c>
      <c r="E527">
        <v>129</v>
      </c>
      <c r="F527" t="s">
        <v>1343</v>
      </c>
      <c r="G527">
        <v>6.9</v>
      </c>
      <c r="H527">
        <v>64</v>
      </c>
      <c r="I527" t="s">
        <v>2200</v>
      </c>
      <c r="J527" t="s">
        <v>50</v>
      </c>
      <c r="K527" t="s">
        <v>2201</v>
      </c>
      <c r="L527">
        <v>103511</v>
      </c>
      <c r="M527">
        <v>213.69</v>
      </c>
    </row>
    <row r="528" spans="1:13" x14ac:dyDescent="0.3">
      <c r="A528" t="s">
        <v>2202</v>
      </c>
      <c r="B528" t="s">
        <v>2203</v>
      </c>
      <c r="C528">
        <v>2017</v>
      </c>
      <c r="D528" t="s">
        <v>17</v>
      </c>
      <c r="E528">
        <v>90</v>
      </c>
      <c r="F528" t="s">
        <v>235</v>
      </c>
      <c r="G528">
        <v>6.9</v>
      </c>
      <c r="H528">
        <v>69</v>
      </c>
      <c r="I528" t="s">
        <v>201</v>
      </c>
      <c r="J528" t="s">
        <v>524</v>
      </c>
      <c r="K528" t="s">
        <v>2204</v>
      </c>
      <c r="L528">
        <v>64623</v>
      </c>
      <c r="M528">
        <v>303.16000000000003</v>
      </c>
    </row>
    <row r="529" spans="1:13" x14ac:dyDescent="0.3">
      <c r="A529" t="s">
        <v>2205</v>
      </c>
      <c r="B529" t="s">
        <v>2206</v>
      </c>
      <c r="C529">
        <v>2019</v>
      </c>
      <c r="D529" t="s">
        <v>54</v>
      </c>
      <c r="E529">
        <v>100</v>
      </c>
      <c r="F529" t="s">
        <v>1954</v>
      </c>
      <c r="G529">
        <v>6.9</v>
      </c>
      <c r="I529" t="s">
        <v>2207</v>
      </c>
      <c r="J529" t="s">
        <v>80</v>
      </c>
      <c r="K529" t="s">
        <v>2208</v>
      </c>
      <c r="L529">
        <v>684892</v>
      </c>
    </row>
    <row r="530" spans="1:13" x14ac:dyDescent="0.3">
      <c r="A530" t="s">
        <v>2209</v>
      </c>
      <c r="B530" t="s">
        <v>2210</v>
      </c>
      <c r="C530">
        <v>2009</v>
      </c>
      <c r="D530" t="s">
        <v>17</v>
      </c>
      <c r="E530">
        <v>91</v>
      </c>
      <c r="F530" t="s">
        <v>2211</v>
      </c>
      <c r="G530">
        <v>6.9</v>
      </c>
      <c r="H530">
        <v>75</v>
      </c>
      <c r="I530" t="s">
        <v>2212</v>
      </c>
      <c r="J530" t="s">
        <v>196</v>
      </c>
      <c r="K530" t="s">
        <v>2213</v>
      </c>
      <c r="L530">
        <v>21556</v>
      </c>
      <c r="M530">
        <v>370.73</v>
      </c>
    </row>
    <row r="531" spans="1:13" x14ac:dyDescent="0.3">
      <c r="A531" t="s">
        <v>2214</v>
      </c>
      <c r="B531" t="s">
        <v>2215</v>
      </c>
      <c r="C531">
        <v>2010</v>
      </c>
      <c r="D531" t="s">
        <v>54</v>
      </c>
      <c r="E531">
        <v>113</v>
      </c>
      <c r="F531" t="s">
        <v>235</v>
      </c>
      <c r="G531">
        <v>6.9</v>
      </c>
      <c r="I531" t="s">
        <v>2216</v>
      </c>
      <c r="J531" t="s">
        <v>191</v>
      </c>
      <c r="K531" t="s">
        <v>2217</v>
      </c>
      <c r="L531">
        <v>17107</v>
      </c>
      <c r="M531">
        <v>486</v>
      </c>
    </row>
    <row r="532" spans="1:13" x14ac:dyDescent="0.3">
      <c r="A532" t="s">
        <v>2218</v>
      </c>
      <c r="B532" t="s">
        <v>2219</v>
      </c>
      <c r="C532">
        <v>2008</v>
      </c>
      <c r="D532" t="s">
        <v>17</v>
      </c>
      <c r="E532">
        <v>128</v>
      </c>
      <c r="F532" t="s">
        <v>2220</v>
      </c>
      <c r="G532">
        <v>6.8</v>
      </c>
      <c r="H532">
        <v>76</v>
      </c>
      <c r="I532" t="s">
        <v>130</v>
      </c>
      <c r="J532" t="s">
        <v>153</v>
      </c>
      <c r="K532" t="s">
        <v>2221</v>
      </c>
      <c r="L532">
        <v>15435</v>
      </c>
      <c r="M532">
        <v>346.66</v>
      </c>
    </row>
    <row r="533" spans="1:13" x14ac:dyDescent="0.3">
      <c r="A533" t="s">
        <v>2222</v>
      </c>
      <c r="B533" t="s">
        <v>2223</v>
      </c>
      <c r="C533">
        <v>2019</v>
      </c>
      <c r="D533" t="s">
        <v>17</v>
      </c>
      <c r="E533">
        <v>113</v>
      </c>
      <c r="F533" t="s">
        <v>2224</v>
      </c>
      <c r="G533">
        <v>6.8</v>
      </c>
      <c r="H533">
        <v>82</v>
      </c>
      <c r="I533" t="s">
        <v>300</v>
      </c>
      <c r="J533" t="s">
        <v>236</v>
      </c>
      <c r="K533" t="s">
        <v>2225</v>
      </c>
      <c r="L533">
        <v>37995</v>
      </c>
      <c r="M533">
        <v>208.23</v>
      </c>
    </row>
    <row r="534" spans="1:13" x14ac:dyDescent="0.3">
      <c r="A534" t="s">
        <v>2226</v>
      </c>
      <c r="B534" t="s">
        <v>2227</v>
      </c>
      <c r="C534">
        <v>2013</v>
      </c>
      <c r="D534" t="s">
        <v>54</v>
      </c>
      <c r="E534">
        <v>120</v>
      </c>
      <c r="F534" t="s">
        <v>606</v>
      </c>
      <c r="G534">
        <v>6.8</v>
      </c>
      <c r="H534">
        <v>69</v>
      </c>
      <c r="I534" t="s">
        <v>2228</v>
      </c>
      <c r="J534" t="s">
        <v>251</v>
      </c>
      <c r="K534" t="s">
        <v>2229</v>
      </c>
      <c r="L534">
        <v>36612</v>
      </c>
      <c r="M534">
        <v>198.19</v>
      </c>
    </row>
    <row r="535" spans="1:13" x14ac:dyDescent="0.3">
      <c r="A535" t="s">
        <v>2230</v>
      </c>
      <c r="B535" t="s">
        <v>2231</v>
      </c>
      <c r="C535">
        <v>2004</v>
      </c>
      <c r="D535" t="s">
        <v>24</v>
      </c>
      <c r="E535">
        <v>126</v>
      </c>
      <c r="F535" t="s">
        <v>2232</v>
      </c>
      <c r="G535">
        <v>6.8</v>
      </c>
      <c r="I535" t="s">
        <v>124</v>
      </c>
      <c r="J535" t="s">
        <v>80</v>
      </c>
      <c r="K535" t="s">
        <v>2233</v>
      </c>
      <c r="L535">
        <v>62893</v>
      </c>
    </row>
    <row r="536" spans="1:13" x14ac:dyDescent="0.3">
      <c r="A536" t="s">
        <v>2234</v>
      </c>
      <c r="B536" t="s">
        <v>2235</v>
      </c>
      <c r="C536">
        <v>2003</v>
      </c>
      <c r="D536" t="s">
        <v>54</v>
      </c>
      <c r="E536">
        <v>130</v>
      </c>
      <c r="F536" t="s">
        <v>2236</v>
      </c>
      <c r="G536">
        <v>6.8</v>
      </c>
      <c r="I536" t="s">
        <v>500</v>
      </c>
      <c r="J536" t="s">
        <v>326</v>
      </c>
      <c r="K536" t="s">
        <v>2237</v>
      </c>
      <c r="L536">
        <v>63633</v>
      </c>
    </row>
    <row r="537" spans="1:13" x14ac:dyDescent="0.3">
      <c r="A537" t="s">
        <v>2238</v>
      </c>
      <c r="B537" t="s">
        <v>2239</v>
      </c>
      <c r="C537">
        <v>2023</v>
      </c>
      <c r="D537" t="s">
        <v>54</v>
      </c>
      <c r="E537">
        <v>105</v>
      </c>
      <c r="F537" t="s">
        <v>43</v>
      </c>
      <c r="G537">
        <v>6.8</v>
      </c>
      <c r="H537">
        <v>58</v>
      </c>
      <c r="I537" t="s">
        <v>136</v>
      </c>
      <c r="J537" t="s">
        <v>547</v>
      </c>
      <c r="K537" t="s">
        <v>2240</v>
      </c>
      <c r="L537">
        <v>883668</v>
      </c>
      <c r="M537">
        <v>185.71</v>
      </c>
    </row>
    <row r="538" spans="1:13" x14ac:dyDescent="0.3">
      <c r="A538" t="s">
        <v>2241</v>
      </c>
      <c r="B538" t="s">
        <v>2242</v>
      </c>
      <c r="C538">
        <v>2005</v>
      </c>
      <c r="D538" t="s">
        <v>54</v>
      </c>
      <c r="E538">
        <v>153</v>
      </c>
      <c r="F538" t="s">
        <v>2243</v>
      </c>
      <c r="G538">
        <v>6.8</v>
      </c>
      <c r="I538" t="s">
        <v>435</v>
      </c>
      <c r="J538" t="s">
        <v>221</v>
      </c>
      <c r="K538" t="s">
        <v>2244</v>
      </c>
      <c r="L538">
        <v>84630</v>
      </c>
      <c r="M538">
        <v>87</v>
      </c>
    </row>
    <row r="539" spans="1:13" x14ac:dyDescent="0.3">
      <c r="A539" t="s">
        <v>2245</v>
      </c>
      <c r="B539" t="s">
        <v>2246</v>
      </c>
      <c r="C539">
        <v>1991</v>
      </c>
      <c r="D539" t="s">
        <v>54</v>
      </c>
      <c r="E539">
        <v>104</v>
      </c>
      <c r="F539" t="s">
        <v>2247</v>
      </c>
      <c r="G539">
        <v>6.8</v>
      </c>
      <c r="I539" t="s">
        <v>852</v>
      </c>
      <c r="J539" t="s">
        <v>131</v>
      </c>
      <c r="K539" t="s">
        <v>2248</v>
      </c>
      <c r="L539">
        <v>126373</v>
      </c>
      <c r="M539">
        <v>35.299999999999997</v>
      </c>
    </row>
    <row r="540" spans="1:13" x14ac:dyDescent="0.3">
      <c r="A540" t="s">
        <v>2249</v>
      </c>
      <c r="B540" t="s">
        <v>2250</v>
      </c>
      <c r="C540">
        <v>2005</v>
      </c>
      <c r="D540" t="s">
        <v>54</v>
      </c>
      <c r="E540">
        <v>120</v>
      </c>
      <c r="F540" t="s">
        <v>235</v>
      </c>
      <c r="G540">
        <v>6.8</v>
      </c>
      <c r="H540">
        <v>61</v>
      </c>
      <c r="I540" t="s">
        <v>673</v>
      </c>
      <c r="J540" t="s">
        <v>86</v>
      </c>
      <c r="K540" t="s">
        <v>2251</v>
      </c>
      <c r="L540">
        <v>244611</v>
      </c>
      <c r="M540">
        <v>331.6</v>
      </c>
    </row>
    <row r="541" spans="1:13" x14ac:dyDescent="0.3">
      <c r="A541" t="s">
        <v>2252</v>
      </c>
      <c r="B541" t="s">
        <v>2253</v>
      </c>
      <c r="C541">
        <v>2024</v>
      </c>
      <c r="D541" t="s">
        <v>54</v>
      </c>
      <c r="E541">
        <v>91</v>
      </c>
      <c r="F541" t="s">
        <v>2254</v>
      </c>
      <c r="G541">
        <v>6.8</v>
      </c>
      <c r="H541">
        <v>58</v>
      </c>
      <c r="I541" t="s">
        <v>2255</v>
      </c>
      <c r="J541" t="s">
        <v>119</v>
      </c>
      <c r="K541" t="s">
        <v>2256</v>
      </c>
      <c r="L541">
        <v>771551</v>
      </c>
      <c r="M541">
        <v>464.35</v>
      </c>
    </row>
    <row r="542" spans="1:13" x14ac:dyDescent="0.3">
      <c r="A542" t="s">
        <v>2257</v>
      </c>
      <c r="B542" t="s">
        <v>2258</v>
      </c>
      <c r="C542">
        <v>2015</v>
      </c>
      <c r="D542" t="s">
        <v>24</v>
      </c>
      <c r="E542">
        <v>101</v>
      </c>
      <c r="F542" t="s">
        <v>2259</v>
      </c>
      <c r="G542">
        <v>6.8</v>
      </c>
      <c r="H542">
        <v>81</v>
      </c>
      <c r="I542" t="s">
        <v>1155</v>
      </c>
      <c r="J542" t="s">
        <v>33</v>
      </c>
      <c r="K542" t="s">
        <v>2260</v>
      </c>
      <c r="L542">
        <v>16770</v>
      </c>
      <c r="M542">
        <v>63.15</v>
      </c>
    </row>
    <row r="543" spans="1:13" x14ac:dyDescent="0.3">
      <c r="A543" t="s">
        <v>2261</v>
      </c>
      <c r="B543" t="s">
        <v>2262</v>
      </c>
      <c r="C543">
        <v>2010</v>
      </c>
      <c r="D543" t="s">
        <v>17</v>
      </c>
      <c r="E543">
        <v>141</v>
      </c>
      <c r="F543" t="s">
        <v>466</v>
      </c>
      <c r="G543">
        <v>6.8</v>
      </c>
      <c r="H543">
        <v>71</v>
      </c>
      <c r="I543" t="s">
        <v>2263</v>
      </c>
      <c r="J543" t="s">
        <v>196</v>
      </c>
      <c r="K543" t="s">
        <v>2264</v>
      </c>
      <c r="L543">
        <v>166416</v>
      </c>
      <c r="M543">
        <v>15.28</v>
      </c>
    </row>
    <row r="544" spans="1:13" x14ac:dyDescent="0.3">
      <c r="A544" t="s">
        <v>2265</v>
      </c>
      <c r="B544" t="s">
        <v>2266</v>
      </c>
      <c r="C544">
        <v>2015</v>
      </c>
      <c r="D544" t="s">
        <v>17</v>
      </c>
      <c r="E544">
        <v>141</v>
      </c>
      <c r="F544" t="s">
        <v>1081</v>
      </c>
      <c r="G544">
        <v>6.8</v>
      </c>
      <c r="I544" t="s">
        <v>2267</v>
      </c>
      <c r="J544" t="s">
        <v>119</v>
      </c>
      <c r="K544" t="s">
        <v>2268</v>
      </c>
      <c r="L544">
        <v>15949</v>
      </c>
    </row>
    <row r="545" spans="1:13" x14ac:dyDescent="0.3">
      <c r="A545" t="s">
        <v>2269</v>
      </c>
      <c r="B545" t="s">
        <v>2270</v>
      </c>
      <c r="C545">
        <v>2016</v>
      </c>
      <c r="D545" t="s">
        <v>17</v>
      </c>
      <c r="E545">
        <v>107</v>
      </c>
      <c r="F545" t="s">
        <v>263</v>
      </c>
      <c r="G545">
        <v>6.8</v>
      </c>
      <c r="H545">
        <v>81</v>
      </c>
      <c r="I545" t="s">
        <v>2271</v>
      </c>
      <c r="J545" t="s">
        <v>153</v>
      </c>
      <c r="K545" t="s">
        <v>2272</v>
      </c>
      <c r="L545">
        <v>31446</v>
      </c>
      <c r="M545">
        <v>372.81</v>
      </c>
    </row>
    <row r="546" spans="1:13" x14ac:dyDescent="0.3">
      <c r="A546" t="s">
        <v>2273</v>
      </c>
      <c r="B546" t="s">
        <v>2274</v>
      </c>
      <c r="C546">
        <v>2015</v>
      </c>
      <c r="D546" t="s">
        <v>24</v>
      </c>
      <c r="E546">
        <v>124</v>
      </c>
      <c r="F546" t="s">
        <v>2275</v>
      </c>
      <c r="G546">
        <v>6.8</v>
      </c>
      <c r="H546">
        <v>67</v>
      </c>
      <c r="I546" t="s">
        <v>2276</v>
      </c>
      <c r="J546" t="s">
        <v>251</v>
      </c>
      <c r="K546" t="s">
        <v>2277</v>
      </c>
      <c r="L546">
        <v>91888</v>
      </c>
      <c r="M546">
        <v>430.74</v>
      </c>
    </row>
    <row r="547" spans="1:13" x14ac:dyDescent="0.3">
      <c r="A547" t="s">
        <v>2278</v>
      </c>
      <c r="B547" t="s">
        <v>2279</v>
      </c>
      <c r="C547">
        <v>2017</v>
      </c>
      <c r="D547" t="s">
        <v>17</v>
      </c>
      <c r="E547">
        <v>110</v>
      </c>
      <c r="F547" t="s">
        <v>43</v>
      </c>
      <c r="G547">
        <v>6.8</v>
      </c>
      <c r="I547" t="s">
        <v>2280</v>
      </c>
      <c r="J547" t="s">
        <v>137</v>
      </c>
      <c r="K547" t="s">
        <v>2281</v>
      </c>
      <c r="L547">
        <v>147533</v>
      </c>
      <c r="M547">
        <v>465.64</v>
      </c>
    </row>
    <row r="548" spans="1:13" x14ac:dyDescent="0.3">
      <c r="A548" t="s">
        <v>2282</v>
      </c>
      <c r="B548" t="s">
        <v>2283</v>
      </c>
      <c r="C548">
        <v>2007</v>
      </c>
      <c r="D548" t="s">
        <v>54</v>
      </c>
      <c r="E548">
        <v>105</v>
      </c>
      <c r="F548" t="s">
        <v>2284</v>
      </c>
      <c r="G548">
        <v>6.8</v>
      </c>
      <c r="I548" t="s">
        <v>748</v>
      </c>
      <c r="J548" t="s">
        <v>63</v>
      </c>
      <c r="K548" t="s">
        <v>2285</v>
      </c>
      <c r="L548">
        <v>852732</v>
      </c>
      <c r="M548">
        <v>278.5</v>
      </c>
    </row>
    <row r="549" spans="1:13" x14ac:dyDescent="0.3">
      <c r="A549" t="s">
        <v>2286</v>
      </c>
      <c r="B549" t="s">
        <v>2287</v>
      </c>
      <c r="C549">
        <v>2024</v>
      </c>
      <c r="D549" t="s">
        <v>24</v>
      </c>
      <c r="E549">
        <v>109</v>
      </c>
      <c r="F549" t="s">
        <v>504</v>
      </c>
      <c r="G549">
        <v>6.8</v>
      </c>
      <c r="I549" t="s">
        <v>435</v>
      </c>
      <c r="J549" t="s">
        <v>483</v>
      </c>
      <c r="K549" t="s">
        <v>2288</v>
      </c>
      <c r="L549">
        <v>4214</v>
      </c>
      <c r="M549">
        <v>243.9</v>
      </c>
    </row>
    <row r="550" spans="1:13" x14ac:dyDescent="0.3">
      <c r="A550" t="s">
        <v>2289</v>
      </c>
      <c r="B550" t="s">
        <v>2290</v>
      </c>
      <c r="C550">
        <v>2012</v>
      </c>
      <c r="D550" t="s">
        <v>54</v>
      </c>
      <c r="E550">
        <v>135</v>
      </c>
      <c r="F550" t="s">
        <v>2291</v>
      </c>
      <c r="G550">
        <v>6.8</v>
      </c>
      <c r="H550">
        <v>69</v>
      </c>
      <c r="I550" t="s">
        <v>2292</v>
      </c>
      <c r="J550" t="s">
        <v>326</v>
      </c>
      <c r="K550" t="s">
        <v>2293</v>
      </c>
      <c r="L550">
        <v>40362</v>
      </c>
      <c r="M550">
        <v>121.68</v>
      </c>
    </row>
    <row r="551" spans="1:13" x14ac:dyDescent="0.3">
      <c r="A551" t="s">
        <v>2294</v>
      </c>
      <c r="B551" t="s">
        <v>2295</v>
      </c>
      <c r="C551">
        <v>2021</v>
      </c>
      <c r="D551" t="s">
        <v>17</v>
      </c>
      <c r="E551">
        <v>120</v>
      </c>
      <c r="F551" t="s">
        <v>2296</v>
      </c>
      <c r="G551">
        <v>6.8</v>
      </c>
      <c r="I551" t="s">
        <v>412</v>
      </c>
      <c r="J551" t="s">
        <v>50</v>
      </c>
      <c r="K551" t="s">
        <v>2297</v>
      </c>
      <c r="L551">
        <v>22237</v>
      </c>
    </row>
    <row r="552" spans="1:13" x14ac:dyDescent="0.3">
      <c r="A552" t="s">
        <v>2298</v>
      </c>
      <c r="B552" t="s">
        <v>2299</v>
      </c>
      <c r="C552">
        <v>2008</v>
      </c>
      <c r="D552" t="s">
        <v>24</v>
      </c>
      <c r="E552">
        <v>113</v>
      </c>
      <c r="F552" t="s">
        <v>235</v>
      </c>
      <c r="G552">
        <v>6.8</v>
      </c>
      <c r="H552">
        <v>53</v>
      </c>
      <c r="I552" t="s">
        <v>2300</v>
      </c>
      <c r="J552" t="s">
        <v>131</v>
      </c>
      <c r="K552" t="s">
        <v>2301</v>
      </c>
      <c r="L552">
        <v>9176</v>
      </c>
      <c r="M552">
        <v>23.95</v>
      </c>
    </row>
    <row r="553" spans="1:13" x14ac:dyDescent="0.3">
      <c r="A553" t="s">
        <v>2302</v>
      </c>
      <c r="B553" t="s">
        <v>2303</v>
      </c>
      <c r="C553">
        <v>1986</v>
      </c>
      <c r="D553" t="s">
        <v>24</v>
      </c>
      <c r="E553">
        <v>85</v>
      </c>
      <c r="F553" t="s">
        <v>304</v>
      </c>
      <c r="G553">
        <v>6.8</v>
      </c>
      <c r="H553">
        <v>71</v>
      </c>
      <c r="I553" t="s">
        <v>305</v>
      </c>
      <c r="J553" t="s">
        <v>524</v>
      </c>
      <c r="K553" t="s">
        <v>2304</v>
      </c>
      <c r="L553">
        <v>63912</v>
      </c>
      <c r="M553">
        <v>57.34</v>
      </c>
    </row>
    <row r="554" spans="1:13" x14ac:dyDescent="0.3">
      <c r="A554" t="s">
        <v>2305</v>
      </c>
      <c r="B554" t="s">
        <v>2306</v>
      </c>
      <c r="C554">
        <v>2021</v>
      </c>
      <c r="D554" t="s">
        <v>54</v>
      </c>
      <c r="E554">
        <v>70</v>
      </c>
      <c r="F554" t="s">
        <v>2307</v>
      </c>
      <c r="G554">
        <v>6.8</v>
      </c>
      <c r="H554">
        <v>68</v>
      </c>
      <c r="I554" t="s">
        <v>250</v>
      </c>
      <c r="J554" t="s">
        <v>547</v>
      </c>
      <c r="K554" t="s">
        <v>2308</v>
      </c>
      <c r="L554">
        <v>97902</v>
      </c>
      <c r="M554">
        <v>206.65</v>
      </c>
    </row>
    <row r="555" spans="1:13" x14ac:dyDescent="0.3">
      <c r="A555" t="s">
        <v>2309</v>
      </c>
      <c r="B555" t="s">
        <v>2310</v>
      </c>
      <c r="C555">
        <v>1996</v>
      </c>
      <c r="D555" t="s">
        <v>293</v>
      </c>
      <c r="E555">
        <v>102</v>
      </c>
      <c r="F555" t="s">
        <v>174</v>
      </c>
      <c r="G555">
        <v>6.8</v>
      </c>
      <c r="I555" t="s">
        <v>2311</v>
      </c>
      <c r="J555" t="s">
        <v>131</v>
      </c>
      <c r="K555" t="s">
        <v>2312</v>
      </c>
      <c r="L555">
        <v>17215</v>
      </c>
      <c r="M555">
        <v>248.82</v>
      </c>
    </row>
    <row r="556" spans="1:13" x14ac:dyDescent="0.3">
      <c r="A556" t="s">
        <v>2313</v>
      </c>
      <c r="B556" t="s">
        <v>2314</v>
      </c>
      <c r="C556">
        <v>2004</v>
      </c>
      <c r="D556" t="s">
        <v>54</v>
      </c>
      <c r="E556">
        <v>134</v>
      </c>
      <c r="F556" t="s">
        <v>2315</v>
      </c>
      <c r="G556">
        <v>6.8</v>
      </c>
      <c r="I556" t="s">
        <v>2316</v>
      </c>
      <c r="J556" t="s">
        <v>63</v>
      </c>
      <c r="K556" t="s">
        <v>2317</v>
      </c>
      <c r="L556">
        <v>179684</v>
      </c>
    </row>
    <row r="557" spans="1:13" x14ac:dyDescent="0.3">
      <c r="A557" t="s">
        <v>2318</v>
      </c>
      <c r="B557" t="s">
        <v>2319</v>
      </c>
      <c r="C557">
        <v>2014</v>
      </c>
      <c r="D557" t="s">
        <v>169</v>
      </c>
      <c r="E557">
        <v>123</v>
      </c>
      <c r="F557" t="s">
        <v>701</v>
      </c>
      <c r="G557">
        <v>6.8</v>
      </c>
      <c r="H557">
        <v>67</v>
      </c>
      <c r="I557" t="s">
        <v>2228</v>
      </c>
      <c r="J557" t="s">
        <v>251</v>
      </c>
      <c r="K557" t="s">
        <v>2320</v>
      </c>
      <c r="L557">
        <v>142762</v>
      </c>
      <c r="M557">
        <v>308.60000000000002</v>
      </c>
    </row>
    <row r="558" spans="1:13" x14ac:dyDescent="0.3">
      <c r="A558" t="s">
        <v>2321</v>
      </c>
      <c r="B558" t="s">
        <v>2322</v>
      </c>
      <c r="C558">
        <v>2024</v>
      </c>
      <c r="D558" t="s">
        <v>54</v>
      </c>
      <c r="E558">
        <v>95</v>
      </c>
      <c r="F558" t="s">
        <v>2323</v>
      </c>
      <c r="G558">
        <v>6.8</v>
      </c>
      <c r="H558">
        <v>70</v>
      </c>
      <c r="I558" t="s">
        <v>2324</v>
      </c>
      <c r="J558" t="s">
        <v>159</v>
      </c>
      <c r="K558" t="s">
        <v>2325</v>
      </c>
      <c r="L558">
        <v>20653</v>
      </c>
    </row>
    <row r="559" spans="1:13" x14ac:dyDescent="0.3">
      <c r="A559" t="s">
        <v>2326</v>
      </c>
      <c r="B559" t="s">
        <v>2327</v>
      </c>
      <c r="C559">
        <v>2023</v>
      </c>
      <c r="D559" t="s">
        <v>285</v>
      </c>
      <c r="E559">
        <v>116</v>
      </c>
      <c r="F559" t="s">
        <v>25</v>
      </c>
      <c r="G559">
        <v>6.8</v>
      </c>
      <c r="I559" t="s">
        <v>73</v>
      </c>
      <c r="J559" t="s">
        <v>608</v>
      </c>
      <c r="K559" t="s">
        <v>2328</v>
      </c>
      <c r="L559">
        <v>14766</v>
      </c>
    </row>
    <row r="560" spans="1:13" x14ac:dyDescent="0.3">
      <c r="A560" t="s">
        <v>2329</v>
      </c>
      <c r="B560" t="s">
        <v>2330</v>
      </c>
      <c r="C560">
        <v>1997</v>
      </c>
      <c r="D560" t="s">
        <v>17</v>
      </c>
      <c r="E560">
        <v>120</v>
      </c>
      <c r="F560" t="s">
        <v>2331</v>
      </c>
      <c r="G560">
        <v>6.8</v>
      </c>
      <c r="H560">
        <v>61</v>
      </c>
      <c r="I560" t="s">
        <v>2332</v>
      </c>
      <c r="J560" t="s">
        <v>483</v>
      </c>
      <c r="K560" t="s">
        <v>2333</v>
      </c>
      <c r="L560">
        <v>30482</v>
      </c>
    </row>
    <row r="561" spans="1:13" x14ac:dyDescent="0.3">
      <c r="A561" t="s">
        <v>2334</v>
      </c>
      <c r="B561" t="s">
        <v>2335</v>
      </c>
      <c r="C561">
        <v>1988</v>
      </c>
      <c r="D561" t="s">
        <v>54</v>
      </c>
      <c r="E561">
        <v>106</v>
      </c>
      <c r="F561" t="s">
        <v>2336</v>
      </c>
      <c r="G561">
        <v>6.8</v>
      </c>
      <c r="I561" t="s">
        <v>158</v>
      </c>
      <c r="J561" t="s">
        <v>191</v>
      </c>
      <c r="K561" t="s">
        <v>2337</v>
      </c>
      <c r="L561">
        <v>9882</v>
      </c>
      <c r="M561">
        <v>289.10000000000002</v>
      </c>
    </row>
    <row r="562" spans="1:13" x14ac:dyDescent="0.3">
      <c r="A562" t="s">
        <v>2338</v>
      </c>
      <c r="B562" t="s">
        <v>2339</v>
      </c>
      <c r="C562">
        <v>2012</v>
      </c>
      <c r="D562" t="s">
        <v>24</v>
      </c>
      <c r="E562">
        <v>119</v>
      </c>
      <c r="F562" t="s">
        <v>230</v>
      </c>
      <c r="G562">
        <v>6.8</v>
      </c>
      <c r="I562" t="s">
        <v>2340</v>
      </c>
      <c r="J562" t="s">
        <v>68</v>
      </c>
      <c r="K562" t="s">
        <v>2341</v>
      </c>
      <c r="L562">
        <v>3362</v>
      </c>
      <c r="M562">
        <v>149.84</v>
      </c>
    </row>
    <row r="563" spans="1:13" x14ac:dyDescent="0.3">
      <c r="A563" t="s">
        <v>2342</v>
      </c>
      <c r="B563" t="s">
        <v>2343</v>
      </c>
      <c r="C563">
        <v>2013</v>
      </c>
      <c r="D563" t="s">
        <v>54</v>
      </c>
      <c r="E563">
        <v>95</v>
      </c>
      <c r="F563" t="s">
        <v>380</v>
      </c>
      <c r="G563">
        <v>6.8</v>
      </c>
      <c r="H563">
        <v>69</v>
      </c>
      <c r="I563" t="s">
        <v>2344</v>
      </c>
      <c r="J563" t="s">
        <v>153</v>
      </c>
      <c r="K563" t="s">
        <v>2345</v>
      </c>
      <c r="L563">
        <v>18864</v>
      </c>
      <c r="M563">
        <v>329.34</v>
      </c>
    </row>
    <row r="564" spans="1:13" x14ac:dyDescent="0.3">
      <c r="A564" t="s">
        <v>2346</v>
      </c>
      <c r="B564" t="s">
        <v>2347</v>
      </c>
      <c r="C564">
        <v>2000</v>
      </c>
      <c r="D564" t="s">
        <v>24</v>
      </c>
      <c r="E564">
        <v>159</v>
      </c>
      <c r="F564" t="s">
        <v>2348</v>
      </c>
      <c r="G564">
        <v>6.8</v>
      </c>
      <c r="H564">
        <v>82</v>
      </c>
      <c r="I564" t="s">
        <v>305</v>
      </c>
      <c r="J564" t="s">
        <v>191</v>
      </c>
      <c r="K564" t="s">
        <v>2349</v>
      </c>
      <c r="L564">
        <v>272991</v>
      </c>
      <c r="M564">
        <v>279.67</v>
      </c>
    </row>
    <row r="565" spans="1:13" x14ac:dyDescent="0.3">
      <c r="A565" t="s">
        <v>2350</v>
      </c>
      <c r="B565" t="s">
        <v>2351</v>
      </c>
      <c r="C565">
        <v>2000</v>
      </c>
      <c r="D565" t="s">
        <v>17</v>
      </c>
      <c r="E565">
        <v>104</v>
      </c>
      <c r="F565" t="s">
        <v>677</v>
      </c>
      <c r="G565">
        <v>6.8</v>
      </c>
      <c r="H565">
        <v>77</v>
      </c>
      <c r="I565" t="s">
        <v>38</v>
      </c>
      <c r="J565" t="s">
        <v>251</v>
      </c>
      <c r="K565" t="s">
        <v>2352</v>
      </c>
      <c r="L565">
        <v>166873</v>
      </c>
      <c r="M565">
        <v>260.98</v>
      </c>
    </row>
    <row r="566" spans="1:13" x14ac:dyDescent="0.3">
      <c r="A566" t="s">
        <v>2353</v>
      </c>
      <c r="B566" t="s">
        <v>2354</v>
      </c>
      <c r="C566">
        <v>2011</v>
      </c>
      <c r="D566" t="s">
        <v>24</v>
      </c>
      <c r="E566">
        <v>115</v>
      </c>
      <c r="F566" t="s">
        <v>2355</v>
      </c>
      <c r="G566">
        <v>6.8</v>
      </c>
      <c r="I566" t="s">
        <v>2356</v>
      </c>
      <c r="J566" t="s">
        <v>57</v>
      </c>
      <c r="K566" t="s">
        <v>2357</v>
      </c>
      <c r="L566">
        <v>48935</v>
      </c>
    </row>
    <row r="567" spans="1:13" x14ac:dyDescent="0.3">
      <c r="A567" t="s">
        <v>2358</v>
      </c>
      <c r="B567" t="s">
        <v>2359</v>
      </c>
      <c r="C567">
        <v>2013</v>
      </c>
      <c r="D567" t="s">
        <v>17</v>
      </c>
      <c r="E567">
        <v>122</v>
      </c>
      <c r="F567" t="s">
        <v>479</v>
      </c>
      <c r="G567">
        <v>6.8</v>
      </c>
      <c r="I567" t="s">
        <v>1363</v>
      </c>
      <c r="J567" t="s">
        <v>159</v>
      </c>
      <c r="K567" t="s">
        <v>2360</v>
      </c>
      <c r="L567">
        <v>35343</v>
      </c>
      <c r="M567">
        <v>14.52</v>
      </c>
    </row>
    <row r="568" spans="1:13" x14ac:dyDescent="0.3">
      <c r="A568" t="s">
        <v>2361</v>
      </c>
      <c r="B568" t="s">
        <v>2362</v>
      </c>
      <c r="C568">
        <v>1991</v>
      </c>
      <c r="D568" t="s">
        <v>17</v>
      </c>
      <c r="E568">
        <v>137</v>
      </c>
      <c r="F568" t="s">
        <v>2363</v>
      </c>
      <c r="G568">
        <v>6.8</v>
      </c>
      <c r="I568" t="s">
        <v>38</v>
      </c>
      <c r="J568" t="s">
        <v>20</v>
      </c>
      <c r="K568" t="s">
        <v>2364</v>
      </c>
      <c r="L568">
        <v>551234</v>
      </c>
      <c r="M568">
        <v>202.23</v>
      </c>
    </row>
    <row r="569" spans="1:13" x14ac:dyDescent="0.3">
      <c r="A569" t="s">
        <v>2365</v>
      </c>
      <c r="B569" t="s">
        <v>2366</v>
      </c>
      <c r="C569">
        <v>2000</v>
      </c>
      <c r="D569" t="s">
        <v>293</v>
      </c>
      <c r="E569">
        <v>125</v>
      </c>
      <c r="F569" t="s">
        <v>2367</v>
      </c>
      <c r="G569">
        <v>6.8</v>
      </c>
      <c r="H569">
        <v>60</v>
      </c>
      <c r="I569" t="s">
        <v>124</v>
      </c>
      <c r="J569" t="s">
        <v>483</v>
      </c>
      <c r="K569" t="s">
        <v>2368</v>
      </c>
      <c r="L569">
        <v>41838</v>
      </c>
      <c r="M569">
        <v>129.1</v>
      </c>
    </row>
    <row r="570" spans="1:13" x14ac:dyDescent="0.3">
      <c r="A570" t="s">
        <v>2369</v>
      </c>
      <c r="B570" t="s">
        <v>2370</v>
      </c>
      <c r="C570">
        <v>2003</v>
      </c>
      <c r="D570" t="s">
        <v>54</v>
      </c>
      <c r="E570">
        <v>130</v>
      </c>
      <c r="F570" t="s">
        <v>189</v>
      </c>
      <c r="G570">
        <v>6.8</v>
      </c>
      <c r="I570" t="s">
        <v>395</v>
      </c>
      <c r="J570" t="s">
        <v>518</v>
      </c>
      <c r="K570" t="s">
        <v>2371</v>
      </c>
      <c r="L570">
        <v>31114</v>
      </c>
      <c r="M570">
        <v>414.11</v>
      </c>
    </row>
    <row r="571" spans="1:13" x14ac:dyDescent="0.3">
      <c r="A571" t="s">
        <v>2372</v>
      </c>
      <c r="B571" t="s">
        <v>2373</v>
      </c>
      <c r="C571">
        <v>2022</v>
      </c>
      <c r="D571" t="s">
        <v>17</v>
      </c>
      <c r="E571">
        <v>102</v>
      </c>
      <c r="F571" t="s">
        <v>2374</v>
      </c>
      <c r="G571">
        <v>6.8</v>
      </c>
      <c r="I571" t="s">
        <v>2375</v>
      </c>
      <c r="J571" t="s">
        <v>20</v>
      </c>
      <c r="K571" t="s">
        <v>2376</v>
      </c>
      <c r="L571">
        <v>59060</v>
      </c>
      <c r="M571">
        <v>87.8</v>
      </c>
    </row>
    <row r="572" spans="1:13" x14ac:dyDescent="0.3">
      <c r="A572" t="s">
        <v>2377</v>
      </c>
      <c r="B572" t="s">
        <v>2378</v>
      </c>
      <c r="C572">
        <v>1992</v>
      </c>
      <c r="D572" t="s">
        <v>169</v>
      </c>
      <c r="E572">
        <v>132</v>
      </c>
      <c r="F572" t="s">
        <v>37</v>
      </c>
      <c r="G572">
        <v>6.8</v>
      </c>
      <c r="H572">
        <v>62</v>
      </c>
      <c r="I572" t="s">
        <v>2379</v>
      </c>
      <c r="J572" t="s">
        <v>86</v>
      </c>
      <c r="K572" t="s">
        <v>2380</v>
      </c>
      <c r="L572">
        <v>71395</v>
      </c>
      <c r="M572">
        <v>252.76</v>
      </c>
    </row>
    <row r="573" spans="1:13" x14ac:dyDescent="0.3">
      <c r="A573" t="s">
        <v>2381</v>
      </c>
      <c r="B573" t="s">
        <v>2382</v>
      </c>
      <c r="C573">
        <v>2010</v>
      </c>
      <c r="D573" t="s">
        <v>17</v>
      </c>
      <c r="E573">
        <v>128</v>
      </c>
      <c r="F573" t="s">
        <v>230</v>
      </c>
      <c r="G573">
        <v>6.8</v>
      </c>
      <c r="H573">
        <v>80</v>
      </c>
      <c r="I573" t="s">
        <v>231</v>
      </c>
      <c r="J573" t="s">
        <v>221</v>
      </c>
      <c r="K573" t="s">
        <v>2383</v>
      </c>
      <c r="L573">
        <v>22874</v>
      </c>
      <c r="M573">
        <v>113.06</v>
      </c>
    </row>
    <row r="574" spans="1:13" x14ac:dyDescent="0.3">
      <c r="A574" t="s">
        <v>2384</v>
      </c>
      <c r="B574" t="s">
        <v>2385</v>
      </c>
      <c r="C574">
        <v>2010</v>
      </c>
      <c r="D574" t="s">
        <v>17</v>
      </c>
      <c r="E574">
        <v>128</v>
      </c>
      <c r="F574" t="s">
        <v>2386</v>
      </c>
      <c r="G574">
        <v>6.8</v>
      </c>
      <c r="H574">
        <v>75</v>
      </c>
      <c r="I574" t="s">
        <v>2387</v>
      </c>
      <c r="J574" t="s">
        <v>718</v>
      </c>
      <c r="K574" t="s">
        <v>2388</v>
      </c>
      <c r="L574">
        <v>164274</v>
      </c>
      <c r="M574">
        <v>143.02000000000001</v>
      </c>
    </row>
    <row r="575" spans="1:13" x14ac:dyDescent="0.3">
      <c r="A575" t="s">
        <v>2389</v>
      </c>
      <c r="B575" t="s">
        <v>2390</v>
      </c>
      <c r="C575">
        <v>1992</v>
      </c>
      <c r="D575" t="s">
        <v>24</v>
      </c>
      <c r="E575">
        <v>124</v>
      </c>
      <c r="F575" t="s">
        <v>1586</v>
      </c>
      <c r="G575">
        <v>6.8</v>
      </c>
      <c r="I575" t="s">
        <v>2391</v>
      </c>
      <c r="J575" t="s">
        <v>718</v>
      </c>
      <c r="K575" t="s">
        <v>2392</v>
      </c>
      <c r="L575">
        <v>69321</v>
      </c>
      <c r="M575">
        <v>162.47</v>
      </c>
    </row>
    <row r="576" spans="1:13" x14ac:dyDescent="0.3">
      <c r="A576" t="s">
        <v>2393</v>
      </c>
      <c r="B576" t="s">
        <v>2394</v>
      </c>
      <c r="C576">
        <v>2017</v>
      </c>
      <c r="D576" t="s">
        <v>24</v>
      </c>
      <c r="E576">
        <v>70</v>
      </c>
      <c r="F576" t="s">
        <v>2395</v>
      </c>
      <c r="G576">
        <v>6.8</v>
      </c>
      <c r="H576">
        <v>73</v>
      </c>
      <c r="I576" t="s">
        <v>278</v>
      </c>
      <c r="J576" t="s">
        <v>92</v>
      </c>
      <c r="K576" t="s">
        <v>2396</v>
      </c>
      <c r="L576">
        <v>854590</v>
      </c>
      <c r="M576">
        <v>435.31</v>
      </c>
    </row>
    <row r="577" spans="1:13" x14ac:dyDescent="0.3">
      <c r="A577" t="s">
        <v>2397</v>
      </c>
      <c r="B577" t="s">
        <v>2398</v>
      </c>
      <c r="C577">
        <v>2011</v>
      </c>
      <c r="D577" t="s">
        <v>169</v>
      </c>
      <c r="E577">
        <v>134</v>
      </c>
      <c r="F577" t="s">
        <v>1076</v>
      </c>
      <c r="G577">
        <v>6.8</v>
      </c>
      <c r="H577">
        <v>74</v>
      </c>
      <c r="I577" t="s">
        <v>124</v>
      </c>
      <c r="J577" t="s">
        <v>119</v>
      </c>
      <c r="K577" t="s">
        <v>2399</v>
      </c>
      <c r="L577">
        <v>14315</v>
      </c>
      <c r="M577">
        <v>392.17</v>
      </c>
    </row>
    <row r="578" spans="1:13" x14ac:dyDescent="0.3">
      <c r="A578" t="s">
        <v>2400</v>
      </c>
      <c r="B578" t="s">
        <v>2401</v>
      </c>
      <c r="C578">
        <v>2002</v>
      </c>
      <c r="D578" t="s">
        <v>24</v>
      </c>
      <c r="E578">
        <v>160</v>
      </c>
      <c r="F578" t="s">
        <v>2402</v>
      </c>
      <c r="G578">
        <v>6.8</v>
      </c>
      <c r="H578">
        <v>71</v>
      </c>
      <c r="I578" t="s">
        <v>2403</v>
      </c>
      <c r="J578" t="s">
        <v>63</v>
      </c>
      <c r="K578" t="s">
        <v>2404</v>
      </c>
      <c r="L578">
        <v>45023</v>
      </c>
      <c r="M578">
        <v>239.54</v>
      </c>
    </row>
    <row r="579" spans="1:13" x14ac:dyDescent="0.3">
      <c r="A579" t="s">
        <v>2405</v>
      </c>
      <c r="B579" t="s">
        <v>2406</v>
      </c>
      <c r="C579">
        <v>1991</v>
      </c>
      <c r="D579" t="s">
        <v>24</v>
      </c>
      <c r="E579">
        <v>86</v>
      </c>
      <c r="F579" t="s">
        <v>235</v>
      </c>
      <c r="G579">
        <v>6.7</v>
      </c>
      <c r="I579" t="s">
        <v>673</v>
      </c>
      <c r="J579" t="s">
        <v>80</v>
      </c>
      <c r="K579" t="s">
        <v>2407</v>
      </c>
      <c r="L579">
        <v>9734</v>
      </c>
      <c r="M579">
        <v>124.61</v>
      </c>
    </row>
    <row r="580" spans="1:13" x14ac:dyDescent="0.3">
      <c r="A580" t="s">
        <v>2408</v>
      </c>
      <c r="B580" t="s">
        <v>2409</v>
      </c>
      <c r="C580">
        <v>2019</v>
      </c>
      <c r="D580" t="s">
        <v>17</v>
      </c>
      <c r="E580">
        <v>103</v>
      </c>
      <c r="F580" t="s">
        <v>1656</v>
      </c>
      <c r="G580">
        <v>6.7</v>
      </c>
      <c r="H580">
        <v>80</v>
      </c>
      <c r="I580" t="s">
        <v>269</v>
      </c>
      <c r="J580" t="s">
        <v>159</v>
      </c>
      <c r="K580" t="s">
        <v>2410</v>
      </c>
      <c r="L580">
        <v>20462</v>
      </c>
      <c r="M580">
        <v>411.63</v>
      </c>
    </row>
    <row r="581" spans="1:13" x14ac:dyDescent="0.3">
      <c r="A581" t="s">
        <v>2411</v>
      </c>
      <c r="B581" t="s">
        <v>2412</v>
      </c>
      <c r="C581">
        <v>2016</v>
      </c>
      <c r="D581" t="s">
        <v>17</v>
      </c>
      <c r="E581">
        <v>164</v>
      </c>
      <c r="F581" t="s">
        <v>1044</v>
      </c>
      <c r="G581">
        <v>6.7</v>
      </c>
      <c r="H581">
        <v>78</v>
      </c>
      <c r="I581" t="s">
        <v>613</v>
      </c>
      <c r="J581" t="s">
        <v>74</v>
      </c>
      <c r="K581" t="s">
        <v>2413</v>
      </c>
      <c r="L581">
        <v>93287</v>
      </c>
      <c r="M581">
        <v>378.74</v>
      </c>
    </row>
    <row r="582" spans="1:13" x14ac:dyDescent="0.3">
      <c r="A582" t="s">
        <v>2414</v>
      </c>
      <c r="B582" t="s">
        <v>2415</v>
      </c>
      <c r="C582">
        <v>2007</v>
      </c>
      <c r="D582" t="s">
        <v>54</v>
      </c>
      <c r="E582">
        <v>100</v>
      </c>
      <c r="F582" t="s">
        <v>2416</v>
      </c>
      <c r="G582">
        <v>6.7</v>
      </c>
      <c r="I582" t="s">
        <v>748</v>
      </c>
      <c r="J582" t="s">
        <v>368</v>
      </c>
      <c r="K582" t="s">
        <v>2417</v>
      </c>
      <c r="L582">
        <v>68875</v>
      </c>
    </row>
    <row r="583" spans="1:13" x14ac:dyDescent="0.3">
      <c r="A583" t="s">
        <v>2418</v>
      </c>
      <c r="B583" t="s">
        <v>2419</v>
      </c>
      <c r="C583">
        <v>2017</v>
      </c>
      <c r="D583" t="s">
        <v>17</v>
      </c>
      <c r="E583">
        <v>144</v>
      </c>
      <c r="F583" t="s">
        <v>61</v>
      </c>
      <c r="G583">
        <v>6.7</v>
      </c>
      <c r="H583">
        <v>69</v>
      </c>
      <c r="I583" t="s">
        <v>2420</v>
      </c>
      <c r="J583" t="s">
        <v>119</v>
      </c>
      <c r="K583" t="s">
        <v>2421</v>
      </c>
      <c r="L583">
        <v>249489</v>
      </c>
    </row>
    <row r="584" spans="1:13" x14ac:dyDescent="0.3">
      <c r="A584" t="s">
        <v>2422</v>
      </c>
      <c r="B584" t="s">
        <v>2423</v>
      </c>
      <c r="C584">
        <v>2002</v>
      </c>
      <c r="D584" t="s">
        <v>17</v>
      </c>
      <c r="E584">
        <v>133</v>
      </c>
      <c r="F584" t="s">
        <v>277</v>
      </c>
      <c r="G584">
        <v>6.7</v>
      </c>
      <c r="I584" t="s">
        <v>278</v>
      </c>
      <c r="J584" t="s">
        <v>236</v>
      </c>
      <c r="K584" t="s">
        <v>2424</v>
      </c>
      <c r="L584">
        <v>955466</v>
      </c>
      <c r="M584">
        <v>385.56</v>
      </c>
    </row>
    <row r="585" spans="1:13" x14ac:dyDescent="0.3">
      <c r="A585" t="s">
        <v>2425</v>
      </c>
      <c r="B585" t="s">
        <v>2426</v>
      </c>
      <c r="C585">
        <v>2023</v>
      </c>
      <c r="D585" t="s">
        <v>24</v>
      </c>
      <c r="E585">
        <v>117</v>
      </c>
      <c r="F585" t="s">
        <v>2427</v>
      </c>
      <c r="G585">
        <v>6.7</v>
      </c>
      <c r="I585" t="s">
        <v>124</v>
      </c>
      <c r="J585" t="s">
        <v>608</v>
      </c>
      <c r="K585" t="s">
        <v>2428</v>
      </c>
      <c r="L585">
        <v>34371</v>
      </c>
      <c r="M585">
        <v>385.32</v>
      </c>
    </row>
    <row r="586" spans="1:13" x14ac:dyDescent="0.3">
      <c r="A586" t="s">
        <v>2429</v>
      </c>
      <c r="B586" t="s">
        <v>2430</v>
      </c>
      <c r="C586">
        <v>2011</v>
      </c>
      <c r="D586" t="s">
        <v>17</v>
      </c>
      <c r="E586">
        <v>125</v>
      </c>
      <c r="F586" t="s">
        <v>345</v>
      </c>
      <c r="G586">
        <v>6.7</v>
      </c>
      <c r="I586" t="s">
        <v>226</v>
      </c>
      <c r="J586" t="s">
        <v>518</v>
      </c>
      <c r="K586" t="s">
        <v>2431</v>
      </c>
      <c r="L586">
        <v>82625</v>
      </c>
      <c r="M586">
        <v>81.84</v>
      </c>
    </row>
    <row r="587" spans="1:13" x14ac:dyDescent="0.3">
      <c r="A587" t="s">
        <v>2432</v>
      </c>
      <c r="B587" t="s">
        <v>2433</v>
      </c>
      <c r="C587">
        <v>2017</v>
      </c>
      <c r="D587" t="s">
        <v>285</v>
      </c>
      <c r="E587">
        <v>116</v>
      </c>
      <c r="F587" t="s">
        <v>2434</v>
      </c>
      <c r="G587">
        <v>6.7</v>
      </c>
      <c r="H587">
        <v>76</v>
      </c>
      <c r="I587" t="s">
        <v>1056</v>
      </c>
      <c r="J587" t="s">
        <v>524</v>
      </c>
      <c r="K587" t="s">
        <v>2435</v>
      </c>
      <c r="L587">
        <v>68708</v>
      </c>
    </row>
    <row r="588" spans="1:13" x14ac:dyDescent="0.3">
      <c r="A588" t="s">
        <v>2436</v>
      </c>
      <c r="B588" t="s">
        <v>2437</v>
      </c>
      <c r="C588">
        <v>2012</v>
      </c>
      <c r="D588" t="s">
        <v>17</v>
      </c>
      <c r="E588">
        <v>158</v>
      </c>
      <c r="F588" t="s">
        <v>205</v>
      </c>
      <c r="G588">
        <v>6.7</v>
      </c>
      <c r="I588" t="s">
        <v>2438</v>
      </c>
      <c r="J588" t="s">
        <v>524</v>
      </c>
      <c r="K588" t="s">
        <v>2439</v>
      </c>
      <c r="L588">
        <v>20689</v>
      </c>
    </row>
    <row r="589" spans="1:13" x14ac:dyDescent="0.3">
      <c r="A589" t="s">
        <v>2440</v>
      </c>
      <c r="B589" t="s">
        <v>2441</v>
      </c>
      <c r="C589">
        <v>2002</v>
      </c>
      <c r="D589" t="s">
        <v>54</v>
      </c>
      <c r="E589">
        <v>147</v>
      </c>
      <c r="F589" t="s">
        <v>210</v>
      </c>
      <c r="G589">
        <v>6.7</v>
      </c>
      <c r="H589">
        <v>78</v>
      </c>
      <c r="I589" t="s">
        <v>431</v>
      </c>
      <c r="J589" t="s">
        <v>524</v>
      </c>
      <c r="K589" t="s">
        <v>2442</v>
      </c>
      <c r="L589">
        <v>250023</v>
      </c>
    </row>
    <row r="590" spans="1:13" x14ac:dyDescent="0.3">
      <c r="A590" t="s">
        <v>2443</v>
      </c>
      <c r="B590" t="s">
        <v>2444</v>
      </c>
      <c r="C590">
        <v>2015</v>
      </c>
      <c r="D590" t="s">
        <v>17</v>
      </c>
      <c r="E590">
        <v>171</v>
      </c>
      <c r="F590" t="s">
        <v>2445</v>
      </c>
      <c r="G590">
        <v>6.7</v>
      </c>
      <c r="H590">
        <v>65</v>
      </c>
      <c r="I590" t="s">
        <v>852</v>
      </c>
      <c r="J590" t="s">
        <v>50</v>
      </c>
      <c r="K590" t="s">
        <v>2446</v>
      </c>
      <c r="L590">
        <v>335678</v>
      </c>
      <c r="M590">
        <v>244.54</v>
      </c>
    </row>
    <row r="591" spans="1:13" x14ac:dyDescent="0.3">
      <c r="A591" t="s">
        <v>2447</v>
      </c>
      <c r="B591" t="s">
        <v>2448</v>
      </c>
      <c r="C591">
        <v>2003</v>
      </c>
      <c r="D591" t="s">
        <v>17</v>
      </c>
      <c r="E591">
        <v>142</v>
      </c>
      <c r="F591" t="s">
        <v>1192</v>
      </c>
      <c r="G591">
        <v>6.7</v>
      </c>
      <c r="H591">
        <v>78</v>
      </c>
      <c r="I591" t="s">
        <v>557</v>
      </c>
      <c r="J591" t="s">
        <v>483</v>
      </c>
      <c r="K591" t="s">
        <v>2449</v>
      </c>
      <c r="L591">
        <v>2300</v>
      </c>
      <c r="M591">
        <v>127.86</v>
      </c>
    </row>
    <row r="592" spans="1:13" x14ac:dyDescent="0.3">
      <c r="A592" t="s">
        <v>2450</v>
      </c>
      <c r="B592" t="s">
        <v>2451</v>
      </c>
      <c r="C592">
        <v>2006</v>
      </c>
      <c r="D592" t="s">
        <v>54</v>
      </c>
      <c r="E592">
        <v>148</v>
      </c>
      <c r="F592" t="s">
        <v>2452</v>
      </c>
      <c r="G592">
        <v>6.7</v>
      </c>
      <c r="I592" t="s">
        <v>1314</v>
      </c>
      <c r="J592" t="s">
        <v>251</v>
      </c>
      <c r="K592" t="s">
        <v>2453</v>
      </c>
      <c r="L592">
        <v>61591</v>
      </c>
      <c r="M592">
        <v>431.54</v>
      </c>
    </row>
    <row r="593" spans="1:13" x14ac:dyDescent="0.3">
      <c r="A593" t="s">
        <v>2454</v>
      </c>
      <c r="B593" t="s">
        <v>2455</v>
      </c>
      <c r="C593">
        <v>2017</v>
      </c>
      <c r="D593" t="s">
        <v>24</v>
      </c>
      <c r="E593">
        <v>84</v>
      </c>
      <c r="F593" t="s">
        <v>2456</v>
      </c>
      <c r="G593">
        <v>6.7</v>
      </c>
      <c r="H593">
        <v>74</v>
      </c>
      <c r="I593" t="s">
        <v>435</v>
      </c>
      <c r="J593" t="s">
        <v>113</v>
      </c>
      <c r="K593" t="s">
        <v>2457</v>
      </c>
      <c r="L593">
        <v>17161</v>
      </c>
      <c r="M593">
        <v>381.09</v>
      </c>
    </row>
    <row r="594" spans="1:13" x14ac:dyDescent="0.3">
      <c r="A594" t="s">
        <v>2458</v>
      </c>
      <c r="B594" t="s">
        <v>2459</v>
      </c>
      <c r="C594">
        <v>2001</v>
      </c>
      <c r="D594" t="s">
        <v>17</v>
      </c>
      <c r="E594">
        <v>81</v>
      </c>
      <c r="F594" t="s">
        <v>157</v>
      </c>
      <c r="G594">
        <v>6.7</v>
      </c>
      <c r="H594">
        <v>78</v>
      </c>
      <c r="I594" t="s">
        <v>2460</v>
      </c>
      <c r="J594" t="s">
        <v>74</v>
      </c>
      <c r="K594" t="s">
        <v>2461</v>
      </c>
      <c r="L594">
        <v>7688</v>
      </c>
      <c r="M594">
        <v>469.72</v>
      </c>
    </row>
    <row r="595" spans="1:13" x14ac:dyDescent="0.3">
      <c r="A595" t="s">
        <v>2462</v>
      </c>
      <c r="B595" t="s">
        <v>2463</v>
      </c>
      <c r="C595">
        <v>2013</v>
      </c>
      <c r="D595" t="s">
        <v>54</v>
      </c>
      <c r="E595">
        <v>115</v>
      </c>
      <c r="F595" t="s">
        <v>499</v>
      </c>
      <c r="G595">
        <v>6.7</v>
      </c>
      <c r="I595" t="s">
        <v>634</v>
      </c>
      <c r="J595" t="s">
        <v>27</v>
      </c>
      <c r="K595" t="s">
        <v>2464</v>
      </c>
      <c r="L595">
        <v>3558</v>
      </c>
    </row>
    <row r="596" spans="1:13" x14ac:dyDescent="0.3">
      <c r="A596" t="s">
        <v>2465</v>
      </c>
      <c r="B596" t="s">
        <v>2466</v>
      </c>
      <c r="C596">
        <v>2014</v>
      </c>
      <c r="D596" t="s">
        <v>24</v>
      </c>
      <c r="E596">
        <v>140</v>
      </c>
      <c r="F596" t="s">
        <v>1586</v>
      </c>
      <c r="G596">
        <v>6.7</v>
      </c>
      <c r="H596">
        <v>71</v>
      </c>
      <c r="I596" t="s">
        <v>2467</v>
      </c>
      <c r="J596" t="s">
        <v>368</v>
      </c>
      <c r="K596" t="s">
        <v>2468</v>
      </c>
      <c r="L596">
        <v>163688</v>
      </c>
      <c r="M596">
        <v>437.94</v>
      </c>
    </row>
    <row r="597" spans="1:13" x14ac:dyDescent="0.3">
      <c r="A597" t="s">
        <v>2469</v>
      </c>
      <c r="B597" t="s">
        <v>2470</v>
      </c>
      <c r="C597">
        <v>2016</v>
      </c>
      <c r="D597" t="s">
        <v>54</v>
      </c>
      <c r="E597">
        <v>122</v>
      </c>
      <c r="F597" t="s">
        <v>2315</v>
      </c>
      <c r="G597">
        <v>6.7</v>
      </c>
      <c r="I597" t="s">
        <v>124</v>
      </c>
      <c r="J597" t="s">
        <v>74</v>
      </c>
      <c r="K597" t="s">
        <v>2471</v>
      </c>
      <c r="L597">
        <v>163899</v>
      </c>
      <c r="M597">
        <v>452.25</v>
      </c>
    </row>
    <row r="598" spans="1:13" x14ac:dyDescent="0.3">
      <c r="A598" t="s">
        <v>2472</v>
      </c>
      <c r="B598" t="s">
        <v>2473</v>
      </c>
      <c r="C598">
        <v>2010</v>
      </c>
      <c r="D598" t="s">
        <v>293</v>
      </c>
      <c r="E598">
        <v>86</v>
      </c>
      <c r="F598" t="s">
        <v>1954</v>
      </c>
      <c r="G598">
        <v>6.7</v>
      </c>
      <c r="H598">
        <v>77</v>
      </c>
      <c r="I598" t="s">
        <v>2474</v>
      </c>
      <c r="J598" t="s">
        <v>113</v>
      </c>
      <c r="K598" t="s">
        <v>2475</v>
      </c>
      <c r="L598">
        <v>13590</v>
      </c>
      <c r="M598">
        <v>316.14</v>
      </c>
    </row>
    <row r="599" spans="1:13" x14ac:dyDescent="0.3">
      <c r="A599" t="s">
        <v>2476</v>
      </c>
      <c r="B599" t="s">
        <v>2477</v>
      </c>
      <c r="C599">
        <v>2001</v>
      </c>
      <c r="D599" t="s">
        <v>24</v>
      </c>
      <c r="E599">
        <v>115</v>
      </c>
      <c r="F599" t="s">
        <v>375</v>
      </c>
      <c r="G599">
        <v>6.7</v>
      </c>
      <c r="I599" t="s">
        <v>422</v>
      </c>
      <c r="J599" t="s">
        <v>518</v>
      </c>
      <c r="K599" t="s">
        <v>2478</v>
      </c>
      <c r="L599">
        <v>151904</v>
      </c>
      <c r="M599">
        <v>278.95</v>
      </c>
    </row>
    <row r="600" spans="1:13" x14ac:dyDescent="0.3">
      <c r="A600" t="s">
        <v>2479</v>
      </c>
      <c r="B600" t="s">
        <v>2480</v>
      </c>
      <c r="C600">
        <v>2002</v>
      </c>
      <c r="D600" t="s">
        <v>24</v>
      </c>
      <c r="E600">
        <v>157</v>
      </c>
      <c r="F600" t="s">
        <v>747</v>
      </c>
      <c r="G600">
        <v>6.7</v>
      </c>
      <c r="H600">
        <v>73</v>
      </c>
      <c r="I600" t="s">
        <v>629</v>
      </c>
      <c r="J600" t="s">
        <v>27</v>
      </c>
      <c r="K600" t="s">
        <v>2481</v>
      </c>
      <c r="L600">
        <v>13880</v>
      </c>
      <c r="M600">
        <v>347.08</v>
      </c>
    </row>
    <row r="601" spans="1:13" x14ac:dyDescent="0.3">
      <c r="A601" t="s">
        <v>2482</v>
      </c>
      <c r="B601" t="s">
        <v>2483</v>
      </c>
      <c r="C601">
        <v>2021</v>
      </c>
      <c r="D601" t="s">
        <v>17</v>
      </c>
      <c r="E601">
        <v>148</v>
      </c>
      <c r="F601" t="s">
        <v>2484</v>
      </c>
      <c r="G601">
        <v>6.7</v>
      </c>
      <c r="H601">
        <v>76</v>
      </c>
      <c r="I601" t="s">
        <v>201</v>
      </c>
      <c r="J601" t="s">
        <v>524</v>
      </c>
      <c r="K601" t="s">
        <v>2485</v>
      </c>
      <c r="L601">
        <v>118013</v>
      </c>
      <c r="M601">
        <v>17.04</v>
      </c>
    </row>
    <row r="602" spans="1:13" x14ac:dyDescent="0.3">
      <c r="A602" t="s">
        <v>2486</v>
      </c>
      <c r="B602" t="s">
        <v>2487</v>
      </c>
      <c r="C602">
        <v>2024</v>
      </c>
      <c r="D602" t="s">
        <v>17</v>
      </c>
      <c r="E602">
        <v>116</v>
      </c>
      <c r="F602" t="s">
        <v>72</v>
      </c>
      <c r="G602">
        <v>6.7</v>
      </c>
      <c r="I602" t="s">
        <v>1431</v>
      </c>
      <c r="J602" t="s">
        <v>39</v>
      </c>
      <c r="K602" t="s">
        <v>2488</v>
      </c>
      <c r="L602">
        <v>63941</v>
      </c>
      <c r="M602">
        <v>363.4</v>
      </c>
    </row>
    <row r="603" spans="1:13" x14ac:dyDescent="0.3">
      <c r="A603" t="s">
        <v>2489</v>
      </c>
      <c r="B603" t="s">
        <v>2490</v>
      </c>
      <c r="C603">
        <v>2020</v>
      </c>
      <c r="D603" t="s">
        <v>17</v>
      </c>
      <c r="E603">
        <v>109</v>
      </c>
      <c r="F603" t="s">
        <v>375</v>
      </c>
      <c r="G603">
        <v>6.7</v>
      </c>
      <c r="H603">
        <v>75</v>
      </c>
      <c r="I603" t="s">
        <v>381</v>
      </c>
      <c r="J603" t="s">
        <v>50</v>
      </c>
      <c r="K603" t="s">
        <v>2491</v>
      </c>
      <c r="L603">
        <v>100862</v>
      </c>
      <c r="M603">
        <v>398.88</v>
      </c>
    </row>
    <row r="604" spans="1:13" x14ac:dyDescent="0.3">
      <c r="A604" t="s">
        <v>2492</v>
      </c>
      <c r="B604" t="s">
        <v>2493</v>
      </c>
      <c r="C604">
        <v>2017</v>
      </c>
      <c r="D604" t="s">
        <v>17</v>
      </c>
      <c r="E604">
        <v>168</v>
      </c>
      <c r="F604" t="s">
        <v>268</v>
      </c>
      <c r="G604">
        <v>6.7</v>
      </c>
      <c r="H604">
        <v>66</v>
      </c>
      <c r="I604" t="s">
        <v>697</v>
      </c>
      <c r="J604" t="s">
        <v>518</v>
      </c>
      <c r="K604" t="s">
        <v>2494</v>
      </c>
      <c r="L604">
        <v>80954</v>
      </c>
      <c r="M604">
        <v>447.51</v>
      </c>
    </row>
    <row r="605" spans="1:13" x14ac:dyDescent="0.3">
      <c r="A605" t="s">
        <v>2495</v>
      </c>
      <c r="B605" t="s">
        <v>2496</v>
      </c>
      <c r="C605">
        <v>1993</v>
      </c>
      <c r="D605" t="s">
        <v>17</v>
      </c>
      <c r="E605">
        <v>126</v>
      </c>
      <c r="F605" t="s">
        <v>129</v>
      </c>
      <c r="G605">
        <v>6.7</v>
      </c>
      <c r="I605" t="s">
        <v>634</v>
      </c>
      <c r="J605" t="s">
        <v>80</v>
      </c>
      <c r="K605" t="s">
        <v>2497</v>
      </c>
      <c r="L605">
        <v>69251</v>
      </c>
      <c r="M605">
        <v>247.66</v>
      </c>
    </row>
    <row r="606" spans="1:13" x14ac:dyDescent="0.3">
      <c r="A606" t="s">
        <v>2498</v>
      </c>
      <c r="B606" t="s">
        <v>2499</v>
      </c>
      <c r="C606">
        <v>2021</v>
      </c>
      <c r="D606" t="s">
        <v>17</v>
      </c>
      <c r="E606">
        <v>101</v>
      </c>
      <c r="F606" t="s">
        <v>230</v>
      </c>
      <c r="G606">
        <v>6.7</v>
      </c>
      <c r="I606" t="s">
        <v>2500</v>
      </c>
      <c r="J606" t="s">
        <v>159</v>
      </c>
      <c r="K606" t="s">
        <v>2501</v>
      </c>
      <c r="L606">
        <v>9754</v>
      </c>
      <c r="M606">
        <v>226.61</v>
      </c>
    </row>
    <row r="607" spans="1:13" x14ac:dyDescent="0.3">
      <c r="A607" t="s">
        <v>2502</v>
      </c>
      <c r="B607" t="s">
        <v>2503</v>
      </c>
      <c r="C607">
        <v>2005</v>
      </c>
      <c r="D607" t="s">
        <v>293</v>
      </c>
      <c r="E607">
        <v>134</v>
      </c>
      <c r="F607" t="s">
        <v>2504</v>
      </c>
      <c r="G607">
        <v>6.7</v>
      </c>
      <c r="H607">
        <v>68</v>
      </c>
      <c r="I607" t="s">
        <v>395</v>
      </c>
      <c r="J607" t="s">
        <v>483</v>
      </c>
      <c r="K607" t="s">
        <v>2505</v>
      </c>
      <c r="L607">
        <v>519268</v>
      </c>
    </row>
    <row r="608" spans="1:13" x14ac:dyDescent="0.3">
      <c r="A608" t="s">
        <v>2506</v>
      </c>
      <c r="B608" t="s">
        <v>2507</v>
      </c>
      <c r="C608">
        <v>2013</v>
      </c>
      <c r="D608" t="s">
        <v>17</v>
      </c>
      <c r="E608">
        <v>116</v>
      </c>
      <c r="F608" t="s">
        <v>2508</v>
      </c>
      <c r="G608">
        <v>6.7</v>
      </c>
      <c r="H608">
        <v>74</v>
      </c>
      <c r="I608" t="s">
        <v>2509</v>
      </c>
      <c r="J608" t="s">
        <v>86</v>
      </c>
      <c r="K608" t="s">
        <v>2510</v>
      </c>
      <c r="L608">
        <v>56622</v>
      </c>
      <c r="M608">
        <v>217.04</v>
      </c>
    </row>
    <row r="609" spans="1:13" x14ac:dyDescent="0.3">
      <c r="A609" t="s">
        <v>2511</v>
      </c>
      <c r="B609" t="s">
        <v>2512</v>
      </c>
      <c r="C609">
        <v>2017</v>
      </c>
      <c r="D609" t="s">
        <v>285</v>
      </c>
      <c r="E609">
        <v>110</v>
      </c>
      <c r="F609" t="s">
        <v>2513</v>
      </c>
      <c r="G609">
        <v>6.7</v>
      </c>
      <c r="I609" t="s">
        <v>2514</v>
      </c>
      <c r="J609" t="s">
        <v>315</v>
      </c>
      <c r="K609" t="s">
        <v>2515</v>
      </c>
      <c r="L609">
        <v>2500000</v>
      </c>
      <c r="M609">
        <v>316.39</v>
      </c>
    </row>
    <row r="610" spans="1:13" x14ac:dyDescent="0.3">
      <c r="A610" t="s">
        <v>2516</v>
      </c>
      <c r="B610" t="s">
        <v>2517</v>
      </c>
      <c r="C610">
        <v>2023</v>
      </c>
      <c r="D610" t="s">
        <v>24</v>
      </c>
      <c r="E610">
        <v>107</v>
      </c>
      <c r="F610" t="s">
        <v>163</v>
      </c>
      <c r="G610">
        <v>6.6</v>
      </c>
      <c r="I610" t="s">
        <v>2518</v>
      </c>
      <c r="J610" t="s">
        <v>68</v>
      </c>
      <c r="K610" t="s">
        <v>2519</v>
      </c>
      <c r="L610">
        <v>29491</v>
      </c>
      <c r="M610">
        <v>74.58</v>
      </c>
    </row>
    <row r="611" spans="1:13" x14ac:dyDescent="0.3">
      <c r="A611" t="s">
        <v>2520</v>
      </c>
      <c r="B611" t="s">
        <v>2521</v>
      </c>
      <c r="C611">
        <v>2007</v>
      </c>
      <c r="D611" t="s">
        <v>17</v>
      </c>
      <c r="E611">
        <v>105</v>
      </c>
      <c r="F611" t="s">
        <v>2315</v>
      </c>
      <c r="G611">
        <v>6.6</v>
      </c>
      <c r="I611" t="s">
        <v>124</v>
      </c>
      <c r="J611" t="s">
        <v>57</v>
      </c>
      <c r="K611" t="s">
        <v>2522</v>
      </c>
      <c r="L611">
        <v>351367</v>
      </c>
      <c r="M611">
        <v>195.26</v>
      </c>
    </row>
    <row r="612" spans="1:13" x14ac:dyDescent="0.3">
      <c r="A612" t="s">
        <v>2523</v>
      </c>
      <c r="B612" t="s">
        <v>2524</v>
      </c>
      <c r="C612">
        <v>2010</v>
      </c>
      <c r="D612" t="s">
        <v>17</v>
      </c>
      <c r="E612">
        <v>121</v>
      </c>
      <c r="F612" t="s">
        <v>817</v>
      </c>
      <c r="G612">
        <v>6.6</v>
      </c>
      <c r="I612" t="s">
        <v>431</v>
      </c>
      <c r="J612" t="s">
        <v>547</v>
      </c>
      <c r="K612" t="s">
        <v>2525</v>
      </c>
      <c r="L612">
        <v>22583</v>
      </c>
    </row>
    <row r="613" spans="1:13" x14ac:dyDescent="0.3">
      <c r="A613" t="s">
        <v>2526</v>
      </c>
      <c r="B613" t="s">
        <v>2527</v>
      </c>
      <c r="C613">
        <v>2013</v>
      </c>
      <c r="D613" t="s">
        <v>54</v>
      </c>
      <c r="E613">
        <v>151</v>
      </c>
      <c r="F613" t="s">
        <v>532</v>
      </c>
      <c r="G613">
        <v>6.6</v>
      </c>
      <c r="H613">
        <v>74</v>
      </c>
      <c r="I613" t="s">
        <v>1363</v>
      </c>
      <c r="J613" t="s">
        <v>33</v>
      </c>
      <c r="K613" t="s">
        <v>2528</v>
      </c>
      <c r="L613">
        <v>41561</v>
      </c>
    </row>
    <row r="614" spans="1:13" x14ac:dyDescent="0.3">
      <c r="A614" t="s">
        <v>2529</v>
      </c>
      <c r="B614" t="s">
        <v>2530</v>
      </c>
      <c r="C614">
        <v>2005</v>
      </c>
      <c r="D614" t="s">
        <v>54</v>
      </c>
      <c r="E614">
        <v>107</v>
      </c>
      <c r="F614" t="s">
        <v>2531</v>
      </c>
      <c r="G614">
        <v>6.6</v>
      </c>
      <c r="I614" t="s">
        <v>2532</v>
      </c>
      <c r="J614" t="s">
        <v>153</v>
      </c>
      <c r="K614" t="s">
        <v>2533</v>
      </c>
      <c r="L614">
        <v>24170</v>
      </c>
    </row>
    <row r="615" spans="1:13" x14ac:dyDescent="0.3">
      <c r="A615" t="s">
        <v>2534</v>
      </c>
      <c r="B615" t="s">
        <v>2535</v>
      </c>
      <c r="C615">
        <v>1999</v>
      </c>
      <c r="D615" t="s">
        <v>24</v>
      </c>
      <c r="E615">
        <v>131</v>
      </c>
      <c r="F615" t="s">
        <v>1044</v>
      </c>
      <c r="G615">
        <v>6.6</v>
      </c>
      <c r="H615">
        <v>79</v>
      </c>
      <c r="I615" t="s">
        <v>164</v>
      </c>
      <c r="J615" t="s">
        <v>103</v>
      </c>
      <c r="K615" t="s">
        <v>2536</v>
      </c>
      <c r="L615">
        <v>104476</v>
      </c>
      <c r="M615">
        <v>234.79</v>
      </c>
    </row>
    <row r="616" spans="1:13" x14ac:dyDescent="0.3">
      <c r="A616" t="s">
        <v>2537</v>
      </c>
      <c r="B616" t="s">
        <v>2538</v>
      </c>
      <c r="C616">
        <v>2018</v>
      </c>
      <c r="D616" t="s">
        <v>17</v>
      </c>
      <c r="E616">
        <v>99</v>
      </c>
      <c r="F616" t="s">
        <v>2539</v>
      </c>
      <c r="G616">
        <v>6.6</v>
      </c>
      <c r="I616" t="s">
        <v>278</v>
      </c>
      <c r="J616" t="s">
        <v>483</v>
      </c>
      <c r="K616" t="s">
        <v>2540</v>
      </c>
      <c r="L616">
        <v>4900</v>
      </c>
      <c r="M616">
        <v>271.39999999999998</v>
      </c>
    </row>
    <row r="617" spans="1:13" x14ac:dyDescent="0.3">
      <c r="A617" t="s">
        <v>2541</v>
      </c>
      <c r="B617" t="s">
        <v>2542</v>
      </c>
      <c r="C617">
        <v>2020</v>
      </c>
      <c r="D617" t="s">
        <v>24</v>
      </c>
      <c r="E617">
        <v>137</v>
      </c>
      <c r="F617" t="s">
        <v>210</v>
      </c>
      <c r="G617">
        <v>6.6</v>
      </c>
      <c r="H617">
        <v>77</v>
      </c>
      <c r="I617" t="s">
        <v>431</v>
      </c>
      <c r="J617" t="s">
        <v>131</v>
      </c>
      <c r="K617" t="s">
        <v>2543</v>
      </c>
      <c r="L617">
        <v>63408</v>
      </c>
      <c r="M617">
        <v>120.42</v>
      </c>
    </row>
    <row r="618" spans="1:13" x14ac:dyDescent="0.3">
      <c r="A618" t="s">
        <v>2544</v>
      </c>
      <c r="B618" t="s">
        <v>2545</v>
      </c>
      <c r="C618">
        <v>2003</v>
      </c>
      <c r="D618" t="s">
        <v>293</v>
      </c>
      <c r="E618">
        <v>95</v>
      </c>
      <c r="F618" t="s">
        <v>2546</v>
      </c>
      <c r="G618">
        <v>6.6</v>
      </c>
      <c r="H618">
        <v>58</v>
      </c>
      <c r="I618" t="s">
        <v>2547</v>
      </c>
      <c r="J618" t="s">
        <v>33</v>
      </c>
      <c r="K618" t="s">
        <v>2548</v>
      </c>
      <c r="L618">
        <v>16717</v>
      </c>
      <c r="M618">
        <v>209.32</v>
      </c>
    </row>
    <row r="619" spans="1:13" x14ac:dyDescent="0.3">
      <c r="A619" t="s">
        <v>2549</v>
      </c>
      <c r="B619" t="s">
        <v>2550</v>
      </c>
      <c r="C619">
        <v>2021</v>
      </c>
      <c r="D619" t="s">
        <v>17</v>
      </c>
      <c r="E619">
        <v>137</v>
      </c>
      <c r="F619" t="s">
        <v>174</v>
      </c>
      <c r="G619">
        <v>6.6</v>
      </c>
      <c r="H619">
        <v>78</v>
      </c>
      <c r="I619" t="s">
        <v>412</v>
      </c>
      <c r="J619" t="s">
        <v>153</v>
      </c>
      <c r="K619" t="s">
        <v>2551</v>
      </c>
      <c r="L619">
        <v>62338</v>
      </c>
    </row>
    <row r="620" spans="1:13" x14ac:dyDescent="0.3">
      <c r="A620" t="s">
        <v>2552</v>
      </c>
      <c r="B620" t="s">
        <v>2553</v>
      </c>
      <c r="C620">
        <v>2010</v>
      </c>
      <c r="D620" t="s">
        <v>285</v>
      </c>
      <c r="E620">
        <v>142</v>
      </c>
      <c r="F620" t="s">
        <v>157</v>
      </c>
      <c r="G620">
        <v>6.6</v>
      </c>
      <c r="H620">
        <v>53</v>
      </c>
      <c r="I620" t="s">
        <v>2554</v>
      </c>
      <c r="J620" t="s">
        <v>547</v>
      </c>
      <c r="K620" t="s">
        <v>2555</v>
      </c>
      <c r="L620">
        <v>11386</v>
      </c>
      <c r="M620">
        <v>118.19</v>
      </c>
    </row>
    <row r="621" spans="1:13" x14ac:dyDescent="0.3">
      <c r="A621" t="s">
        <v>2556</v>
      </c>
      <c r="B621" t="s">
        <v>2557</v>
      </c>
      <c r="C621">
        <v>2022</v>
      </c>
      <c r="D621" t="s">
        <v>24</v>
      </c>
      <c r="E621">
        <v>134</v>
      </c>
      <c r="F621" t="s">
        <v>2558</v>
      </c>
      <c r="G621">
        <v>6.6</v>
      </c>
      <c r="H621">
        <v>77</v>
      </c>
      <c r="I621" t="s">
        <v>350</v>
      </c>
      <c r="J621" t="s">
        <v>221</v>
      </c>
      <c r="K621" t="s">
        <v>2559</v>
      </c>
      <c r="L621">
        <v>529607</v>
      </c>
      <c r="M621">
        <v>413.19</v>
      </c>
    </row>
    <row r="622" spans="1:13" x14ac:dyDescent="0.3">
      <c r="A622" t="s">
        <v>2560</v>
      </c>
      <c r="B622" t="s">
        <v>2561</v>
      </c>
      <c r="C622">
        <v>2022</v>
      </c>
      <c r="D622" t="s">
        <v>54</v>
      </c>
      <c r="E622">
        <v>115</v>
      </c>
      <c r="F622" t="s">
        <v>101</v>
      </c>
      <c r="G622">
        <v>6.6</v>
      </c>
      <c r="I622" t="s">
        <v>355</v>
      </c>
      <c r="J622" t="s">
        <v>74</v>
      </c>
      <c r="K622" t="s">
        <v>2562</v>
      </c>
      <c r="L622">
        <v>94950</v>
      </c>
      <c r="M622">
        <v>330.77</v>
      </c>
    </row>
    <row r="623" spans="1:13" x14ac:dyDescent="0.3">
      <c r="A623" t="s">
        <v>2563</v>
      </c>
      <c r="B623" t="s">
        <v>2564</v>
      </c>
      <c r="C623">
        <v>2008</v>
      </c>
      <c r="D623" t="s">
        <v>54</v>
      </c>
      <c r="E623">
        <v>143</v>
      </c>
      <c r="F623" t="s">
        <v>2565</v>
      </c>
      <c r="G623">
        <v>6.6</v>
      </c>
      <c r="H623">
        <v>60</v>
      </c>
      <c r="I623" t="s">
        <v>395</v>
      </c>
      <c r="J623" t="s">
        <v>39</v>
      </c>
      <c r="K623" t="s">
        <v>2566</v>
      </c>
      <c r="L623">
        <v>56094</v>
      </c>
      <c r="M623">
        <v>275.58</v>
      </c>
    </row>
    <row r="624" spans="1:13" x14ac:dyDescent="0.3">
      <c r="A624" t="s">
        <v>2567</v>
      </c>
      <c r="B624" t="s">
        <v>2568</v>
      </c>
      <c r="C624">
        <v>2010</v>
      </c>
      <c r="D624" t="s">
        <v>17</v>
      </c>
      <c r="E624">
        <v>104</v>
      </c>
      <c r="F624" t="s">
        <v>249</v>
      </c>
      <c r="G624">
        <v>6.6</v>
      </c>
      <c r="H624">
        <v>54</v>
      </c>
      <c r="I624" t="s">
        <v>1718</v>
      </c>
      <c r="J624" t="s">
        <v>80</v>
      </c>
      <c r="K624" t="s">
        <v>2569</v>
      </c>
      <c r="L624">
        <v>14967</v>
      </c>
    </row>
    <row r="625" spans="1:13" x14ac:dyDescent="0.3">
      <c r="A625" t="s">
        <v>2570</v>
      </c>
      <c r="B625" t="s">
        <v>2571</v>
      </c>
      <c r="C625">
        <v>2009</v>
      </c>
      <c r="D625" t="s">
        <v>24</v>
      </c>
      <c r="E625">
        <v>93</v>
      </c>
      <c r="F625" t="s">
        <v>1440</v>
      </c>
      <c r="G625">
        <v>6.6</v>
      </c>
      <c r="H625">
        <v>55</v>
      </c>
      <c r="I625" t="s">
        <v>136</v>
      </c>
      <c r="J625" t="s">
        <v>103</v>
      </c>
      <c r="K625" t="s">
        <v>2572</v>
      </c>
      <c r="L625">
        <v>18032</v>
      </c>
      <c r="M625">
        <v>110.81</v>
      </c>
    </row>
    <row r="626" spans="1:13" x14ac:dyDescent="0.3">
      <c r="A626" t="s">
        <v>2573</v>
      </c>
      <c r="B626" t="s">
        <v>2574</v>
      </c>
      <c r="C626">
        <v>2003</v>
      </c>
      <c r="D626" t="s">
        <v>17</v>
      </c>
      <c r="E626">
        <v>156</v>
      </c>
      <c r="F626" t="s">
        <v>1134</v>
      </c>
      <c r="G626">
        <v>6.6</v>
      </c>
      <c r="I626" t="s">
        <v>561</v>
      </c>
      <c r="J626" t="s">
        <v>147</v>
      </c>
      <c r="K626" t="s">
        <v>2575</v>
      </c>
      <c r="L626">
        <v>16790</v>
      </c>
      <c r="M626">
        <v>212.08</v>
      </c>
    </row>
    <row r="627" spans="1:13" x14ac:dyDescent="0.3">
      <c r="A627" t="s">
        <v>2576</v>
      </c>
      <c r="B627" t="s">
        <v>2577</v>
      </c>
      <c r="C627">
        <v>2012</v>
      </c>
      <c r="D627" t="s">
        <v>54</v>
      </c>
      <c r="E627">
        <v>149</v>
      </c>
      <c r="F627" t="s">
        <v>2578</v>
      </c>
      <c r="G627">
        <v>6.6</v>
      </c>
      <c r="I627" t="s">
        <v>124</v>
      </c>
      <c r="J627" t="s">
        <v>63</v>
      </c>
      <c r="K627" t="s">
        <v>2579</v>
      </c>
      <c r="L627">
        <v>21947</v>
      </c>
      <c r="M627">
        <v>297.22000000000003</v>
      </c>
    </row>
    <row r="628" spans="1:13" x14ac:dyDescent="0.3">
      <c r="A628" t="s">
        <v>2580</v>
      </c>
      <c r="B628" t="s">
        <v>2581</v>
      </c>
      <c r="C628">
        <v>2024</v>
      </c>
      <c r="D628" t="s">
        <v>169</v>
      </c>
      <c r="E628">
        <v>94</v>
      </c>
      <c r="F628" t="s">
        <v>2582</v>
      </c>
      <c r="G628">
        <v>6.6</v>
      </c>
      <c r="H628">
        <v>69</v>
      </c>
      <c r="I628" t="s">
        <v>1155</v>
      </c>
      <c r="J628" t="s">
        <v>27</v>
      </c>
      <c r="K628" t="s">
        <v>2583</v>
      </c>
      <c r="L628">
        <v>37694</v>
      </c>
    </row>
    <row r="629" spans="1:13" x14ac:dyDescent="0.3">
      <c r="A629" t="s">
        <v>2584</v>
      </c>
      <c r="B629" t="s">
        <v>2585</v>
      </c>
      <c r="C629">
        <v>2002</v>
      </c>
      <c r="D629" t="s">
        <v>17</v>
      </c>
      <c r="E629">
        <v>75</v>
      </c>
      <c r="F629" t="s">
        <v>772</v>
      </c>
      <c r="G629">
        <v>6.6</v>
      </c>
      <c r="H629">
        <v>77</v>
      </c>
      <c r="I629" t="s">
        <v>38</v>
      </c>
      <c r="J629" t="s">
        <v>119</v>
      </c>
      <c r="K629" t="s">
        <v>2586</v>
      </c>
      <c r="L629">
        <v>16695</v>
      </c>
      <c r="M629">
        <v>443.54</v>
      </c>
    </row>
    <row r="630" spans="1:13" x14ac:dyDescent="0.3">
      <c r="A630" t="s">
        <v>2587</v>
      </c>
      <c r="B630" t="s">
        <v>2588</v>
      </c>
      <c r="C630">
        <v>2010</v>
      </c>
      <c r="D630" t="s">
        <v>17</v>
      </c>
      <c r="E630">
        <v>112</v>
      </c>
      <c r="F630" t="s">
        <v>2589</v>
      </c>
      <c r="G630">
        <v>6.6</v>
      </c>
      <c r="H630">
        <v>55</v>
      </c>
      <c r="I630" t="s">
        <v>2590</v>
      </c>
      <c r="J630" t="s">
        <v>196</v>
      </c>
      <c r="K630" t="s">
        <v>2591</v>
      </c>
      <c r="L630">
        <v>469429</v>
      </c>
      <c r="M630">
        <v>392.75</v>
      </c>
    </row>
    <row r="631" spans="1:13" x14ac:dyDescent="0.3">
      <c r="A631" t="s">
        <v>2592</v>
      </c>
      <c r="B631" t="s">
        <v>2593</v>
      </c>
      <c r="C631">
        <v>2000</v>
      </c>
      <c r="D631" t="s">
        <v>54</v>
      </c>
      <c r="E631">
        <v>105</v>
      </c>
      <c r="F631" t="s">
        <v>2374</v>
      </c>
      <c r="G631">
        <v>6.6</v>
      </c>
      <c r="I631" t="s">
        <v>2594</v>
      </c>
      <c r="J631" t="s">
        <v>57</v>
      </c>
      <c r="K631" t="s">
        <v>2595</v>
      </c>
      <c r="L631">
        <v>95450</v>
      </c>
      <c r="M631">
        <v>86.68</v>
      </c>
    </row>
    <row r="632" spans="1:13" x14ac:dyDescent="0.3">
      <c r="A632" t="s">
        <v>2596</v>
      </c>
      <c r="B632" t="s">
        <v>2597</v>
      </c>
      <c r="C632">
        <v>2013</v>
      </c>
      <c r="D632" t="s">
        <v>24</v>
      </c>
      <c r="E632">
        <v>119</v>
      </c>
      <c r="F632" t="s">
        <v>2224</v>
      </c>
      <c r="G632">
        <v>6.6</v>
      </c>
      <c r="H632">
        <v>78</v>
      </c>
      <c r="I632" t="s">
        <v>2598</v>
      </c>
      <c r="J632" t="s">
        <v>221</v>
      </c>
      <c r="K632" t="s">
        <v>2599</v>
      </c>
      <c r="L632">
        <v>30338</v>
      </c>
      <c r="M632">
        <v>84.72</v>
      </c>
    </row>
    <row r="633" spans="1:13" x14ac:dyDescent="0.3">
      <c r="A633" t="s">
        <v>2600</v>
      </c>
      <c r="B633" t="s">
        <v>2601</v>
      </c>
      <c r="C633">
        <v>2024</v>
      </c>
      <c r="D633" t="s">
        <v>17</v>
      </c>
      <c r="E633">
        <v>131</v>
      </c>
      <c r="F633" t="s">
        <v>48</v>
      </c>
      <c r="G633">
        <v>6.6</v>
      </c>
      <c r="H633">
        <v>67</v>
      </c>
      <c r="I633" t="s">
        <v>2602</v>
      </c>
      <c r="J633" t="s">
        <v>221</v>
      </c>
      <c r="K633" t="s">
        <v>2603</v>
      </c>
      <c r="L633">
        <v>14197</v>
      </c>
      <c r="M633">
        <v>363.18</v>
      </c>
    </row>
    <row r="634" spans="1:13" x14ac:dyDescent="0.3">
      <c r="A634" t="s">
        <v>2604</v>
      </c>
      <c r="B634" t="s">
        <v>2605</v>
      </c>
      <c r="C634">
        <v>2022</v>
      </c>
      <c r="D634" t="s">
        <v>54</v>
      </c>
      <c r="E634">
        <v>128</v>
      </c>
      <c r="F634" t="s">
        <v>1044</v>
      </c>
      <c r="G634">
        <v>6.6</v>
      </c>
      <c r="I634" t="s">
        <v>2606</v>
      </c>
      <c r="J634" t="s">
        <v>608</v>
      </c>
      <c r="K634" t="s">
        <v>2607</v>
      </c>
      <c r="L634">
        <v>164203</v>
      </c>
    </row>
    <row r="635" spans="1:13" x14ac:dyDescent="0.3">
      <c r="A635" t="s">
        <v>2608</v>
      </c>
      <c r="B635" t="s">
        <v>2609</v>
      </c>
      <c r="C635">
        <v>2022</v>
      </c>
      <c r="D635" t="s">
        <v>17</v>
      </c>
      <c r="E635">
        <v>109</v>
      </c>
      <c r="F635" t="s">
        <v>2224</v>
      </c>
      <c r="G635">
        <v>6.6</v>
      </c>
      <c r="H635">
        <v>60</v>
      </c>
      <c r="I635" t="s">
        <v>2610</v>
      </c>
      <c r="J635" t="s">
        <v>137</v>
      </c>
      <c r="K635" t="s">
        <v>2611</v>
      </c>
      <c r="L635">
        <v>13473</v>
      </c>
      <c r="M635">
        <v>450.61</v>
      </c>
    </row>
    <row r="636" spans="1:13" x14ac:dyDescent="0.3">
      <c r="A636" t="s">
        <v>2612</v>
      </c>
      <c r="B636" t="s">
        <v>2613</v>
      </c>
      <c r="C636">
        <v>2000</v>
      </c>
      <c r="D636" t="s">
        <v>293</v>
      </c>
      <c r="E636">
        <v>70</v>
      </c>
      <c r="F636" t="s">
        <v>2614</v>
      </c>
      <c r="G636">
        <v>6.6</v>
      </c>
      <c r="H636">
        <v>60</v>
      </c>
      <c r="I636" t="s">
        <v>2615</v>
      </c>
      <c r="J636" t="s">
        <v>236</v>
      </c>
      <c r="K636" t="s">
        <v>2616</v>
      </c>
      <c r="L636">
        <v>2233148</v>
      </c>
      <c r="M636">
        <v>114.4</v>
      </c>
    </row>
    <row r="637" spans="1:13" x14ac:dyDescent="0.3">
      <c r="A637" t="s">
        <v>2617</v>
      </c>
      <c r="B637" t="s">
        <v>2618</v>
      </c>
      <c r="C637">
        <v>2009</v>
      </c>
      <c r="D637" t="s">
        <v>24</v>
      </c>
      <c r="E637">
        <v>127</v>
      </c>
      <c r="F637" t="s">
        <v>78</v>
      </c>
      <c r="G637">
        <v>6.6</v>
      </c>
      <c r="I637" t="s">
        <v>305</v>
      </c>
      <c r="J637" t="s">
        <v>27</v>
      </c>
      <c r="K637" t="s">
        <v>2619</v>
      </c>
      <c r="L637">
        <v>833353</v>
      </c>
      <c r="M637">
        <v>22.81</v>
      </c>
    </row>
    <row r="638" spans="1:13" x14ac:dyDescent="0.3">
      <c r="A638" t="s">
        <v>2620</v>
      </c>
      <c r="B638" t="s">
        <v>2621</v>
      </c>
      <c r="C638">
        <v>2009</v>
      </c>
      <c r="D638" t="s">
        <v>54</v>
      </c>
      <c r="E638">
        <v>126</v>
      </c>
      <c r="F638" t="s">
        <v>2622</v>
      </c>
      <c r="G638">
        <v>6.6</v>
      </c>
      <c r="H638">
        <v>62</v>
      </c>
      <c r="I638" t="s">
        <v>164</v>
      </c>
      <c r="J638" t="s">
        <v>39</v>
      </c>
      <c r="K638" t="s">
        <v>2623</v>
      </c>
      <c r="L638">
        <v>38649</v>
      </c>
      <c r="M638">
        <v>484.78</v>
      </c>
    </row>
    <row r="639" spans="1:13" x14ac:dyDescent="0.3">
      <c r="A639" t="s">
        <v>2624</v>
      </c>
      <c r="B639" t="s">
        <v>2625</v>
      </c>
      <c r="C639">
        <v>2023</v>
      </c>
      <c r="D639" t="s">
        <v>24</v>
      </c>
      <c r="E639">
        <v>105</v>
      </c>
      <c r="F639" t="s">
        <v>2626</v>
      </c>
      <c r="G639">
        <v>6.6</v>
      </c>
      <c r="H639">
        <v>78</v>
      </c>
      <c r="I639" t="s">
        <v>136</v>
      </c>
      <c r="J639" t="s">
        <v>326</v>
      </c>
      <c r="K639" t="s">
        <v>2627</v>
      </c>
      <c r="L639">
        <v>470859</v>
      </c>
      <c r="M639">
        <v>73.459999999999994</v>
      </c>
    </row>
    <row r="640" spans="1:13" x14ac:dyDescent="0.3">
      <c r="A640" t="s">
        <v>2628</v>
      </c>
      <c r="B640" t="s">
        <v>2629</v>
      </c>
      <c r="C640">
        <v>1999</v>
      </c>
      <c r="D640" t="s">
        <v>24</v>
      </c>
      <c r="E640">
        <v>152</v>
      </c>
      <c r="F640" t="s">
        <v>37</v>
      </c>
      <c r="G640">
        <v>6.6</v>
      </c>
      <c r="I640" t="s">
        <v>2630</v>
      </c>
      <c r="J640" t="s">
        <v>63</v>
      </c>
      <c r="K640" t="s">
        <v>2631</v>
      </c>
      <c r="L640">
        <v>142178</v>
      </c>
      <c r="M640">
        <v>209.57</v>
      </c>
    </row>
    <row r="641" spans="1:13" x14ac:dyDescent="0.3">
      <c r="A641" t="s">
        <v>2632</v>
      </c>
      <c r="B641" t="s">
        <v>2633</v>
      </c>
      <c r="C641">
        <v>1991</v>
      </c>
      <c r="D641" t="s">
        <v>24</v>
      </c>
      <c r="E641">
        <v>115</v>
      </c>
      <c r="F641" t="s">
        <v>1271</v>
      </c>
      <c r="G641">
        <v>6.6</v>
      </c>
      <c r="I641" t="s">
        <v>634</v>
      </c>
      <c r="J641" t="s">
        <v>547</v>
      </c>
      <c r="K641" t="s">
        <v>2634</v>
      </c>
      <c r="L641">
        <v>311191</v>
      </c>
      <c r="M641">
        <v>18.16</v>
      </c>
    </row>
    <row r="642" spans="1:13" x14ac:dyDescent="0.3">
      <c r="A642" t="s">
        <v>2635</v>
      </c>
      <c r="B642" t="s">
        <v>2636</v>
      </c>
      <c r="C642">
        <v>2003</v>
      </c>
      <c r="D642" t="s">
        <v>17</v>
      </c>
      <c r="E642">
        <v>93</v>
      </c>
      <c r="F642" t="s">
        <v>249</v>
      </c>
      <c r="G642">
        <v>6.6</v>
      </c>
      <c r="I642" t="s">
        <v>1176</v>
      </c>
      <c r="J642" t="s">
        <v>33</v>
      </c>
      <c r="K642" t="s">
        <v>2637</v>
      </c>
      <c r="L642">
        <v>238583</v>
      </c>
    </row>
    <row r="643" spans="1:13" x14ac:dyDescent="0.3">
      <c r="A643" t="s">
        <v>2638</v>
      </c>
      <c r="B643" t="s">
        <v>2639</v>
      </c>
      <c r="C643">
        <v>2012</v>
      </c>
      <c r="D643" t="s">
        <v>17</v>
      </c>
      <c r="E643">
        <v>135</v>
      </c>
      <c r="F643" t="s">
        <v>107</v>
      </c>
      <c r="G643">
        <v>6.6</v>
      </c>
      <c r="I643" t="s">
        <v>2640</v>
      </c>
      <c r="J643" t="s">
        <v>608</v>
      </c>
      <c r="K643" t="s">
        <v>2641</v>
      </c>
      <c r="L643">
        <v>24434</v>
      </c>
    </row>
    <row r="644" spans="1:13" x14ac:dyDescent="0.3">
      <c r="A644" t="s">
        <v>2642</v>
      </c>
      <c r="B644" t="s">
        <v>2643</v>
      </c>
      <c r="C644">
        <v>2023</v>
      </c>
      <c r="D644" t="s">
        <v>17</v>
      </c>
      <c r="E644">
        <v>121</v>
      </c>
      <c r="F644" t="s">
        <v>2005</v>
      </c>
      <c r="G644">
        <v>6.6</v>
      </c>
      <c r="H644">
        <v>59</v>
      </c>
      <c r="I644" t="s">
        <v>124</v>
      </c>
      <c r="J644" t="s">
        <v>608</v>
      </c>
      <c r="K644" t="s">
        <v>2644</v>
      </c>
      <c r="L644">
        <v>47719</v>
      </c>
    </row>
    <row r="645" spans="1:13" x14ac:dyDescent="0.3">
      <c r="A645" t="s">
        <v>2645</v>
      </c>
      <c r="B645" t="s">
        <v>2646</v>
      </c>
      <c r="C645">
        <v>2000</v>
      </c>
      <c r="D645" t="s">
        <v>24</v>
      </c>
      <c r="E645">
        <v>117</v>
      </c>
      <c r="F645" t="s">
        <v>2647</v>
      </c>
      <c r="G645">
        <v>6.6</v>
      </c>
      <c r="I645" t="s">
        <v>231</v>
      </c>
      <c r="J645" t="s">
        <v>159</v>
      </c>
      <c r="K645" t="s">
        <v>2648</v>
      </c>
      <c r="L645">
        <v>66508</v>
      </c>
      <c r="M645">
        <v>297.17</v>
      </c>
    </row>
    <row r="646" spans="1:13" x14ac:dyDescent="0.3">
      <c r="A646" t="s">
        <v>2649</v>
      </c>
      <c r="B646" t="s">
        <v>2650</v>
      </c>
      <c r="C646">
        <v>2005</v>
      </c>
      <c r="D646" t="s">
        <v>293</v>
      </c>
      <c r="E646">
        <v>122</v>
      </c>
      <c r="F646" t="s">
        <v>606</v>
      </c>
      <c r="G646">
        <v>6.6</v>
      </c>
      <c r="I646" t="s">
        <v>250</v>
      </c>
      <c r="J646" t="s">
        <v>125</v>
      </c>
      <c r="K646" t="s">
        <v>2651</v>
      </c>
      <c r="L646">
        <v>61289</v>
      </c>
      <c r="M646">
        <v>202.7</v>
      </c>
    </row>
    <row r="647" spans="1:13" x14ac:dyDescent="0.3">
      <c r="A647" t="s">
        <v>2652</v>
      </c>
      <c r="B647" t="s">
        <v>2653</v>
      </c>
      <c r="C647">
        <v>2008</v>
      </c>
      <c r="D647" t="s">
        <v>24</v>
      </c>
      <c r="E647">
        <v>116</v>
      </c>
      <c r="F647" t="s">
        <v>2654</v>
      </c>
      <c r="G647">
        <v>6.6</v>
      </c>
      <c r="I647" t="s">
        <v>2655</v>
      </c>
      <c r="J647" t="s">
        <v>593</v>
      </c>
      <c r="K647" t="s">
        <v>2656</v>
      </c>
      <c r="L647">
        <v>19538</v>
      </c>
      <c r="M647">
        <v>292.54000000000002</v>
      </c>
    </row>
    <row r="648" spans="1:13" x14ac:dyDescent="0.3">
      <c r="A648" t="s">
        <v>2657</v>
      </c>
      <c r="B648" t="s">
        <v>2658</v>
      </c>
      <c r="C648">
        <v>2003</v>
      </c>
      <c r="D648" t="s">
        <v>24</v>
      </c>
      <c r="E648">
        <v>114</v>
      </c>
      <c r="F648" t="s">
        <v>25</v>
      </c>
      <c r="G648">
        <v>6.6</v>
      </c>
      <c r="H648">
        <v>72</v>
      </c>
      <c r="I648" t="s">
        <v>491</v>
      </c>
      <c r="J648" t="s">
        <v>33</v>
      </c>
      <c r="K648" t="s">
        <v>2659</v>
      </c>
      <c r="L648">
        <v>41679</v>
      </c>
    </row>
    <row r="649" spans="1:13" x14ac:dyDescent="0.3">
      <c r="A649" t="s">
        <v>2660</v>
      </c>
      <c r="B649" t="s">
        <v>2661</v>
      </c>
      <c r="C649">
        <v>2008</v>
      </c>
      <c r="D649" t="s">
        <v>17</v>
      </c>
      <c r="E649">
        <v>144</v>
      </c>
      <c r="F649" t="s">
        <v>375</v>
      </c>
      <c r="G649">
        <v>6.6</v>
      </c>
      <c r="I649" t="s">
        <v>2662</v>
      </c>
      <c r="J649" t="s">
        <v>103</v>
      </c>
      <c r="K649" t="s">
        <v>2663</v>
      </c>
      <c r="L649">
        <v>101595</v>
      </c>
      <c r="M649">
        <v>487.1</v>
      </c>
    </row>
    <row r="650" spans="1:13" x14ac:dyDescent="0.3">
      <c r="A650" t="s">
        <v>2664</v>
      </c>
      <c r="B650" t="s">
        <v>2665</v>
      </c>
      <c r="C650">
        <v>2001</v>
      </c>
      <c r="D650" t="s">
        <v>24</v>
      </c>
      <c r="E650">
        <v>111</v>
      </c>
      <c r="F650" t="s">
        <v>606</v>
      </c>
      <c r="G650">
        <v>6.5</v>
      </c>
      <c r="H650">
        <v>58</v>
      </c>
      <c r="I650" t="s">
        <v>250</v>
      </c>
      <c r="J650" t="s">
        <v>191</v>
      </c>
      <c r="K650" t="s">
        <v>2666</v>
      </c>
      <c r="L650">
        <v>83550</v>
      </c>
      <c r="M650">
        <v>51.36</v>
      </c>
    </row>
    <row r="651" spans="1:13" x14ac:dyDescent="0.3">
      <c r="A651" t="s">
        <v>2667</v>
      </c>
      <c r="B651" t="s">
        <v>2668</v>
      </c>
      <c r="C651">
        <v>2000</v>
      </c>
      <c r="D651" t="s">
        <v>285</v>
      </c>
      <c r="E651">
        <v>94</v>
      </c>
      <c r="F651" t="s">
        <v>2669</v>
      </c>
      <c r="G651">
        <v>6.5</v>
      </c>
      <c r="H651">
        <v>76</v>
      </c>
      <c r="I651" t="s">
        <v>673</v>
      </c>
      <c r="J651" t="s">
        <v>153</v>
      </c>
      <c r="K651" t="s">
        <v>2670</v>
      </c>
      <c r="L651">
        <v>731997</v>
      </c>
    </row>
    <row r="652" spans="1:13" x14ac:dyDescent="0.3">
      <c r="A652" t="s">
        <v>2671</v>
      </c>
      <c r="B652" t="s">
        <v>2672</v>
      </c>
      <c r="C652">
        <v>2013</v>
      </c>
      <c r="D652" t="s">
        <v>17</v>
      </c>
      <c r="E652">
        <v>119</v>
      </c>
      <c r="F652" t="s">
        <v>747</v>
      </c>
      <c r="G652">
        <v>6.5</v>
      </c>
      <c r="H652">
        <v>68</v>
      </c>
      <c r="I652" t="s">
        <v>158</v>
      </c>
      <c r="J652" t="s">
        <v>147</v>
      </c>
      <c r="K652" t="s">
        <v>2673</v>
      </c>
      <c r="L652">
        <v>323246</v>
      </c>
      <c r="M652">
        <v>159.82</v>
      </c>
    </row>
    <row r="653" spans="1:13" x14ac:dyDescent="0.3">
      <c r="A653" t="s">
        <v>2674</v>
      </c>
      <c r="B653" t="s">
        <v>2675</v>
      </c>
      <c r="C653">
        <v>2021</v>
      </c>
      <c r="D653" t="s">
        <v>24</v>
      </c>
      <c r="E653">
        <v>114</v>
      </c>
      <c r="F653" t="s">
        <v>277</v>
      </c>
      <c r="G653">
        <v>6.5</v>
      </c>
      <c r="I653" t="s">
        <v>395</v>
      </c>
      <c r="J653" t="s">
        <v>315</v>
      </c>
      <c r="K653" t="s">
        <v>2676</v>
      </c>
      <c r="L653">
        <v>195938</v>
      </c>
    </row>
    <row r="654" spans="1:13" x14ac:dyDescent="0.3">
      <c r="A654" t="s">
        <v>2677</v>
      </c>
      <c r="B654" t="s">
        <v>2678</v>
      </c>
      <c r="C654">
        <v>2010</v>
      </c>
      <c r="D654" t="s">
        <v>17</v>
      </c>
      <c r="E654">
        <v>98</v>
      </c>
      <c r="F654" t="s">
        <v>556</v>
      </c>
      <c r="G654">
        <v>6.5</v>
      </c>
      <c r="H654">
        <v>59</v>
      </c>
      <c r="I654" t="s">
        <v>2679</v>
      </c>
      <c r="J654" t="s">
        <v>50</v>
      </c>
      <c r="K654" t="s">
        <v>2680</v>
      </c>
      <c r="L654">
        <v>369404</v>
      </c>
    </row>
    <row r="655" spans="1:13" x14ac:dyDescent="0.3">
      <c r="A655" t="s">
        <v>2681</v>
      </c>
      <c r="B655" t="s">
        <v>2682</v>
      </c>
      <c r="C655">
        <v>2014</v>
      </c>
      <c r="D655" t="s">
        <v>17</v>
      </c>
      <c r="E655">
        <v>123</v>
      </c>
      <c r="F655" t="s">
        <v>470</v>
      </c>
      <c r="G655">
        <v>6.5</v>
      </c>
      <c r="H655">
        <v>70</v>
      </c>
      <c r="I655" t="s">
        <v>1155</v>
      </c>
      <c r="J655" t="s">
        <v>103</v>
      </c>
      <c r="K655" t="s">
        <v>2683</v>
      </c>
      <c r="L655">
        <v>73153</v>
      </c>
      <c r="M655">
        <v>174.82</v>
      </c>
    </row>
    <row r="656" spans="1:13" x14ac:dyDescent="0.3">
      <c r="A656" t="s">
        <v>2684</v>
      </c>
      <c r="B656" t="s">
        <v>2685</v>
      </c>
      <c r="C656">
        <v>2002</v>
      </c>
      <c r="D656" t="s">
        <v>17</v>
      </c>
      <c r="E656">
        <v>138</v>
      </c>
      <c r="F656" t="s">
        <v>868</v>
      </c>
      <c r="G656">
        <v>6.5</v>
      </c>
      <c r="H656">
        <v>72</v>
      </c>
      <c r="I656" t="s">
        <v>2686</v>
      </c>
      <c r="J656" t="s">
        <v>153</v>
      </c>
      <c r="K656" t="s">
        <v>2687</v>
      </c>
      <c r="L656">
        <v>89419</v>
      </c>
      <c r="M656">
        <v>102.29</v>
      </c>
    </row>
    <row r="657" spans="1:13" x14ac:dyDescent="0.3">
      <c r="A657" t="s">
        <v>2688</v>
      </c>
      <c r="B657" t="s">
        <v>2689</v>
      </c>
      <c r="C657">
        <v>2009</v>
      </c>
      <c r="D657" t="s">
        <v>17</v>
      </c>
      <c r="E657">
        <v>90</v>
      </c>
      <c r="F657" t="s">
        <v>1390</v>
      </c>
      <c r="G657">
        <v>6.5</v>
      </c>
      <c r="H657">
        <v>68</v>
      </c>
      <c r="I657" t="s">
        <v>634</v>
      </c>
      <c r="J657" t="s">
        <v>159</v>
      </c>
      <c r="K657" t="s">
        <v>2690</v>
      </c>
      <c r="L657">
        <v>19375</v>
      </c>
      <c r="M657">
        <v>479.95</v>
      </c>
    </row>
    <row r="658" spans="1:13" x14ac:dyDescent="0.3">
      <c r="A658" t="s">
        <v>2691</v>
      </c>
      <c r="B658" t="s">
        <v>2692</v>
      </c>
      <c r="C658">
        <v>2007</v>
      </c>
      <c r="D658" t="s">
        <v>24</v>
      </c>
      <c r="E658">
        <v>91</v>
      </c>
      <c r="F658" t="s">
        <v>230</v>
      </c>
      <c r="G658">
        <v>6.5</v>
      </c>
      <c r="H658">
        <v>50</v>
      </c>
      <c r="I658" t="s">
        <v>2693</v>
      </c>
      <c r="J658" t="s">
        <v>236</v>
      </c>
      <c r="K658" t="s">
        <v>2694</v>
      </c>
      <c r="L658">
        <v>55530</v>
      </c>
    </row>
    <row r="659" spans="1:13" x14ac:dyDescent="0.3">
      <c r="A659" t="s">
        <v>2695</v>
      </c>
      <c r="B659" t="s">
        <v>2696</v>
      </c>
      <c r="C659">
        <v>2004</v>
      </c>
      <c r="D659" t="s">
        <v>54</v>
      </c>
      <c r="E659">
        <v>111</v>
      </c>
      <c r="F659" t="s">
        <v>157</v>
      </c>
      <c r="G659">
        <v>6.5</v>
      </c>
      <c r="H659">
        <v>73</v>
      </c>
      <c r="I659" t="s">
        <v>629</v>
      </c>
      <c r="J659" t="s">
        <v>113</v>
      </c>
      <c r="K659" t="s">
        <v>2697</v>
      </c>
      <c r="L659">
        <v>7969</v>
      </c>
      <c r="M659">
        <v>10.43</v>
      </c>
    </row>
    <row r="660" spans="1:13" x14ac:dyDescent="0.3">
      <c r="A660" t="s">
        <v>2698</v>
      </c>
      <c r="B660" t="s">
        <v>2699</v>
      </c>
      <c r="C660">
        <v>2008</v>
      </c>
      <c r="D660" t="s">
        <v>54</v>
      </c>
      <c r="E660">
        <v>165</v>
      </c>
      <c r="F660" t="s">
        <v>390</v>
      </c>
      <c r="G660">
        <v>6.5</v>
      </c>
      <c r="H660">
        <v>55</v>
      </c>
      <c r="I660" t="s">
        <v>391</v>
      </c>
      <c r="J660" t="s">
        <v>221</v>
      </c>
      <c r="K660" t="s">
        <v>2700</v>
      </c>
      <c r="L660">
        <v>30691</v>
      </c>
    </row>
    <row r="661" spans="1:13" x14ac:dyDescent="0.3">
      <c r="A661" t="s">
        <v>2701</v>
      </c>
      <c r="B661" t="s">
        <v>2702</v>
      </c>
      <c r="C661">
        <v>2016</v>
      </c>
      <c r="D661" t="s">
        <v>17</v>
      </c>
      <c r="E661">
        <v>113</v>
      </c>
      <c r="F661" t="s">
        <v>43</v>
      </c>
      <c r="G661">
        <v>6.5</v>
      </c>
      <c r="H661">
        <v>72</v>
      </c>
      <c r="I661" t="s">
        <v>136</v>
      </c>
      <c r="J661" t="s">
        <v>119</v>
      </c>
      <c r="K661" t="s">
        <v>2703</v>
      </c>
      <c r="L661">
        <v>7249</v>
      </c>
    </row>
    <row r="662" spans="1:13" x14ac:dyDescent="0.3">
      <c r="A662" t="s">
        <v>2704</v>
      </c>
      <c r="B662" t="s">
        <v>2705</v>
      </c>
      <c r="C662">
        <v>2024</v>
      </c>
      <c r="D662" t="s">
        <v>17</v>
      </c>
      <c r="E662">
        <v>150</v>
      </c>
      <c r="F662" t="s">
        <v>43</v>
      </c>
      <c r="G662">
        <v>6.5</v>
      </c>
      <c r="H662">
        <v>52</v>
      </c>
      <c r="I662" t="s">
        <v>1363</v>
      </c>
      <c r="J662" t="s">
        <v>251</v>
      </c>
      <c r="K662" t="s">
        <v>2706</v>
      </c>
      <c r="L662">
        <v>41099</v>
      </c>
    </row>
    <row r="663" spans="1:13" x14ac:dyDescent="0.3">
      <c r="A663" t="s">
        <v>2707</v>
      </c>
      <c r="B663" t="s">
        <v>2708</v>
      </c>
      <c r="C663">
        <v>2017</v>
      </c>
      <c r="D663" t="s">
        <v>24</v>
      </c>
      <c r="E663">
        <v>132</v>
      </c>
      <c r="F663" t="s">
        <v>2709</v>
      </c>
      <c r="G663">
        <v>6.5</v>
      </c>
      <c r="H663">
        <v>53</v>
      </c>
      <c r="I663" t="s">
        <v>158</v>
      </c>
      <c r="J663" t="s">
        <v>153</v>
      </c>
      <c r="K663" t="s">
        <v>2710</v>
      </c>
      <c r="L663">
        <v>105413</v>
      </c>
      <c r="M663">
        <v>84.41</v>
      </c>
    </row>
    <row r="664" spans="1:13" x14ac:dyDescent="0.3">
      <c r="A664" t="s">
        <v>2711</v>
      </c>
      <c r="B664" t="s">
        <v>2712</v>
      </c>
      <c r="C664">
        <v>2000</v>
      </c>
      <c r="D664" t="s">
        <v>17</v>
      </c>
      <c r="E664">
        <v>106</v>
      </c>
      <c r="F664" t="s">
        <v>1575</v>
      </c>
      <c r="G664">
        <v>6.5</v>
      </c>
      <c r="H664">
        <v>55</v>
      </c>
      <c r="I664" t="s">
        <v>19</v>
      </c>
      <c r="J664" t="s">
        <v>524</v>
      </c>
      <c r="K664" t="s">
        <v>2713</v>
      </c>
      <c r="L664">
        <v>7952</v>
      </c>
      <c r="M664">
        <v>288.18</v>
      </c>
    </row>
    <row r="665" spans="1:13" x14ac:dyDescent="0.3">
      <c r="A665" t="s">
        <v>2714</v>
      </c>
      <c r="B665" t="s">
        <v>2715</v>
      </c>
      <c r="C665">
        <v>2022</v>
      </c>
      <c r="D665" t="s">
        <v>169</v>
      </c>
      <c r="E665">
        <v>70</v>
      </c>
      <c r="F665" t="s">
        <v>2716</v>
      </c>
      <c r="G665">
        <v>6.5</v>
      </c>
      <c r="I665" t="s">
        <v>435</v>
      </c>
      <c r="J665" t="s">
        <v>33</v>
      </c>
      <c r="K665" t="s">
        <v>2717</v>
      </c>
      <c r="L665">
        <v>312212</v>
      </c>
      <c r="M665">
        <v>442.26</v>
      </c>
    </row>
    <row r="666" spans="1:13" x14ac:dyDescent="0.3">
      <c r="A666" t="s">
        <v>2718</v>
      </c>
      <c r="B666" t="s">
        <v>2719</v>
      </c>
      <c r="C666">
        <v>2022</v>
      </c>
      <c r="D666" t="s">
        <v>17</v>
      </c>
      <c r="E666">
        <v>139</v>
      </c>
      <c r="F666" t="s">
        <v>299</v>
      </c>
      <c r="G666">
        <v>6.5</v>
      </c>
      <c r="H666">
        <v>51</v>
      </c>
      <c r="I666" t="s">
        <v>85</v>
      </c>
      <c r="J666" t="s">
        <v>147</v>
      </c>
      <c r="K666" t="s">
        <v>2720</v>
      </c>
      <c r="L666">
        <v>1409</v>
      </c>
      <c r="M666">
        <v>78.59</v>
      </c>
    </row>
    <row r="667" spans="1:13" x14ac:dyDescent="0.3">
      <c r="A667" t="s">
        <v>2721</v>
      </c>
      <c r="B667" t="s">
        <v>2722</v>
      </c>
      <c r="C667">
        <v>2008</v>
      </c>
      <c r="D667" t="s">
        <v>54</v>
      </c>
      <c r="E667">
        <v>110</v>
      </c>
      <c r="F667" t="s">
        <v>2723</v>
      </c>
      <c r="G667">
        <v>6.5</v>
      </c>
      <c r="I667" t="s">
        <v>2724</v>
      </c>
      <c r="J667" t="s">
        <v>27</v>
      </c>
      <c r="K667" t="s">
        <v>2725</v>
      </c>
      <c r="L667">
        <v>18863</v>
      </c>
    </row>
    <row r="668" spans="1:13" x14ac:dyDescent="0.3">
      <c r="A668" t="s">
        <v>2726</v>
      </c>
      <c r="B668" t="s">
        <v>2727</v>
      </c>
      <c r="C668">
        <v>2008</v>
      </c>
      <c r="D668" t="s">
        <v>54</v>
      </c>
      <c r="E668">
        <v>113</v>
      </c>
      <c r="F668" t="s">
        <v>2728</v>
      </c>
      <c r="G668">
        <v>6.5</v>
      </c>
      <c r="H668">
        <v>58</v>
      </c>
      <c r="I668" t="s">
        <v>102</v>
      </c>
      <c r="J668" t="s">
        <v>125</v>
      </c>
      <c r="K668" t="s">
        <v>2729</v>
      </c>
      <c r="L668">
        <v>36958</v>
      </c>
      <c r="M668">
        <v>12.84</v>
      </c>
    </row>
    <row r="669" spans="1:13" x14ac:dyDescent="0.3">
      <c r="A669" t="s">
        <v>2730</v>
      </c>
      <c r="B669" t="s">
        <v>2731</v>
      </c>
      <c r="C669">
        <v>2008</v>
      </c>
      <c r="D669" t="s">
        <v>17</v>
      </c>
      <c r="E669">
        <v>152</v>
      </c>
      <c r="F669" t="s">
        <v>235</v>
      </c>
      <c r="G669">
        <v>6.5</v>
      </c>
      <c r="H669">
        <v>52</v>
      </c>
      <c r="I669" t="s">
        <v>673</v>
      </c>
      <c r="J669" t="s">
        <v>718</v>
      </c>
      <c r="K669" t="s">
        <v>2732</v>
      </c>
      <c r="L669">
        <v>371661</v>
      </c>
    </row>
    <row r="670" spans="1:13" x14ac:dyDescent="0.3">
      <c r="A670" t="s">
        <v>2733</v>
      </c>
      <c r="B670" t="s">
        <v>2734</v>
      </c>
      <c r="C670">
        <v>2021</v>
      </c>
      <c r="D670" t="s">
        <v>54</v>
      </c>
      <c r="E670">
        <v>107</v>
      </c>
      <c r="F670" t="s">
        <v>37</v>
      </c>
      <c r="G670">
        <v>6.5</v>
      </c>
      <c r="I670" t="s">
        <v>2735</v>
      </c>
      <c r="J670" t="s">
        <v>63</v>
      </c>
      <c r="K670" t="s">
        <v>2736</v>
      </c>
      <c r="L670">
        <v>91931</v>
      </c>
    </row>
    <row r="671" spans="1:13" x14ac:dyDescent="0.3">
      <c r="A671" t="s">
        <v>2737</v>
      </c>
      <c r="B671" t="s">
        <v>2738</v>
      </c>
      <c r="C671">
        <v>1986</v>
      </c>
      <c r="D671" t="s">
        <v>54</v>
      </c>
      <c r="E671">
        <v>103</v>
      </c>
      <c r="F671" t="s">
        <v>2739</v>
      </c>
      <c r="G671">
        <v>6.5</v>
      </c>
      <c r="H671">
        <v>78</v>
      </c>
      <c r="I671" t="s">
        <v>278</v>
      </c>
      <c r="J671" t="s">
        <v>103</v>
      </c>
      <c r="K671" t="s">
        <v>2740</v>
      </c>
      <c r="L671">
        <v>66740</v>
      </c>
      <c r="M671">
        <v>247.93</v>
      </c>
    </row>
    <row r="672" spans="1:13" x14ac:dyDescent="0.3">
      <c r="A672" t="s">
        <v>2741</v>
      </c>
      <c r="B672" t="s">
        <v>2742</v>
      </c>
      <c r="C672">
        <v>2011</v>
      </c>
      <c r="D672" t="s">
        <v>17</v>
      </c>
      <c r="E672">
        <v>100</v>
      </c>
      <c r="F672" t="s">
        <v>1044</v>
      </c>
      <c r="G672">
        <v>6.5</v>
      </c>
      <c r="H672">
        <v>53</v>
      </c>
      <c r="I672" t="s">
        <v>1203</v>
      </c>
      <c r="J672" t="s">
        <v>236</v>
      </c>
      <c r="K672" t="s">
        <v>2743</v>
      </c>
      <c r="L672">
        <v>87142</v>
      </c>
      <c r="M672">
        <v>389.56</v>
      </c>
    </row>
    <row r="673" spans="1:13" x14ac:dyDescent="0.3">
      <c r="A673" t="s">
        <v>2744</v>
      </c>
      <c r="B673" t="s">
        <v>2745</v>
      </c>
      <c r="C673">
        <v>2019</v>
      </c>
      <c r="D673" t="s">
        <v>285</v>
      </c>
      <c r="E673">
        <v>163</v>
      </c>
      <c r="F673" t="s">
        <v>2247</v>
      </c>
      <c r="G673">
        <v>6.5</v>
      </c>
      <c r="H673">
        <v>64</v>
      </c>
      <c r="I673" t="s">
        <v>898</v>
      </c>
      <c r="J673" t="s">
        <v>74</v>
      </c>
      <c r="K673" t="s">
        <v>2746</v>
      </c>
      <c r="L673">
        <v>83176</v>
      </c>
    </row>
    <row r="674" spans="1:13" x14ac:dyDescent="0.3">
      <c r="A674" t="s">
        <v>2747</v>
      </c>
      <c r="B674" t="s">
        <v>2748</v>
      </c>
      <c r="C674">
        <v>2005</v>
      </c>
      <c r="D674" t="s">
        <v>285</v>
      </c>
      <c r="E674">
        <v>123</v>
      </c>
      <c r="F674" t="s">
        <v>2749</v>
      </c>
      <c r="G674">
        <v>6.5</v>
      </c>
      <c r="I674" t="s">
        <v>381</v>
      </c>
      <c r="J674" t="s">
        <v>608</v>
      </c>
      <c r="K674" t="s">
        <v>2750</v>
      </c>
      <c r="L674">
        <v>54972</v>
      </c>
      <c r="M674">
        <v>149.35</v>
      </c>
    </row>
    <row r="675" spans="1:13" x14ac:dyDescent="0.3">
      <c r="A675" t="s">
        <v>2751</v>
      </c>
      <c r="B675" t="s">
        <v>2752</v>
      </c>
      <c r="C675">
        <v>2021</v>
      </c>
      <c r="D675" t="s">
        <v>17</v>
      </c>
      <c r="E675">
        <v>152</v>
      </c>
      <c r="F675" t="s">
        <v>2582</v>
      </c>
      <c r="G675">
        <v>6.5</v>
      </c>
      <c r="H675">
        <v>72</v>
      </c>
      <c r="I675" t="s">
        <v>2753</v>
      </c>
      <c r="J675" t="s">
        <v>315</v>
      </c>
      <c r="K675" t="s">
        <v>2754</v>
      </c>
      <c r="L675">
        <v>44118</v>
      </c>
      <c r="M675">
        <v>232.17</v>
      </c>
    </row>
    <row r="676" spans="1:13" x14ac:dyDescent="0.3">
      <c r="A676" t="s">
        <v>2755</v>
      </c>
      <c r="B676" t="s">
        <v>2756</v>
      </c>
      <c r="C676">
        <v>2008</v>
      </c>
      <c r="D676" t="s">
        <v>17</v>
      </c>
      <c r="E676">
        <v>125</v>
      </c>
      <c r="F676" t="s">
        <v>2757</v>
      </c>
      <c r="G676">
        <v>6.5</v>
      </c>
      <c r="H676">
        <v>73</v>
      </c>
      <c r="I676" t="s">
        <v>2758</v>
      </c>
      <c r="J676" t="s">
        <v>74</v>
      </c>
      <c r="K676" t="s">
        <v>2759</v>
      </c>
      <c r="L676">
        <v>74241</v>
      </c>
    </row>
    <row r="677" spans="1:13" x14ac:dyDescent="0.3">
      <c r="A677" t="s">
        <v>2760</v>
      </c>
      <c r="B677" t="s">
        <v>2761</v>
      </c>
      <c r="C677">
        <v>2007</v>
      </c>
      <c r="D677" t="s">
        <v>24</v>
      </c>
      <c r="E677">
        <v>110</v>
      </c>
      <c r="F677" t="s">
        <v>767</v>
      </c>
      <c r="G677">
        <v>6.5</v>
      </c>
      <c r="H677">
        <v>54</v>
      </c>
      <c r="I677" t="s">
        <v>2762</v>
      </c>
      <c r="J677" t="s">
        <v>153</v>
      </c>
      <c r="K677" t="s">
        <v>2763</v>
      </c>
      <c r="L677">
        <v>113125</v>
      </c>
      <c r="M677">
        <v>65.64</v>
      </c>
    </row>
    <row r="678" spans="1:13" x14ac:dyDescent="0.3">
      <c r="A678" t="s">
        <v>2764</v>
      </c>
      <c r="B678" t="s">
        <v>2765</v>
      </c>
      <c r="C678">
        <v>2014</v>
      </c>
      <c r="D678" t="s">
        <v>54</v>
      </c>
      <c r="E678">
        <v>131</v>
      </c>
      <c r="F678" t="s">
        <v>129</v>
      </c>
      <c r="G678">
        <v>6.5</v>
      </c>
      <c r="H678">
        <v>68</v>
      </c>
      <c r="I678" t="s">
        <v>2766</v>
      </c>
      <c r="J678" t="s">
        <v>147</v>
      </c>
      <c r="K678" t="s">
        <v>2767</v>
      </c>
      <c r="L678">
        <v>25326</v>
      </c>
      <c r="M678">
        <v>489.89</v>
      </c>
    </row>
    <row r="679" spans="1:13" x14ac:dyDescent="0.3">
      <c r="A679" t="s">
        <v>2768</v>
      </c>
      <c r="B679" t="s">
        <v>2769</v>
      </c>
      <c r="C679">
        <v>2001</v>
      </c>
      <c r="D679" t="s">
        <v>293</v>
      </c>
      <c r="E679">
        <v>154</v>
      </c>
      <c r="F679" t="s">
        <v>2539</v>
      </c>
      <c r="G679">
        <v>6.4</v>
      </c>
      <c r="H679">
        <v>69</v>
      </c>
      <c r="I679" t="s">
        <v>2770</v>
      </c>
      <c r="J679" t="s">
        <v>57</v>
      </c>
      <c r="K679" t="s">
        <v>2771</v>
      </c>
      <c r="L679">
        <v>83870</v>
      </c>
      <c r="M679">
        <v>195.76</v>
      </c>
    </row>
    <row r="680" spans="1:13" x14ac:dyDescent="0.3">
      <c r="A680" t="s">
        <v>2772</v>
      </c>
      <c r="B680" t="s">
        <v>2773</v>
      </c>
      <c r="C680">
        <v>2020</v>
      </c>
      <c r="D680" t="s">
        <v>293</v>
      </c>
      <c r="E680">
        <v>112</v>
      </c>
      <c r="F680" t="s">
        <v>2774</v>
      </c>
      <c r="G680">
        <v>6.4</v>
      </c>
      <c r="H680">
        <v>72</v>
      </c>
      <c r="I680" t="s">
        <v>2775</v>
      </c>
      <c r="J680" t="s">
        <v>547</v>
      </c>
      <c r="K680" t="s">
        <v>2776</v>
      </c>
      <c r="L680">
        <v>15008</v>
      </c>
    </row>
    <row r="681" spans="1:13" x14ac:dyDescent="0.3">
      <c r="A681" t="s">
        <v>2777</v>
      </c>
      <c r="B681" t="s">
        <v>2778</v>
      </c>
      <c r="C681">
        <v>2001</v>
      </c>
      <c r="D681" t="s">
        <v>54</v>
      </c>
      <c r="E681">
        <v>118</v>
      </c>
      <c r="F681" t="s">
        <v>43</v>
      </c>
      <c r="G681">
        <v>6.4</v>
      </c>
      <c r="I681" t="s">
        <v>2779</v>
      </c>
      <c r="J681" t="s">
        <v>125</v>
      </c>
      <c r="K681" t="s">
        <v>2780</v>
      </c>
      <c r="L681">
        <v>80220</v>
      </c>
      <c r="M681">
        <v>440.2</v>
      </c>
    </row>
    <row r="682" spans="1:13" x14ac:dyDescent="0.3">
      <c r="A682" t="s">
        <v>2781</v>
      </c>
      <c r="B682" t="s">
        <v>2782</v>
      </c>
      <c r="C682">
        <v>2013</v>
      </c>
      <c r="D682" t="s">
        <v>24</v>
      </c>
      <c r="E682">
        <v>116</v>
      </c>
      <c r="F682" t="s">
        <v>2783</v>
      </c>
      <c r="G682">
        <v>6.4</v>
      </c>
      <c r="H682">
        <v>57</v>
      </c>
      <c r="I682" t="s">
        <v>1363</v>
      </c>
      <c r="J682" t="s">
        <v>131</v>
      </c>
      <c r="K682" t="s">
        <v>2784</v>
      </c>
      <c r="L682">
        <v>524639</v>
      </c>
      <c r="M682">
        <v>464.34</v>
      </c>
    </row>
    <row r="683" spans="1:13" x14ac:dyDescent="0.3">
      <c r="A683" t="s">
        <v>2785</v>
      </c>
      <c r="B683" t="s">
        <v>2786</v>
      </c>
      <c r="C683">
        <v>2014</v>
      </c>
      <c r="D683" t="s">
        <v>54</v>
      </c>
      <c r="E683">
        <v>139</v>
      </c>
      <c r="F683" t="s">
        <v>37</v>
      </c>
      <c r="G683">
        <v>6.4</v>
      </c>
      <c r="H683">
        <v>71</v>
      </c>
      <c r="I683" t="s">
        <v>561</v>
      </c>
      <c r="J683" t="s">
        <v>33</v>
      </c>
      <c r="K683" t="s">
        <v>2787</v>
      </c>
      <c r="L683">
        <v>156485</v>
      </c>
      <c r="M683">
        <v>317.22000000000003</v>
      </c>
    </row>
    <row r="684" spans="1:13" x14ac:dyDescent="0.3">
      <c r="A684" t="s">
        <v>2788</v>
      </c>
      <c r="B684" t="s">
        <v>2789</v>
      </c>
      <c r="C684">
        <v>1995</v>
      </c>
      <c r="D684" t="s">
        <v>17</v>
      </c>
      <c r="E684">
        <v>100</v>
      </c>
      <c r="F684" t="s">
        <v>2790</v>
      </c>
      <c r="G684">
        <v>6.4</v>
      </c>
      <c r="H684">
        <v>64</v>
      </c>
      <c r="I684" t="s">
        <v>269</v>
      </c>
      <c r="J684" t="s">
        <v>131</v>
      </c>
      <c r="K684" t="s">
        <v>2791</v>
      </c>
      <c r="L684">
        <v>105445</v>
      </c>
      <c r="M684">
        <v>128.97</v>
      </c>
    </row>
    <row r="685" spans="1:13" x14ac:dyDescent="0.3">
      <c r="A685" t="s">
        <v>2792</v>
      </c>
      <c r="B685" t="s">
        <v>2793</v>
      </c>
      <c r="C685">
        <v>2009</v>
      </c>
      <c r="D685" t="s">
        <v>17</v>
      </c>
      <c r="E685">
        <v>139</v>
      </c>
      <c r="F685" t="s">
        <v>1687</v>
      </c>
      <c r="G685">
        <v>6.4</v>
      </c>
      <c r="I685" t="s">
        <v>2126</v>
      </c>
      <c r="J685" t="s">
        <v>165</v>
      </c>
      <c r="K685" t="s">
        <v>2794</v>
      </c>
      <c r="L685">
        <v>5797</v>
      </c>
      <c r="M685">
        <v>92.46</v>
      </c>
    </row>
    <row r="686" spans="1:13" x14ac:dyDescent="0.3">
      <c r="A686" t="s">
        <v>2795</v>
      </c>
      <c r="B686" t="s">
        <v>2796</v>
      </c>
      <c r="C686">
        <v>2002</v>
      </c>
      <c r="D686" t="s">
        <v>24</v>
      </c>
      <c r="E686">
        <v>127</v>
      </c>
      <c r="F686" t="s">
        <v>2797</v>
      </c>
      <c r="G686">
        <v>6.4</v>
      </c>
      <c r="H686">
        <v>63</v>
      </c>
      <c r="I686" t="s">
        <v>269</v>
      </c>
      <c r="J686" t="s">
        <v>718</v>
      </c>
      <c r="K686" t="s">
        <v>2798</v>
      </c>
      <c r="L686">
        <v>62512</v>
      </c>
      <c r="M686">
        <v>145.21</v>
      </c>
    </row>
    <row r="687" spans="1:13" x14ac:dyDescent="0.3">
      <c r="A687" t="s">
        <v>2799</v>
      </c>
      <c r="B687" t="s">
        <v>2800</v>
      </c>
      <c r="C687">
        <v>2015</v>
      </c>
      <c r="D687" t="s">
        <v>24</v>
      </c>
      <c r="E687">
        <v>133</v>
      </c>
      <c r="F687" t="s">
        <v>1287</v>
      </c>
      <c r="G687">
        <v>6.4</v>
      </c>
      <c r="H687">
        <v>65</v>
      </c>
      <c r="I687" t="s">
        <v>2316</v>
      </c>
      <c r="J687" t="s">
        <v>63</v>
      </c>
      <c r="K687" t="s">
        <v>2801</v>
      </c>
      <c r="L687">
        <v>1522649</v>
      </c>
      <c r="M687">
        <v>44.22</v>
      </c>
    </row>
    <row r="688" spans="1:13" x14ac:dyDescent="0.3">
      <c r="A688" t="s">
        <v>2802</v>
      </c>
      <c r="B688" t="s">
        <v>2803</v>
      </c>
      <c r="C688">
        <v>2004</v>
      </c>
      <c r="D688" t="s">
        <v>17</v>
      </c>
      <c r="E688">
        <v>106</v>
      </c>
      <c r="F688" t="s">
        <v>72</v>
      </c>
      <c r="G688">
        <v>6.4</v>
      </c>
      <c r="I688" t="s">
        <v>2804</v>
      </c>
      <c r="J688" t="s">
        <v>119</v>
      </c>
      <c r="K688" t="s">
        <v>2805</v>
      </c>
      <c r="L688">
        <v>27278</v>
      </c>
      <c r="M688">
        <v>170.28</v>
      </c>
    </row>
    <row r="689" spans="1:13" x14ac:dyDescent="0.3">
      <c r="A689" t="s">
        <v>2806</v>
      </c>
      <c r="B689" t="s">
        <v>2807</v>
      </c>
      <c r="C689">
        <v>2023</v>
      </c>
      <c r="D689" t="s">
        <v>293</v>
      </c>
      <c r="E689">
        <v>144</v>
      </c>
      <c r="F689" t="s">
        <v>129</v>
      </c>
      <c r="G689">
        <v>6.4</v>
      </c>
      <c r="I689" t="s">
        <v>634</v>
      </c>
      <c r="J689" t="s">
        <v>518</v>
      </c>
      <c r="K689" t="s">
        <v>2808</v>
      </c>
      <c r="L689">
        <v>3587</v>
      </c>
      <c r="M689">
        <v>220.6</v>
      </c>
    </row>
    <row r="690" spans="1:13" x14ac:dyDescent="0.3">
      <c r="A690" t="s">
        <v>2809</v>
      </c>
      <c r="B690" t="s">
        <v>2810</v>
      </c>
      <c r="C690">
        <v>2013</v>
      </c>
      <c r="D690" t="s">
        <v>17</v>
      </c>
      <c r="E690">
        <v>103</v>
      </c>
      <c r="F690" t="s">
        <v>2811</v>
      </c>
      <c r="G690">
        <v>6.4</v>
      </c>
      <c r="H690">
        <v>50</v>
      </c>
      <c r="I690" t="s">
        <v>2812</v>
      </c>
      <c r="J690" t="s">
        <v>221</v>
      </c>
      <c r="K690" t="s">
        <v>2813</v>
      </c>
      <c r="L690">
        <v>222255</v>
      </c>
      <c r="M690">
        <v>197.9</v>
      </c>
    </row>
    <row r="691" spans="1:13" x14ac:dyDescent="0.3">
      <c r="A691" t="s">
        <v>2814</v>
      </c>
      <c r="B691" t="s">
        <v>2815</v>
      </c>
      <c r="C691">
        <v>2019</v>
      </c>
      <c r="D691" t="s">
        <v>54</v>
      </c>
      <c r="E691">
        <v>124</v>
      </c>
      <c r="F691" t="s">
        <v>2816</v>
      </c>
      <c r="G691">
        <v>6.4</v>
      </c>
      <c r="I691" t="s">
        <v>62</v>
      </c>
      <c r="J691" t="s">
        <v>63</v>
      </c>
      <c r="K691" t="s">
        <v>2817</v>
      </c>
      <c r="L691">
        <v>200924</v>
      </c>
      <c r="M691">
        <v>342.49</v>
      </c>
    </row>
    <row r="692" spans="1:13" x14ac:dyDescent="0.3">
      <c r="A692" t="s">
        <v>2818</v>
      </c>
      <c r="B692" t="s">
        <v>2819</v>
      </c>
      <c r="C692">
        <v>2017</v>
      </c>
      <c r="D692" t="s">
        <v>54</v>
      </c>
      <c r="E692">
        <v>111</v>
      </c>
      <c r="F692" t="s">
        <v>2820</v>
      </c>
      <c r="G692">
        <v>6.4</v>
      </c>
      <c r="H692">
        <v>54</v>
      </c>
      <c r="I692" t="s">
        <v>2821</v>
      </c>
      <c r="J692" t="s">
        <v>165</v>
      </c>
      <c r="K692" t="s">
        <v>2822</v>
      </c>
      <c r="L692">
        <v>93420</v>
      </c>
    </row>
    <row r="693" spans="1:13" x14ac:dyDescent="0.3">
      <c r="A693" t="s">
        <v>2823</v>
      </c>
      <c r="B693" t="s">
        <v>2824</v>
      </c>
      <c r="C693">
        <v>1993</v>
      </c>
      <c r="D693" t="s">
        <v>17</v>
      </c>
      <c r="E693">
        <v>124</v>
      </c>
      <c r="F693" t="s">
        <v>606</v>
      </c>
      <c r="G693">
        <v>6.4</v>
      </c>
      <c r="H693">
        <v>74</v>
      </c>
      <c r="I693" t="s">
        <v>250</v>
      </c>
      <c r="J693" t="s">
        <v>483</v>
      </c>
      <c r="K693" t="s">
        <v>2825</v>
      </c>
      <c r="L693">
        <v>16734</v>
      </c>
      <c r="M693">
        <v>94.55</v>
      </c>
    </row>
    <row r="694" spans="1:13" x14ac:dyDescent="0.3">
      <c r="A694" t="s">
        <v>2826</v>
      </c>
      <c r="B694" t="s">
        <v>2827</v>
      </c>
      <c r="C694">
        <v>2019</v>
      </c>
      <c r="D694" t="s">
        <v>17</v>
      </c>
      <c r="E694">
        <v>114</v>
      </c>
      <c r="F694" t="s">
        <v>606</v>
      </c>
      <c r="G694">
        <v>6.4</v>
      </c>
      <c r="H694">
        <v>57</v>
      </c>
      <c r="I694" t="s">
        <v>250</v>
      </c>
      <c r="J694" t="s">
        <v>80</v>
      </c>
      <c r="K694" t="s">
        <v>2828</v>
      </c>
      <c r="L694">
        <v>144759</v>
      </c>
    </row>
    <row r="695" spans="1:13" x14ac:dyDescent="0.3">
      <c r="A695" t="s">
        <v>2829</v>
      </c>
      <c r="B695" t="s">
        <v>2830</v>
      </c>
      <c r="C695">
        <v>2017</v>
      </c>
      <c r="D695" t="s">
        <v>17</v>
      </c>
      <c r="E695">
        <v>94</v>
      </c>
      <c r="F695" t="s">
        <v>37</v>
      </c>
      <c r="G695">
        <v>6.4</v>
      </c>
      <c r="H695">
        <v>77</v>
      </c>
      <c r="I695" t="s">
        <v>2831</v>
      </c>
      <c r="J695" t="s">
        <v>159</v>
      </c>
      <c r="K695" t="s">
        <v>2832</v>
      </c>
      <c r="L695">
        <v>78601</v>
      </c>
      <c r="M695">
        <v>467.65</v>
      </c>
    </row>
    <row r="696" spans="1:13" x14ac:dyDescent="0.3">
      <c r="A696" t="s">
        <v>2833</v>
      </c>
      <c r="B696" t="s">
        <v>2834</v>
      </c>
      <c r="C696">
        <v>2005</v>
      </c>
      <c r="D696" t="s">
        <v>54</v>
      </c>
      <c r="E696">
        <v>151</v>
      </c>
      <c r="F696" t="s">
        <v>210</v>
      </c>
      <c r="G696">
        <v>6.4</v>
      </c>
      <c r="I696" t="s">
        <v>431</v>
      </c>
      <c r="J696" t="s">
        <v>92</v>
      </c>
      <c r="K696" t="s">
        <v>2835</v>
      </c>
      <c r="L696">
        <v>47750</v>
      </c>
      <c r="M696">
        <v>295.29000000000002</v>
      </c>
    </row>
    <row r="697" spans="1:13" x14ac:dyDescent="0.3">
      <c r="A697" t="s">
        <v>2836</v>
      </c>
      <c r="B697" t="s">
        <v>2837</v>
      </c>
      <c r="C697">
        <v>2023</v>
      </c>
      <c r="D697" t="s">
        <v>17</v>
      </c>
      <c r="E697">
        <v>137</v>
      </c>
      <c r="F697" t="s">
        <v>2838</v>
      </c>
      <c r="G697">
        <v>6.4</v>
      </c>
      <c r="I697" t="s">
        <v>269</v>
      </c>
      <c r="J697" t="s">
        <v>92</v>
      </c>
      <c r="K697" t="s">
        <v>2839</v>
      </c>
      <c r="L697">
        <v>74621</v>
      </c>
      <c r="M697">
        <v>253.13</v>
      </c>
    </row>
    <row r="698" spans="1:13" x14ac:dyDescent="0.3">
      <c r="A698" t="s">
        <v>2840</v>
      </c>
      <c r="B698" t="s">
        <v>2841</v>
      </c>
      <c r="C698">
        <v>2019</v>
      </c>
      <c r="D698" t="s">
        <v>17</v>
      </c>
      <c r="E698">
        <v>97</v>
      </c>
      <c r="F698" t="s">
        <v>37</v>
      </c>
      <c r="G698">
        <v>6.4</v>
      </c>
      <c r="H698">
        <v>78</v>
      </c>
      <c r="I698" t="s">
        <v>38</v>
      </c>
      <c r="J698" t="s">
        <v>315</v>
      </c>
      <c r="K698" t="s">
        <v>2842</v>
      </c>
      <c r="L698">
        <v>394637</v>
      </c>
    </row>
    <row r="699" spans="1:13" x14ac:dyDescent="0.3">
      <c r="A699" t="s">
        <v>2843</v>
      </c>
      <c r="B699" t="s">
        <v>2844</v>
      </c>
      <c r="C699">
        <v>1995</v>
      </c>
      <c r="D699" t="s">
        <v>54</v>
      </c>
      <c r="E699">
        <v>106</v>
      </c>
      <c r="F699" t="s">
        <v>762</v>
      </c>
      <c r="G699">
        <v>6.4</v>
      </c>
      <c r="H699">
        <v>65</v>
      </c>
      <c r="I699" t="s">
        <v>2845</v>
      </c>
      <c r="J699" t="s">
        <v>113</v>
      </c>
      <c r="K699" t="s">
        <v>2846</v>
      </c>
      <c r="L699">
        <v>24622</v>
      </c>
      <c r="M699">
        <v>249.96</v>
      </c>
    </row>
    <row r="700" spans="1:13" x14ac:dyDescent="0.3">
      <c r="A700" t="s">
        <v>2847</v>
      </c>
      <c r="B700" t="s">
        <v>2848</v>
      </c>
      <c r="C700">
        <v>2004</v>
      </c>
      <c r="D700" t="s">
        <v>54</v>
      </c>
      <c r="E700">
        <v>128</v>
      </c>
      <c r="F700" t="s">
        <v>2849</v>
      </c>
      <c r="G700">
        <v>6.4</v>
      </c>
      <c r="I700" t="s">
        <v>2391</v>
      </c>
      <c r="J700" t="s">
        <v>718</v>
      </c>
      <c r="K700" t="s">
        <v>2850</v>
      </c>
      <c r="L700">
        <v>58590</v>
      </c>
    </row>
    <row r="701" spans="1:13" x14ac:dyDescent="0.3">
      <c r="A701" t="s">
        <v>2851</v>
      </c>
      <c r="B701" t="s">
        <v>2852</v>
      </c>
      <c r="C701">
        <v>2009</v>
      </c>
      <c r="D701" t="s">
        <v>17</v>
      </c>
      <c r="E701">
        <v>117</v>
      </c>
      <c r="F701" t="s">
        <v>2853</v>
      </c>
      <c r="G701">
        <v>6.4</v>
      </c>
      <c r="H701">
        <v>60</v>
      </c>
      <c r="I701" t="s">
        <v>250</v>
      </c>
      <c r="J701" t="s">
        <v>57</v>
      </c>
      <c r="K701" t="s">
        <v>2854</v>
      </c>
      <c r="L701">
        <v>5474</v>
      </c>
      <c r="M701">
        <v>82.59</v>
      </c>
    </row>
    <row r="702" spans="1:13" x14ac:dyDescent="0.3">
      <c r="A702" t="s">
        <v>2855</v>
      </c>
      <c r="B702" t="s">
        <v>2856</v>
      </c>
      <c r="C702">
        <v>2024</v>
      </c>
      <c r="D702" t="s">
        <v>54</v>
      </c>
      <c r="E702">
        <v>153</v>
      </c>
      <c r="F702" t="s">
        <v>1567</v>
      </c>
      <c r="G702">
        <v>6.4</v>
      </c>
      <c r="I702" t="s">
        <v>2857</v>
      </c>
      <c r="J702" t="s">
        <v>483</v>
      </c>
      <c r="K702" t="s">
        <v>2858</v>
      </c>
      <c r="L702">
        <v>24262</v>
      </c>
      <c r="M702">
        <v>228.57</v>
      </c>
    </row>
    <row r="703" spans="1:13" x14ac:dyDescent="0.3">
      <c r="A703" t="s">
        <v>2859</v>
      </c>
      <c r="B703" t="s">
        <v>2860</v>
      </c>
      <c r="C703">
        <v>2006</v>
      </c>
      <c r="D703" t="s">
        <v>17</v>
      </c>
      <c r="E703">
        <v>100</v>
      </c>
      <c r="F703" t="s">
        <v>2861</v>
      </c>
      <c r="G703">
        <v>6.4</v>
      </c>
      <c r="H703">
        <v>77</v>
      </c>
      <c r="I703" t="s">
        <v>269</v>
      </c>
      <c r="J703" t="s">
        <v>547</v>
      </c>
      <c r="K703" t="s">
        <v>2862</v>
      </c>
      <c r="L703">
        <v>119741</v>
      </c>
      <c r="M703">
        <v>155.43</v>
      </c>
    </row>
    <row r="704" spans="1:13" x14ac:dyDescent="0.3">
      <c r="A704" t="s">
        <v>2863</v>
      </c>
      <c r="B704" t="s">
        <v>2864</v>
      </c>
      <c r="C704">
        <v>1988</v>
      </c>
      <c r="D704" t="s">
        <v>17</v>
      </c>
      <c r="E704">
        <v>111</v>
      </c>
      <c r="F704" t="s">
        <v>43</v>
      </c>
      <c r="G704">
        <v>6.4</v>
      </c>
      <c r="H704">
        <v>67</v>
      </c>
      <c r="I704" t="s">
        <v>1363</v>
      </c>
      <c r="J704" t="s">
        <v>103</v>
      </c>
      <c r="K704" t="s">
        <v>2865</v>
      </c>
      <c r="L704">
        <v>18775</v>
      </c>
      <c r="M704">
        <v>82.54</v>
      </c>
    </row>
    <row r="705" spans="1:13" x14ac:dyDescent="0.3">
      <c r="A705" t="s">
        <v>2866</v>
      </c>
      <c r="B705" t="s">
        <v>2867</v>
      </c>
      <c r="C705">
        <v>1983</v>
      </c>
      <c r="D705" t="s">
        <v>17</v>
      </c>
      <c r="E705">
        <v>144</v>
      </c>
      <c r="F705" t="s">
        <v>1007</v>
      </c>
      <c r="G705">
        <v>6.4</v>
      </c>
      <c r="I705" t="s">
        <v>2868</v>
      </c>
      <c r="J705" t="s">
        <v>191</v>
      </c>
      <c r="K705" t="s">
        <v>2869</v>
      </c>
      <c r="L705">
        <v>1689</v>
      </c>
      <c r="M705">
        <v>103.72</v>
      </c>
    </row>
    <row r="706" spans="1:13" x14ac:dyDescent="0.3">
      <c r="A706" t="s">
        <v>2870</v>
      </c>
      <c r="B706" t="s">
        <v>2871</v>
      </c>
      <c r="C706">
        <v>1984</v>
      </c>
      <c r="D706" t="s">
        <v>24</v>
      </c>
      <c r="E706">
        <v>127</v>
      </c>
      <c r="F706" t="s">
        <v>2872</v>
      </c>
      <c r="G706">
        <v>6.4</v>
      </c>
      <c r="H706">
        <v>64</v>
      </c>
      <c r="I706" t="s">
        <v>2873</v>
      </c>
      <c r="J706" t="s">
        <v>92</v>
      </c>
      <c r="K706" t="s">
        <v>2874</v>
      </c>
      <c r="L706">
        <v>55483</v>
      </c>
    </row>
    <row r="707" spans="1:13" x14ac:dyDescent="0.3">
      <c r="A707" t="s">
        <v>2875</v>
      </c>
      <c r="B707" t="s">
        <v>2876</v>
      </c>
      <c r="C707">
        <v>2012</v>
      </c>
      <c r="D707" t="s">
        <v>24</v>
      </c>
      <c r="E707">
        <v>82</v>
      </c>
      <c r="F707" t="s">
        <v>2877</v>
      </c>
      <c r="G707">
        <v>6.4</v>
      </c>
      <c r="H707">
        <v>63</v>
      </c>
      <c r="I707" t="s">
        <v>634</v>
      </c>
      <c r="J707" t="s">
        <v>50</v>
      </c>
      <c r="K707" t="s">
        <v>2878</v>
      </c>
      <c r="L707">
        <v>1578</v>
      </c>
      <c r="M707">
        <v>420.67</v>
      </c>
    </row>
    <row r="708" spans="1:13" x14ac:dyDescent="0.3">
      <c r="A708" t="s">
        <v>2879</v>
      </c>
      <c r="B708" t="s">
        <v>2880</v>
      </c>
      <c r="C708">
        <v>2015</v>
      </c>
      <c r="D708" t="s">
        <v>17</v>
      </c>
      <c r="E708">
        <v>122</v>
      </c>
      <c r="F708" t="s">
        <v>195</v>
      </c>
      <c r="G708">
        <v>6.4</v>
      </c>
      <c r="H708">
        <v>71</v>
      </c>
      <c r="I708" t="s">
        <v>38</v>
      </c>
      <c r="J708" t="s">
        <v>326</v>
      </c>
      <c r="K708" t="s">
        <v>2881</v>
      </c>
      <c r="L708">
        <v>71929</v>
      </c>
      <c r="M708">
        <v>132.94</v>
      </c>
    </row>
    <row r="709" spans="1:13" x14ac:dyDescent="0.3">
      <c r="A709" t="s">
        <v>2882</v>
      </c>
      <c r="B709" t="s">
        <v>2883</v>
      </c>
      <c r="C709">
        <v>2021</v>
      </c>
      <c r="D709" t="s">
        <v>24</v>
      </c>
      <c r="E709">
        <v>104</v>
      </c>
      <c r="F709" t="s">
        <v>767</v>
      </c>
      <c r="G709">
        <v>6.4</v>
      </c>
      <c r="H709">
        <v>61</v>
      </c>
      <c r="I709" t="s">
        <v>85</v>
      </c>
      <c r="J709" t="s">
        <v>92</v>
      </c>
      <c r="K709" t="s">
        <v>2884</v>
      </c>
      <c r="L709">
        <v>335262</v>
      </c>
      <c r="M709">
        <v>488.94</v>
      </c>
    </row>
    <row r="710" spans="1:13" x14ac:dyDescent="0.3">
      <c r="A710" t="s">
        <v>2885</v>
      </c>
      <c r="B710" t="s">
        <v>2886</v>
      </c>
      <c r="C710">
        <v>2003</v>
      </c>
      <c r="D710" t="s">
        <v>293</v>
      </c>
      <c r="E710">
        <v>137</v>
      </c>
      <c r="F710" t="s">
        <v>129</v>
      </c>
      <c r="G710">
        <v>6.4</v>
      </c>
      <c r="H710">
        <v>74</v>
      </c>
      <c r="I710" t="s">
        <v>2887</v>
      </c>
      <c r="J710" t="s">
        <v>326</v>
      </c>
      <c r="K710" t="s">
        <v>2888</v>
      </c>
      <c r="L710">
        <v>1204</v>
      </c>
    </row>
    <row r="711" spans="1:13" x14ac:dyDescent="0.3">
      <c r="A711" t="s">
        <v>2889</v>
      </c>
      <c r="B711" t="s">
        <v>2890</v>
      </c>
      <c r="C711">
        <v>2016</v>
      </c>
      <c r="D711" t="s">
        <v>17</v>
      </c>
      <c r="E711">
        <v>150</v>
      </c>
      <c r="F711" t="s">
        <v>230</v>
      </c>
      <c r="G711">
        <v>6.4</v>
      </c>
      <c r="H711">
        <v>67</v>
      </c>
      <c r="I711" t="s">
        <v>2891</v>
      </c>
      <c r="J711" t="s">
        <v>251</v>
      </c>
      <c r="K711" t="s">
        <v>2892</v>
      </c>
      <c r="L711">
        <v>11165</v>
      </c>
    </row>
    <row r="712" spans="1:13" x14ac:dyDescent="0.3">
      <c r="A712" t="s">
        <v>2893</v>
      </c>
      <c r="B712" t="s">
        <v>2894</v>
      </c>
      <c r="C712">
        <v>2013</v>
      </c>
      <c r="D712" t="s">
        <v>54</v>
      </c>
      <c r="E712">
        <v>97</v>
      </c>
      <c r="F712" t="s">
        <v>2895</v>
      </c>
      <c r="G712">
        <v>6.3</v>
      </c>
      <c r="H712">
        <v>77</v>
      </c>
      <c r="I712" t="s">
        <v>2896</v>
      </c>
      <c r="J712" t="s">
        <v>27</v>
      </c>
      <c r="K712" t="s">
        <v>2897</v>
      </c>
      <c r="L712">
        <v>124749</v>
      </c>
    </row>
    <row r="713" spans="1:13" x14ac:dyDescent="0.3">
      <c r="A713" t="s">
        <v>2898</v>
      </c>
      <c r="B713" t="s">
        <v>2899</v>
      </c>
      <c r="C713">
        <v>2020</v>
      </c>
      <c r="D713" t="s">
        <v>293</v>
      </c>
      <c r="E713">
        <v>125</v>
      </c>
      <c r="F713" t="s">
        <v>2211</v>
      </c>
      <c r="G713">
        <v>6.3</v>
      </c>
      <c r="H713">
        <v>71</v>
      </c>
      <c r="I713" t="s">
        <v>2900</v>
      </c>
      <c r="J713" t="s">
        <v>718</v>
      </c>
      <c r="K713" t="s">
        <v>2901</v>
      </c>
      <c r="L713">
        <v>1543</v>
      </c>
      <c r="M713">
        <v>447.43</v>
      </c>
    </row>
    <row r="714" spans="1:13" x14ac:dyDescent="0.3">
      <c r="A714" t="s">
        <v>2902</v>
      </c>
      <c r="B714" t="s">
        <v>2903</v>
      </c>
      <c r="C714">
        <v>2001</v>
      </c>
      <c r="D714" t="s">
        <v>54</v>
      </c>
      <c r="E714">
        <v>135</v>
      </c>
      <c r="F714" t="s">
        <v>1044</v>
      </c>
      <c r="G714">
        <v>6.3</v>
      </c>
      <c r="I714" t="s">
        <v>226</v>
      </c>
      <c r="J714" t="s">
        <v>92</v>
      </c>
      <c r="K714" t="s">
        <v>2904</v>
      </c>
      <c r="L714">
        <v>1228</v>
      </c>
      <c r="M714">
        <v>79.349999999999994</v>
      </c>
    </row>
    <row r="715" spans="1:13" x14ac:dyDescent="0.3">
      <c r="A715" t="s">
        <v>2905</v>
      </c>
      <c r="B715" t="s">
        <v>2906</v>
      </c>
      <c r="C715">
        <v>2020</v>
      </c>
      <c r="D715" t="s">
        <v>17</v>
      </c>
      <c r="E715">
        <v>141</v>
      </c>
      <c r="F715" t="s">
        <v>2907</v>
      </c>
      <c r="G715">
        <v>6.3</v>
      </c>
      <c r="I715" t="s">
        <v>2908</v>
      </c>
      <c r="J715" t="s">
        <v>80</v>
      </c>
      <c r="K715" t="s">
        <v>2909</v>
      </c>
      <c r="L715">
        <v>495846</v>
      </c>
      <c r="M715">
        <v>483.91</v>
      </c>
    </row>
    <row r="716" spans="1:13" x14ac:dyDescent="0.3">
      <c r="A716" t="s">
        <v>2910</v>
      </c>
      <c r="B716" t="s">
        <v>2911</v>
      </c>
      <c r="C716">
        <v>2024</v>
      </c>
      <c r="D716" t="s">
        <v>17</v>
      </c>
      <c r="E716">
        <v>140</v>
      </c>
      <c r="F716" t="s">
        <v>1170</v>
      </c>
      <c r="G716">
        <v>6.3</v>
      </c>
      <c r="H716">
        <v>53</v>
      </c>
      <c r="I716" t="s">
        <v>164</v>
      </c>
      <c r="J716" t="s">
        <v>518</v>
      </c>
      <c r="K716" t="s">
        <v>2912</v>
      </c>
      <c r="L716">
        <v>926356</v>
      </c>
    </row>
    <row r="717" spans="1:13" x14ac:dyDescent="0.3">
      <c r="A717" t="s">
        <v>2913</v>
      </c>
      <c r="B717" t="s">
        <v>2914</v>
      </c>
      <c r="C717">
        <v>2008</v>
      </c>
      <c r="D717" t="s">
        <v>293</v>
      </c>
      <c r="E717">
        <v>75</v>
      </c>
      <c r="F717" t="s">
        <v>277</v>
      </c>
      <c r="G717">
        <v>6.3</v>
      </c>
      <c r="H717">
        <v>67</v>
      </c>
      <c r="I717" t="s">
        <v>2915</v>
      </c>
      <c r="J717" t="s">
        <v>63</v>
      </c>
      <c r="K717" t="s">
        <v>2916</v>
      </c>
      <c r="L717">
        <v>82201</v>
      </c>
      <c r="M717">
        <v>272.26</v>
      </c>
    </row>
    <row r="718" spans="1:13" x14ac:dyDescent="0.3">
      <c r="A718" t="s">
        <v>2917</v>
      </c>
      <c r="B718" t="s">
        <v>2918</v>
      </c>
      <c r="C718">
        <v>2016</v>
      </c>
      <c r="D718" t="s">
        <v>17</v>
      </c>
      <c r="E718">
        <v>147</v>
      </c>
      <c r="F718" t="s">
        <v>1076</v>
      </c>
      <c r="G718">
        <v>6.3</v>
      </c>
      <c r="I718" t="s">
        <v>2919</v>
      </c>
      <c r="J718" t="s">
        <v>33</v>
      </c>
      <c r="K718" t="s">
        <v>2920</v>
      </c>
      <c r="L718">
        <v>43746</v>
      </c>
    </row>
    <row r="719" spans="1:13" x14ac:dyDescent="0.3">
      <c r="A719" t="s">
        <v>2921</v>
      </c>
      <c r="B719" t="s">
        <v>2922</v>
      </c>
      <c r="C719">
        <v>2004</v>
      </c>
      <c r="D719" t="s">
        <v>24</v>
      </c>
      <c r="E719">
        <v>106</v>
      </c>
      <c r="F719" t="s">
        <v>2923</v>
      </c>
      <c r="G719">
        <v>6.3</v>
      </c>
      <c r="H719">
        <v>63</v>
      </c>
      <c r="I719" t="s">
        <v>2924</v>
      </c>
      <c r="J719" t="s">
        <v>103</v>
      </c>
      <c r="K719" t="s">
        <v>2925</v>
      </c>
      <c r="L719">
        <v>470549</v>
      </c>
    </row>
    <row r="720" spans="1:13" x14ac:dyDescent="0.3">
      <c r="A720" t="s">
        <v>2926</v>
      </c>
      <c r="B720" t="s">
        <v>2927</v>
      </c>
      <c r="C720">
        <v>2013</v>
      </c>
      <c r="D720" t="s">
        <v>17</v>
      </c>
      <c r="E720">
        <v>111</v>
      </c>
      <c r="F720" t="s">
        <v>556</v>
      </c>
      <c r="G720">
        <v>6.3</v>
      </c>
      <c r="H720">
        <v>57</v>
      </c>
      <c r="I720" t="s">
        <v>999</v>
      </c>
      <c r="J720" t="s">
        <v>92</v>
      </c>
      <c r="K720" t="s">
        <v>2928</v>
      </c>
      <c r="L720">
        <v>98151</v>
      </c>
      <c r="M720">
        <v>99.87</v>
      </c>
    </row>
    <row r="721" spans="1:13" x14ac:dyDescent="0.3">
      <c r="A721" t="s">
        <v>2929</v>
      </c>
      <c r="B721" t="s">
        <v>2930</v>
      </c>
      <c r="C721">
        <v>1999</v>
      </c>
      <c r="D721" t="s">
        <v>169</v>
      </c>
      <c r="E721">
        <v>140</v>
      </c>
      <c r="F721" t="s">
        <v>375</v>
      </c>
      <c r="G721">
        <v>6.3</v>
      </c>
      <c r="H721">
        <v>48</v>
      </c>
      <c r="I721" t="s">
        <v>2931</v>
      </c>
      <c r="J721" t="s">
        <v>159</v>
      </c>
      <c r="K721" t="s">
        <v>2932</v>
      </c>
      <c r="L721">
        <v>39942</v>
      </c>
      <c r="M721">
        <v>99.59</v>
      </c>
    </row>
    <row r="722" spans="1:13" x14ac:dyDescent="0.3">
      <c r="A722" t="s">
        <v>2933</v>
      </c>
      <c r="B722" t="s">
        <v>2934</v>
      </c>
      <c r="C722">
        <v>2008</v>
      </c>
      <c r="D722" t="s">
        <v>17</v>
      </c>
      <c r="E722">
        <v>113</v>
      </c>
      <c r="F722" t="s">
        <v>868</v>
      </c>
      <c r="G722">
        <v>6.3</v>
      </c>
      <c r="H722">
        <v>77</v>
      </c>
      <c r="I722" t="s">
        <v>355</v>
      </c>
      <c r="J722" t="s">
        <v>50</v>
      </c>
      <c r="K722" t="s">
        <v>2935</v>
      </c>
      <c r="L722">
        <v>45231</v>
      </c>
      <c r="M722">
        <v>31.87</v>
      </c>
    </row>
    <row r="723" spans="1:13" x14ac:dyDescent="0.3">
      <c r="A723" t="s">
        <v>2936</v>
      </c>
      <c r="B723" t="s">
        <v>2937</v>
      </c>
      <c r="C723">
        <v>2014</v>
      </c>
      <c r="D723" t="s">
        <v>293</v>
      </c>
      <c r="E723">
        <v>107</v>
      </c>
      <c r="F723" t="s">
        <v>1489</v>
      </c>
      <c r="G723">
        <v>6.3</v>
      </c>
      <c r="H723">
        <v>54</v>
      </c>
      <c r="I723" t="s">
        <v>2938</v>
      </c>
      <c r="J723" t="s">
        <v>80</v>
      </c>
      <c r="K723" t="s">
        <v>2939</v>
      </c>
      <c r="L723">
        <v>12273</v>
      </c>
    </row>
    <row r="724" spans="1:13" x14ac:dyDescent="0.3">
      <c r="A724" t="s">
        <v>2940</v>
      </c>
      <c r="B724" t="s">
        <v>2941</v>
      </c>
      <c r="C724">
        <v>2003</v>
      </c>
      <c r="D724" t="s">
        <v>17</v>
      </c>
      <c r="E724">
        <v>151</v>
      </c>
      <c r="F724" t="s">
        <v>522</v>
      </c>
      <c r="G724">
        <v>6.3</v>
      </c>
      <c r="I724" t="s">
        <v>557</v>
      </c>
      <c r="J724" t="s">
        <v>221</v>
      </c>
      <c r="K724" t="s">
        <v>2942</v>
      </c>
      <c r="L724">
        <v>13569</v>
      </c>
      <c r="M724">
        <v>324.45999999999998</v>
      </c>
    </row>
    <row r="725" spans="1:13" x14ac:dyDescent="0.3">
      <c r="A725" t="s">
        <v>2943</v>
      </c>
      <c r="B725" t="s">
        <v>2944</v>
      </c>
      <c r="C725">
        <v>2003</v>
      </c>
      <c r="D725" t="s">
        <v>17</v>
      </c>
      <c r="E725">
        <v>93</v>
      </c>
      <c r="F725" t="s">
        <v>2945</v>
      </c>
      <c r="G725">
        <v>6.3</v>
      </c>
      <c r="H725">
        <v>50</v>
      </c>
      <c r="I725" t="s">
        <v>85</v>
      </c>
      <c r="J725" t="s">
        <v>326</v>
      </c>
      <c r="K725" t="s">
        <v>2946</v>
      </c>
      <c r="L725">
        <v>96729</v>
      </c>
      <c r="M725">
        <v>127.42</v>
      </c>
    </row>
    <row r="726" spans="1:13" x14ac:dyDescent="0.3">
      <c r="A726" t="s">
        <v>2947</v>
      </c>
      <c r="B726" t="s">
        <v>2948</v>
      </c>
      <c r="C726">
        <v>2001</v>
      </c>
      <c r="D726" t="s">
        <v>24</v>
      </c>
      <c r="E726">
        <v>132</v>
      </c>
      <c r="F726" t="s">
        <v>2949</v>
      </c>
      <c r="G726">
        <v>6.3</v>
      </c>
      <c r="I726" t="s">
        <v>19</v>
      </c>
      <c r="J726" t="s">
        <v>326</v>
      </c>
      <c r="K726" t="s">
        <v>2950</v>
      </c>
      <c r="L726">
        <v>46901</v>
      </c>
      <c r="M726">
        <v>205.21</v>
      </c>
    </row>
    <row r="727" spans="1:13" x14ac:dyDescent="0.3">
      <c r="A727" t="s">
        <v>2951</v>
      </c>
      <c r="B727" t="s">
        <v>2952</v>
      </c>
      <c r="C727">
        <v>2011</v>
      </c>
      <c r="D727" t="s">
        <v>17</v>
      </c>
      <c r="E727">
        <v>108</v>
      </c>
      <c r="F727" t="s">
        <v>772</v>
      </c>
      <c r="G727">
        <v>6.3</v>
      </c>
      <c r="I727" t="s">
        <v>1709</v>
      </c>
      <c r="J727" t="s">
        <v>137</v>
      </c>
      <c r="K727" t="s">
        <v>2953</v>
      </c>
      <c r="L727">
        <v>57003</v>
      </c>
      <c r="M727">
        <v>21.86</v>
      </c>
    </row>
    <row r="728" spans="1:13" x14ac:dyDescent="0.3">
      <c r="A728" t="s">
        <v>2954</v>
      </c>
      <c r="B728" t="s">
        <v>2955</v>
      </c>
      <c r="C728">
        <v>1980</v>
      </c>
      <c r="D728" t="s">
        <v>54</v>
      </c>
      <c r="E728">
        <v>124</v>
      </c>
      <c r="F728" t="s">
        <v>235</v>
      </c>
      <c r="G728">
        <v>6.3</v>
      </c>
      <c r="H728">
        <v>57</v>
      </c>
      <c r="I728" t="s">
        <v>673</v>
      </c>
      <c r="J728" t="s">
        <v>153</v>
      </c>
      <c r="K728" t="s">
        <v>2956</v>
      </c>
      <c r="L728">
        <v>17722</v>
      </c>
      <c r="M728">
        <v>44.03</v>
      </c>
    </row>
    <row r="729" spans="1:13" x14ac:dyDescent="0.3">
      <c r="A729" t="s">
        <v>2957</v>
      </c>
      <c r="B729" t="s">
        <v>2958</v>
      </c>
      <c r="C729">
        <v>2007</v>
      </c>
      <c r="D729" t="s">
        <v>54</v>
      </c>
      <c r="E729">
        <v>136</v>
      </c>
      <c r="F729" t="s">
        <v>1044</v>
      </c>
      <c r="G729">
        <v>6.3</v>
      </c>
      <c r="H729">
        <v>51</v>
      </c>
      <c r="I729" t="s">
        <v>226</v>
      </c>
      <c r="J729" t="s">
        <v>103</v>
      </c>
      <c r="K729" t="s">
        <v>2959</v>
      </c>
      <c r="L729">
        <v>52271</v>
      </c>
      <c r="M729">
        <v>370.28</v>
      </c>
    </row>
    <row r="730" spans="1:13" x14ac:dyDescent="0.3">
      <c r="A730" t="s">
        <v>2960</v>
      </c>
      <c r="B730" t="s">
        <v>2961</v>
      </c>
      <c r="C730">
        <v>2020</v>
      </c>
      <c r="D730" t="s">
        <v>17</v>
      </c>
      <c r="E730">
        <v>148</v>
      </c>
      <c r="F730" t="s">
        <v>2962</v>
      </c>
      <c r="G730">
        <v>6.3</v>
      </c>
      <c r="I730" t="s">
        <v>2963</v>
      </c>
      <c r="J730" t="s">
        <v>103</v>
      </c>
      <c r="K730" t="s">
        <v>2964</v>
      </c>
      <c r="L730">
        <v>3641</v>
      </c>
    </row>
    <row r="731" spans="1:13" x14ac:dyDescent="0.3">
      <c r="A731" t="s">
        <v>2965</v>
      </c>
      <c r="B731" t="s">
        <v>2966</v>
      </c>
      <c r="C731">
        <v>2024</v>
      </c>
      <c r="D731" t="s">
        <v>24</v>
      </c>
      <c r="E731">
        <v>116</v>
      </c>
      <c r="F731" t="s">
        <v>157</v>
      </c>
      <c r="G731">
        <v>6.3</v>
      </c>
      <c r="H731">
        <v>68</v>
      </c>
      <c r="I731" t="s">
        <v>2967</v>
      </c>
      <c r="J731" t="s">
        <v>196</v>
      </c>
      <c r="K731" t="s">
        <v>2968</v>
      </c>
      <c r="L731">
        <v>288806</v>
      </c>
      <c r="M731">
        <v>34.15</v>
      </c>
    </row>
    <row r="732" spans="1:13" x14ac:dyDescent="0.3">
      <c r="A732" t="s">
        <v>2969</v>
      </c>
      <c r="B732" t="s">
        <v>2970</v>
      </c>
      <c r="C732">
        <v>2016</v>
      </c>
      <c r="D732" t="s">
        <v>24</v>
      </c>
      <c r="E732">
        <v>141</v>
      </c>
      <c r="F732" t="s">
        <v>2971</v>
      </c>
      <c r="G732">
        <v>6.3</v>
      </c>
      <c r="H732">
        <v>64</v>
      </c>
      <c r="I732" t="s">
        <v>2972</v>
      </c>
      <c r="J732" t="s">
        <v>63</v>
      </c>
      <c r="K732" t="s">
        <v>2973</v>
      </c>
      <c r="L732">
        <v>201206</v>
      </c>
      <c r="M732">
        <v>226.26</v>
      </c>
    </row>
    <row r="733" spans="1:13" x14ac:dyDescent="0.3">
      <c r="A733" t="s">
        <v>2974</v>
      </c>
      <c r="B733" t="s">
        <v>2975</v>
      </c>
      <c r="C733">
        <v>2008</v>
      </c>
      <c r="D733" t="s">
        <v>54</v>
      </c>
      <c r="E733">
        <v>143</v>
      </c>
      <c r="F733" t="s">
        <v>2976</v>
      </c>
      <c r="G733">
        <v>6.3</v>
      </c>
      <c r="H733">
        <v>75</v>
      </c>
      <c r="I733" t="s">
        <v>2977</v>
      </c>
      <c r="J733" t="s">
        <v>518</v>
      </c>
      <c r="K733" t="s">
        <v>2978</v>
      </c>
      <c r="L733">
        <v>48970</v>
      </c>
      <c r="M733">
        <v>365.46</v>
      </c>
    </row>
    <row r="734" spans="1:13" x14ac:dyDescent="0.3">
      <c r="A734" t="s">
        <v>2979</v>
      </c>
      <c r="B734" t="s">
        <v>2980</v>
      </c>
      <c r="C734">
        <v>2006</v>
      </c>
      <c r="D734" t="s">
        <v>24</v>
      </c>
      <c r="E734">
        <v>118</v>
      </c>
      <c r="F734" t="s">
        <v>453</v>
      </c>
      <c r="G734">
        <v>6.3</v>
      </c>
      <c r="H734">
        <v>62</v>
      </c>
      <c r="I734" t="s">
        <v>269</v>
      </c>
      <c r="J734" t="s">
        <v>119</v>
      </c>
      <c r="K734" t="s">
        <v>2981</v>
      </c>
      <c r="L734">
        <v>108956</v>
      </c>
      <c r="M734">
        <v>385.04</v>
      </c>
    </row>
    <row r="735" spans="1:13" x14ac:dyDescent="0.3">
      <c r="A735" t="s">
        <v>2982</v>
      </c>
      <c r="B735" t="s">
        <v>2983</v>
      </c>
      <c r="C735">
        <v>2001</v>
      </c>
      <c r="D735" t="s">
        <v>54</v>
      </c>
      <c r="E735">
        <v>153</v>
      </c>
      <c r="F735" t="s">
        <v>617</v>
      </c>
      <c r="G735">
        <v>6.3</v>
      </c>
      <c r="H735">
        <v>67</v>
      </c>
      <c r="I735" t="s">
        <v>852</v>
      </c>
      <c r="J735" t="s">
        <v>125</v>
      </c>
      <c r="K735" t="s">
        <v>2984</v>
      </c>
      <c r="L735">
        <v>140571</v>
      </c>
    </row>
    <row r="736" spans="1:13" x14ac:dyDescent="0.3">
      <c r="A736" t="s">
        <v>2985</v>
      </c>
      <c r="B736" t="s">
        <v>2986</v>
      </c>
      <c r="C736">
        <v>2004</v>
      </c>
      <c r="D736" t="s">
        <v>24</v>
      </c>
      <c r="E736">
        <v>116</v>
      </c>
      <c r="F736" t="s">
        <v>2987</v>
      </c>
      <c r="G736">
        <v>6.3</v>
      </c>
      <c r="H736">
        <v>60</v>
      </c>
      <c r="I736" t="s">
        <v>85</v>
      </c>
      <c r="J736" t="s">
        <v>518</v>
      </c>
      <c r="K736" t="s">
        <v>2988</v>
      </c>
      <c r="L736">
        <v>76117</v>
      </c>
      <c r="M736">
        <v>211.08</v>
      </c>
    </row>
    <row r="737" spans="1:13" x14ac:dyDescent="0.3">
      <c r="A737" t="s">
        <v>2989</v>
      </c>
      <c r="B737" t="s">
        <v>2990</v>
      </c>
      <c r="C737">
        <v>2000</v>
      </c>
      <c r="D737" t="s">
        <v>17</v>
      </c>
      <c r="E737">
        <v>171</v>
      </c>
      <c r="F737" t="s">
        <v>157</v>
      </c>
      <c r="G737">
        <v>6.3</v>
      </c>
      <c r="I737" t="s">
        <v>629</v>
      </c>
      <c r="J737" t="s">
        <v>608</v>
      </c>
      <c r="K737" t="s">
        <v>2991</v>
      </c>
      <c r="L737">
        <v>78970</v>
      </c>
      <c r="M737">
        <v>198.71</v>
      </c>
    </row>
    <row r="738" spans="1:13" x14ac:dyDescent="0.3">
      <c r="A738" t="s">
        <v>2992</v>
      </c>
      <c r="B738" t="s">
        <v>2993</v>
      </c>
      <c r="C738">
        <v>2014</v>
      </c>
      <c r="D738" t="s">
        <v>17</v>
      </c>
      <c r="E738">
        <v>95</v>
      </c>
      <c r="F738" t="s">
        <v>642</v>
      </c>
      <c r="G738">
        <v>6.3</v>
      </c>
      <c r="H738">
        <v>65</v>
      </c>
      <c r="I738" t="s">
        <v>995</v>
      </c>
      <c r="J738" t="s">
        <v>191</v>
      </c>
      <c r="K738" t="s">
        <v>2994</v>
      </c>
      <c r="L738">
        <v>47969</v>
      </c>
      <c r="M738">
        <v>24.49</v>
      </c>
    </row>
    <row r="739" spans="1:13" x14ac:dyDescent="0.3">
      <c r="A739" t="s">
        <v>2995</v>
      </c>
      <c r="B739" t="s">
        <v>2996</v>
      </c>
      <c r="C739">
        <v>1982</v>
      </c>
      <c r="D739" t="s">
        <v>24</v>
      </c>
      <c r="E739">
        <v>145</v>
      </c>
      <c r="F739" t="s">
        <v>556</v>
      </c>
      <c r="G739">
        <v>6.3</v>
      </c>
      <c r="I739" t="s">
        <v>435</v>
      </c>
      <c r="J739" t="s">
        <v>221</v>
      </c>
      <c r="K739" t="s">
        <v>2997</v>
      </c>
      <c r="L739">
        <v>81619</v>
      </c>
      <c r="M739">
        <v>39.08</v>
      </c>
    </row>
    <row r="740" spans="1:13" x14ac:dyDescent="0.3">
      <c r="A740" t="s">
        <v>2998</v>
      </c>
      <c r="B740" t="s">
        <v>2999</v>
      </c>
      <c r="C740">
        <v>2000</v>
      </c>
      <c r="D740" t="s">
        <v>54</v>
      </c>
      <c r="E740">
        <v>135</v>
      </c>
      <c r="F740" t="s">
        <v>767</v>
      </c>
      <c r="G740">
        <v>6.3</v>
      </c>
      <c r="H740">
        <v>72</v>
      </c>
      <c r="I740" t="s">
        <v>320</v>
      </c>
      <c r="J740" t="s">
        <v>113</v>
      </c>
      <c r="K740" t="s">
        <v>3000</v>
      </c>
      <c r="L740">
        <v>17548</v>
      </c>
      <c r="M740">
        <v>106.52</v>
      </c>
    </row>
    <row r="741" spans="1:13" x14ac:dyDescent="0.3">
      <c r="A741" t="s">
        <v>3001</v>
      </c>
      <c r="B741" t="s">
        <v>3002</v>
      </c>
      <c r="C741">
        <v>1985</v>
      </c>
      <c r="D741" t="s">
        <v>54</v>
      </c>
      <c r="E741">
        <v>103</v>
      </c>
      <c r="F741" t="s">
        <v>43</v>
      </c>
      <c r="G741">
        <v>6.3</v>
      </c>
      <c r="H741">
        <v>49</v>
      </c>
      <c r="I741" t="s">
        <v>1363</v>
      </c>
      <c r="J741" t="s">
        <v>147</v>
      </c>
      <c r="K741" t="s">
        <v>3003</v>
      </c>
      <c r="L741">
        <v>110206</v>
      </c>
      <c r="M741">
        <v>133.09</v>
      </c>
    </row>
    <row r="742" spans="1:13" x14ac:dyDescent="0.3">
      <c r="A742" t="s">
        <v>3004</v>
      </c>
      <c r="B742" t="s">
        <v>3005</v>
      </c>
      <c r="C742">
        <v>1996</v>
      </c>
      <c r="D742" t="s">
        <v>54</v>
      </c>
      <c r="E742">
        <v>109</v>
      </c>
      <c r="F742" t="s">
        <v>1687</v>
      </c>
      <c r="G742">
        <v>6.3</v>
      </c>
      <c r="I742" t="s">
        <v>634</v>
      </c>
      <c r="J742" t="s">
        <v>547</v>
      </c>
      <c r="K742" t="s">
        <v>3006</v>
      </c>
      <c r="L742">
        <v>39633</v>
      </c>
      <c r="M742">
        <v>59.28</v>
      </c>
    </row>
    <row r="743" spans="1:13" x14ac:dyDescent="0.3">
      <c r="A743" t="s">
        <v>3007</v>
      </c>
      <c r="B743" t="s">
        <v>3008</v>
      </c>
      <c r="C743">
        <v>1999</v>
      </c>
      <c r="D743" t="s">
        <v>17</v>
      </c>
      <c r="E743">
        <v>101</v>
      </c>
      <c r="F743" t="s">
        <v>3009</v>
      </c>
      <c r="G743">
        <v>6.3</v>
      </c>
      <c r="H743">
        <v>71</v>
      </c>
      <c r="I743" t="s">
        <v>201</v>
      </c>
      <c r="J743" t="s">
        <v>57</v>
      </c>
      <c r="K743" t="s">
        <v>3010</v>
      </c>
      <c r="L743">
        <v>12224</v>
      </c>
      <c r="M743">
        <v>299.01</v>
      </c>
    </row>
    <row r="744" spans="1:13" x14ac:dyDescent="0.3">
      <c r="A744" t="s">
        <v>3011</v>
      </c>
      <c r="B744" t="s">
        <v>3012</v>
      </c>
      <c r="C744">
        <v>1997</v>
      </c>
      <c r="D744" t="s">
        <v>24</v>
      </c>
      <c r="E744">
        <v>130</v>
      </c>
      <c r="F744" t="s">
        <v>48</v>
      </c>
      <c r="G744">
        <v>6.3</v>
      </c>
      <c r="I744" t="s">
        <v>3013</v>
      </c>
      <c r="J744" t="s">
        <v>63</v>
      </c>
      <c r="K744" t="s">
        <v>3014</v>
      </c>
      <c r="L744">
        <v>18227</v>
      </c>
      <c r="M744">
        <v>189.95</v>
      </c>
    </row>
    <row r="745" spans="1:13" x14ac:dyDescent="0.3">
      <c r="A745" t="s">
        <v>3015</v>
      </c>
      <c r="B745" t="s">
        <v>3016</v>
      </c>
      <c r="C745">
        <v>2010</v>
      </c>
      <c r="D745" t="s">
        <v>24</v>
      </c>
      <c r="E745">
        <v>130</v>
      </c>
      <c r="F745" t="s">
        <v>3017</v>
      </c>
      <c r="G745">
        <v>6.3</v>
      </c>
      <c r="H745">
        <v>48</v>
      </c>
      <c r="I745" t="s">
        <v>250</v>
      </c>
      <c r="J745" t="s">
        <v>196</v>
      </c>
      <c r="K745" t="s">
        <v>3018</v>
      </c>
      <c r="L745">
        <v>10353</v>
      </c>
      <c r="M745">
        <v>355.68</v>
      </c>
    </row>
    <row r="746" spans="1:13" x14ac:dyDescent="0.3">
      <c r="A746" t="s">
        <v>3019</v>
      </c>
      <c r="B746" t="s">
        <v>3020</v>
      </c>
      <c r="C746">
        <v>2004</v>
      </c>
      <c r="D746" t="s">
        <v>24</v>
      </c>
      <c r="E746">
        <v>77</v>
      </c>
      <c r="F746" t="s">
        <v>3021</v>
      </c>
      <c r="G746">
        <v>6.3</v>
      </c>
      <c r="H746">
        <v>74</v>
      </c>
      <c r="I746" t="s">
        <v>164</v>
      </c>
      <c r="J746" t="s">
        <v>27</v>
      </c>
      <c r="K746" t="s">
        <v>3022</v>
      </c>
      <c r="L746">
        <v>418943</v>
      </c>
      <c r="M746">
        <v>356.71</v>
      </c>
    </row>
    <row r="747" spans="1:13" x14ac:dyDescent="0.3">
      <c r="A747" t="s">
        <v>3023</v>
      </c>
      <c r="B747" t="s">
        <v>3024</v>
      </c>
      <c r="C747">
        <v>2020</v>
      </c>
      <c r="D747" t="s">
        <v>24</v>
      </c>
      <c r="E747">
        <v>140</v>
      </c>
      <c r="F747" t="s">
        <v>617</v>
      </c>
      <c r="G747">
        <v>6.3</v>
      </c>
      <c r="I747" t="s">
        <v>852</v>
      </c>
      <c r="J747" t="s">
        <v>39</v>
      </c>
      <c r="K747" t="s">
        <v>3025</v>
      </c>
      <c r="L747">
        <v>431961</v>
      </c>
    </row>
    <row r="748" spans="1:13" x14ac:dyDescent="0.3">
      <c r="A748" t="s">
        <v>3026</v>
      </c>
      <c r="B748" t="s">
        <v>3027</v>
      </c>
      <c r="C748">
        <v>2000</v>
      </c>
      <c r="D748" t="s">
        <v>285</v>
      </c>
      <c r="E748">
        <v>130</v>
      </c>
      <c r="F748" t="s">
        <v>3028</v>
      </c>
      <c r="G748">
        <v>6.3</v>
      </c>
      <c r="I748" t="s">
        <v>305</v>
      </c>
      <c r="J748" t="s">
        <v>103</v>
      </c>
      <c r="K748" t="s">
        <v>3029</v>
      </c>
      <c r="L748">
        <v>57726</v>
      </c>
      <c r="M748">
        <v>242.04</v>
      </c>
    </row>
    <row r="749" spans="1:13" x14ac:dyDescent="0.3">
      <c r="A749" t="s">
        <v>3030</v>
      </c>
      <c r="B749" t="s">
        <v>3031</v>
      </c>
      <c r="C749">
        <v>2022</v>
      </c>
      <c r="D749" t="s">
        <v>24</v>
      </c>
      <c r="E749">
        <v>134</v>
      </c>
      <c r="F749" t="s">
        <v>263</v>
      </c>
      <c r="G749">
        <v>6.3</v>
      </c>
      <c r="H749">
        <v>50</v>
      </c>
      <c r="I749" t="s">
        <v>85</v>
      </c>
      <c r="J749" t="s">
        <v>221</v>
      </c>
      <c r="K749" t="s">
        <v>3032</v>
      </c>
      <c r="L749">
        <v>71898</v>
      </c>
    </row>
    <row r="750" spans="1:13" x14ac:dyDescent="0.3">
      <c r="A750" t="s">
        <v>3033</v>
      </c>
      <c r="B750" t="s">
        <v>3034</v>
      </c>
      <c r="C750">
        <v>2008</v>
      </c>
      <c r="D750" t="s">
        <v>17</v>
      </c>
      <c r="E750">
        <v>125</v>
      </c>
      <c r="F750" t="s">
        <v>48</v>
      </c>
      <c r="G750">
        <v>6.3</v>
      </c>
      <c r="I750" t="s">
        <v>67</v>
      </c>
      <c r="J750" t="s">
        <v>196</v>
      </c>
      <c r="K750" t="s">
        <v>3035</v>
      </c>
      <c r="L750">
        <v>21863</v>
      </c>
      <c r="M750">
        <v>252.14</v>
      </c>
    </row>
    <row r="751" spans="1:13" x14ac:dyDescent="0.3">
      <c r="A751" t="s">
        <v>3036</v>
      </c>
      <c r="B751" t="s">
        <v>3037</v>
      </c>
      <c r="C751">
        <v>2016</v>
      </c>
      <c r="D751" t="s">
        <v>24</v>
      </c>
      <c r="E751">
        <v>103</v>
      </c>
      <c r="F751" t="s">
        <v>1114</v>
      </c>
      <c r="G751">
        <v>6.3</v>
      </c>
      <c r="H751">
        <v>61</v>
      </c>
      <c r="I751" t="s">
        <v>561</v>
      </c>
      <c r="J751" t="s">
        <v>547</v>
      </c>
      <c r="K751" t="s">
        <v>3038</v>
      </c>
      <c r="L751">
        <v>26670</v>
      </c>
      <c r="M751">
        <v>167.6</v>
      </c>
    </row>
    <row r="752" spans="1:13" x14ac:dyDescent="0.3">
      <c r="A752" t="s">
        <v>3039</v>
      </c>
      <c r="B752" t="s">
        <v>3040</v>
      </c>
      <c r="C752">
        <v>2016</v>
      </c>
      <c r="D752" t="s">
        <v>54</v>
      </c>
      <c r="E752">
        <v>123</v>
      </c>
      <c r="F752" t="s">
        <v>1154</v>
      </c>
      <c r="G752">
        <v>6.3</v>
      </c>
      <c r="H752">
        <v>78</v>
      </c>
      <c r="I752" t="s">
        <v>3041</v>
      </c>
      <c r="J752" t="s">
        <v>57</v>
      </c>
      <c r="K752" t="s">
        <v>3042</v>
      </c>
      <c r="L752">
        <v>123724</v>
      </c>
      <c r="M752">
        <v>338.05</v>
      </c>
    </row>
    <row r="753" spans="1:13" x14ac:dyDescent="0.3">
      <c r="A753" t="s">
        <v>3043</v>
      </c>
      <c r="B753" t="s">
        <v>3044</v>
      </c>
      <c r="C753">
        <v>1982</v>
      </c>
      <c r="D753" t="s">
        <v>24</v>
      </c>
      <c r="E753">
        <v>101</v>
      </c>
      <c r="F753" t="s">
        <v>3045</v>
      </c>
      <c r="G753">
        <v>6.3</v>
      </c>
      <c r="H753">
        <v>51</v>
      </c>
      <c r="I753" t="s">
        <v>67</v>
      </c>
      <c r="J753" t="s">
        <v>165</v>
      </c>
      <c r="K753" t="s">
        <v>3046</v>
      </c>
      <c r="L753">
        <v>111553</v>
      </c>
      <c r="M753">
        <v>263.64999999999998</v>
      </c>
    </row>
    <row r="754" spans="1:13" x14ac:dyDescent="0.3">
      <c r="A754" t="s">
        <v>3047</v>
      </c>
      <c r="B754" t="s">
        <v>3048</v>
      </c>
      <c r="C754">
        <v>2016</v>
      </c>
      <c r="D754" t="s">
        <v>54</v>
      </c>
      <c r="E754">
        <v>83</v>
      </c>
      <c r="F754" t="s">
        <v>3049</v>
      </c>
      <c r="G754">
        <v>6.3</v>
      </c>
      <c r="H754">
        <v>53</v>
      </c>
      <c r="I754" t="s">
        <v>3050</v>
      </c>
      <c r="J754" t="s">
        <v>251</v>
      </c>
      <c r="K754" t="s">
        <v>3051</v>
      </c>
      <c r="L754">
        <v>18367</v>
      </c>
      <c r="M754">
        <v>422.3</v>
      </c>
    </row>
    <row r="755" spans="1:13" x14ac:dyDescent="0.3">
      <c r="A755" t="s">
        <v>3052</v>
      </c>
      <c r="B755" t="s">
        <v>3053</v>
      </c>
      <c r="C755">
        <v>2003</v>
      </c>
      <c r="D755" t="s">
        <v>17</v>
      </c>
      <c r="E755">
        <v>131</v>
      </c>
      <c r="F755" t="s">
        <v>3054</v>
      </c>
      <c r="G755">
        <v>6.3</v>
      </c>
      <c r="H755">
        <v>48</v>
      </c>
      <c r="I755" t="s">
        <v>422</v>
      </c>
      <c r="J755" t="s">
        <v>718</v>
      </c>
      <c r="K755" t="s">
        <v>3055</v>
      </c>
      <c r="L755">
        <v>32225</v>
      </c>
      <c r="M755">
        <v>148.58000000000001</v>
      </c>
    </row>
    <row r="756" spans="1:13" x14ac:dyDescent="0.3">
      <c r="A756" t="s">
        <v>3056</v>
      </c>
      <c r="B756" t="s">
        <v>3057</v>
      </c>
      <c r="C756">
        <v>2011</v>
      </c>
      <c r="D756" t="s">
        <v>169</v>
      </c>
      <c r="E756">
        <v>138</v>
      </c>
      <c r="F756" t="s">
        <v>2749</v>
      </c>
      <c r="G756">
        <v>6.3</v>
      </c>
      <c r="I756" t="s">
        <v>2931</v>
      </c>
      <c r="J756" t="s">
        <v>159</v>
      </c>
      <c r="K756" t="s">
        <v>3058</v>
      </c>
      <c r="L756">
        <v>50254</v>
      </c>
    </row>
    <row r="757" spans="1:13" x14ac:dyDescent="0.3">
      <c r="A757" t="s">
        <v>3059</v>
      </c>
      <c r="B757" t="s">
        <v>3060</v>
      </c>
      <c r="C757">
        <v>2003</v>
      </c>
      <c r="D757" t="s">
        <v>17</v>
      </c>
      <c r="E757">
        <v>140</v>
      </c>
      <c r="F757" t="s">
        <v>55</v>
      </c>
      <c r="G757">
        <v>6.2</v>
      </c>
      <c r="H757">
        <v>68</v>
      </c>
      <c r="I757" t="s">
        <v>898</v>
      </c>
      <c r="J757" t="s">
        <v>165</v>
      </c>
      <c r="K757" t="s">
        <v>3061</v>
      </c>
      <c r="L757">
        <v>1756183</v>
      </c>
      <c r="M757">
        <v>328.97</v>
      </c>
    </row>
    <row r="758" spans="1:13" x14ac:dyDescent="0.3">
      <c r="A758" t="s">
        <v>3062</v>
      </c>
      <c r="B758" t="s">
        <v>3063</v>
      </c>
      <c r="C758">
        <v>2014</v>
      </c>
      <c r="D758" t="s">
        <v>54</v>
      </c>
      <c r="E758">
        <v>125</v>
      </c>
      <c r="F758" t="s">
        <v>84</v>
      </c>
      <c r="G758">
        <v>6.2</v>
      </c>
      <c r="H758">
        <v>70</v>
      </c>
      <c r="I758" t="s">
        <v>3064</v>
      </c>
      <c r="J758" t="s">
        <v>50</v>
      </c>
      <c r="K758" t="s">
        <v>3065</v>
      </c>
      <c r="L758">
        <v>102976</v>
      </c>
      <c r="M758">
        <v>31.42</v>
      </c>
    </row>
    <row r="759" spans="1:13" x14ac:dyDescent="0.3">
      <c r="A759" t="s">
        <v>3066</v>
      </c>
      <c r="B759" t="s">
        <v>3067</v>
      </c>
      <c r="C759">
        <v>2003</v>
      </c>
      <c r="D759" t="s">
        <v>17</v>
      </c>
      <c r="E759">
        <v>145</v>
      </c>
      <c r="F759" t="s">
        <v>3068</v>
      </c>
      <c r="G759">
        <v>6.2</v>
      </c>
      <c r="I759" t="s">
        <v>3069</v>
      </c>
      <c r="J759" t="s">
        <v>593</v>
      </c>
      <c r="K759" t="s">
        <v>3070</v>
      </c>
      <c r="L759">
        <v>183048</v>
      </c>
      <c r="M759">
        <v>214.67</v>
      </c>
    </row>
    <row r="760" spans="1:13" x14ac:dyDescent="0.3">
      <c r="A760" t="s">
        <v>3071</v>
      </c>
      <c r="B760" t="s">
        <v>3072</v>
      </c>
      <c r="C760">
        <v>2022</v>
      </c>
      <c r="D760" t="s">
        <v>17</v>
      </c>
      <c r="E760">
        <v>98</v>
      </c>
      <c r="F760" t="s">
        <v>3073</v>
      </c>
      <c r="G760">
        <v>6.2</v>
      </c>
      <c r="H760">
        <v>47</v>
      </c>
      <c r="I760" t="s">
        <v>3074</v>
      </c>
      <c r="J760" t="s">
        <v>63</v>
      </c>
      <c r="K760" t="s">
        <v>3075</v>
      </c>
      <c r="L760">
        <v>1057107</v>
      </c>
    </row>
    <row r="761" spans="1:13" x14ac:dyDescent="0.3">
      <c r="A761" t="s">
        <v>3076</v>
      </c>
      <c r="B761" t="s">
        <v>3077</v>
      </c>
      <c r="C761">
        <v>2021</v>
      </c>
      <c r="D761" t="s">
        <v>17</v>
      </c>
      <c r="E761">
        <v>112</v>
      </c>
      <c r="F761" t="s">
        <v>3078</v>
      </c>
      <c r="G761">
        <v>6.2</v>
      </c>
      <c r="H761">
        <v>48</v>
      </c>
      <c r="I761" t="s">
        <v>3079</v>
      </c>
      <c r="J761" t="s">
        <v>74</v>
      </c>
      <c r="K761" t="s">
        <v>3080</v>
      </c>
      <c r="L761">
        <v>182825</v>
      </c>
      <c r="M761">
        <v>263.27999999999997</v>
      </c>
    </row>
    <row r="762" spans="1:13" x14ac:dyDescent="0.3">
      <c r="A762" t="s">
        <v>3081</v>
      </c>
      <c r="B762" t="s">
        <v>3082</v>
      </c>
      <c r="C762">
        <v>2010</v>
      </c>
      <c r="D762" t="s">
        <v>24</v>
      </c>
      <c r="E762">
        <v>94</v>
      </c>
      <c r="F762" t="s">
        <v>2589</v>
      </c>
      <c r="G762">
        <v>6.2</v>
      </c>
      <c r="I762" t="s">
        <v>1155</v>
      </c>
      <c r="J762" t="s">
        <v>50</v>
      </c>
      <c r="K762" t="s">
        <v>3083</v>
      </c>
      <c r="L762">
        <v>34105</v>
      </c>
      <c r="M762">
        <v>218.4</v>
      </c>
    </row>
    <row r="763" spans="1:13" x14ac:dyDescent="0.3">
      <c r="A763" t="s">
        <v>3084</v>
      </c>
      <c r="B763" t="s">
        <v>3085</v>
      </c>
      <c r="C763">
        <v>2000</v>
      </c>
      <c r="D763" t="s">
        <v>54</v>
      </c>
      <c r="E763">
        <v>113</v>
      </c>
      <c r="F763" t="s">
        <v>2211</v>
      </c>
      <c r="G763">
        <v>6.2</v>
      </c>
      <c r="I763" t="s">
        <v>355</v>
      </c>
      <c r="J763" t="s">
        <v>33</v>
      </c>
      <c r="K763" t="s">
        <v>3086</v>
      </c>
      <c r="L763">
        <v>38036</v>
      </c>
      <c r="M763">
        <v>98.29</v>
      </c>
    </row>
    <row r="764" spans="1:13" x14ac:dyDescent="0.3">
      <c r="A764" t="s">
        <v>3087</v>
      </c>
      <c r="B764" t="s">
        <v>3088</v>
      </c>
      <c r="C764">
        <v>2005</v>
      </c>
      <c r="D764" t="s">
        <v>54</v>
      </c>
      <c r="E764">
        <v>132</v>
      </c>
      <c r="F764" t="s">
        <v>3089</v>
      </c>
      <c r="G764">
        <v>6.2</v>
      </c>
      <c r="H764">
        <v>66</v>
      </c>
      <c r="I764" t="s">
        <v>3090</v>
      </c>
      <c r="J764" t="s">
        <v>33</v>
      </c>
      <c r="K764" t="s">
        <v>3091</v>
      </c>
      <c r="L764">
        <v>10051</v>
      </c>
    </row>
    <row r="765" spans="1:13" x14ac:dyDescent="0.3">
      <c r="A765" t="s">
        <v>3092</v>
      </c>
      <c r="B765" t="s">
        <v>3093</v>
      </c>
      <c r="C765">
        <v>2012</v>
      </c>
      <c r="D765" t="s">
        <v>293</v>
      </c>
      <c r="E765">
        <v>144</v>
      </c>
      <c r="F765" t="s">
        <v>3094</v>
      </c>
      <c r="G765">
        <v>6.2</v>
      </c>
      <c r="H765">
        <v>72</v>
      </c>
      <c r="I765" t="s">
        <v>2640</v>
      </c>
      <c r="J765" t="s">
        <v>483</v>
      </c>
      <c r="K765" t="s">
        <v>3095</v>
      </c>
      <c r="L765">
        <v>12451</v>
      </c>
    </row>
    <row r="766" spans="1:13" x14ac:dyDescent="0.3">
      <c r="A766" t="s">
        <v>3096</v>
      </c>
      <c r="B766" t="s">
        <v>3097</v>
      </c>
      <c r="C766">
        <v>2002</v>
      </c>
      <c r="D766" t="s">
        <v>17</v>
      </c>
      <c r="E766">
        <v>109</v>
      </c>
      <c r="F766" t="s">
        <v>3098</v>
      </c>
      <c r="G766">
        <v>6.2</v>
      </c>
      <c r="I766" t="s">
        <v>3099</v>
      </c>
      <c r="J766" t="s">
        <v>524</v>
      </c>
      <c r="K766" t="s">
        <v>3100</v>
      </c>
      <c r="L766">
        <v>70238</v>
      </c>
      <c r="M766">
        <v>36.72</v>
      </c>
    </row>
    <row r="767" spans="1:13" x14ac:dyDescent="0.3">
      <c r="A767" t="s">
        <v>3101</v>
      </c>
      <c r="B767" t="s">
        <v>3102</v>
      </c>
      <c r="C767">
        <v>2004</v>
      </c>
      <c r="D767" t="s">
        <v>285</v>
      </c>
      <c r="E767">
        <v>128</v>
      </c>
      <c r="F767" t="s">
        <v>1327</v>
      </c>
      <c r="G767">
        <v>6.2</v>
      </c>
      <c r="I767" t="s">
        <v>38</v>
      </c>
      <c r="J767" t="s">
        <v>147</v>
      </c>
      <c r="K767" t="s">
        <v>3103</v>
      </c>
      <c r="L767">
        <v>55069</v>
      </c>
      <c r="M767">
        <v>105.26</v>
      </c>
    </row>
    <row r="768" spans="1:13" x14ac:dyDescent="0.3">
      <c r="A768" t="s">
        <v>3104</v>
      </c>
      <c r="B768" t="s">
        <v>3105</v>
      </c>
      <c r="C768">
        <v>2006</v>
      </c>
      <c r="D768" t="s">
        <v>17</v>
      </c>
      <c r="E768">
        <v>123</v>
      </c>
      <c r="F768" t="s">
        <v>3106</v>
      </c>
      <c r="G768">
        <v>6.2</v>
      </c>
      <c r="H768">
        <v>72</v>
      </c>
      <c r="I768" t="s">
        <v>412</v>
      </c>
      <c r="J768" t="s">
        <v>131</v>
      </c>
      <c r="K768" t="s">
        <v>3107</v>
      </c>
      <c r="L768">
        <v>37268</v>
      </c>
    </row>
    <row r="769" spans="1:13" x14ac:dyDescent="0.3">
      <c r="A769" t="s">
        <v>3108</v>
      </c>
      <c r="B769" t="s">
        <v>3109</v>
      </c>
      <c r="C769">
        <v>2011</v>
      </c>
      <c r="D769" t="s">
        <v>54</v>
      </c>
      <c r="E769">
        <v>144</v>
      </c>
      <c r="F769" t="s">
        <v>3045</v>
      </c>
      <c r="G769">
        <v>6.2</v>
      </c>
      <c r="H769">
        <v>68</v>
      </c>
      <c r="I769" t="s">
        <v>3110</v>
      </c>
      <c r="J769" t="s">
        <v>50</v>
      </c>
      <c r="K769" t="s">
        <v>3111</v>
      </c>
      <c r="L769">
        <v>90988</v>
      </c>
      <c r="M769">
        <v>251.49</v>
      </c>
    </row>
    <row r="770" spans="1:13" x14ac:dyDescent="0.3">
      <c r="A770" t="s">
        <v>3112</v>
      </c>
      <c r="B770" t="s">
        <v>3113</v>
      </c>
      <c r="C770">
        <v>2003</v>
      </c>
      <c r="D770" t="s">
        <v>17</v>
      </c>
      <c r="E770">
        <v>94</v>
      </c>
      <c r="F770" t="s">
        <v>1044</v>
      </c>
      <c r="G770">
        <v>6.2</v>
      </c>
      <c r="I770" t="s">
        <v>226</v>
      </c>
      <c r="J770" t="s">
        <v>315</v>
      </c>
      <c r="K770" t="s">
        <v>3114</v>
      </c>
      <c r="L770">
        <v>62263</v>
      </c>
      <c r="M770">
        <v>28.32</v>
      </c>
    </row>
    <row r="771" spans="1:13" x14ac:dyDescent="0.3">
      <c r="A771" t="s">
        <v>3115</v>
      </c>
      <c r="B771" t="s">
        <v>3116</v>
      </c>
      <c r="C771">
        <v>2015</v>
      </c>
      <c r="D771" t="s">
        <v>54</v>
      </c>
      <c r="E771">
        <v>136</v>
      </c>
      <c r="F771" t="s">
        <v>1170</v>
      </c>
      <c r="G771">
        <v>6.2</v>
      </c>
      <c r="H771">
        <v>74</v>
      </c>
      <c r="I771" t="s">
        <v>164</v>
      </c>
      <c r="J771" t="s">
        <v>50</v>
      </c>
      <c r="K771" t="s">
        <v>3117</v>
      </c>
      <c r="L771">
        <v>30660</v>
      </c>
      <c r="M771">
        <v>204.22</v>
      </c>
    </row>
    <row r="772" spans="1:13" x14ac:dyDescent="0.3">
      <c r="A772" t="s">
        <v>3118</v>
      </c>
      <c r="B772" t="s">
        <v>3119</v>
      </c>
      <c r="C772">
        <v>2010</v>
      </c>
      <c r="D772" t="s">
        <v>17</v>
      </c>
      <c r="E772">
        <v>105</v>
      </c>
      <c r="F772" t="s">
        <v>3120</v>
      </c>
      <c r="G772">
        <v>6.2</v>
      </c>
      <c r="I772" t="s">
        <v>201</v>
      </c>
      <c r="J772" t="s">
        <v>165</v>
      </c>
      <c r="K772" t="s">
        <v>3121</v>
      </c>
      <c r="L772">
        <v>7303</v>
      </c>
      <c r="M772">
        <v>235.3</v>
      </c>
    </row>
    <row r="773" spans="1:13" x14ac:dyDescent="0.3">
      <c r="A773" t="s">
        <v>3122</v>
      </c>
      <c r="B773" t="s">
        <v>3123</v>
      </c>
      <c r="C773">
        <v>2007</v>
      </c>
      <c r="D773" t="s">
        <v>54</v>
      </c>
      <c r="E773">
        <v>116</v>
      </c>
      <c r="F773" t="s">
        <v>2790</v>
      </c>
      <c r="G773">
        <v>6.2</v>
      </c>
      <c r="H773">
        <v>55</v>
      </c>
      <c r="I773" t="s">
        <v>269</v>
      </c>
      <c r="J773" t="s">
        <v>547</v>
      </c>
      <c r="K773" t="s">
        <v>3124</v>
      </c>
      <c r="L773">
        <v>434502</v>
      </c>
      <c r="M773">
        <v>168.04</v>
      </c>
    </row>
    <row r="774" spans="1:13" x14ac:dyDescent="0.3">
      <c r="A774" t="s">
        <v>3125</v>
      </c>
      <c r="B774" t="s">
        <v>3126</v>
      </c>
      <c r="C774">
        <v>2014</v>
      </c>
      <c r="D774" t="s">
        <v>293</v>
      </c>
      <c r="E774">
        <v>136</v>
      </c>
      <c r="F774" t="s">
        <v>3127</v>
      </c>
      <c r="G774">
        <v>6.2</v>
      </c>
      <c r="H774">
        <v>51</v>
      </c>
      <c r="I774" t="s">
        <v>395</v>
      </c>
      <c r="J774" t="s">
        <v>159</v>
      </c>
      <c r="K774" t="s">
        <v>3128</v>
      </c>
      <c r="L774">
        <v>25914</v>
      </c>
      <c r="M774">
        <v>29</v>
      </c>
    </row>
    <row r="775" spans="1:13" x14ac:dyDescent="0.3">
      <c r="A775" t="s">
        <v>3129</v>
      </c>
      <c r="B775" t="s">
        <v>3130</v>
      </c>
      <c r="C775">
        <v>2013</v>
      </c>
      <c r="D775" t="s">
        <v>285</v>
      </c>
      <c r="E775">
        <v>140</v>
      </c>
      <c r="F775" t="s">
        <v>767</v>
      </c>
      <c r="G775">
        <v>6.2</v>
      </c>
      <c r="H775">
        <v>60</v>
      </c>
      <c r="I775" t="s">
        <v>320</v>
      </c>
      <c r="J775" t="s">
        <v>524</v>
      </c>
      <c r="K775" t="s">
        <v>3131</v>
      </c>
      <c r="L775">
        <v>196013</v>
      </c>
      <c r="M775">
        <v>482.73</v>
      </c>
    </row>
    <row r="776" spans="1:13" x14ac:dyDescent="0.3">
      <c r="A776" t="s">
        <v>3132</v>
      </c>
      <c r="B776" t="s">
        <v>3133</v>
      </c>
      <c r="C776">
        <v>2010</v>
      </c>
      <c r="D776" t="s">
        <v>17</v>
      </c>
      <c r="E776">
        <v>85</v>
      </c>
      <c r="F776" t="s">
        <v>817</v>
      </c>
      <c r="G776">
        <v>6.2</v>
      </c>
      <c r="H776">
        <v>72</v>
      </c>
      <c r="I776" t="s">
        <v>32</v>
      </c>
      <c r="J776" t="s">
        <v>33</v>
      </c>
      <c r="K776" t="s">
        <v>3134</v>
      </c>
      <c r="L776">
        <v>359031</v>
      </c>
    </row>
    <row r="777" spans="1:13" x14ac:dyDescent="0.3">
      <c r="A777" t="s">
        <v>3135</v>
      </c>
      <c r="B777" t="s">
        <v>3136</v>
      </c>
      <c r="C777">
        <v>2007</v>
      </c>
      <c r="D777" t="s">
        <v>17</v>
      </c>
      <c r="E777">
        <v>110</v>
      </c>
      <c r="F777" t="s">
        <v>3137</v>
      </c>
      <c r="G777">
        <v>6.2</v>
      </c>
      <c r="I777" t="s">
        <v>164</v>
      </c>
      <c r="J777" t="s">
        <v>368</v>
      </c>
      <c r="K777" t="s">
        <v>3138</v>
      </c>
      <c r="L777">
        <v>63021</v>
      </c>
      <c r="M777">
        <v>159.86000000000001</v>
      </c>
    </row>
    <row r="778" spans="1:13" x14ac:dyDescent="0.3">
      <c r="A778" t="s">
        <v>3139</v>
      </c>
      <c r="B778" t="s">
        <v>3140</v>
      </c>
      <c r="C778">
        <v>2013</v>
      </c>
      <c r="D778" t="s">
        <v>54</v>
      </c>
      <c r="E778">
        <v>109</v>
      </c>
      <c r="F778" t="s">
        <v>308</v>
      </c>
      <c r="G778">
        <v>6.2</v>
      </c>
      <c r="H778">
        <v>55</v>
      </c>
      <c r="I778" t="s">
        <v>158</v>
      </c>
      <c r="J778" t="s">
        <v>547</v>
      </c>
      <c r="K778" t="s">
        <v>3141</v>
      </c>
      <c r="L778">
        <v>26024</v>
      </c>
      <c r="M778">
        <v>419.59</v>
      </c>
    </row>
    <row r="779" spans="1:13" x14ac:dyDescent="0.3">
      <c r="A779" t="s">
        <v>3142</v>
      </c>
      <c r="B779" t="s">
        <v>3143</v>
      </c>
      <c r="C779">
        <v>2001</v>
      </c>
      <c r="D779" t="s">
        <v>24</v>
      </c>
      <c r="E779">
        <v>104</v>
      </c>
      <c r="F779" t="s">
        <v>868</v>
      </c>
      <c r="G779">
        <v>6.2</v>
      </c>
      <c r="H779">
        <v>64</v>
      </c>
      <c r="I779" t="s">
        <v>1150</v>
      </c>
      <c r="J779" t="s">
        <v>159</v>
      </c>
      <c r="K779" t="s">
        <v>3144</v>
      </c>
      <c r="L779">
        <v>7259</v>
      </c>
      <c r="M779">
        <v>301.2</v>
      </c>
    </row>
    <row r="780" spans="1:13" x14ac:dyDescent="0.3">
      <c r="A780" t="s">
        <v>3145</v>
      </c>
      <c r="B780" t="s">
        <v>3146</v>
      </c>
      <c r="C780">
        <v>2011</v>
      </c>
      <c r="D780" t="s">
        <v>24</v>
      </c>
      <c r="E780">
        <v>121</v>
      </c>
      <c r="F780" t="s">
        <v>1044</v>
      </c>
      <c r="G780">
        <v>6.2</v>
      </c>
      <c r="I780" t="s">
        <v>164</v>
      </c>
      <c r="J780" t="s">
        <v>119</v>
      </c>
      <c r="K780" t="s">
        <v>3147</v>
      </c>
      <c r="L780">
        <v>170644</v>
      </c>
    </row>
    <row r="781" spans="1:13" x14ac:dyDescent="0.3">
      <c r="A781" t="s">
        <v>3148</v>
      </c>
      <c r="B781" t="s">
        <v>3149</v>
      </c>
      <c r="C781">
        <v>2010</v>
      </c>
      <c r="D781" t="s">
        <v>24</v>
      </c>
      <c r="E781">
        <v>163</v>
      </c>
      <c r="F781" t="s">
        <v>1857</v>
      </c>
      <c r="G781">
        <v>6.2</v>
      </c>
      <c r="H781">
        <v>73</v>
      </c>
      <c r="I781" t="s">
        <v>220</v>
      </c>
      <c r="J781" t="s">
        <v>593</v>
      </c>
      <c r="K781" t="s">
        <v>3150</v>
      </c>
      <c r="L781">
        <v>240809</v>
      </c>
    </row>
    <row r="782" spans="1:13" x14ac:dyDescent="0.3">
      <c r="A782" t="s">
        <v>3151</v>
      </c>
      <c r="B782" t="s">
        <v>3152</v>
      </c>
      <c r="C782">
        <v>2006</v>
      </c>
      <c r="D782" t="s">
        <v>169</v>
      </c>
      <c r="E782">
        <v>113</v>
      </c>
      <c r="F782" t="s">
        <v>3153</v>
      </c>
      <c r="G782">
        <v>6.2</v>
      </c>
      <c r="H782">
        <v>69</v>
      </c>
      <c r="I782" t="s">
        <v>201</v>
      </c>
      <c r="J782" t="s">
        <v>86</v>
      </c>
      <c r="K782" t="s">
        <v>3154</v>
      </c>
      <c r="L782">
        <v>11757</v>
      </c>
      <c r="M782">
        <v>321.99</v>
      </c>
    </row>
    <row r="783" spans="1:13" x14ac:dyDescent="0.3">
      <c r="A783" t="s">
        <v>3155</v>
      </c>
      <c r="B783" t="s">
        <v>3156</v>
      </c>
      <c r="C783">
        <v>2006</v>
      </c>
      <c r="D783" t="s">
        <v>24</v>
      </c>
      <c r="E783">
        <v>104</v>
      </c>
      <c r="F783" t="s">
        <v>1794</v>
      </c>
      <c r="G783">
        <v>6.2</v>
      </c>
      <c r="I783" t="s">
        <v>3157</v>
      </c>
      <c r="J783" t="s">
        <v>92</v>
      </c>
      <c r="K783" t="s">
        <v>3158</v>
      </c>
      <c r="L783">
        <v>15149</v>
      </c>
    </row>
    <row r="784" spans="1:13" x14ac:dyDescent="0.3">
      <c r="A784" t="s">
        <v>3159</v>
      </c>
      <c r="B784" t="s">
        <v>3160</v>
      </c>
      <c r="C784">
        <v>2006</v>
      </c>
      <c r="D784" t="s">
        <v>17</v>
      </c>
      <c r="E784">
        <v>119</v>
      </c>
      <c r="F784" t="s">
        <v>3161</v>
      </c>
      <c r="G784">
        <v>6.2</v>
      </c>
      <c r="H784">
        <v>73</v>
      </c>
      <c r="I784" t="s">
        <v>67</v>
      </c>
      <c r="J784" t="s">
        <v>125</v>
      </c>
      <c r="K784" t="s">
        <v>3162</v>
      </c>
      <c r="L784">
        <v>28575</v>
      </c>
      <c r="M784">
        <v>289.39999999999998</v>
      </c>
    </row>
    <row r="785" spans="1:13" x14ac:dyDescent="0.3">
      <c r="A785" t="s">
        <v>3163</v>
      </c>
      <c r="B785" t="s">
        <v>3164</v>
      </c>
      <c r="C785">
        <v>2019</v>
      </c>
      <c r="D785" t="s">
        <v>54</v>
      </c>
      <c r="E785">
        <v>126</v>
      </c>
      <c r="F785" t="s">
        <v>157</v>
      </c>
      <c r="G785">
        <v>6.2</v>
      </c>
      <c r="H785">
        <v>52</v>
      </c>
      <c r="I785" t="s">
        <v>158</v>
      </c>
      <c r="J785" t="s">
        <v>593</v>
      </c>
      <c r="K785" t="s">
        <v>3165</v>
      </c>
      <c r="L785">
        <v>265153</v>
      </c>
      <c r="M785">
        <v>101.48</v>
      </c>
    </row>
    <row r="786" spans="1:13" x14ac:dyDescent="0.3">
      <c r="A786" t="s">
        <v>3166</v>
      </c>
      <c r="B786" t="s">
        <v>3167</v>
      </c>
      <c r="C786">
        <v>2024</v>
      </c>
      <c r="D786" t="s">
        <v>54</v>
      </c>
      <c r="E786">
        <v>140</v>
      </c>
      <c r="F786" t="s">
        <v>1138</v>
      </c>
      <c r="G786">
        <v>6.2</v>
      </c>
      <c r="H786">
        <v>47</v>
      </c>
      <c r="I786" t="s">
        <v>3168</v>
      </c>
      <c r="J786" t="s">
        <v>221</v>
      </c>
      <c r="K786" t="s">
        <v>3169</v>
      </c>
      <c r="L786">
        <v>483447</v>
      </c>
      <c r="M786">
        <v>175.39</v>
      </c>
    </row>
    <row r="787" spans="1:13" x14ac:dyDescent="0.3">
      <c r="A787" t="s">
        <v>3170</v>
      </c>
      <c r="B787" t="s">
        <v>3171</v>
      </c>
      <c r="C787">
        <v>2016</v>
      </c>
      <c r="D787" t="s">
        <v>24</v>
      </c>
      <c r="E787">
        <v>130</v>
      </c>
      <c r="F787" t="s">
        <v>3172</v>
      </c>
      <c r="G787">
        <v>6.1</v>
      </c>
      <c r="H787">
        <v>75</v>
      </c>
      <c r="I787" t="s">
        <v>3173</v>
      </c>
      <c r="J787" t="s">
        <v>27</v>
      </c>
      <c r="K787" t="s">
        <v>3174</v>
      </c>
      <c r="L787">
        <v>79233</v>
      </c>
      <c r="M787">
        <v>170.4</v>
      </c>
    </row>
    <row r="788" spans="1:13" x14ac:dyDescent="0.3">
      <c r="A788" t="s">
        <v>3175</v>
      </c>
      <c r="B788" t="s">
        <v>3176</v>
      </c>
      <c r="C788">
        <v>2005</v>
      </c>
      <c r="D788" t="s">
        <v>24</v>
      </c>
      <c r="E788">
        <v>123</v>
      </c>
      <c r="F788" t="s">
        <v>2783</v>
      </c>
      <c r="G788">
        <v>6.1</v>
      </c>
      <c r="H788">
        <v>55</v>
      </c>
      <c r="I788" t="s">
        <v>3177</v>
      </c>
      <c r="J788" t="s">
        <v>50</v>
      </c>
      <c r="K788" t="s">
        <v>3178</v>
      </c>
      <c r="L788">
        <v>321755</v>
      </c>
    </row>
    <row r="789" spans="1:13" x14ac:dyDescent="0.3">
      <c r="A789" t="s">
        <v>3179</v>
      </c>
      <c r="B789" t="s">
        <v>3180</v>
      </c>
      <c r="C789">
        <v>2016</v>
      </c>
      <c r="D789" t="s">
        <v>17</v>
      </c>
      <c r="E789">
        <v>123</v>
      </c>
      <c r="F789" t="s">
        <v>277</v>
      </c>
      <c r="G789">
        <v>6.1</v>
      </c>
      <c r="I789" t="s">
        <v>3173</v>
      </c>
      <c r="J789" t="s">
        <v>159</v>
      </c>
      <c r="K789" t="s">
        <v>3181</v>
      </c>
      <c r="L789">
        <v>8266</v>
      </c>
      <c r="M789">
        <v>36.630000000000003</v>
      </c>
    </row>
    <row r="790" spans="1:13" x14ac:dyDescent="0.3">
      <c r="A790" t="s">
        <v>3182</v>
      </c>
      <c r="B790" t="s">
        <v>3183</v>
      </c>
      <c r="C790">
        <v>2023</v>
      </c>
      <c r="D790" t="s">
        <v>54</v>
      </c>
      <c r="E790">
        <v>116</v>
      </c>
      <c r="F790" t="s">
        <v>3184</v>
      </c>
      <c r="G790">
        <v>6.1</v>
      </c>
      <c r="H790">
        <v>60</v>
      </c>
      <c r="I790" t="s">
        <v>226</v>
      </c>
      <c r="J790" t="s">
        <v>63</v>
      </c>
      <c r="K790" t="s">
        <v>3185</v>
      </c>
      <c r="L790">
        <v>7562</v>
      </c>
      <c r="M790">
        <v>107.98</v>
      </c>
    </row>
    <row r="791" spans="1:13" x14ac:dyDescent="0.3">
      <c r="A791" t="s">
        <v>3186</v>
      </c>
      <c r="B791" t="s">
        <v>3187</v>
      </c>
      <c r="C791">
        <v>2003</v>
      </c>
      <c r="D791" t="s">
        <v>17</v>
      </c>
      <c r="E791">
        <v>138</v>
      </c>
      <c r="F791" t="s">
        <v>308</v>
      </c>
      <c r="G791">
        <v>6.1</v>
      </c>
      <c r="H791">
        <v>71</v>
      </c>
      <c r="I791" t="s">
        <v>3188</v>
      </c>
      <c r="J791" t="s">
        <v>33</v>
      </c>
      <c r="K791" t="s">
        <v>3189</v>
      </c>
      <c r="L791">
        <v>110258</v>
      </c>
      <c r="M791">
        <v>265.94</v>
      </c>
    </row>
    <row r="792" spans="1:13" x14ac:dyDescent="0.3">
      <c r="A792" t="s">
        <v>3190</v>
      </c>
      <c r="B792" t="s">
        <v>3191</v>
      </c>
      <c r="C792">
        <v>2008</v>
      </c>
      <c r="D792" t="s">
        <v>17</v>
      </c>
      <c r="E792">
        <v>117</v>
      </c>
      <c r="F792" t="s">
        <v>235</v>
      </c>
      <c r="G792">
        <v>6.1</v>
      </c>
      <c r="I792" t="s">
        <v>201</v>
      </c>
      <c r="J792" t="s">
        <v>39</v>
      </c>
      <c r="K792" t="s">
        <v>3192</v>
      </c>
      <c r="L792">
        <v>37724</v>
      </c>
    </row>
    <row r="793" spans="1:13" x14ac:dyDescent="0.3">
      <c r="A793" t="s">
        <v>3193</v>
      </c>
      <c r="B793" t="s">
        <v>3194</v>
      </c>
      <c r="C793">
        <v>2002</v>
      </c>
      <c r="D793" t="s">
        <v>17</v>
      </c>
      <c r="E793">
        <v>124</v>
      </c>
      <c r="F793" t="s">
        <v>2416</v>
      </c>
      <c r="G793">
        <v>6.1</v>
      </c>
      <c r="H793">
        <v>72</v>
      </c>
      <c r="I793" t="s">
        <v>158</v>
      </c>
      <c r="J793" t="s">
        <v>368</v>
      </c>
      <c r="K793" t="s">
        <v>3195</v>
      </c>
      <c r="L793">
        <v>37101</v>
      </c>
    </row>
    <row r="794" spans="1:13" x14ac:dyDescent="0.3">
      <c r="A794" t="s">
        <v>3196</v>
      </c>
      <c r="B794" t="s">
        <v>3197</v>
      </c>
      <c r="C794">
        <v>2010</v>
      </c>
      <c r="D794" t="s">
        <v>54</v>
      </c>
      <c r="E794">
        <v>116</v>
      </c>
      <c r="F794" t="s">
        <v>839</v>
      </c>
      <c r="G794">
        <v>6.1</v>
      </c>
      <c r="H794">
        <v>72</v>
      </c>
      <c r="I794" t="s">
        <v>995</v>
      </c>
      <c r="J794" t="s">
        <v>191</v>
      </c>
      <c r="K794" t="s">
        <v>3198</v>
      </c>
      <c r="L794">
        <v>133888</v>
      </c>
    </row>
    <row r="795" spans="1:13" x14ac:dyDescent="0.3">
      <c r="A795" t="s">
        <v>3199</v>
      </c>
      <c r="B795" t="s">
        <v>3200</v>
      </c>
      <c r="C795">
        <v>2011</v>
      </c>
      <c r="D795" t="s">
        <v>17</v>
      </c>
      <c r="E795">
        <v>86</v>
      </c>
      <c r="F795" t="s">
        <v>3201</v>
      </c>
      <c r="G795">
        <v>6.1</v>
      </c>
      <c r="I795" t="s">
        <v>85</v>
      </c>
      <c r="J795" t="s">
        <v>518</v>
      </c>
      <c r="K795" t="s">
        <v>3202</v>
      </c>
      <c r="L795">
        <v>254556</v>
      </c>
      <c r="M795">
        <v>164.26</v>
      </c>
    </row>
    <row r="796" spans="1:13" x14ac:dyDescent="0.3">
      <c r="A796" t="s">
        <v>3203</v>
      </c>
      <c r="B796" t="s">
        <v>3204</v>
      </c>
      <c r="C796">
        <v>2023</v>
      </c>
      <c r="D796" t="s">
        <v>24</v>
      </c>
      <c r="E796">
        <v>151</v>
      </c>
      <c r="F796" t="s">
        <v>157</v>
      </c>
      <c r="G796">
        <v>6.1</v>
      </c>
      <c r="H796">
        <v>56</v>
      </c>
      <c r="I796" t="s">
        <v>629</v>
      </c>
      <c r="J796" t="s">
        <v>147</v>
      </c>
      <c r="K796" t="s">
        <v>3205</v>
      </c>
      <c r="L796">
        <v>596331</v>
      </c>
    </row>
    <row r="797" spans="1:13" x14ac:dyDescent="0.3">
      <c r="A797" t="s">
        <v>3206</v>
      </c>
      <c r="B797" t="s">
        <v>3207</v>
      </c>
      <c r="C797">
        <v>2009</v>
      </c>
      <c r="D797" t="s">
        <v>285</v>
      </c>
      <c r="E797">
        <v>146</v>
      </c>
      <c r="F797" t="s">
        <v>225</v>
      </c>
      <c r="G797">
        <v>6.1</v>
      </c>
      <c r="H797">
        <v>60</v>
      </c>
      <c r="I797" t="s">
        <v>3208</v>
      </c>
      <c r="J797" t="s">
        <v>524</v>
      </c>
      <c r="K797" t="s">
        <v>3209</v>
      </c>
      <c r="L797">
        <v>28912</v>
      </c>
      <c r="M797">
        <v>275.74</v>
      </c>
    </row>
    <row r="798" spans="1:13" x14ac:dyDescent="0.3">
      <c r="A798" t="s">
        <v>3210</v>
      </c>
      <c r="B798" t="s">
        <v>3211</v>
      </c>
      <c r="C798">
        <v>1996</v>
      </c>
      <c r="D798" t="s">
        <v>54</v>
      </c>
      <c r="E798">
        <v>131</v>
      </c>
      <c r="F798" t="s">
        <v>1287</v>
      </c>
      <c r="G798">
        <v>6.1</v>
      </c>
      <c r="I798" t="s">
        <v>124</v>
      </c>
      <c r="J798" t="s">
        <v>74</v>
      </c>
      <c r="K798" t="s">
        <v>3212</v>
      </c>
      <c r="L798">
        <v>1381362</v>
      </c>
      <c r="M798">
        <v>262.67</v>
      </c>
    </row>
    <row r="799" spans="1:13" x14ac:dyDescent="0.3">
      <c r="A799" t="s">
        <v>3213</v>
      </c>
      <c r="B799" t="s">
        <v>3214</v>
      </c>
      <c r="C799">
        <v>1989</v>
      </c>
      <c r="D799" t="s">
        <v>17</v>
      </c>
      <c r="E799">
        <v>126</v>
      </c>
      <c r="F799" t="s">
        <v>78</v>
      </c>
      <c r="G799">
        <v>6.1</v>
      </c>
      <c r="H799">
        <v>72</v>
      </c>
      <c r="I799" t="s">
        <v>412</v>
      </c>
      <c r="J799" t="s">
        <v>191</v>
      </c>
      <c r="K799" t="s">
        <v>3215</v>
      </c>
      <c r="L799">
        <v>368023</v>
      </c>
      <c r="M799">
        <v>115.3</v>
      </c>
    </row>
    <row r="800" spans="1:13" x14ac:dyDescent="0.3">
      <c r="A800" t="s">
        <v>3216</v>
      </c>
      <c r="B800" t="s">
        <v>3217</v>
      </c>
      <c r="C800">
        <v>2000</v>
      </c>
      <c r="D800" t="s">
        <v>24</v>
      </c>
      <c r="E800">
        <v>139</v>
      </c>
      <c r="F800" t="s">
        <v>3218</v>
      </c>
      <c r="G800">
        <v>6.1</v>
      </c>
      <c r="I800" t="s">
        <v>3219</v>
      </c>
      <c r="J800" t="s">
        <v>524</v>
      </c>
      <c r="K800" t="s">
        <v>3220</v>
      </c>
      <c r="L800">
        <v>7095</v>
      </c>
      <c r="M800">
        <v>279.05</v>
      </c>
    </row>
    <row r="801" spans="1:13" x14ac:dyDescent="0.3">
      <c r="A801" t="s">
        <v>3221</v>
      </c>
      <c r="B801" t="s">
        <v>3222</v>
      </c>
      <c r="C801">
        <v>2000</v>
      </c>
      <c r="D801" t="s">
        <v>17</v>
      </c>
      <c r="E801">
        <v>87</v>
      </c>
      <c r="F801" t="s">
        <v>767</v>
      </c>
      <c r="G801">
        <v>6.1</v>
      </c>
      <c r="H801">
        <v>64</v>
      </c>
      <c r="I801" t="s">
        <v>3223</v>
      </c>
      <c r="J801" t="s">
        <v>147</v>
      </c>
      <c r="K801" t="s">
        <v>3224</v>
      </c>
      <c r="L801">
        <v>18888</v>
      </c>
      <c r="M801">
        <v>115.49</v>
      </c>
    </row>
    <row r="802" spans="1:13" x14ac:dyDescent="0.3">
      <c r="A802" t="s">
        <v>3225</v>
      </c>
      <c r="B802" t="s">
        <v>3226</v>
      </c>
      <c r="C802">
        <v>2013</v>
      </c>
      <c r="D802" t="s">
        <v>17</v>
      </c>
      <c r="E802">
        <v>112</v>
      </c>
      <c r="F802" t="s">
        <v>1044</v>
      </c>
      <c r="G802">
        <v>6.1</v>
      </c>
      <c r="I802" t="s">
        <v>3227</v>
      </c>
      <c r="J802" t="s">
        <v>27</v>
      </c>
      <c r="K802" t="s">
        <v>3228</v>
      </c>
      <c r="L802">
        <v>68132</v>
      </c>
    </row>
    <row r="803" spans="1:13" x14ac:dyDescent="0.3">
      <c r="A803" t="s">
        <v>3229</v>
      </c>
      <c r="B803" t="s">
        <v>3230</v>
      </c>
      <c r="C803">
        <v>2022</v>
      </c>
      <c r="D803" t="s">
        <v>54</v>
      </c>
      <c r="E803">
        <v>132</v>
      </c>
      <c r="F803" t="s">
        <v>2452</v>
      </c>
      <c r="G803">
        <v>6.1</v>
      </c>
      <c r="I803" t="s">
        <v>3231</v>
      </c>
      <c r="J803" t="s">
        <v>27</v>
      </c>
      <c r="K803" t="s">
        <v>3232</v>
      </c>
      <c r="L803">
        <v>229356</v>
      </c>
    </row>
    <row r="804" spans="1:13" x14ac:dyDescent="0.3">
      <c r="A804" t="s">
        <v>3233</v>
      </c>
      <c r="B804" t="s">
        <v>3234</v>
      </c>
      <c r="C804">
        <v>2001</v>
      </c>
      <c r="D804" t="s">
        <v>17</v>
      </c>
      <c r="E804">
        <v>118</v>
      </c>
      <c r="F804" t="s">
        <v>3235</v>
      </c>
      <c r="G804">
        <v>6.1</v>
      </c>
      <c r="H804">
        <v>69</v>
      </c>
      <c r="I804" t="s">
        <v>136</v>
      </c>
      <c r="J804" t="s">
        <v>27</v>
      </c>
      <c r="K804" t="s">
        <v>3236</v>
      </c>
      <c r="L804">
        <v>39300</v>
      </c>
      <c r="M804">
        <v>290.8</v>
      </c>
    </row>
    <row r="805" spans="1:13" x14ac:dyDescent="0.3">
      <c r="A805" t="s">
        <v>3237</v>
      </c>
      <c r="B805" t="s">
        <v>3238</v>
      </c>
      <c r="C805">
        <v>2024</v>
      </c>
      <c r="D805" t="s">
        <v>17</v>
      </c>
      <c r="E805">
        <v>171</v>
      </c>
      <c r="F805" t="s">
        <v>868</v>
      </c>
      <c r="G805">
        <v>6.1</v>
      </c>
      <c r="I805" t="s">
        <v>3239</v>
      </c>
      <c r="J805" t="s">
        <v>86</v>
      </c>
      <c r="K805" t="s">
        <v>3240</v>
      </c>
      <c r="L805">
        <v>699887</v>
      </c>
      <c r="M805">
        <v>224.88</v>
      </c>
    </row>
    <row r="806" spans="1:13" x14ac:dyDescent="0.3">
      <c r="A806" t="s">
        <v>3241</v>
      </c>
      <c r="B806" t="s">
        <v>3242</v>
      </c>
      <c r="C806">
        <v>2002</v>
      </c>
      <c r="D806" t="s">
        <v>17</v>
      </c>
      <c r="E806">
        <v>120</v>
      </c>
      <c r="F806" t="s">
        <v>3243</v>
      </c>
      <c r="G806">
        <v>6.1</v>
      </c>
      <c r="I806" t="s">
        <v>136</v>
      </c>
      <c r="J806" t="s">
        <v>80</v>
      </c>
      <c r="K806" t="s">
        <v>3244</v>
      </c>
      <c r="L806">
        <v>158327</v>
      </c>
    </row>
    <row r="807" spans="1:13" x14ac:dyDescent="0.3">
      <c r="A807" t="s">
        <v>3245</v>
      </c>
      <c r="B807" t="s">
        <v>3246</v>
      </c>
      <c r="C807">
        <v>1997</v>
      </c>
      <c r="D807" t="s">
        <v>54</v>
      </c>
      <c r="E807">
        <v>124</v>
      </c>
      <c r="F807" t="s">
        <v>84</v>
      </c>
      <c r="G807">
        <v>6.1</v>
      </c>
      <c r="I807" t="s">
        <v>3247</v>
      </c>
      <c r="J807" t="s">
        <v>326</v>
      </c>
      <c r="K807" t="s">
        <v>3248</v>
      </c>
      <c r="L807">
        <v>7091</v>
      </c>
      <c r="M807">
        <v>233.68</v>
      </c>
    </row>
    <row r="808" spans="1:13" x14ac:dyDescent="0.3">
      <c r="A808" t="s">
        <v>3249</v>
      </c>
      <c r="B808" t="s">
        <v>3250</v>
      </c>
      <c r="C808">
        <v>2007</v>
      </c>
      <c r="D808" t="s">
        <v>17</v>
      </c>
      <c r="E808">
        <v>119</v>
      </c>
      <c r="F808" t="s">
        <v>244</v>
      </c>
      <c r="G808">
        <v>6.1</v>
      </c>
      <c r="H808">
        <v>67</v>
      </c>
      <c r="I808" t="s">
        <v>1363</v>
      </c>
      <c r="J808" t="s">
        <v>86</v>
      </c>
      <c r="K808" t="s">
        <v>3251</v>
      </c>
      <c r="L808">
        <v>1577</v>
      </c>
      <c r="M808">
        <v>478.37</v>
      </c>
    </row>
    <row r="809" spans="1:13" x14ac:dyDescent="0.3">
      <c r="A809" t="s">
        <v>3252</v>
      </c>
      <c r="B809" t="s">
        <v>3253</v>
      </c>
      <c r="C809">
        <v>2001</v>
      </c>
      <c r="D809" t="s">
        <v>24</v>
      </c>
      <c r="E809">
        <v>107</v>
      </c>
      <c r="F809" t="s">
        <v>1424</v>
      </c>
      <c r="G809">
        <v>6.1</v>
      </c>
      <c r="H809">
        <v>57</v>
      </c>
      <c r="I809" t="s">
        <v>3254</v>
      </c>
      <c r="J809" t="s">
        <v>74</v>
      </c>
      <c r="K809" t="s">
        <v>3255</v>
      </c>
      <c r="L809">
        <v>29024</v>
      </c>
      <c r="M809">
        <v>84.25</v>
      </c>
    </row>
    <row r="810" spans="1:13" x14ac:dyDescent="0.3">
      <c r="A810" t="s">
        <v>3256</v>
      </c>
      <c r="B810" t="s">
        <v>3257</v>
      </c>
      <c r="C810">
        <v>1988</v>
      </c>
      <c r="D810" t="s">
        <v>17</v>
      </c>
      <c r="E810">
        <v>163</v>
      </c>
      <c r="F810" t="s">
        <v>3258</v>
      </c>
      <c r="G810">
        <v>6.1</v>
      </c>
      <c r="H810">
        <v>71</v>
      </c>
      <c r="I810" t="s">
        <v>3259</v>
      </c>
      <c r="J810" t="s">
        <v>159</v>
      </c>
      <c r="K810" t="s">
        <v>3260</v>
      </c>
      <c r="L810">
        <v>10194</v>
      </c>
      <c r="M810">
        <v>50.17</v>
      </c>
    </row>
    <row r="811" spans="1:13" x14ac:dyDescent="0.3">
      <c r="A811" t="s">
        <v>3261</v>
      </c>
      <c r="B811" t="s">
        <v>3262</v>
      </c>
      <c r="C811">
        <v>2022</v>
      </c>
      <c r="D811" t="s">
        <v>54</v>
      </c>
      <c r="E811">
        <v>105</v>
      </c>
      <c r="F811" t="s">
        <v>1567</v>
      </c>
      <c r="G811">
        <v>6.1</v>
      </c>
      <c r="H811">
        <v>53</v>
      </c>
      <c r="I811" t="s">
        <v>491</v>
      </c>
      <c r="J811" t="s">
        <v>159</v>
      </c>
      <c r="K811" t="s">
        <v>3263</v>
      </c>
      <c r="L811">
        <v>80890</v>
      </c>
      <c r="M811">
        <v>369.21</v>
      </c>
    </row>
    <row r="812" spans="1:13" x14ac:dyDescent="0.3">
      <c r="A812" t="s">
        <v>3264</v>
      </c>
      <c r="B812" t="s">
        <v>3265</v>
      </c>
      <c r="C812">
        <v>1988</v>
      </c>
      <c r="D812" t="s">
        <v>17</v>
      </c>
      <c r="E812">
        <v>108</v>
      </c>
      <c r="F812" t="s">
        <v>385</v>
      </c>
      <c r="G812">
        <v>6.1</v>
      </c>
      <c r="I812" t="s">
        <v>3266</v>
      </c>
      <c r="J812" t="s">
        <v>236</v>
      </c>
      <c r="K812" t="s">
        <v>3267</v>
      </c>
      <c r="L812">
        <v>51777</v>
      </c>
    </row>
    <row r="813" spans="1:13" x14ac:dyDescent="0.3">
      <c r="A813" t="s">
        <v>3268</v>
      </c>
      <c r="B813" t="s">
        <v>3269</v>
      </c>
      <c r="C813">
        <v>2020</v>
      </c>
      <c r="D813" t="s">
        <v>17</v>
      </c>
      <c r="E813">
        <v>121</v>
      </c>
      <c r="F813" t="s">
        <v>3270</v>
      </c>
      <c r="G813">
        <v>6.1</v>
      </c>
      <c r="H813">
        <v>60</v>
      </c>
      <c r="I813" t="s">
        <v>915</v>
      </c>
      <c r="J813" t="s">
        <v>125</v>
      </c>
      <c r="K813" t="s">
        <v>3271</v>
      </c>
      <c r="L813">
        <v>17228</v>
      </c>
    </row>
    <row r="814" spans="1:13" x14ac:dyDescent="0.3">
      <c r="A814" t="s">
        <v>3272</v>
      </c>
      <c r="B814" t="s">
        <v>3273</v>
      </c>
      <c r="C814">
        <v>2000</v>
      </c>
      <c r="D814" t="s">
        <v>54</v>
      </c>
      <c r="E814">
        <v>108</v>
      </c>
      <c r="F814" t="s">
        <v>235</v>
      </c>
      <c r="G814">
        <v>6.1</v>
      </c>
      <c r="H814">
        <v>62</v>
      </c>
      <c r="I814" t="s">
        <v>683</v>
      </c>
      <c r="J814" t="s">
        <v>86</v>
      </c>
      <c r="K814" t="s">
        <v>3274</v>
      </c>
      <c r="L814">
        <v>121433</v>
      </c>
    </row>
    <row r="815" spans="1:13" x14ac:dyDescent="0.3">
      <c r="A815" t="s">
        <v>3275</v>
      </c>
      <c r="B815" t="s">
        <v>3276</v>
      </c>
      <c r="C815">
        <v>2005</v>
      </c>
      <c r="D815" t="s">
        <v>24</v>
      </c>
      <c r="E815">
        <v>116</v>
      </c>
      <c r="F815" t="s">
        <v>72</v>
      </c>
      <c r="G815">
        <v>6.1</v>
      </c>
      <c r="I815" t="s">
        <v>3277</v>
      </c>
      <c r="J815" t="s">
        <v>524</v>
      </c>
      <c r="K815" t="s">
        <v>3278</v>
      </c>
      <c r="L815">
        <v>21747</v>
      </c>
    </row>
    <row r="816" spans="1:13" x14ac:dyDescent="0.3">
      <c r="A816" t="s">
        <v>3279</v>
      </c>
      <c r="B816" t="s">
        <v>3280</v>
      </c>
      <c r="C816">
        <v>2018</v>
      </c>
      <c r="D816" t="s">
        <v>17</v>
      </c>
      <c r="E816">
        <v>110</v>
      </c>
      <c r="F816" t="s">
        <v>2152</v>
      </c>
      <c r="G816">
        <v>6</v>
      </c>
      <c r="H816">
        <v>72</v>
      </c>
      <c r="I816" t="s">
        <v>3281</v>
      </c>
      <c r="J816" t="s">
        <v>131</v>
      </c>
      <c r="K816" t="s">
        <v>3282</v>
      </c>
      <c r="L816">
        <v>250935</v>
      </c>
    </row>
    <row r="817" spans="1:13" x14ac:dyDescent="0.3">
      <c r="A817" t="s">
        <v>3283</v>
      </c>
      <c r="B817" t="s">
        <v>3284</v>
      </c>
      <c r="C817">
        <v>2017</v>
      </c>
      <c r="D817" t="s">
        <v>17</v>
      </c>
      <c r="E817">
        <v>143</v>
      </c>
      <c r="F817" t="s">
        <v>1775</v>
      </c>
      <c r="G817">
        <v>6</v>
      </c>
      <c r="I817" t="s">
        <v>3285</v>
      </c>
      <c r="J817" t="s">
        <v>113</v>
      </c>
      <c r="K817" t="s">
        <v>3286</v>
      </c>
      <c r="L817">
        <v>85609</v>
      </c>
      <c r="M817">
        <v>248.38</v>
      </c>
    </row>
    <row r="818" spans="1:13" x14ac:dyDescent="0.3">
      <c r="A818" t="s">
        <v>3287</v>
      </c>
      <c r="B818" t="s">
        <v>3288</v>
      </c>
      <c r="C818">
        <v>2006</v>
      </c>
      <c r="D818" t="s">
        <v>54</v>
      </c>
      <c r="E818">
        <v>115</v>
      </c>
      <c r="F818" t="s">
        <v>55</v>
      </c>
      <c r="G818">
        <v>6</v>
      </c>
      <c r="H818">
        <v>59</v>
      </c>
      <c r="I818" t="s">
        <v>1207</v>
      </c>
      <c r="J818" t="s">
        <v>547</v>
      </c>
      <c r="K818" t="s">
        <v>3289</v>
      </c>
      <c r="L818">
        <v>1554110</v>
      </c>
      <c r="M818">
        <v>213.99</v>
      </c>
    </row>
    <row r="819" spans="1:13" x14ac:dyDescent="0.3">
      <c r="A819" t="s">
        <v>3290</v>
      </c>
      <c r="B819" t="s">
        <v>3291</v>
      </c>
      <c r="C819">
        <v>2003</v>
      </c>
      <c r="D819" t="s">
        <v>285</v>
      </c>
      <c r="E819">
        <v>111</v>
      </c>
      <c r="F819" t="s">
        <v>72</v>
      </c>
      <c r="G819">
        <v>6</v>
      </c>
      <c r="H819">
        <v>46</v>
      </c>
      <c r="I819" t="s">
        <v>578</v>
      </c>
      <c r="J819" t="s">
        <v>518</v>
      </c>
      <c r="K819" t="s">
        <v>3292</v>
      </c>
      <c r="L819">
        <v>46192</v>
      </c>
      <c r="M819">
        <v>287.14999999999998</v>
      </c>
    </row>
    <row r="820" spans="1:13" x14ac:dyDescent="0.3">
      <c r="A820" t="s">
        <v>3293</v>
      </c>
      <c r="B820" t="s">
        <v>3294</v>
      </c>
      <c r="C820">
        <v>1980</v>
      </c>
      <c r="D820" t="s">
        <v>54</v>
      </c>
      <c r="E820">
        <v>136</v>
      </c>
      <c r="F820" t="s">
        <v>3295</v>
      </c>
      <c r="G820">
        <v>6</v>
      </c>
      <c r="H820">
        <v>70</v>
      </c>
      <c r="I820" t="s">
        <v>471</v>
      </c>
      <c r="J820" t="s">
        <v>251</v>
      </c>
      <c r="K820" t="s">
        <v>3296</v>
      </c>
      <c r="L820">
        <v>39995</v>
      </c>
      <c r="M820">
        <v>60.63</v>
      </c>
    </row>
    <row r="821" spans="1:13" x14ac:dyDescent="0.3">
      <c r="A821" t="s">
        <v>3297</v>
      </c>
      <c r="B821" t="s">
        <v>3298</v>
      </c>
      <c r="C821">
        <v>2007</v>
      </c>
      <c r="D821" t="s">
        <v>24</v>
      </c>
      <c r="E821">
        <v>97</v>
      </c>
      <c r="F821" t="s">
        <v>3299</v>
      </c>
      <c r="G821">
        <v>6</v>
      </c>
      <c r="H821">
        <v>49</v>
      </c>
      <c r="I821" t="s">
        <v>3300</v>
      </c>
      <c r="J821" t="s">
        <v>80</v>
      </c>
      <c r="K821" t="s">
        <v>3301</v>
      </c>
      <c r="L821">
        <v>275541</v>
      </c>
    </row>
    <row r="822" spans="1:13" x14ac:dyDescent="0.3">
      <c r="A822" t="s">
        <v>3302</v>
      </c>
      <c r="B822" t="s">
        <v>3303</v>
      </c>
      <c r="C822">
        <v>2013</v>
      </c>
      <c r="D822" t="s">
        <v>17</v>
      </c>
      <c r="E822">
        <v>131</v>
      </c>
      <c r="F822" t="s">
        <v>3258</v>
      </c>
      <c r="G822">
        <v>6</v>
      </c>
      <c r="I822" t="s">
        <v>3304</v>
      </c>
      <c r="J822" t="s">
        <v>608</v>
      </c>
      <c r="K822" t="s">
        <v>3305</v>
      </c>
      <c r="L822">
        <v>32014</v>
      </c>
    </row>
    <row r="823" spans="1:13" x14ac:dyDescent="0.3">
      <c r="A823" t="s">
        <v>3306</v>
      </c>
      <c r="B823" t="s">
        <v>3307</v>
      </c>
      <c r="C823">
        <v>2008</v>
      </c>
      <c r="D823" t="s">
        <v>285</v>
      </c>
      <c r="E823">
        <v>115</v>
      </c>
      <c r="F823" t="s">
        <v>235</v>
      </c>
      <c r="G823">
        <v>6</v>
      </c>
      <c r="I823" t="s">
        <v>201</v>
      </c>
      <c r="J823" t="s">
        <v>159</v>
      </c>
      <c r="K823" t="s">
        <v>3308</v>
      </c>
      <c r="L823">
        <v>17321</v>
      </c>
      <c r="M823">
        <v>317.42</v>
      </c>
    </row>
    <row r="824" spans="1:13" x14ac:dyDescent="0.3">
      <c r="A824" t="s">
        <v>3309</v>
      </c>
      <c r="B824" t="s">
        <v>3310</v>
      </c>
      <c r="C824">
        <v>2020</v>
      </c>
      <c r="D824" t="s">
        <v>17</v>
      </c>
      <c r="E824">
        <v>138</v>
      </c>
      <c r="F824" t="s">
        <v>55</v>
      </c>
      <c r="G824">
        <v>6</v>
      </c>
      <c r="H824">
        <v>61</v>
      </c>
      <c r="I824" t="s">
        <v>2292</v>
      </c>
      <c r="J824" t="s">
        <v>326</v>
      </c>
      <c r="K824" t="s">
        <v>3311</v>
      </c>
      <c r="L824">
        <v>584741</v>
      </c>
    </row>
    <row r="825" spans="1:13" x14ac:dyDescent="0.3">
      <c r="A825" t="s">
        <v>3312</v>
      </c>
      <c r="B825" t="s">
        <v>3313</v>
      </c>
      <c r="C825">
        <v>2007</v>
      </c>
      <c r="D825" t="s">
        <v>54</v>
      </c>
      <c r="E825">
        <v>113</v>
      </c>
      <c r="F825" t="s">
        <v>2749</v>
      </c>
      <c r="G825">
        <v>6</v>
      </c>
      <c r="I825" t="s">
        <v>381</v>
      </c>
      <c r="J825" t="s">
        <v>315</v>
      </c>
      <c r="K825" t="s">
        <v>3314</v>
      </c>
      <c r="L825">
        <v>15835</v>
      </c>
    </row>
    <row r="826" spans="1:13" x14ac:dyDescent="0.3">
      <c r="A826" t="s">
        <v>3315</v>
      </c>
      <c r="B826" t="s">
        <v>3316</v>
      </c>
      <c r="C826">
        <v>2022</v>
      </c>
      <c r="D826" t="s">
        <v>24</v>
      </c>
      <c r="E826">
        <v>119</v>
      </c>
      <c r="F826" t="s">
        <v>3317</v>
      </c>
      <c r="G826">
        <v>6</v>
      </c>
      <c r="H826">
        <v>65</v>
      </c>
      <c r="I826" t="s">
        <v>3318</v>
      </c>
      <c r="J826" t="s">
        <v>20</v>
      </c>
      <c r="K826" t="s">
        <v>3319</v>
      </c>
      <c r="L826">
        <v>14694</v>
      </c>
      <c r="M826">
        <v>366.94</v>
      </c>
    </row>
    <row r="827" spans="1:13" x14ac:dyDescent="0.3">
      <c r="A827" t="s">
        <v>3320</v>
      </c>
      <c r="B827" t="s">
        <v>3321</v>
      </c>
      <c r="C827">
        <v>1996</v>
      </c>
      <c r="D827" t="s">
        <v>17</v>
      </c>
      <c r="E827">
        <v>125</v>
      </c>
      <c r="F827" t="s">
        <v>3322</v>
      </c>
      <c r="G827">
        <v>6</v>
      </c>
      <c r="I827" t="s">
        <v>124</v>
      </c>
      <c r="J827" t="s">
        <v>131</v>
      </c>
      <c r="K827" t="s">
        <v>3323</v>
      </c>
      <c r="L827">
        <v>156043</v>
      </c>
      <c r="M827">
        <v>14.91</v>
      </c>
    </row>
    <row r="828" spans="1:13" x14ac:dyDescent="0.3">
      <c r="A828" t="s">
        <v>3324</v>
      </c>
      <c r="B828" t="s">
        <v>3325</v>
      </c>
      <c r="C828">
        <v>2001</v>
      </c>
      <c r="D828" t="s">
        <v>54</v>
      </c>
      <c r="E828">
        <v>112</v>
      </c>
      <c r="F828" t="s">
        <v>504</v>
      </c>
      <c r="G828">
        <v>6</v>
      </c>
      <c r="I828" t="s">
        <v>269</v>
      </c>
      <c r="J828" t="s">
        <v>236</v>
      </c>
      <c r="K828" t="s">
        <v>3326</v>
      </c>
      <c r="L828">
        <v>12491</v>
      </c>
    </row>
    <row r="829" spans="1:13" x14ac:dyDescent="0.3">
      <c r="A829" t="s">
        <v>3327</v>
      </c>
      <c r="B829" t="s">
        <v>3328</v>
      </c>
      <c r="C829">
        <v>2005</v>
      </c>
      <c r="D829" t="s">
        <v>17</v>
      </c>
      <c r="E829">
        <v>135</v>
      </c>
      <c r="F829" t="s">
        <v>3329</v>
      </c>
      <c r="G829">
        <v>6</v>
      </c>
      <c r="H829">
        <v>51</v>
      </c>
      <c r="I829" t="s">
        <v>3330</v>
      </c>
      <c r="J829" t="s">
        <v>137</v>
      </c>
      <c r="K829" t="s">
        <v>3331</v>
      </c>
      <c r="L829">
        <v>220666</v>
      </c>
      <c r="M829">
        <v>422.35</v>
      </c>
    </row>
    <row r="830" spans="1:13" x14ac:dyDescent="0.3">
      <c r="A830" t="s">
        <v>3332</v>
      </c>
      <c r="B830" t="s">
        <v>3333</v>
      </c>
      <c r="C830">
        <v>2012</v>
      </c>
      <c r="D830" t="s">
        <v>285</v>
      </c>
      <c r="E830">
        <v>145</v>
      </c>
      <c r="F830" t="s">
        <v>1180</v>
      </c>
      <c r="G830">
        <v>6</v>
      </c>
      <c r="H830">
        <v>64</v>
      </c>
      <c r="I830" t="s">
        <v>305</v>
      </c>
      <c r="J830" t="s">
        <v>27</v>
      </c>
      <c r="K830" t="s">
        <v>3334</v>
      </c>
      <c r="L830">
        <v>135295</v>
      </c>
      <c r="M830">
        <v>368.92</v>
      </c>
    </row>
    <row r="831" spans="1:13" x14ac:dyDescent="0.3">
      <c r="A831" t="s">
        <v>3335</v>
      </c>
      <c r="B831" t="s">
        <v>3336</v>
      </c>
      <c r="C831">
        <v>2011</v>
      </c>
      <c r="D831" t="s">
        <v>24</v>
      </c>
      <c r="E831">
        <v>117</v>
      </c>
      <c r="F831" t="s">
        <v>1185</v>
      </c>
      <c r="G831">
        <v>6</v>
      </c>
      <c r="I831" t="s">
        <v>19</v>
      </c>
      <c r="J831" t="s">
        <v>196</v>
      </c>
      <c r="K831" t="s">
        <v>3337</v>
      </c>
      <c r="L831">
        <v>19864</v>
      </c>
      <c r="M831">
        <v>220.47</v>
      </c>
    </row>
    <row r="832" spans="1:13" x14ac:dyDescent="0.3">
      <c r="A832" t="s">
        <v>3338</v>
      </c>
      <c r="B832" t="s">
        <v>3339</v>
      </c>
      <c r="C832">
        <v>2022</v>
      </c>
      <c r="D832" t="s">
        <v>17</v>
      </c>
      <c r="E832">
        <v>127</v>
      </c>
      <c r="F832" t="s">
        <v>1544</v>
      </c>
      <c r="G832">
        <v>6</v>
      </c>
      <c r="I832" t="s">
        <v>38</v>
      </c>
      <c r="J832" t="s">
        <v>33</v>
      </c>
      <c r="K832" t="s">
        <v>3340</v>
      </c>
      <c r="L832">
        <v>133511</v>
      </c>
      <c r="M832">
        <v>357.12</v>
      </c>
    </row>
    <row r="833" spans="1:13" x14ac:dyDescent="0.3">
      <c r="A833" t="s">
        <v>3341</v>
      </c>
      <c r="B833" t="s">
        <v>3342</v>
      </c>
      <c r="C833">
        <v>2023</v>
      </c>
      <c r="D833" t="s">
        <v>54</v>
      </c>
      <c r="E833">
        <v>110</v>
      </c>
      <c r="F833" t="s">
        <v>3343</v>
      </c>
      <c r="G833">
        <v>6</v>
      </c>
      <c r="H833">
        <v>60</v>
      </c>
      <c r="I833" t="s">
        <v>3344</v>
      </c>
      <c r="J833" t="s">
        <v>547</v>
      </c>
      <c r="K833" t="s">
        <v>3345</v>
      </c>
      <c r="L833">
        <v>169433</v>
      </c>
      <c r="M833">
        <v>343.64</v>
      </c>
    </row>
    <row r="834" spans="1:13" x14ac:dyDescent="0.3">
      <c r="A834" t="s">
        <v>3346</v>
      </c>
      <c r="B834" t="s">
        <v>3347</v>
      </c>
      <c r="C834">
        <v>1988</v>
      </c>
      <c r="D834" t="s">
        <v>17</v>
      </c>
      <c r="E834">
        <v>121</v>
      </c>
      <c r="F834" t="s">
        <v>3348</v>
      </c>
      <c r="G834">
        <v>6</v>
      </c>
      <c r="I834" t="s">
        <v>158</v>
      </c>
      <c r="J834" t="s">
        <v>80</v>
      </c>
      <c r="K834" t="s">
        <v>3349</v>
      </c>
      <c r="L834">
        <v>352871</v>
      </c>
      <c r="M834">
        <v>173.2</v>
      </c>
    </row>
    <row r="835" spans="1:13" x14ac:dyDescent="0.3">
      <c r="A835" t="s">
        <v>3350</v>
      </c>
      <c r="B835" t="s">
        <v>3351</v>
      </c>
      <c r="C835">
        <v>1999</v>
      </c>
      <c r="D835" t="s">
        <v>24</v>
      </c>
      <c r="E835">
        <v>119</v>
      </c>
      <c r="F835" t="s">
        <v>72</v>
      </c>
      <c r="G835">
        <v>6</v>
      </c>
      <c r="I835" t="s">
        <v>491</v>
      </c>
      <c r="J835" t="s">
        <v>718</v>
      </c>
      <c r="K835" t="s">
        <v>3352</v>
      </c>
      <c r="L835">
        <v>67084</v>
      </c>
      <c r="M835">
        <v>60.44</v>
      </c>
    </row>
    <row r="836" spans="1:13" x14ac:dyDescent="0.3">
      <c r="A836" t="s">
        <v>3353</v>
      </c>
      <c r="B836" t="s">
        <v>3354</v>
      </c>
      <c r="C836">
        <v>2020</v>
      </c>
      <c r="D836" t="s">
        <v>17</v>
      </c>
      <c r="E836">
        <v>127</v>
      </c>
      <c r="F836" t="s">
        <v>78</v>
      </c>
      <c r="G836">
        <v>6</v>
      </c>
      <c r="H836">
        <v>73</v>
      </c>
      <c r="I836" t="s">
        <v>763</v>
      </c>
      <c r="J836" t="s">
        <v>57</v>
      </c>
      <c r="K836" t="s">
        <v>3355</v>
      </c>
      <c r="L836">
        <v>16244</v>
      </c>
      <c r="M836">
        <v>260.55</v>
      </c>
    </row>
    <row r="837" spans="1:13" x14ac:dyDescent="0.3">
      <c r="A837" t="s">
        <v>3356</v>
      </c>
      <c r="B837" t="s">
        <v>3357</v>
      </c>
      <c r="C837">
        <v>1991</v>
      </c>
      <c r="D837" t="s">
        <v>17</v>
      </c>
      <c r="E837">
        <v>130</v>
      </c>
      <c r="F837" t="s">
        <v>1705</v>
      </c>
      <c r="G837">
        <v>5.9</v>
      </c>
      <c r="H837">
        <v>55</v>
      </c>
      <c r="I837" t="s">
        <v>3358</v>
      </c>
      <c r="J837" t="s">
        <v>593</v>
      </c>
      <c r="K837" t="s">
        <v>3359</v>
      </c>
      <c r="L837">
        <v>45003</v>
      </c>
      <c r="M837">
        <v>147.22</v>
      </c>
    </row>
    <row r="838" spans="1:13" x14ac:dyDescent="0.3">
      <c r="A838" t="s">
        <v>3360</v>
      </c>
      <c r="B838" t="s">
        <v>3361</v>
      </c>
      <c r="C838">
        <v>2005</v>
      </c>
      <c r="D838" t="s">
        <v>17</v>
      </c>
      <c r="E838">
        <v>142</v>
      </c>
      <c r="F838" t="s">
        <v>3362</v>
      </c>
      <c r="G838">
        <v>5.9</v>
      </c>
      <c r="H838">
        <v>44</v>
      </c>
      <c r="I838" t="s">
        <v>3363</v>
      </c>
      <c r="J838" t="s">
        <v>608</v>
      </c>
      <c r="K838" t="s">
        <v>3364</v>
      </c>
      <c r="L838">
        <v>150115</v>
      </c>
      <c r="M838">
        <v>235.48</v>
      </c>
    </row>
    <row r="839" spans="1:13" x14ac:dyDescent="0.3">
      <c r="A839" t="s">
        <v>3365</v>
      </c>
      <c r="B839" t="s">
        <v>3366</v>
      </c>
      <c r="C839">
        <v>2022</v>
      </c>
      <c r="D839" t="s">
        <v>169</v>
      </c>
      <c r="E839">
        <v>115</v>
      </c>
      <c r="F839" t="s">
        <v>2093</v>
      </c>
      <c r="G839">
        <v>5.9</v>
      </c>
      <c r="H839">
        <v>67</v>
      </c>
      <c r="I839" t="s">
        <v>3367</v>
      </c>
      <c r="J839" t="s">
        <v>191</v>
      </c>
      <c r="K839" t="s">
        <v>3368</v>
      </c>
      <c r="L839">
        <v>49173</v>
      </c>
    </row>
    <row r="840" spans="1:13" x14ac:dyDescent="0.3">
      <c r="A840" t="s">
        <v>3369</v>
      </c>
      <c r="B840" t="s">
        <v>3370</v>
      </c>
      <c r="C840">
        <v>2013</v>
      </c>
      <c r="D840" t="s">
        <v>54</v>
      </c>
      <c r="E840">
        <v>126</v>
      </c>
      <c r="F840" t="s">
        <v>3371</v>
      </c>
      <c r="G840">
        <v>5.9</v>
      </c>
      <c r="H840">
        <v>52</v>
      </c>
      <c r="I840" t="s">
        <v>3372</v>
      </c>
      <c r="J840" t="s">
        <v>57</v>
      </c>
      <c r="K840" t="s">
        <v>3373</v>
      </c>
      <c r="L840">
        <v>51885</v>
      </c>
      <c r="M840">
        <v>147.4</v>
      </c>
    </row>
    <row r="841" spans="1:13" x14ac:dyDescent="0.3">
      <c r="A841" t="s">
        <v>3374</v>
      </c>
      <c r="B841" t="s">
        <v>3375</v>
      </c>
      <c r="C841">
        <v>2009</v>
      </c>
      <c r="D841" t="s">
        <v>285</v>
      </c>
      <c r="E841">
        <v>103</v>
      </c>
      <c r="F841" t="s">
        <v>1857</v>
      </c>
      <c r="G841">
        <v>5.9</v>
      </c>
      <c r="H841">
        <v>68</v>
      </c>
      <c r="I841" t="s">
        <v>250</v>
      </c>
      <c r="J841" t="s">
        <v>196</v>
      </c>
      <c r="K841" t="s">
        <v>3376</v>
      </c>
      <c r="L841">
        <v>2368</v>
      </c>
      <c r="M841">
        <v>273.33999999999997</v>
      </c>
    </row>
    <row r="842" spans="1:13" x14ac:dyDescent="0.3">
      <c r="A842" t="s">
        <v>3377</v>
      </c>
      <c r="B842" t="s">
        <v>3378</v>
      </c>
      <c r="C842">
        <v>2002</v>
      </c>
      <c r="D842" t="s">
        <v>17</v>
      </c>
      <c r="E842">
        <v>138</v>
      </c>
      <c r="F842" t="s">
        <v>2582</v>
      </c>
      <c r="G842">
        <v>5.9</v>
      </c>
      <c r="H842">
        <v>45</v>
      </c>
      <c r="I842" t="s">
        <v>1155</v>
      </c>
      <c r="J842" t="s">
        <v>593</v>
      </c>
      <c r="K842" t="s">
        <v>3379</v>
      </c>
      <c r="L842">
        <v>68086</v>
      </c>
    </row>
    <row r="843" spans="1:13" x14ac:dyDescent="0.3">
      <c r="A843" t="s">
        <v>3380</v>
      </c>
      <c r="B843" t="s">
        <v>3381</v>
      </c>
      <c r="C843">
        <v>1984</v>
      </c>
      <c r="D843" t="s">
        <v>17</v>
      </c>
      <c r="E843">
        <v>130</v>
      </c>
      <c r="F843" t="s">
        <v>375</v>
      </c>
      <c r="G843">
        <v>5.9</v>
      </c>
      <c r="H843">
        <v>61</v>
      </c>
      <c r="I843" t="s">
        <v>422</v>
      </c>
      <c r="J843" t="s">
        <v>608</v>
      </c>
      <c r="K843" t="s">
        <v>3382</v>
      </c>
      <c r="L843">
        <v>41696</v>
      </c>
      <c r="M843">
        <v>177.68</v>
      </c>
    </row>
    <row r="844" spans="1:13" x14ac:dyDescent="0.3">
      <c r="A844" t="s">
        <v>3383</v>
      </c>
      <c r="B844" t="s">
        <v>3384</v>
      </c>
      <c r="C844">
        <v>1984</v>
      </c>
      <c r="D844" t="s">
        <v>54</v>
      </c>
      <c r="E844">
        <v>117</v>
      </c>
      <c r="F844" t="s">
        <v>1044</v>
      </c>
      <c r="G844">
        <v>5.9</v>
      </c>
      <c r="H844">
        <v>57</v>
      </c>
      <c r="I844" t="s">
        <v>226</v>
      </c>
      <c r="J844" t="s">
        <v>221</v>
      </c>
      <c r="K844" t="s">
        <v>3385</v>
      </c>
      <c r="L844">
        <v>15657</v>
      </c>
      <c r="M844">
        <v>216.48</v>
      </c>
    </row>
    <row r="845" spans="1:13" x14ac:dyDescent="0.3">
      <c r="A845" t="s">
        <v>3386</v>
      </c>
      <c r="B845" t="s">
        <v>3387</v>
      </c>
      <c r="C845">
        <v>1997</v>
      </c>
      <c r="D845" t="s">
        <v>24</v>
      </c>
      <c r="E845">
        <v>119</v>
      </c>
      <c r="F845" t="s">
        <v>129</v>
      </c>
      <c r="G845">
        <v>5.9</v>
      </c>
      <c r="H845">
        <v>71</v>
      </c>
      <c r="I845" t="s">
        <v>634</v>
      </c>
      <c r="J845" t="s">
        <v>92</v>
      </c>
      <c r="K845" t="s">
        <v>3388</v>
      </c>
      <c r="L845">
        <v>58234</v>
      </c>
      <c r="M845">
        <v>33.79</v>
      </c>
    </row>
    <row r="846" spans="1:13" x14ac:dyDescent="0.3">
      <c r="A846" t="s">
        <v>3389</v>
      </c>
      <c r="B846" t="s">
        <v>3390</v>
      </c>
      <c r="C846">
        <v>2013</v>
      </c>
      <c r="D846" t="s">
        <v>17</v>
      </c>
      <c r="E846">
        <v>158</v>
      </c>
      <c r="F846" t="s">
        <v>1954</v>
      </c>
      <c r="G846">
        <v>5.9</v>
      </c>
      <c r="I846" t="s">
        <v>2967</v>
      </c>
      <c r="J846" t="s">
        <v>196</v>
      </c>
      <c r="K846" t="s">
        <v>3391</v>
      </c>
      <c r="L846">
        <v>21663</v>
      </c>
      <c r="M846">
        <v>231.86</v>
      </c>
    </row>
    <row r="847" spans="1:13" x14ac:dyDescent="0.3">
      <c r="A847" t="s">
        <v>3392</v>
      </c>
      <c r="B847" t="s">
        <v>3393</v>
      </c>
      <c r="C847">
        <v>2004</v>
      </c>
      <c r="D847" t="s">
        <v>24</v>
      </c>
      <c r="E847">
        <v>128</v>
      </c>
      <c r="F847" t="s">
        <v>1405</v>
      </c>
      <c r="G847">
        <v>5.9</v>
      </c>
      <c r="I847" t="s">
        <v>124</v>
      </c>
      <c r="J847" t="s">
        <v>147</v>
      </c>
      <c r="K847" t="s">
        <v>3394</v>
      </c>
      <c r="L847">
        <v>55738</v>
      </c>
      <c r="M847">
        <v>315.38</v>
      </c>
    </row>
    <row r="848" spans="1:13" x14ac:dyDescent="0.3">
      <c r="A848" t="s">
        <v>3395</v>
      </c>
      <c r="B848" t="s">
        <v>3396</v>
      </c>
      <c r="C848">
        <v>2018</v>
      </c>
      <c r="D848" t="s">
        <v>24</v>
      </c>
      <c r="E848">
        <v>111</v>
      </c>
      <c r="F848" t="s">
        <v>3397</v>
      </c>
      <c r="G848">
        <v>5.9</v>
      </c>
      <c r="I848" t="s">
        <v>3398</v>
      </c>
      <c r="J848" t="s">
        <v>74</v>
      </c>
      <c r="K848" t="s">
        <v>3399</v>
      </c>
      <c r="L848">
        <v>113028</v>
      </c>
      <c r="M848">
        <v>168.63</v>
      </c>
    </row>
    <row r="849" spans="1:13" x14ac:dyDescent="0.3">
      <c r="A849" t="s">
        <v>3400</v>
      </c>
      <c r="B849" t="s">
        <v>3401</v>
      </c>
      <c r="C849">
        <v>2005</v>
      </c>
      <c r="D849" t="s">
        <v>17</v>
      </c>
      <c r="E849">
        <v>129</v>
      </c>
      <c r="F849" t="s">
        <v>385</v>
      </c>
      <c r="G849">
        <v>5.9</v>
      </c>
      <c r="H849">
        <v>64</v>
      </c>
      <c r="I849" t="s">
        <v>3402</v>
      </c>
      <c r="J849" t="s">
        <v>368</v>
      </c>
      <c r="K849" t="s">
        <v>3403</v>
      </c>
      <c r="L849">
        <v>94154</v>
      </c>
      <c r="M849">
        <v>250.35</v>
      </c>
    </row>
    <row r="850" spans="1:13" x14ac:dyDescent="0.3">
      <c r="A850" t="s">
        <v>3404</v>
      </c>
      <c r="B850" t="s">
        <v>3405</v>
      </c>
      <c r="C850">
        <v>2013</v>
      </c>
      <c r="D850" t="s">
        <v>293</v>
      </c>
      <c r="E850">
        <v>109</v>
      </c>
      <c r="F850" t="s">
        <v>453</v>
      </c>
      <c r="G850">
        <v>5.9</v>
      </c>
      <c r="H850">
        <v>44</v>
      </c>
      <c r="I850" t="s">
        <v>269</v>
      </c>
      <c r="J850" t="s">
        <v>80</v>
      </c>
      <c r="K850" t="s">
        <v>3406</v>
      </c>
      <c r="L850">
        <v>3152</v>
      </c>
      <c r="M850">
        <v>156.55000000000001</v>
      </c>
    </row>
    <row r="851" spans="1:13" x14ac:dyDescent="0.3">
      <c r="A851" t="s">
        <v>3407</v>
      </c>
      <c r="B851" t="s">
        <v>3408</v>
      </c>
      <c r="C851">
        <v>2002</v>
      </c>
      <c r="D851" t="s">
        <v>24</v>
      </c>
      <c r="E851">
        <v>142</v>
      </c>
      <c r="F851" t="s">
        <v>174</v>
      </c>
      <c r="G851">
        <v>5.9</v>
      </c>
      <c r="H851">
        <v>48</v>
      </c>
      <c r="I851" t="s">
        <v>3409</v>
      </c>
      <c r="J851" t="s">
        <v>718</v>
      </c>
      <c r="K851" t="s">
        <v>3410</v>
      </c>
      <c r="L851">
        <v>65678</v>
      </c>
      <c r="M851">
        <v>417.22</v>
      </c>
    </row>
    <row r="852" spans="1:13" x14ac:dyDescent="0.3">
      <c r="A852" t="s">
        <v>3411</v>
      </c>
      <c r="B852" t="s">
        <v>3412</v>
      </c>
      <c r="C852">
        <v>2015</v>
      </c>
      <c r="D852" t="s">
        <v>54</v>
      </c>
      <c r="E852">
        <v>111</v>
      </c>
      <c r="F852" t="s">
        <v>2323</v>
      </c>
      <c r="G852">
        <v>5.9</v>
      </c>
      <c r="H852">
        <v>57</v>
      </c>
      <c r="I852" t="s">
        <v>3413</v>
      </c>
      <c r="J852" t="s">
        <v>27</v>
      </c>
      <c r="K852" t="s">
        <v>3414</v>
      </c>
      <c r="L852">
        <v>159007</v>
      </c>
      <c r="M852">
        <v>58.53</v>
      </c>
    </row>
    <row r="853" spans="1:13" x14ac:dyDescent="0.3">
      <c r="A853" t="s">
        <v>3415</v>
      </c>
      <c r="B853" t="s">
        <v>3416</v>
      </c>
      <c r="C853">
        <v>2009</v>
      </c>
      <c r="D853" t="s">
        <v>54</v>
      </c>
      <c r="E853">
        <v>122</v>
      </c>
      <c r="F853" t="s">
        <v>3417</v>
      </c>
      <c r="G853">
        <v>5.9</v>
      </c>
      <c r="I853" t="s">
        <v>3418</v>
      </c>
      <c r="J853" t="s">
        <v>483</v>
      </c>
      <c r="K853" t="s">
        <v>3419</v>
      </c>
      <c r="L853">
        <v>360359</v>
      </c>
      <c r="M853">
        <v>193.82</v>
      </c>
    </row>
    <row r="854" spans="1:13" x14ac:dyDescent="0.3">
      <c r="A854" t="s">
        <v>3420</v>
      </c>
      <c r="B854" t="s">
        <v>3421</v>
      </c>
      <c r="C854">
        <v>2002</v>
      </c>
      <c r="D854" t="s">
        <v>17</v>
      </c>
      <c r="E854">
        <v>108</v>
      </c>
      <c r="F854" t="s">
        <v>3422</v>
      </c>
      <c r="G854">
        <v>5.9</v>
      </c>
      <c r="H854">
        <v>62</v>
      </c>
      <c r="I854" t="s">
        <v>3423</v>
      </c>
      <c r="J854" t="s">
        <v>483</v>
      </c>
      <c r="K854" t="s">
        <v>3424</v>
      </c>
      <c r="L854">
        <v>22608</v>
      </c>
      <c r="M854">
        <v>421.98</v>
      </c>
    </row>
    <row r="855" spans="1:13" x14ac:dyDescent="0.3">
      <c r="A855" t="s">
        <v>3425</v>
      </c>
      <c r="B855" t="s">
        <v>3426</v>
      </c>
      <c r="C855">
        <v>2018</v>
      </c>
      <c r="D855" t="s">
        <v>293</v>
      </c>
      <c r="E855">
        <v>138</v>
      </c>
      <c r="F855" t="s">
        <v>3427</v>
      </c>
      <c r="G855">
        <v>5.9</v>
      </c>
      <c r="I855" t="s">
        <v>634</v>
      </c>
      <c r="J855" t="s">
        <v>236</v>
      </c>
      <c r="K855" t="s">
        <v>3428</v>
      </c>
      <c r="L855">
        <v>108759</v>
      </c>
    </row>
    <row r="856" spans="1:13" x14ac:dyDescent="0.3">
      <c r="A856" t="s">
        <v>3429</v>
      </c>
      <c r="B856" t="s">
        <v>3430</v>
      </c>
      <c r="C856">
        <v>2015</v>
      </c>
      <c r="D856" t="s">
        <v>54</v>
      </c>
      <c r="E856">
        <v>131</v>
      </c>
      <c r="F856" t="s">
        <v>426</v>
      </c>
      <c r="G856">
        <v>5.9</v>
      </c>
      <c r="H856">
        <v>69</v>
      </c>
      <c r="I856" t="s">
        <v>422</v>
      </c>
      <c r="J856" t="s">
        <v>236</v>
      </c>
      <c r="K856" t="s">
        <v>3431</v>
      </c>
      <c r="L856">
        <v>57795</v>
      </c>
      <c r="M856">
        <v>157.12</v>
      </c>
    </row>
    <row r="857" spans="1:13" x14ac:dyDescent="0.3">
      <c r="A857" t="s">
        <v>3432</v>
      </c>
      <c r="B857" t="s">
        <v>3433</v>
      </c>
      <c r="C857">
        <v>2024</v>
      </c>
      <c r="D857" t="s">
        <v>169</v>
      </c>
      <c r="E857">
        <v>101</v>
      </c>
      <c r="F857" t="s">
        <v>767</v>
      </c>
      <c r="G857">
        <v>5.9</v>
      </c>
      <c r="H857">
        <v>64</v>
      </c>
      <c r="I857" t="s">
        <v>320</v>
      </c>
      <c r="J857" t="s">
        <v>483</v>
      </c>
      <c r="K857" t="s">
        <v>3434</v>
      </c>
      <c r="L857">
        <v>18926</v>
      </c>
    </row>
    <row r="858" spans="1:13" x14ac:dyDescent="0.3">
      <c r="A858" t="s">
        <v>3435</v>
      </c>
      <c r="B858" t="s">
        <v>3436</v>
      </c>
      <c r="C858">
        <v>2024</v>
      </c>
      <c r="D858" t="s">
        <v>54</v>
      </c>
      <c r="E858">
        <v>111</v>
      </c>
      <c r="F858" t="s">
        <v>2582</v>
      </c>
      <c r="G858">
        <v>5.9</v>
      </c>
      <c r="I858" t="s">
        <v>1155</v>
      </c>
      <c r="J858" t="s">
        <v>368</v>
      </c>
      <c r="K858" t="s">
        <v>3437</v>
      </c>
      <c r="L858">
        <v>5002</v>
      </c>
      <c r="M858">
        <v>185.4</v>
      </c>
    </row>
    <row r="859" spans="1:13" x14ac:dyDescent="0.3">
      <c r="A859" t="s">
        <v>3438</v>
      </c>
      <c r="B859" t="s">
        <v>3439</v>
      </c>
      <c r="C859">
        <v>2000</v>
      </c>
      <c r="D859" t="s">
        <v>54</v>
      </c>
      <c r="E859">
        <v>138</v>
      </c>
      <c r="F859" t="s">
        <v>499</v>
      </c>
      <c r="G859">
        <v>5.9</v>
      </c>
      <c r="H859">
        <v>74</v>
      </c>
      <c r="I859" t="s">
        <v>1891</v>
      </c>
      <c r="J859" t="s">
        <v>159</v>
      </c>
      <c r="K859" t="s">
        <v>3440</v>
      </c>
      <c r="L859">
        <v>42746</v>
      </c>
    </row>
    <row r="860" spans="1:13" x14ac:dyDescent="0.3">
      <c r="A860" t="s">
        <v>3441</v>
      </c>
      <c r="B860" t="s">
        <v>3442</v>
      </c>
      <c r="C860">
        <v>2000</v>
      </c>
      <c r="D860" t="s">
        <v>17</v>
      </c>
      <c r="E860">
        <v>125</v>
      </c>
      <c r="F860" t="s">
        <v>660</v>
      </c>
      <c r="G860">
        <v>5.9</v>
      </c>
      <c r="H860">
        <v>67</v>
      </c>
      <c r="I860" t="s">
        <v>130</v>
      </c>
      <c r="J860" t="s">
        <v>547</v>
      </c>
      <c r="K860" t="s">
        <v>3443</v>
      </c>
      <c r="L860">
        <v>14246</v>
      </c>
      <c r="M860">
        <v>118.86</v>
      </c>
    </row>
    <row r="861" spans="1:13" x14ac:dyDescent="0.3">
      <c r="A861" t="s">
        <v>3444</v>
      </c>
      <c r="B861" t="s">
        <v>3445</v>
      </c>
      <c r="C861">
        <v>1982</v>
      </c>
      <c r="D861" t="s">
        <v>24</v>
      </c>
      <c r="E861">
        <v>117</v>
      </c>
      <c r="F861" t="s">
        <v>3446</v>
      </c>
      <c r="G861">
        <v>5.9</v>
      </c>
      <c r="H861">
        <v>61</v>
      </c>
      <c r="I861" t="s">
        <v>805</v>
      </c>
      <c r="J861" t="s">
        <v>80</v>
      </c>
      <c r="K861" t="s">
        <v>3447</v>
      </c>
      <c r="L861">
        <v>3227</v>
      </c>
    </row>
    <row r="862" spans="1:13" x14ac:dyDescent="0.3">
      <c r="A862" t="s">
        <v>3448</v>
      </c>
      <c r="B862" t="s">
        <v>3449</v>
      </c>
      <c r="C862">
        <v>2018</v>
      </c>
      <c r="D862" t="s">
        <v>17</v>
      </c>
      <c r="E862">
        <v>120</v>
      </c>
      <c r="F862" t="s">
        <v>78</v>
      </c>
      <c r="G862">
        <v>5.9</v>
      </c>
      <c r="H862">
        <v>64</v>
      </c>
      <c r="I862" t="s">
        <v>305</v>
      </c>
      <c r="J862" t="s">
        <v>113</v>
      </c>
      <c r="K862" t="s">
        <v>3450</v>
      </c>
      <c r="L862">
        <v>181904</v>
      </c>
    </row>
    <row r="863" spans="1:13" x14ac:dyDescent="0.3">
      <c r="A863" t="s">
        <v>3451</v>
      </c>
      <c r="B863" t="s">
        <v>3452</v>
      </c>
      <c r="C863">
        <v>2007</v>
      </c>
      <c r="D863" t="s">
        <v>54</v>
      </c>
      <c r="E863">
        <v>119</v>
      </c>
      <c r="F863" t="s">
        <v>3453</v>
      </c>
      <c r="G863">
        <v>5.9</v>
      </c>
      <c r="H863">
        <v>49</v>
      </c>
      <c r="I863" t="s">
        <v>158</v>
      </c>
      <c r="J863" t="s">
        <v>74</v>
      </c>
      <c r="K863" t="s">
        <v>3454</v>
      </c>
      <c r="L863">
        <v>28080</v>
      </c>
    </row>
    <row r="864" spans="1:13" x14ac:dyDescent="0.3">
      <c r="A864" t="s">
        <v>3455</v>
      </c>
      <c r="B864" t="s">
        <v>3456</v>
      </c>
      <c r="C864">
        <v>2018</v>
      </c>
      <c r="D864" t="s">
        <v>17</v>
      </c>
      <c r="E864">
        <v>106</v>
      </c>
      <c r="F864" t="s">
        <v>3457</v>
      </c>
      <c r="G864">
        <v>5.9</v>
      </c>
      <c r="I864" t="s">
        <v>3458</v>
      </c>
      <c r="J864" t="s">
        <v>518</v>
      </c>
      <c r="K864" t="s">
        <v>3459</v>
      </c>
      <c r="L864">
        <v>39275</v>
      </c>
      <c r="M864">
        <v>446.76</v>
      </c>
    </row>
    <row r="865" spans="1:13" x14ac:dyDescent="0.3">
      <c r="A865" t="s">
        <v>3460</v>
      </c>
      <c r="B865" t="s">
        <v>3461</v>
      </c>
      <c r="C865">
        <v>2013</v>
      </c>
      <c r="D865" t="s">
        <v>54</v>
      </c>
      <c r="E865">
        <v>131</v>
      </c>
      <c r="F865" t="s">
        <v>3462</v>
      </c>
      <c r="G865">
        <v>5.9</v>
      </c>
      <c r="I865" t="s">
        <v>412</v>
      </c>
      <c r="J865" t="s">
        <v>159</v>
      </c>
      <c r="K865" t="s">
        <v>3463</v>
      </c>
      <c r="L865">
        <v>70127</v>
      </c>
      <c r="M865">
        <v>38.869999999999997</v>
      </c>
    </row>
    <row r="866" spans="1:13" x14ac:dyDescent="0.3">
      <c r="A866" t="s">
        <v>3464</v>
      </c>
      <c r="B866" t="s">
        <v>3465</v>
      </c>
      <c r="C866">
        <v>2010</v>
      </c>
      <c r="D866" t="s">
        <v>17</v>
      </c>
      <c r="E866">
        <v>141</v>
      </c>
      <c r="F866" t="s">
        <v>3466</v>
      </c>
      <c r="G866">
        <v>5.9</v>
      </c>
      <c r="H866">
        <v>45</v>
      </c>
      <c r="I866" t="s">
        <v>3467</v>
      </c>
      <c r="J866" t="s">
        <v>113</v>
      </c>
      <c r="K866" t="s">
        <v>3468</v>
      </c>
      <c r="L866">
        <v>2500000</v>
      </c>
      <c r="M866">
        <v>472.21</v>
      </c>
    </row>
    <row r="867" spans="1:13" x14ac:dyDescent="0.3">
      <c r="A867" t="s">
        <v>3469</v>
      </c>
      <c r="B867" t="s">
        <v>3470</v>
      </c>
      <c r="C867">
        <v>2007</v>
      </c>
      <c r="D867" t="s">
        <v>17</v>
      </c>
      <c r="E867">
        <v>109</v>
      </c>
      <c r="F867" t="s">
        <v>1440</v>
      </c>
      <c r="G867">
        <v>5.8</v>
      </c>
      <c r="I867" t="s">
        <v>533</v>
      </c>
      <c r="J867" t="s">
        <v>147</v>
      </c>
      <c r="K867" t="s">
        <v>3471</v>
      </c>
      <c r="L867">
        <v>552658</v>
      </c>
    </row>
    <row r="868" spans="1:13" x14ac:dyDescent="0.3">
      <c r="A868" t="s">
        <v>3472</v>
      </c>
      <c r="B868" t="s">
        <v>3473</v>
      </c>
      <c r="C868">
        <v>2007</v>
      </c>
      <c r="D868" t="s">
        <v>54</v>
      </c>
      <c r="E868">
        <v>124</v>
      </c>
      <c r="F868" t="s">
        <v>230</v>
      </c>
      <c r="G868">
        <v>5.8</v>
      </c>
      <c r="I868" t="s">
        <v>3474</v>
      </c>
      <c r="J868" t="s">
        <v>74</v>
      </c>
      <c r="K868" t="s">
        <v>3475</v>
      </c>
      <c r="L868">
        <v>24752</v>
      </c>
      <c r="M868">
        <v>321.97000000000003</v>
      </c>
    </row>
    <row r="869" spans="1:13" x14ac:dyDescent="0.3">
      <c r="A869" t="s">
        <v>3476</v>
      </c>
      <c r="B869" t="s">
        <v>3477</v>
      </c>
      <c r="C869">
        <v>2020</v>
      </c>
      <c r="D869" t="s">
        <v>24</v>
      </c>
      <c r="E869">
        <v>125</v>
      </c>
      <c r="F869" t="s">
        <v>3478</v>
      </c>
      <c r="G869">
        <v>5.8</v>
      </c>
      <c r="H869">
        <v>58</v>
      </c>
      <c r="I869" t="s">
        <v>355</v>
      </c>
      <c r="J869" t="s">
        <v>518</v>
      </c>
      <c r="K869" t="s">
        <v>3479</v>
      </c>
      <c r="L869">
        <v>2346951</v>
      </c>
    </row>
    <row r="870" spans="1:13" x14ac:dyDescent="0.3">
      <c r="A870" t="s">
        <v>3480</v>
      </c>
      <c r="B870" t="s">
        <v>3481</v>
      </c>
      <c r="C870">
        <v>2013</v>
      </c>
      <c r="D870" t="s">
        <v>54</v>
      </c>
      <c r="E870">
        <v>172</v>
      </c>
      <c r="F870" t="s">
        <v>3482</v>
      </c>
      <c r="G870">
        <v>5.8</v>
      </c>
      <c r="I870" t="s">
        <v>250</v>
      </c>
      <c r="J870" t="s">
        <v>33</v>
      </c>
      <c r="K870" t="s">
        <v>3483</v>
      </c>
      <c r="L870">
        <v>538350</v>
      </c>
      <c r="M870">
        <v>51.57</v>
      </c>
    </row>
    <row r="871" spans="1:13" x14ac:dyDescent="0.3">
      <c r="A871" t="s">
        <v>3484</v>
      </c>
      <c r="B871" t="s">
        <v>3485</v>
      </c>
      <c r="C871">
        <v>2012</v>
      </c>
      <c r="D871" t="s">
        <v>24</v>
      </c>
      <c r="E871">
        <v>130</v>
      </c>
      <c r="F871" t="s">
        <v>3486</v>
      </c>
      <c r="G871">
        <v>5.8</v>
      </c>
      <c r="I871" t="s">
        <v>201</v>
      </c>
      <c r="J871" t="s">
        <v>593</v>
      </c>
      <c r="K871" t="s">
        <v>3487</v>
      </c>
      <c r="L871">
        <v>2370</v>
      </c>
    </row>
    <row r="872" spans="1:13" x14ac:dyDescent="0.3">
      <c r="A872" t="s">
        <v>3488</v>
      </c>
      <c r="B872" t="s">
        <v>3489</v>
      </c>
      <c r="C872">
        <v>2002</v>
      </c>
      <c r="D872" t="s">
        <v>54</v>
      </c>
      <c r="E872">
        <v>132</v>
      </c>
      <c r="F872" t="s">
        <v>453</v>
      </c>
      <c r="G872">
        <v>5.8</v>
      </c>
      <c r="I872" t="s">
        <v>3490</v>
      </c>
      <c r="J872" t="s">
        <v>191</v>
      </c>
      <c r="K872" t="s">
        <v>3491</v>
      </c>
      <c r="L872">
        <v>693944</v>
      </c>
      <c r="M872">
        <v>73.260000000000005</v>
      </c>
    </row>
    <row r="873" spans="1:13" x14ac:dyDescent="0.3">
      <c r="A873" t="s">
        <v>3492</v>
      </c>
      <c r="B873" t="s">
        <v>3493</v>
      </c>
      <c r="C873">
        <v>2003</v>
      </c>
      <c r="D873" t="s">
        <v>54</v>
      </c>
      <c r="E873">
        <v>142</v>
      </c>
      <c r="F873" t="s">
        <v>868</v>
      </c>
      <c r="G873">
        <v>5.8</v>
      </c>
      <c r="I873" t="s">
        <v>3494</v>
      </c>
      <c r="J873" t="s">
        <v>221</v>
      </c>
      <c r="K873" t="s">
        <v>3495</v>
      </c>
      <c r="L873">
        <v>17382</v>
      </c>
      <c r="M873">
        <v>149.53</v>
      </c>
    </row>
    <row r="874" spans="1:13" x14ac:dyDescent="0.3">
      <c r="A874" t="s">
        <v>3496</v>
      </c>
      <c r="B874" t="s">
        <v>3497</v>
      </c>
      <c r="C874">
        <v>2019</v>
      </c>
      <c r="D874" t="s">
        <v>24</v>
      </c>
      <c r="E874">
        <v>137</v>
      </c>
      <c r="F874" t="s">
        <v>210</v>
      </c>
      <c r="G874">
        <v>5.8</v>
      </c>
      <c r="I874" t="s">
        <v>3498</v>
      </c>
      <c r="J874" t="s">
        <v>524</v>
      </c>
      <c r="K874" t="s">
        <v>3499</v>
      </c>
      <c r="L874">
        <v>227605</v>
      </c>
      <c r="M874">
        <v>314.67</v>
      </c>
    </row>
    <row r="875" spans="1:13" x14ac:dyDescent="0.3">
      <c r="A875" t="s">
        <v>3500</v>
      </c>
      <c r="B875" t="s">
        <v>3501</v>
      </c>
      <c r="C875">
        <v>1987</v>
      </c>
      <c r="D875" t="s">
        <v>17</v>
      </c>
      <c r="E875">
        <v>136</v>
      </c>
      <c r="F875" t="s">
        <v>687</v>
      </c>
      <c r="G875">
        <v>5.8</v>
      </c>
      <c r="H875">
        <v>72</v>
      </c>
      <c r="I875" t="s">
        <v>38</v>
      </c>
      <c r="J875" t="s">
        <v>221</v>
      </c>
      <c r="K875" t="s">
        <v>3502</v>
      </c>
      <c r="L875">
        <v>79528</v>
      </c>
      <c r="M875">
        <v>72.83</v>
      </c>
    </row>
    <row r="876" spans="1:13" x14ac:dyDescent="0.3">
      <c r="A876" t="s">
        <v>3503</v>
      </c>
      <c r="B876" t="s">
        <v>3504</v>
      </c>
      <c r="C876">
        <v>2004</v>
      </c>
      <c r="D876" t="s">
        <v>17</v>
      </c>
      <c r="E876">
        <v>85</v>
      </c>
      <c r="F876" t="s">
        <v>55</v>
      </c>
      <c r="G876">
        <v>5.8</v>
      </c>
      <c r="I876" t="s">
        <v>852</v>
      </c>
      <c r="J876" t="s">
        <v>368</v>
      </c>
      <c r="K876" t="s">
        <v>3505</v>
      </c>
      <c r="L876">
        <v>382206</v>
      </c>
      <c r="M876">
        <v>440.93</v>
      </c>
    </row>
    <row r="877" spans="1:13" x14ac:dyDescent="0.3">
      <c r="A877" t="s">
        <v>3506</v>
      </c>
      <c r="B877" t="s">
        <v>3507</v>
      </c>
      <c r="C877">
        <v>2020</v>
      </c>
      <c r="D877" t="s">
        <v>54</v>
      </c>
      <c r="E877">
        <v>111</v>
      </c>
      <c r="F877" t="s">
        <v>235</v>
      </c>
      <c r="G877">
        <v>5.8</v>
      </c>
      <c r="H877">
        <v>67</v>
      </c>
      <c r="I877" t="s">
        <v>673</v>
      </c>
      <c r="J877" t="s">
        <v>131</v>
      </c>
      <c r="K877" t="s">
        <v>3508</v>
      </c>
      <c r="L877">
        <v>43374</v>
      </c>
      <c r="M877">
        <v>471.81</v>
      </c>
    </row>
    <row r="878" spans="1:13" x14ac:dyDescent="0.3">
      <c r="A878" t="s">
        <v>3509</v>
      </c>
      <c r="B878" t="s">
        <v>3510</v>
      </c>
      <c r="C878">
        <v>2024</v>
      </c>
      <c r="D878" t="s">
        <v>54</v>
      </c>
      <c r="E878">
        <v>133</v>
      </c>
      <c r="F878" t="s">
        <v>25</v>
      </c>
      <c r="G878">
        <v>5.8</v>
      </c>
      <c r="H878">
        <v>68</v>
      </c>
      <c r="I878" t="s">
        <v>1155</v>
      </c>
      <c r="J878" t="s">
        <v>315</v>
      </c>
      <c r="K878" t="s">
        <v>3511</v>
      </c>
      <c r="L878">
        <v>33501</v>
      </c>
      <c r="M878">
        <v>472.68</v>
      </c>
    </row>
    <row r="879" spans="1:13" x14ac:dyDescent="0.3">
      <c r="A879" t="s">
        <v>3512</v>
      </c>
      <c r="B879" t="s">
        <v>3513</v>
      </c>
      <c r="C879">
        <v>2004</v>
      </c>
      <c r="D879" t="s">
        <v>24</v>
      </c>
      <c r="E879">
        <v>161</v>
      </c>
      <c r="F879" t="s">
        <v>1185</v>
      </c>
      <c r="G879">
        <v>5.8</v>
      </c>
      <c r="H879">
        <v>49</v>
      </c>
      <c r="I879" t="s">
        <v>19</v>
      </c>
      <c r="J879" t="s">
        <v>147</v>
      </c>
      <c r="K879" t="s">
        <v>3514</v>
      </c>
      <c r="L879">
        <v>62089</v>
      </c>
      <c r="M879">
        <v>323.07</v>
      </c>
    </row>
    <row r="880" spans="1:13" x14ac:dyDescent="0.3">
      <c r="A880" t="s">
        <v>3515</v>
      </c>
      <c r="B880" t="s">
        <v>3516</v>
      </c>
      <c r="C880">
        <v>2011</v>
      </c>
      <c r="D880" t="s">
        <v>54</v>
      </c>
      <c r="E880">
        <v>98</v>
      </c>
      <c r="F880" t="s">
        <v>3517</v>
      </c>
      <c r="G880">
        <v>5.8</v>
      </c>
      <c r="H880">
        <v>45</v>
      </c>
      <c r="I880" t="s">
        <v>3518</v>
      </c>
      <c r="J880" t="s">
        <v>153</v>
      </c>
      <c r="K880" t="s">
        <v>3519</v>
      </c>
      <c r="L880">
        <v>165886</v>
      </c>
    </row>
    <row r="881" spans="1:13" x14ac:dyDescent="0.3">
      <c r="A881" t="s">
        <v>3520</v>
      </c>
      <c r="B881" t="s">
        <v>3521</v>
      </c>
      <c r="C881">
        <v>2022</v>
      </c>
      <c r="D881" t="s">
        <v>17</v>
      </c>
      <c r="E881">
        <v>144</v>
      </c>
      <c r="F881" t="s">
        <v>537</v>
      </c>
      <c r="G881">
        <v>5.8</v>
      </c>
      <c r="H881">
        <v>48</v>
      </c>
      <c r="I881" t="s">
        <v>538</v>
      </c>
      <c r="J881" t="s">
        <v>137</v>
      </c>
      <c r="K881" t="s">
        <v>3522</v>
      </c>
      <c r="L881">
        <v>166096</v>
      </c>
    </row>
    <row r="882" spans="1:13" x14ac:dyDescent="0.3">
      <c r="A882" t="s">
        <v>3523</v>
      </c>
      <c r="B882" t="s">
        <v>3524</v>
      </c>
      <c r="C882">
        <v>2000</v>
      </c>
      <c r="D882" t="s">
        <v>24</v>
      </c>
      <c r="E882">
        <v>104</v>
      </c>
      <c r="F882" t="s">
        <v>504</v>
      </c>
      <c r="G882">
        <v>5.8</v>
      </c>
      <c r="I882" t="s">
        <v>435</v>
      </c>
      <c r="J882" t="s">
        <v>315</v>
      </c>
      <c r="K882" t="s">
        <v>3525</v>
      </c>
      <c r="L882">
        <v>829356</v>
      </c>
      <c r="M882">
        <v>277.07</v>
      </c>
    </row>
    <row r="883" spans="1:13" x14ac:dyDescent="0.3">
      <c r="A883" t="s">
        <v>3526</v>
      </c>
      <c r="B883" t="s">
        <v>3527</v>
      </c>
      <c r="C883">
        <v>2016</v>
      </c>
      <c r="D883" t="s">
        <v>24</v>
      </c>
      <c r="E883">
        <v>133</v>
      </c>
      <c r="F883" t="s">
        <v>677</v>
      </c>
      <c r="G883">
        <v>5.8</v>
      </c>
      <c r="H883">
        <v>50</v>
      </c>
      <c r="I883" t="s">
        <v>38</v>
      </c>
      <c r="J883" t="s">
        <v>251</v>
      </c>
      <c r="K883" t="s">
        <v>3528</v>
      </c>
      <c r="L883">
        <v>44256</v>
      </c>
      <c r="M883">
        <v>420.73</v>
      </c>
    </row>
    <row r="884" spans="1:13" x14ac:dyDescent="0.3">
      <c r="A884" t="s">
        <v>3529</v>
      </c>
      <c r="B884" t="s">
        <v>3530</v>
      </c>
      <c r="C884">
        <v>1999</v>
      </c>
      <c r="D884" t="s">
        <v>54</v>
      </c>
      <c r="E884">
        <v>107</v>
      </c>
      <c r="F884" t="s">
        <v>78</v>
      </c>
      <c r="G884">
        <v>5.8</v>
      </c>
      <c r="H884">
        <v>51</v>
      </c>
      <c r="I884" t="s">
        <v>412</v>
      </c>
      <c r="J884" t="s">
        <v>547</v>
      </c>
      <c r="K884" t="s">
        <v>3531</v>
      </c>
      <c r="L884">
        <v>752166</v>
      </c>
      <c r="M884">
        <v>228.38</v>
      </c>
    </row>
    <row r="885" spans="1:13" x14ac:dyDescent="0.3">
      <c r="A885" t="s">
        <v>3532</v>
      </c>
      <c r="B885" t="s">
        <v>3533</v>
      </c>
      <c r="C885">
        <v>2017</v>
      </c>
      <c r="D885" t="s">
        <v>24</v>
      </c>
      <c r="E885">
        <v>119</v>
      </c>
      <c r="F885" t="s">
        <v>72</v>
      </c>
      <c r="G885">
        <v>5.8</v>
      </c>
      <c r="H885">
        <v>60</v>
      </c>
      <c r="I885" t="s">
        <v>3534</v>
      </c>
      <c r="J885" t="s">
        <v>524</v>
      </c>
      <c r="K885" t="s">
        <v>3535</v>
      </c>
      <c r="L885">
        <v>570973</v>
      </c>
      <c r="M885">
        <v>476.76</v>
      </c>
    </row>
    <row r="886" spans="1:13" x14ac:dyDescent="0.3">
      <c r="A886" t="s">
        <v>3536</v>
      </c>
      <c r="B886" t="s">
        <v>3537</v>
      </c>
      <c r="C886">
        <v>2012</v>
      </c>
      <c r="D886" t="s">
        <v>17</v>
      </c>
      <c r="E886">
        <v>149</v>
      </c>
      <c r="F886" t="s">
        <v>3538</v>
      </c>
      <c r="G886">
        <v>5.8</v>
      </c>
      <c r="H886">
        <v>54</v>
      </c>
      <c r="I886" t="s">
        <v>320</v>
      </c>
      <c r="J886" t="s">
        <v>483</v>
      </c>
      <c r="K886" t="s">
        <v>3539</v>
      </c>
      <c r="L886">
        <v>44779</v>
      </c>
      <c r="M886">
        <v>160.16</v>
      </c>
    </row>
    <row r="887" spans="1:13" x14ac:dyDescent="0.3">
      <c r="A887" t="s">
        <v>3540</v>
      </c>
      <c r="B887" t="s">
        <v>3541</v>
      </c>
      <c r="C887">
        <v>2001</v>
      </c>
      <c r="D887" t="s">
        <v>17</v>
      </c>
      <c r="E887">
        <v>104</v>
      </c>
      <c r="F887" t="s">
        <v>1218</v>
      </c>
      <c r="G887">
        <v>5.8</v>
      </c>
      <c r="H887">
        <v>61</v>
      </c>
      <c r="I887" t="s">
        <v>3542</v>
      </c>
      <c r="J887" t="s">
        <v>92</v>
      </c>
      <c r="K887" t="s">
        <v>3543</v>
      </c>
      <c r="L887">
        <v>152369</v>
      </c>
      <c r="M887">
        <v>186.95</v>
      </c>
    </row>
    <row r="888" spans="1:13" x14ac:dyDescent="0.3">
      <c r="A888" t="s">
        <v>3544</v>
      </c>
      <c r="B888" t="s">
        <v>3545</v>
      </c>
      <c r="C888">
        <v>1981</v>
      </c>
      <c r="D888" t="s">
        <v>17</v>
      </c>
      <c r="E888">
        <v>132</v>
      </c>
      <c r="F888" t="s">
        <v>2061</v>
      </c>
      <c r="G888">
        <v>5.8</v>
      </c>
      <c r="I888" t="s">
        <v>3546</v>
      </c>
      <c r="J888" t="s">
        <v>547</v>
      </c>
      <c r="K888" t="s">
        <v>3547</v>
      </c>
      <c r="L888">
        <v>29016</v>
      </c>
      <c r="M888">
        <v>167.4</v>
      </c>
    </row>
    <row r="889" spans="1:13" x14ac:dyDescent="0.3">
      <c r="A889" t="s">
        <v>3548</v>
      </c>
      <c r="B889" t="s">
        <v>3549</v>
      </c>
      <c r="C889">
        <v>2024</v>
      </c>
      <c r="D889" t="s">
        <v>54</v>
      </c>
      <c r="E889">
        <v>106</v>
      </c>
      <c r="F889" t="s">
        <v>3550</v>
      </c>
      <c r="G889">
        <v>5.8</v>
      </c>
      <c r="H889">
        <v>57</v>
      </c>
      <c r="I889" t="s">
        <v>852</v>
      </c>
      <c r="J889" t="s">
        <v>315</v>
      </c>
      <c r="K889" t="s">
        <v>3551</v>
      </c>
      <c r="L889">
        <v>18450</v>
      </c>
    </row>
    <row r="890" spans="1:13" x14ac:dyDescent="0.3">
      <c r="A890" t="s">
        <v>3552</v>
      </c>
      <c r="B890" t="s">
        <v>3553</v>
      </c>
      <c r="C890">
        <v>2009</v>
      </c>
      <c r="D890" t="s">
        <v>24</v>
      </c>
      <c r="E890">
        <v>107</v>
      </c>
      <c r="F890" t="s">
        <v>2452</v>
      </c>
      <c r="G890">
        <v>5.7</v>
      </c>
      <c r="H890">
        <v>64</v>
      </c>
      <c r="I890" t="s">
        <v>2391</v>
      </c>
      <c r="J890" t="s">
        <v>718</v>
      </c>
      <c r="K890" t="s">
        <v>3554</v>
      </c>
      <c r="L890">
        <v>12543</v>
      </c>
      <c r="M890">
        <v>146.87</v>
      </c>
    </row>
    <row r="891" spans="1:13" x14ac:dyDescent="0.3">
      <c r="A891" t="s">
        <v>3555</v>
      </c>
      <c r="B891" t="s">
        <v>3556</v>
      </c>
      <c r="C891">
        <v>2017</v>
      </c>
      <c r="D891" t="s">
        <v>54</v>
      </c>
      <c r="E891">
        <v>155</v>
      </c>
      <c r="F891" t="s">
        <v>2152</v>
      </c>
      <c r="G891">
        <v>5.7</v>
      </c>
      <c r="H891">
        <v>49</v>
      </c>
      <c r="I891" t="s">
        <v>124</v>
      </c>
      <c r="J891" t="s">
        <v>251</v>
      </c>
      <c r="K891" t="s">
        <v>3557</v>
      </c>
      <c r="L891">
        <v>237692</v>
      </c>
      <c r="M891">
        <v>290.58</v>
      </c>
    </row>
    <row r="892" spans="1:13" x14ac:dyDescent="0.3">
      <c r="A892" t="s">
        <v>3558</v>
      </c>
      <c r="B892" t="s">
        <v>3559</v>
      </c>
      <c r="C892">
        <v>2013</v>
      </c>
      <c r="D892" t="s">
        <v>17</v>
      </c>
      <c r="E892">
        <v>159</v>
      </c>
      <c r="F892" t="s">
        <v>1786</v>
      </c>
      <c r="G892">
        <v>5.7</v>
      </c>
      <c r="H892">
        <v>47</v>
      </c>
      <c r="I892" t="s">
        <v>728</v>
      </c>
      <c r="J892" t="s">
        <v>593</v>
      </c>
      <c r="K892" t="s">
        <v>3560</v>
      </c>
      <c r="L892">
        <v>126127</v>
      </c>
      <c r="M892">
        <v>226.56</v>
      </c>
    </row>
    <row r="893" spans="1:13" x14ac:dyDescent="0.3">
      <c r="A893" t="s">
        <v>3561</v>
      </c>
      <c r="B893" t="s">
        <v>3562</v>
      </c>
      <c r="C893">
        <v>2023</v>
      </c>
      <c r="D893" t="s">
        <v>17</v>
      </c>
      <c r="E893">
        <v>103</v>
      </c>
      <c r="F893" t="s">
        <v>3563</v>
      </c>
      <c r="G893">
        <v>5.7</v>
      </c>
      <c r="H893">
        <v>59</v>
      </c>
      <c r="I893" t="s">
        <v>3564</v>
      </c>
      <c r="J893" t="s">
        <v>547</v>
      </c>
      <c r="K893" t="s">
        <v>3565</v>
      </c>
      <c r="L893">
        <v>42149</v>
      </c>
      <c r="M893">
        <v>488.82</v>
      </c>
    </row>
    <row r="894" spans="1:13" x14ac:dyDescent="0.3">
      <c r="A894" t="s">
        <v>3566</v>
      </c>
      <c r="B894" t="s">
        <v>3567</v>
      </c>
      <c r="C894">
        <v>2014</v>
      </c>
      <c r="D894" t="s">
        <v>54</v>
      </c>
      <c r="E894">
        <v>151</v>
      </c>
      <c r="F894" t="s">
        <v>3568</v>
      </c>
      <c r="G894">
        <v>5.7</v>
      </c>
      <c r="I894" t="s">
        <v>130</v>
      </c>
      <c r="J894" t="s">
        <v>57</v>
      </c>
      <c r="K894" t="s">
        <v>3569</v>
      </c>
      <c r="L894">
        <v>6657</v>
      </c>
      <c r="M894">
        <v>455.8</v>
      </c>
    </row>
    <row r="895" spans="1:13" x14ac:dyDescent="0.3">
      <c r="A895" t="s">
        <v>3570</v>
      </c>
      <c r="B895" t="s">
        <v>3571</v>
      </c>
      <c r="C895">
        <v>2008</v>
      </c>
      <c r="D895" t="s">
        <v>54</v>
      </c>
      <c r="E895">
        <v>126</v>
      </c>
      <c r="F895" t="s">
        <v>2355</v>
      </c>
      <c r="G895">
        <v>5.7</v>
      </c>
      <c r="H895">
        <v>51</v>
      </c>
      <c r="I895" t="s">
        <v>158</v>
      </c>
      <c r="J895" t="s">
        <v>518</v>
      </c>
      <c r="K895" t="s">
        <v>3572</v>
      </c>
      <c r="L895">
        <v>355584</v>
      </c>
    </row>
    <row r="896" spans="1:13" x14ac:dyDescent="0.3">
      <c r="A896" t="s">
        <v>3573</v>
      </c>
      <c r="B896" t="s">
        <v>3574</v>
      </c>
      <c r="C896">
        <v>2016</v>
      </c>
      <c r="D896" t="s">
        <v>17</v>
      </c>
      <c r="E896">
        <v>125</v>
      </c>
      <c r="F896" t="s">
        <v>3575</v>
      </c>
      <c r="G896">
        <v>5.7</v>
      </c>
      <c r="H896">
        <v>70</v>
      </c>
      <c r="I896" t="s">
        <v>634</v>
      </c>
      <c r="J896" t="s">
        <v>86</v>
      </c>
      <c r="K896" t="s">
        <v>3576</v>
      </c>
      <c r="L896">
        <v>11830</v>
      </c>
    </row>
    <row r="897" spans="1:13" x14ac:dyDescent="0.3">
      <c r="A897" t="s">
        <v>3577</v>
      </c>
      <c r="B897" t="s">
        <v>3578</v>
      </c>
      <c r="C897">
        <v>2018</v>
      </c>
      <c r="D897" t="s">
        <v>17</v>
      </c>
      <c r="E897">
        <v>126</v>
      </c>
      <c r="F897" t="s">
        <v>3579</v>
      </c>
      <c r="G897">
        <v>5.7</v>
      </c>
      <c r="H897">
        <v>58</v>
      </c>
      <c r="I897" t="s">
        <v>1382</v>
      </c>
      <c r="J897" t="s">
        <v>131</v>
      </c>
      <c r="K897" t="s">
        <v>3580</v>
      </c>
      <c r="L897">
        <v>239435</v>
      </c>
      <c r="M897">
        <v>267.36</v>
      </c>
    </row>
    <row r="898" spans="1:13" x14ac:dyDescent="0.3">
      <c r="A898" t="s">
        <v>3581</v>
      </c>
      <c r="B898" t="s">
        <v>3582</v>
      </c>
      <c r="C898">
        <v>1988</v>
      </c>
      <c r="D898" t="s">
        <v>54</v>
      </c>
      <c r="E898">
        <v>99</v>
      </c>
      <c r="F898" t="s">
        <v>448</v>
      </c>
      <c r="G898">
        <v>5.7</v>
      </c>
      <c r="I898" t="s">
        <v>431</v>
      </c>
      <c r="J898" t="s">
        <v>74</v>
      </c>
      <c r="K898" t="s">
        <v>3583</v>
      </c>
      <c r="L898">
        <v>204094</v>
      </c>
      <c r="M898">
        <v>148.25</v>
      </c>
    </row>
    <row r="899" spans="1:13" x14ac:dyDescent="0.3">
      <c r="A899" t="s">
        <v>3584</v>
      </c>
      <c r="B899" t="s">
        <v>3585</v>
      </c>
      <c r="C899">
        <v>2008</v>
      </c>
      <c r="D899" t="s">
        <v>54</v>
      </c>
      <c r="E899">
        <v>119</v>
      </c>
      <c r="F899" t="s">
        <v>3362</v>
      </c>
      <c r="G899">
        <v>5.7</v>
      </c>
      <c r="H899">
        <v>62</v>
      </c>
      <c r="I899" t="s">
        <v>269</v>
      </c>
      <c r="J899" t="s">
        <v>159</v>
      </c>
      <c r="K899" t="s">
        <v>3586</v>
      </c>
      <c r="L899">
        <v>103305</v>
      </c>
      <c r="M899">
        <v>238.6</v>
      </c>
    </row>
    <row r="900" spans="1:13" x14ac:dyDescent="0.3">
      <c r="A900" t="s">
        <v>3587</v>
      </c>
      <c r="B900" t="s">
        <v>3588</v>
      </c>
      <c r="C900">
        <v>2001</v>
      </c>
      <c r="D900" t="s">
        <v>17</v>
      </c>
      <c r="E900">
        <v>127</v>
      </c>
      <c r="F900" t="s">
        <v>2363</v>
      </c>
      <c r="G900">
        <v>5.7</v>
      </c>
      <c r="H900">
        <v>65</v>
      </c>
      <c r="I900" t="s">
        <v>3589</v>
      </c>
      <c r="J900" t="s">
        <v>27</v>
      </c>
      <c r="K900" t="s">
        <v>3590</v>
      </c>
      <c r="L900">
        <v>116646</v>
      </c>
      <c r="M900">
        <v>473.79</v>
      </c>
    </row>
    <row r="901" spans="1:13" x14ac:dyDescent="0.3">
      <c r="A901" t="s">
        <v>3591</v>
      </c>
      <c r="B901" t="s">
        <v>3592</v>
      </c>
      <c r="C901">
        <v>2017</v>
      </c>
      <c r="D901" t="s">
        <v>24</v>
      </c>
      <c r="E901">
        <v>154</v>
      </c>
      <c r="F901" t="s">
        <v>3593</v>
      </c>
      <c r="G901">
        <v>5.7</v>
      </c>
      <c r="H901">
        <v>71</v>
      </c>
      <c r="I901" t="s">
        <v>3594</v>
      </c>
      <c r="J901" t="s">
        <v>137</v>
      </c>
      <c r="K901" t="s">
        <v>3595</v>
      </c>
      <c r="L901">
        <v>21176</v>
      </c>
      <c r="M901">
        <v>439.59</v>
      </c>
    </row>
    <row r="902" spans="1:13" x14ac:dyDescent="0.3">
      <c r="A902" t="s">
        <v>3596</v>
      </c>
      <c r="B902" t="s">
        <v>3597</v>
      </c>
      <c r="C902">
        <v>2014</v>
      </c>
      <c r="D902" t="s">
        <v>54</v>
      </c>
      <c r="E902">
        <v>144</v>
      </c>
      <c r="F902" t="s">
        <v>3235</v>
      </c>
      <c r="G902">
        <v>5.7</v>
      </c>
      <c r="H902">
        <v>45</v>
      </c>
      <c r="I902" t="s">
        <v>1363</v>
      </c>
      <c r="J902" t="s">
        <v>368</v>
      </c>
      <c r="K902" t="s">
        <v>3598</v>
      </c>
      <c r="L902">
        <v>735906</v>
      </c>
      <c r="M902">
        <v>127.12</v>
      </c>
    </row>
    <row r="903" spans="1:13" x14ac:dyDescent="0.3">
      <c r="A903" t="s">
        <v>3599</v>
      </c>
      <c r="B903" t="s">
        <v>3600</v>
      </c>
      <c r="C903">
        <v>2004</v>
      </c>
      <c r="D903" t="s">
        <v>24</v>
      </c>
      <c r="E903">
        <v>127</v>
      </c>
      <c r="F903" t="s">
        <v>3601</v>
      </c>
      <c r="G903">
        <v>5.7</v>
      </c>
      <c r="H903">
        <v>44</v>
      </c>
      <c r="I903" t="s">
        <v>3602</v>
      </c>
      <c r="J903" t="s">
        <v>315</v>
      </c>
      <c r="K903" t="s">
        <v>3603</v>
      </c>
      <c r="L903">
        <v>522116</v>
      </c>
    </row>
    <row r="904" spans="1:13" x14ac:dyDescent="0.3">
      <c r="A904" t="s">
        <v>3604</v>
      </c>
      <c r="B904" t="s">
        <v>3605</v>
      </c>
      <c r="C904">
        <v>1993</v>
      </c>
      <c r="D904" t="s">
        <v>54</v>
      </c>
      <c r="E904">
        <v>84</v>
      </c>
      <c r="F904" t="s">
        <v>3606</v>
      </c>
      <c r="G904">
        <v>5.7</v>
      </c>
      <c r="H904">
        <v>43</v>
      </c>
      <c r="I904" t="s">
        <v>673</v>
      </c>
      <c r="J904" t="s">
        <v>125</v>
      </c>
      <c r="K904" t="s">
        <v>3607</v>
      </c>
      <c r="L904">
        <v>2810</v>
      </c>
    </row>
    <row r="905" spans="1:13" x14ac:dyDescent="0.3">
      <c r="A905" t="s">
        <v>3608</v>
      </c>
      <c r="B905" t="s">
        <v>3609</v>
      </c>
      <c r="C905">
        <v>2000</v>
      </c>
      <c r="D905" t="s">
        <v>285</v>
      </c>
      <c r="E905">
        <v>142</v>
      </c>
      <c r="F905" t="s">
        <v>868</v>
      </c>
      <c r="G905">
        <v>5.7</v>
      </c>
      <c r="H905">
        <v>72</v>
      </c>
      <c r="I905" t="s">
        <v>3610</v>
      </c>
      <c r="J905" t="s">
        <v>368</v>
      </c>
      <c r="K905" t="s">
        <v>3611</v>
      </c>
      <c r="L905">
        <v>703631</v>
      </c>
      <c r="M905">
        <v>141.05000000000001</v>
      </c>
    </row>
    <row r="906" spans="1:13" x14ac:dyDescent="0.3">
      <c r="A906" t="s">
        <v>3612</v>
      </c>
      <c r="B906" t="s">
        <v>3613</v>
      </c>
      <c r="C906">
        <v>2005</v>
      </c>
      <c r="D906" t="s">
        <v>24</v>
      </c>
      <c r="E906">
        <v>148</v>
      </c>
      <c r="F906" t="s">
        <v>157</v>
      </c>
      <c r="G906">
        <v>5.7</v>
      </c>
      <c r="I906" t="s">
        <v>158</v>
      </c>
      <c r="J906" t="s">
        <v>20</v>
      </c>
      <c r="K906" t="s">
        <v>3614</v>
      </c>
      <c r="L906">
        <v>202765</v>
      </c>
    </row>
    <row r="907" spans="1:13" x14ac:dyDescent="0.3">
      <c r="A907" t="s">
        <v>3615</v>
      </c>
      <c r="B907" t="s">
        <v>3616</v>
      </c>
      <c r="C907">
        <v>2007</v>
      </c>
      <c r="D907" t="s">
        <v>54</v>
      </c>
      <c r="E907">
        <v>152</v>
      </c>
      <c r="F907" t="s">
        <v>375</v>
      </c>
      <c r="G907">
        <v>5.7</v>
      </c>
      <c r="H907">
        <v>55</v>
      </c>
      <c r="I907" t="s">
        <v>3617</v>
      </c>
      <c r="J907" t="s">
        <v>191</v>
      </c>
      <c r="K907" t="s">
        <v>3618</v>
      </c>
      <c r="L907">
        <v>24619</v>
      </c>
      <c r="M907">
        <v>415.12</v>
      </c>
    </row>
    <row r="908" spans="1:13" x14ac:dyDescent="0.3">
      <c r="A908" t="s">
        <v>3619</v>
      </c>
      <c r="B908" t="s">
        <v>3620</v>
      </c>
      <c r="C908">
        <v>2010</v>
      </c>
      <c r="D908" t="s">
        <v>169</v>
      </c>
      <c r="E908">
        <v>104</v>
      </c>
      <c r="F908" t="s">
        <v>1954</v>
      </c>
      <c r="G908">
        <v>5.7</v>
      </c>
      <c r="H908">
        <v>63</v>
      </c>
      <c r="I908" t="s">
        <v>3621</v>
      </c>
      <c r="J908" t="s">
        <v>131</v>
      </c>
      <c r="K908" t="s">
        <v>3622</v>
      </c>
      <c r="L908">
        <v>4154</v>
      </c>
      <c r="M908">
        <v>399.25</v>
      </c>
    </row>
    <row r="909" spans="1:13" x14ac:dyDescent="0.3">
      <c r="A909" t="s">
        <v>3623</v>
      </c>
      <c r="B909" t="s">
        <v>3624</v>
      </c>
      <c r="C909">
        <v>1999</v>
      </c>
      <c r="D909" t="s">
        <v>17</v>
      </c>
      <c r="E909">
        <v>102</v>
      </c>
      <c r="F909" t="s">
        <v>767</v>
      </c>
      <c r="G909">
        <v>5.6</v>
      </c>
      <c r="H909">
        <v>45</v>
      </c>
      <c r="I909" t="s">
        <v>3625</v>
      </c>
      <c r="J909" t="s">
        <v>113</v>
      </c>
      <c r="K909" t="s">
        <v>3626</v>
      </c>
      <c r="L909">
        <v>240209</v>
      </c>
    </row>
    <row r="910" spans="1:13" x14ac:dyDescent="0.3">
      <c r="A910" t="s">
        <v>3627</v>
      </c>
      <c r="B910" t="s">
        <v>3628</v>
      </c>
      <c r="C910">
        <v>2011</v>
      </c>
      <c r="D910" t="s">
        <v>17</v>
      </c>
      <c r="E910">
        <v>154</v>
      </c>
      <c r="F910" t="s">
        <v>1975</v>
      </c>
      <c r="G910">
        <v>5.6</v>
      </c>
      <c r="H910">
        <v>70</v>
      </c>
      <c r="I910" t="s">
        <v>3629</v>
      </c>
      <c r="J910" t="s">
        <v>74</v>
      </c>
      <c r="K910" t="s">
        <v>3630</v>
      </c>
      <c r="L910">
        <v>5322</v>
      </c>
      <c r="M910">
        <v>341.45</v>
      </c>
    </row>
    <row r="911" spans="1:13" x14ac:dyDescent="0.3">
      <c r="A911" t="s">
        <v>3631</v>
      </c>
      <c r="B911" t="s">
        <v>3632</v>
      </c>
      <c r="C911">
        <v>2017</v>
      </c>
      <c r="D911" t="s">
        <v>17</v>
      </c>
      <c r="E911">
        <v>120</v>
      </c>
      <c r="F911" t="s">
        <v>3633</v>
      </c>
      <c r="G911">
        <v>5.6</v>
      </c>
      <c r="H911">
        <v>46</v>
      </c>
      <c r="I911" t="s">
        <v>67</v>
      </c>
      <c r="J911" t="s">
        <v>92</v>
      </c>
      <c r="K911" t="s">
        <v>3634</v>
      </c>
      <c r="L911">
        <v>12116</v>
      </c>
      <c r="M911">
        <v>458.99</v>
      </c>
    </row>
    <row r="912" spans="1:13" x14ac:dyDescent="0.3">
      <c r="A912" t="s">
        <v>3635</v>
      </c>
      <c r="B912" t="s">
        <v>3636</v>
      </c>
      <c r="C912">
        <v>2010</v>
      </c>
      <c r="D912" t="s">
        <v>24</v>
      </c>
      <c r="E912">
        <v>104</v>
      </c>
      <c r="F912" t="s">
        <v>1687</v>
      </c>
      <c r="G912">
        <v>5.6</v>
      </c>
      <c r="I912" t="s">
        <v>634</v>
      </c>
      <c r="J912" t="s">
        <v>27</v>
      </c>
      <c r="K912" t="s">
        <v>3637</v>
      </c>
      <c r="L912">
        <v>3811</v>
      </c>
      <c r="M912">
        <v>375.15</v>
      </c>
    </row>
    <row r="913" spans="1:13" x14ac:dyDescent="0.3">
      <c r="A913" t="s">
        <v>3638</v>
      </c>
      <c r="B913" t="s">
        <v>3639</v>
      </c>
      <c r="C913">
        <v>2023</v>
      </c>
      <c r="D913" t="s">
        <v>285</v>
      </c>
      <c r="E913">
        <v>92</v>
      </c>
      <c r="F913" t="s">
        <v>129</v>
      </c>
      <c r="G913">
        <v>5.6</v>
      </c>
      <c r="H913">
        <v>63</v>
      </c>
      <c r="I913" t="s">
        <v>130</v>
      </c>
      <c r="J913" t="s">
        <v>147</v>
      </c>
      <c r="K913" t="s">
        <v>3640</v>
      </c>
      <c r="L913">
        <v>123352</v>
      </c>
      <c r="M913">
        <v>402.95</v>
      </c>
    </row>
    <row r="914" spans="1:13" x14ac:dyDescent="0.3">
      <c r="A914" t="s">
        <v>3641</v>
      </c>
      <c r="B914" t="s">
        <v>3642</v>
      </c>
      <c r="C914">
        <v>2007</v>
      </c>
      <c r="D914" t="s">
        <v>17</v>
      </c>
      <c r="E914">
        <v>104</v>
      </c>
      <c r="F914" t="s">
        <v>885</v>
      </c>
      <c r="G914">
        <v>5.6</v>
      </c>
      <c r="H914">
        <v>53</v>
      </c>
      <c r="I914" t="s">
        <v>226</v>
      </c>
      <c r="J914" t="s">
        <v>80</v>
      </c>
      <c r="K914" t="s">
        <v>3643</v>
      </c>
      <c r="L914">
        <v>94440</v>
      </c>
      <c r="M914">
        <v>186.56</v>
      </c>
    </row>
    <row r="915" spans="1:13" x14ac:dyDescent="0.3">
      <c r="A915" t="s">
        <v>3644</v>
      </c>
      <c r="B915" t="s">
        <v>3645</v>
      </c>
      <c r="C915">
        <v>2015</v>
      </c>
      <c r="D915" t="s">
        <v>17</v>
      </c>
      <c r="E915">
        <v>127</v>
      </c>
      <c r="F915" t="s">
        <v>1081</v>
      </c>
      <c r="G915">
        <v>5.6</v>
      </c>
      <c r="I915" t="s">
        <v>3646</v>
      </c>
      <c r="J915" t="s">
        <v>125</v>
      </c>
      <c r="K915" t="s">
        <v>3647</v>
      </c>
      <c r="L915">
        <v>288075</v>
      </c>
    </row>
    <row r="916" spans="1:13" x14ac:dyDescent="0.3">
      <c r="A916" t="s">
        <v>3648</v>
      </c>
      <c r="B916" t="s">
        <v>3649</v>
      </c>
      <c r="C916">
        <v>2019</v>
      </c>
      <c r="D916" t="s">
        <v>54</v>
      </c>
      <c r="E916">
        <v>138</v>
      </c>
      <c r="F916" t="s">
        <v>3650</v>
      </c>
      <c r="G916">
        <v>5.6</v>
      </c>
      <c r="H916">
        <v>58</v>
      </c>
      <c r="I916" t="s">
        <v>1363</v>
      </c>
      <c r="J916" t="s">
        <v>131</v>
      </c>
      <c r="K916" t="s">
        <v>3651</v>
      </c>
      <c r="L916">
        <v>42738</v>
      </c>
    </row>
    <row r="917" spans="1:13" x14ac:dyDescent="0.3">
      <c r="A917" t="s">
        <v>3652</v>
      </c>
      <c r="B917" t="s">
        <v>3653</v>
      </c>
      <c r="C917">
        <v>2002</v>
      </c>
      <c r="D917" t="s">
        <v>54</v>
      </c>
      <c r="E917">
        <v>132</v>
      </c>
      <c r="F917" t="s">
        <v>3654</v>
      </c>
      <c r="G917">
        <v>5.6</v>
      </c>
      <c r="H917">
        <v>53</v>
      </c>
      <c r="I917" t="s">
        <v>3655</v>
      </c>
      <c r="J917" t="s">
        <v>137</v>
      </c>
      <c r="K917" t="s">
        <v>3656</v>
      </c>
      <c r="L917">
        <v>832502</v>
      </c>
      <c r="M917">
        <v>348.94</v>
      </c>
    </row>
    <row r="918" spans="1:13" x14ac:dyDescent="0.3">
      <c r="A918" t="s">
        <v>3657</v>
      </c>
      <c r="B918" t="s">
        <v>3658</v>
      </c>
      <c r="C918">
        <v>2005</v>
      </c>
      <c r="D918" t="s">
        <v>54</v>
      </c>
      <c r="E918">
        <v>108</v>
      </c>
      <c r="F918" t="s">
        <v>3659</v>
      </c>
      <c r="G918">
        <v>5.6</v>
      </c>
      <c r="H918">
        <v>70</v>
      </c>
      <c r="I918" t="s">
        <v>250</v>
      </c>
      <c r="J918" t="s">
        <v>33</v>
      </c>
      <c r="K918" t="s">
        <v>3660</v>
      </c>
      <c r="L918">
        <v>221612</v>
      </c>
      <c r="M918">
        <v>81.61</v>
      </c>
    </row>
    <row r="919" spans="1:13" x14ac:dyDescent="0.3">
      <c r="A919" t="s">
        <v>3661</v>
      </c>
      <c r="B919" t="s">
        <v>3662</v>
      </c>
      <c r="C919">
        <v>2012</v>
      </c>
      <c r="D919" t="s">
        <v>54</v>
      </c>
      <c r="E919">
        <v>112</v>
      </c>
      <c r="F919" t="s">
        <v>617</v>
      </c>
      <c r="G919">
        <v>5.6</v>
      </c>
      <c r="H919">
        <v>55</v>
      </c>
      <c r="I919" t="s">
        <v>852</v>
      </c>
      <c r="J919" t="s">
        <v>68</v>
      </c>
      <c r="K919" t="s">
        <v>3663</v>
      </c>
      <c r="L919">
        <v>32202</v>
      </c>
      <c r="M919">
        <v>63.24</v>
      </c>
    </row>
    <row r="920" spans="1:13" x14ac:dyDescent="0.3">
      <c r="A920" t="s">
        <v>3664</v>
      </c>
      <c r="B920" t="s">
        <v>3665</v>
      </c>
      <c r="C920">
        <v>2023</v>
      </c>
      <c r="D920" t="s">
        <v>24</v>
      </c>
      <c r="E920">
        <v>133</v>
      </c>
      <c r="F920" t="s">
        <v>230</v>
      </c>
      <c r="G920">
        <v>5.6</v>
      </c>
      <c r="H920">
        <v>71</v>
      </c>
      <c r="I920" t="s">
        <v>3666</v>
      </c>
      <c r="J920" t="s">
        <v>147</v>
      </c>
      <c r="K920" t="s">
        <v>3667</v>
      </c>
      <c r="L920">
        <v>368765</v>
      </c>
      <c r="M920">
        <v>302.52999999999997</v>
      </c>
    </row>
    <row r="921" spans="1:13" x14ac:dyDescent="0.3">
      <c r="A921" t="s">
        <v>3668</v>
      </c>
      <c r="B921" t="s">
        <v>3669</v>
      </c>
      <c r="C921">
        <v>2021</v>
      </c>
      <c r="D921" t="s">
        <v>285</v>
      </c>
      <c r="E921">
        <v>123</v>
      </c>
      <c r="F921" t="s">
        <v>3045</v>
      </c>
      <c r="G921">
        <v>5.6</v>
      </c>
      <c r="H921">
        <v>56</v>
      </c>
      <c r="I921" t="s">
        <v>566</v>
      </c>
      <c r="J921" t="s">
        <v>39</v>
      </c>
      <c r="K921" t="s">
        <v>3670</v>
      </c>
      <c r="L921">
        <v>13940</v>
      </c>
      <c r="M921">
        <v>242.85</v>
      </c>
    </row>
    <row r="922" spans="1:13" x14ac:dyDescent="0.3">
      <c r="A922" t="s">
        <v>3671</v>
      </c>
      <c r="B922" t="s">
        <v>3672</v>
      </c>
      <c r="C922">
        <v>2005</v>
      </c>
      <c r="D922" t="s">
        <v>24</v>
      </c>
      <c r="E922">
        <v>134</v>
      </c>
      <c r="F922" t="s">
        <v>453</v>
      </c>
      <c r="G922">
        <v>5.6</v>
      </c>
      <c r="H922">
        <v>70</v>
      </c>
      <c r="I922" t="s">
        <v>269</v>
      </c>
      <c r="J922" t="s">
        <v>125</v>
      </c>
      <c r="K922" t="s">
        <v>3673</v>
      </c>
      <c r="L922">
        <v>14261</v>
      </c>
      <c r="M922">
        <v>72.69</v>
      </c>
    </row>
    <row r="923" spans="1:13" x14ac:dyDescent="0.3">
      <c r="A923" t="s">
        <v>3674</v>
      </c>
      <c r="B923" t="s">
        <v>3675</v>
      </c>
      <c r="C923">
        <v>2010</v>
      </c>
      <c r="D923" t="s">
        <v>54</v>
      </c>
      <c r="E923">
        <v>101</v>
      </c>
      <c r="F923" t="s">
        <v>660</v>
      </c>
      <c r="G923">
        <v>5.6</v>
      </c>
      <c r="H923">
        <v>58</v>
      </c>
      <c r="I923" t="s">
        <v>3219</v>
      </c>
      <c r="J923" t="s">
        <v>524</v>
      </c>
      <c r="K923" t="s">
        <v>3676</v>
      </c>
      <c r="L923">
        <v>13852</v>
      </c>
    </row>
    <row r="924" spans="1:13" x14ac:dyDescent="0.3">
      <c r="A924" t="s">
        <v>3677</v>
      </c>
      <c r="B924" t="s">
        <v>3678</v>
      </c>
      <c r="C924">
        <v>2006</v>
      </c>
      <c r="D924" t="s">
        <v>17</v>
      </c>
      <c r="E924">
        <v>137</v>
      </c>
      <c r="F924" t="s">
        <v>1044</v>
      </c>
      <c r="G924">
        <v>5.6</v>
      </c>
      <c r="H924">
        <v>49</v>
      </c>
      <c r="I924" t="s">
        <v>226</v>
      </c>
      <c r="J924" t="s">
        <v>191</v>
      </c>
      <c r="K924" t="s">
        <v>3679</v>
      </c>
      <c r="L924">
        <v>72371</v>
      </c>
      <c r="M924">
        <v>60.43</v>
      </c>
    </row>
    <row r="925" spans="1:13" x14ac:dyDescent="0.3">
      <c r="A925" t="s">
        <v>3680</v>
      </c>
      <c r="B925" t="s">
        <v>3681</v>
      </c>
      <c r="C925">
        <v>2012</v>
      </c>
      <c r="D925" t="s">
        <v>24</v>
      </c>
      <c r="E925">
        <v>123</v>
      </c>
      <c r="F925" t="s">
        <v>3682</v>
      </c>
      <c r="G925">
        <v>5.6</v>
      </c>
      <c r="I925" t="s">
        <v>491</v>
      </c>
      <c r="J925" t="s">
        <v>483</v>
      </c>
      <c r="K925" t="s">
        <v>3683</v>
      </c>
      <c r="L925">
        <v>105904</v>
      </c>
      <c r="M925">
        <v>358.77</v>
      </c>
    </row>
    <row r="926" spans="1:13" x14ac:dyDescent="0.3">
      <c r="A926" t="s">
        <v>3684</v>
      </c>
      <c r="B926" t="s">
        <v>3685</v>
      </c>
      <c r="C926">
        <v>2000</v>
      </c>
      <c r="D926" t="s">
        <v>54</v>
      </c>
      <c r="E926">
        <v>108</v>
      </c>
      <c r="F926" t="s">
        <v>3686</v>
      </c>
      <c r="G926">
        <v>5.6</v>
      </c>
      <c r="I926" t="s">
        <v>3687</v>
      </c>
      <c r="J926" t="s">
        <v>483</v>
      </c>
      <c r="K926" t="s">
        <v>3688</v>
      </c>
      <c r="L926">
        <v>52447</v>
      </c>
      <c r="M926">
        <v>243.38</v>
      </c>
    </row>
    <row r="927" spans="1:13" x14ac:dyDescent="0.3">
      <c r="A927" t="s">
        <v>3689</v>
      </c>
      <c r="B927" t="s">
        <v>3690</v>
      </c>
      <c r="C927">
        <v>2015</v>
      </c>
      <c r="D927" t="s">
        <v>293</v>
      </c>
      <c r="E927">
        <v>97</v>
      </c>
      <c r="F927" t="s">
        <v>3691</v>
      </c>
      <c r="G927">
        <v>5.6</v>
      </c>
      <c r="I927" t="s">
        <v>38</v>
      </c>
      <c r="J927" t="s">
        <v>221</v>
      </c>
      <c r="K927" t="s">
        <v>3692</v>
      </c>
      <c r="L927">
        <v>341546</v>
      </c>
    </row>
    <row r="928" spans="1:13" x14ac:dyDescent="0.3">
      <c r="A928" t="s">
        <v>3693</v>
      </c>
      <c r="B928" t="s">
        <v>3694</v>
      </c>
      <c r="C928">
        <v>2005</v>
      </c>
      <c r="D928" t="s">
        <v>17</v>
      </c>
      <c r="E928">
        <v>147</v>
      </c>
      <c r="F928" t="s">
        <v>537</v>
      </c>
      <c r="G928">
        <v>5.6</v>
      </c>
      <c r="H928">
        <v>69</v>
      </c>
      <c r="I928" t="s">
        <v>158</v>
      </c>
      <c r="J928" t="s">
        <v>159</v>
      </c>
      <c r="K928" t="s">
        <v>3695</v>
      </c>
      <c r="L928">
        <v>1000</v>
      </c>
      <c r="M928">
        <v>238.95</v>
      </c>
    </row>
    <row r="929" spans="1:13" x14ac:dyDescent="0.3">
      <c r="A929" t="s">
        <v>3696</v>
      </c>
      <c r="B929" t="s">
        <v>3697</v>
      </c>
      <c r="C929">
        <v>2019</v>
      </c>
      <c r="D929" t="s">
        <v>54</v>
      </c>
      <c r="E929">
        <v>100</v>
      </c>
      <c r="F929" t="s">
        <v>3698</v>
      </c>
      <c r="G929">
        <v>5.6</v>
      </c>
      <c r="H929">
        <v>53</v>
      </c>
      <c r="I929" t="s">
        <v>3699</v>
      </c>
      <c r="J929" t="s">
        <v>137</v>
      </c>
      <c r="K929" t="s">
        <v>3700</v>
      </c>
      <c r="L929">
        <v>23386</v>
      </c>
      <c r="M929">
        <v>90.76</v>
      </c>
    </row>
    <row r="930" spans="1:13" x14ac:dyDescent="0.3">
      <c r="A930" t="s">
        <v>3701</v>
      </c>
      <c r="B930" t="s">
        <v>3702</v>
      </c>
      <c r="C930">
        <v>2020</v>
      </c>
      <c r="D930" t="s">
        <v>24</v>
      </c>
      <c r="E930">
        <v>107</v>
      </c>
      <c r="F930" t="s">
        <v>1271</v>
      </c>
      <c r="G930">
        <v>5.6</v>
      </c>
      <c r="H930">
        <v>52</v>
      </c>
      <c r="I930" t="s">
        <v>634</v>
      </c>
      <c r="J930" t="s">
        <v>153</v>
      </c>
      <c r="K930" t="s">
        <v>3703</v>
      </c>
      <c r="L930">
        <v>702937</v>
      </c>
      <c r="M930">
        <v>23.67</v>
      </c>
    </row>
    <row r="931" spans="1:13" x14ac:dyDescent="0.3">
      <c r="A931" t="s">
        <v>3704</v>
      </c>
      <c r="B931" t="s">
        <v>3705</v>
      </c>
      <c r="C931">
        <v>2007</v>
      </c>
      <c r="D931" t="s">
        <v>54</v>
      </c>
      <c r="E931">
        <v>125</v>
      </c>
      <c r="F931" t="s">
        <v>2061</v>
      </c>
      <c r="G931">
        <v>5.6</v>
      </c>
      <c r="I931" t="s">
        <v>85</v>
      </c>
      <c r="J931" t="s">
        <v>165</v>
      </c>
      <c r="K931" t="s">
        <v>3706</v>
      </c>
      <c r="L931">
        <v>120528</v>
      </c>
      <c r="M931">
        <v>294.67</v>
      </c>
    </row>
    <row r="932" spans="1:13" x14ac:dyDescent="0.3">
      <c r="A932" t="s">
        <v>3707</v>
      </c>
      <c r="B932" t="s">
        <v>3708</v>
      </c>
      <c r="C932">
        <v>2008</v>
      </c>
      <c r="D932" t="s">
        <v>293</v>
      </c>
      <c r="E932">
        <v>129</v>
      </c>
      <c r="F932" t="s">
        <v>3709</v>
      </c>
      <c r="G932">
        <v>5.6</v>
      </c>
      <c r="I932" t="s">
        <v>320</v>
      </c>
      <c r="J932" t="s">
        <v>236</v>
      </c>
      <c r="K932" t="s">
        <v>3710</v>
      </c>
      <c r="L932">
        <v>213685</v>
      </c>
    </row>
    <row r="933" spans="1:13" x14ac:dyDescent="0.3">
      <c r="A933" t="s">
        <v>3711</v>
      </c>
      <c r="B933" t="s">
        <v>3712</v>
      </c>
      <c r="C933">
        <v>2003</v>
      </c>
      <c r="D933" t="s">
        <v>54</v>
      </c>
      <c r="E933">
        <v>138</v>
      </c>
      <c r="F933" t="s">
        <v>205</v>
      </c>
      <c r="G933">
        <v>5.5</v>
      </c>
      <c r="H933">
        <v>63</v>
      </c>
      <c r="I933" t="s">
        <v>2547</v>
      </c>
      <c r="J933" t="s">
        <v>103</v>
      </c>
      <c r="K933" t="s">
        <v>3713</v>
      </c>
      <c r="L933">
        <v>1298</v>
      </c>
      <c r="M933">
        <v>371.58</v>
      </c>
    </row>
    <row r="934" spans="1:13" x14ac:dyDescent="0.3">
      <c r="A934" t="s">
        <v>3714</v>
      </c>
      <c r="B934" t="s">
        <v>3715</v>
      </c>
      <c r="C934">
        <v>2021</v>
      </c>
      <c r="D934" t="s">
        <v>24</v>
      </c>
      <c r="E934">
        <v>101</v>
      </c>
      <c r="F934" t="s">
        <v>3716</v>
      </c>
      <c r="G934">
        <v>5.5</v>
      </c>
      <c r="H934">
        <v>45</v>
      </c>
      <c r="I934" t="s">
        <v>395</v>
      </c>
      <c r="J934" t="s">
        <v>483</v>
      </c>
      <c r="K934" t="s">
        <v>3717</v>
      </c>
      <c r="L934">
        <v>22583</v>
      </c>
    </row>
    <row r="935" spans="1:13" x14ac:dyDescent="0.3">
      <c r="A935" t="s">
        <v>3718</v>
      </c>
      <c r="B935" t="s">
        <v>3719</v>
      </c>
      <c r="C935">
        <v>2014</v>
      </c>
      <c r="D935" t="s">
        <v>24</v>
      </c>
      <c r="E935">
        <v>118</v>
      </c>
      <c r="F935" t="s">
        <v>3720</v>
      </c>
      <c r="G935">
        <v>5.5</v>
      </c>
      <c r="H935">
        <v>69</v>
      </c>
      <c r="I935" t="s">
        <v>3721</v>
      </c>
      <c r="J935" t="s">
        <v>80</v>
      </c>
      <c r="K935" t="s">
        <v>3722</v>
      </c>
      <c r="L935">
        <v>15021</v>
      </c>
    </row>
    <row r="936" spans="1:13" x14ac:dyDescent="0.3">
      <c r="A936" t="s">
        <v>3723</v>
      </c>
      <c r="B936" t="s">
        <v>3724</v>
      </c>
      <c r="C936">
        <v>1998</v>
      </c>
      <c r="D936" t="s">
        <v>54</v>
      </c>
      <c r="E936">
        <v>158</v>
      </c>
      <c r="F936" t="s">
        <v>3725</v>
      </c>
      <c r="G936">
        <v>5.5</v>
      </c>
      <c r="H936">
        <v>55</v>
      </c>
      <c r="I936" t="s">
        <v>220</v>
      </c>
      <c r="J936" t="s">
        <v>368</v>
      </c>
      <c r="K936" t="s">
        <v>3726</v>
      </c>
      <c r="L936">
        <v>139309</v>
      </c>
      <c r="M936">
        <v>44.74</v>
      </c>
    </row>
    <row r="937" spans="1:13" x14ac:dyDescent="0.3">
      <c r="A937" t="s">
        <v>3727</v>
      </c>
      <c r="B937" t="s">
        <v>3728</v>
      </c>
      <c r="C937">
        <v>2014</v>
      </c>
      <c r="D937" t="s">
        <v>54</v>
      </c>
      <c r="E937">
        <v>105</v>
      </c>
      <c r="F937" t="s">
        <v>375</v>
      </c>
      <c r="G937">
        <v>5.5</v>
      </c>
      <c r="I937" t="s">
        <v>2868</v>
      </c>
      <c r="J937" t="s">
        <v>191</v>
      </c>
      <c r="K937" t="s">
        <v>3729</v>
      </c>
      <c r="L937">
        <v>5796</v>
      </c>
      <c r="M937">
        <v>255.32</v>
      </c>
    </row>
    <row r="938" spans="1:13" x14ac:dyDescent="0.3">
      <c r="A938" t="s">
        <v>3730</v>
      </c>
      <c r="B938" t="s">
        <v>3731</v>
      </c>
      <c r="C938">
        <v>2000</v>
      </c>
      <c r="D938" t="s">
        <v>293</v>
      </c>
      <c r="E938">
        <v>129</v>
      </c>
      <c r="F938" t="s">
        <v>3732</v>
      </c>
      <c r="G938">
        <v>5.5</v>
      </c>
      <c r="H938">
        <v>60</v>
      </c>
      <c r="I938" t="s">
        <v>435</v>
      </c>
      <c r="J938" t="s">
        <v>547</v>
      </c>
      <c r="K938" t="s">
        <v>3733</v>
      </c>
      <c r="L938">
        <v>103930</v>
      </c>
      <c r="M938">
        <v>189.98</v>
      </c>
    </row>
    <row r="939" spans="1:13" x14ac:dyDescent="0.3">
      <c r="A939" t="s">
        <v>3734</v>
      </c>
      <c r="B939" t="s">
        <v>3735</v>
      </c>
      <c r="C939">
        <v>2011</v>
      </c>
      <c r="D939" t="s">
        <v>54</v>
      </c>
      <c r="E939">
        <v>112</v>
      </c>
      <c r="F939" t="s">
        <v>3736</v>
      </c>
      <c r="G939">
        <v>5.5</v>
      </c>
      <c r="I939" t="s">
        <v>1155</v>
      </c>
      <c r="J939" t="s">
        <v>74</v>
      </c>
      <c r="K939" t="s">
        <v>3737</v>
      </c>
      <c r="L939">
        <v>61293</v>
      </c>
    </row>
    <row r="940" spans="1:13" x14ac:dyDescent="0.3">
      <c r="A940" t="s">
        <v>3738</v>
      </c>
      <c r="B940" t="s">
        <v>3739</v>
      </c>
      <c r="C940">
        <v>1996</v>
      </c>
      <c r="D940" t="s">
        <v>17</v>
      </c>
      <c r="E940">
        <v>124</v>
      </c>
      <c r="F940" t="s">
        <v>2739</v>
      </c>
      <c r="G940">
        <v>5.5</v>
      </c>
      <c r="I940" t="s">
        <v>278</v>
      </c>
      <c r="J940" t="s">
        <v>608</v>
      </c>
      <c r="K940" t="s">
        <v>3740</v>
      </c>
      <c r="L940">
        <v>7250</v>
      </c>
    </row>
    <row r="941" spans="1:13" x14ac:dyDescent="0.3">
      <c r="A941" t="s">
        <v>3741</v>
      </c>
      <c r="B941" t="s">
        <v>3742</v>
      </c>
      <c r="C941">
        <v>2002</v>
      </c>
      <c r="D941" t="s">
        <v>17</v>
      </c>
      <c r="E941">
        <v>122</v>
      </c>
      <c r="F941" t="s">
        <v>772</v>
      </c>
      <c r="G941">
        <v>5.5</v>
      </c>
      <c r="H941">
        <v>50</v>
      </c>
      <c r="I941" t="s">
        <v>561</v>
      </c>
      <c r="J941" t="s">
        <v>119</v>
      </c>
      <c r="K941" t="s">
        <v>3743</v>
      </c>
      <c r="L941">
        <v>237718</v>
      </c>
      <c r="M941">
        <v>438.34</v>
      </c>
    </row>
    <row r="942" spans="1:13" x14ac:dyDescent="0.3">
      <c r="A942" t="s">
        <v>3744</v>
      </c>
      <c r="B942" t="s">
        <v>3745</v>
      </c>
      <c r="C942">
        <v>2003</v>
      </c>
      <c r="D942" t="s">
        <v>24</v>
      </c>
      <c r="E942">
        <v>106</v>
      </c>
      <c r="F942" t="s">
        <v>235</v>
      </c>
      <c r="G942">
        <v>5.5</v>
      </c>
      <c r="I942" t="s">
        <v>201</v>
      </c>
      <c r="J942" t="s">
        <v>137</v>
      </c>
      <c r="K942" t="s">
        <v>3746</v>
      </c>
      <c r="L942">
        <v>52856</v>
      </c>
      <c r="M942">
        <v>131.13</v>
      </c>
    </row>
    <row r="943" spans="1:13" x14ac:dyDescent="0.3">
      <c r="A943" t="s">
        <v>3747</v>
      </c>
      <c r="B943" t="s">
        <v>3748</v>
      </c>
      <c r="C943">
        <v>2013</v>
      </c>
      <c r="D943" t="s">
        <v>17</v>
      </c>
      <c r="E943">
        <v>165</v>
      </c>
      <c r="F943" t="s">
        <v>861</v>
      </c>
      <c r="G943">
        <v>5.5</v>
      </c>
      <c r="H943">
        <v>54</v>
      </c>
      <c r="I943" t="s">
        <v>102</v>
      </c>
      <c r="J943" t="s">
        <v>718</v>
      </c>
      <c r="K943" t="s">
        <v>3749</v>
      </c>
      <c r="L943">
        <v>5074</v>
      </c>
    </row>
    <row r="944" spans="1:13" x14ac:dyDescent="0.3">
      <c r="A944" t="s">
        <v>3750</v>
      </c>
      <c r="B944" t="s">
        <v>3751</v>
      </c>
      <c r="C944">
        <v>2010</v>
      </c>
      <c r="D944" t="s">
        <v>293</v>
      </c>
      <c r="E944">
        <v>98</v>
      </c>
      <c r="F944" t="s">
        <v>129</v>
      </c>
      <c r="G944">
        <v>5.5</v>
      </c>
      <c r="I944" t="s">
        <v>130</v>
      </c>
      <c r="J944" t="s">
        <v>74</v>
      </c>
      <c r="K944" t="s">
        <v>3752</v>
      </c>
      <c r="L944">
        <v>654585</v>
      </c>
    </row>
    <row r="945" spans="1:13" x14ac:dyDescent="0.3">
      <c r="A945" t="s">
        <v>3753</v>
      </c>
      <c r="B945" t="s">
        <v>3754</v>
      </c>
      <c r="C945">
        <v>2018</v>
      </c>
      <c r="D945" t="s">
        <v>24</v>
      </c>
      <c r="E945">
        <v>138</v>
      </c>
      <c r="F945" t="s">
        <v>1261</v>
      </c>
      <c r="G945">
        <v>5.5</v>
      </c>
      <c r="H945">
        <v>43</v>
      </c>
      <c r="I945" t="s">
        <v>124</v>
      </c>
      <c r="J945" t="s">
        <v>103</v>
      </c>
      <c r="K945" t="s">
        <v>3755</v>
      </c>
      <c r="L945">
        <v>4267</v>
      </c>
      <c r="M945">
        <v>462.3</v>
      </c>
    </row>
    <row r="946" spans="1:13" x14ac:dyDescent="0.3">
      <c r="A946" t="s">
        <v>3756</v>
      </c>
      <c r="B946" t="s">
        <v>3757</v>
      </c>
      <c r="C946">
        <v>2013</v>
      </c>
      <c r="D946" t="s">
        <v>17</v>
      </c>
      <c r="E946">
        <v>143</v>
      </c>
      <c r="F946" t="s">
        <v>37</v>
      </c>
      <c r="G946">
        <v>5.4</v>
      </c>
      <c r="I946" t="s">
        <v>1709</v>
      </c>
      <c r="J946" t="s">
        <v>137</v>
      </c>
      <c r="K946" t="s">
        <v>3758</v>
      </c>
      <c r="L946">
        <v>25890</v>
      </c>
      <c r="M946">
        <v>192.69</v>
      </c>
    </row>
    <row r="947" spans="1:13" x14ac:dyDescent="0.3">
      <c r="A947" t="s">
        <v>3759</v>
      </c>
      <c r="B947" t="s">
        <v>3760</v>
      </c>
      <c r="C947">
        <v>1988</v>
      </c>
      <c r="D947" t="s">
        <v>54</v>
      </c>
      <c r="E947">
        <v>73</v>
      </c>
      <c r="F947" t="s">
        <v>479</v>
      </c>
      <c r="G947">
        <v>5.4</v>
      </c>
      <c r="H947">
        <v>49</v>
      </c>
      <c r="I947" t="s">
        <v>1363</v>
      </c>
      <c r="J947" t="s">
        <v>57</v>
      </c>
      <c r="K947" t="s">
        <v>3761</v>
      </c>
      <c r="L947">
        <v>279144</v>
      </c>
      <c r="M947">
        <v>219.05</v>
      </c>
    </row>
    <row r="948" spans="1:13" x14ac:dyDescent="0.3">
      <c r="A948" t="s">
        <v>3762</v>
      </c>
      <c r="B948" t="s">
        <v>3763</v>
      </c>
      <c r="C948">
        <v>2005</v>
      </c>
      <c r="D948" t="s">
        <v>54</v>
      </c>
      <c r="E948">
        <v>149</v>
      </c>
      <c r="F948" t="s">
        <v>3764</v>
      </c>
      <c r="G948">
        <v>5.4</v>
      </c>
      <c r="H948">
        <v>42</v>
      </c>
      <c r="I948" t="s">
        <v>1619</v>
      </c>
      <c r="J948" t="s">
        <v>63</v>
      </c>
      <c r="K948" t="s">
        <v>3765</v>
      </c>
      <c r="L948">
        <v>17279</v>
      </c>
      <c r="M948">
        <v>166.41</v>
      </c>
    </row>
    <row r="949" spans="1:13" x14ac:dyDescent="0.3">
      <c r="A949" t="s">
        <v>3766</v>
      </c>
      <c r="B949" t="s">
        <v>3767</v>
      </c>
      <c r="C949">
        <v>2010</v>
      </c>
      <c r="D949" t="s">
        <v>17</v>
      </c>
      <c r="E949">
        <v>126</v>
      </c>
      <c r="F949" t="s">
        <v>767</v>
      </c>
      <c r="G949">
        <v>5.4</v>
      </c>
      <c r="H949">
        <v>64</v>
      </c>
      <c r="I949" t="s">
        <v>320</v>
      </c>
      <c r="J949" t="s">
        <v>103</v>
      </c>
      <c r="K949" t="s">
        <v>3768</v>
      </c>
      <c r="L949">
        <v>69079</v>
      </c>
    </row>
    <row r="950" spans="1:13" x14ac:dyDescent="0.3">
      <c r="A950" t="s">
        <v>3769</v>
      </c>
      <c r="B950" t="s">
        <v>3770</v>
      </c>
      <c r="C950">
        <v>2006</v>
      </c>
      <c r="D950" t="s">
        <v>54</v>
      </c>
      <c r="E950">
        <v>133</v>
      </c>
      <c r="F950" t="s">
        <v>3771</v>
      </c>
      <c r="G950">
        <v>5.4</v>
      </c>
      <c r="I950" t="s">
        <v>1207</v>
      </c>
      <c r="J950" t="s">
        <v>326</v>
      </c>
      <c r="K950" t="s">
        <v>3772</v>
      </c>
      <c r="L950">
        <v>290082</v>
      </c>
      <c r="M950">
        <v>161.81</v>
      </c>
    </row>
    <row r="951" spans="1:13" x14ac:dyDescent="0.3">
      <c r="A951" t="s">
        <v>3773</v>
      </c>
      <c r="B951" t="s">
        <v>3774</v>
      </c>
      <c r="C951">
        <v>1996</v>
      </c>
      <c r="D951" t="s">
        <v>17</v>
      </c>
      <c r="E951">
        <v>144</v>
      </c>
      <c r="F951" t="s">
        <v>784</v>
      </c>
      <c r="G951">
        <v>5.4</v>
      </c>
      <c r="I951" t="s">
        <v>962</v>
      </c>
      <c r="J951" t="s">
        <v>159</v>
      </c>
      <c r="K951" t="s">
        <v>3775</v>
      </c>
      <c r="L951">
        <v>24365</v>
      </c>
    </row>
    <row r="952" spans="1:13" x14ac:dyDescent="0.3">
      <c r="A952" t="s">
        <v>3776</v>
      </c>
      <c r="B952" t="s">
        <v>3777</v>
      </c>
      <c r="C952">
        <v>1987</v>
      </c>
      <c r="D952" t="s">
        <v>24</v>
      </c>
      <c r="E952">
        <v>97</v>
      </c>
      <c r="F952" t="s">
        <v>2790</v>
      </c>
      <c r="G952">
        <v>5.4</v>
      </c>
      <c r="I952" t="s">
        <v>435</v>
      </c>
      <c r="J952" t="s">
        <v>524</v>
      </c>
      <c r="K952" t="s">
        <v>3778</v>
      </c>
      <c r="L952">
        <v>244186</v>
      </c>
    </row>
    <row r="953" spans="1:13" x14ac:dyDescent="0.3">
      <c r="A953" t="s">
        <v>3779</v>
      </c>
      <c r="B953" t="s">
        <v>3780</v>
      </c>
      <c r="C953">
        <v>2017</v>
      </c>
      <c r="D953" t="s">
        <v>17</v>
      </c>
      <c r="E953">
        <v>124</v>
      </c>
      <c r="F953" t="s">
        <v>3781</v>
      </c>
      <c r="G953">
        <v>5.4</v>
      </c>
      <c r="H953">
        <v>49</v>
      </c>
      <c r="I953" t="s">
        <v>566</v>
      </c>
      <c r="J953" t="s">
        <v>147</v>
      </c>
      <c r="K953" t="s">
        <v>3782</v>
      </c>
      <c r="L953">
        <v>98353</v>
      </c>
    </row>
    <row r="954" spans="1:13" x14ac:dyDescent="0.3">
      <c r="A954" t="s">
        <v>3783</v>
      </c>
      <c r="B954" t="s">
        <v>3784</v>
      </c>
      <c r="C954">
        <v>2000</v>
      </c>
      <c r="D954" t="s">
        <v>293</v>
      </c>
      <c r="E954">
        <v>98</v>
      </c>
      <c r="F954" t="s">
        <v>1257</v>
      </c>
      <c r="G954">
        <v>5.4</v>
      </c>
      <c r="I954" t="s">
        <v>3785</v>
      </c>
      <c r="J954" t="s">
        <v>236</v>
      </c>
      <c r="K954" t="s">
        <v>3786</v>
      </c>
      <c r="L954">
        <v>21208</v>
      </c>
      <c r="M954">
        <v>88.02</v>
      </c>
    </row>
    <row r="955" spans="1:13" x14ac:dyDescent="0.3">
      <c r="A955" t="s">
        <v>3787</v>
      </c>
      <c r="B955" t="s">
        <v>3788</v>
      </c>
      <c r="C955">
        <v>2006</v>
      </c>
      <c r="D955" t="s">
        <v>293</v>
      </c>
      <c r="E955">
        <v>132</v>
      </c>
      <c r="F955" t="s">
        <v>55</v>
      </c>
      <c r="G955">
        <v>5.4</v>
      </c>
      <c r="I955" t="s">
        <v>3789</v>
      </c>
      <c r="J955" t="s">
        <v>63</v>
      </c>
      <c r="K955" t="s">
        <v>3790</v>
      </c>
      <c r="L955">
        <v>20116</v>
      </c>
      <c r="M955">
        <v>439.94</v>
      </c>
    </row>
    <row r="956" spans="1:13" x14ac:dyDescent="0.3">
      <c r="A956" t="s">
        <v>3791</v>
      </c>
      <c r="B956" t="s">
        <v>3792</v>
      </c>
      <c r="C956">
        <v>2001</v>
      </c>
      <c r="D956" t="s">
        <v>17</v>
      </c>
      <c r="E956">
        <v>128</v>
      </c>
      <c r="F956" t="s">
        <v>3045</v>
      </c>
      <c r="G956">
        <v>5.4</v>
      </c>
      <c r="I956" t="s">
        <v>3793</v>
      </c>
      <c r="J956" t="s">
        <v>315</v>
      </c>
      <c r="K956" t="s">
        <v>3794</v>
      </c>
      <c r="L956">
        <v>11046</v>
      </c>
    </row>
    <row r="957" spans="1:13" x14ac:dyDescent="0.3">
      <c r="A957" t="s">
        <v>3795</v>
      </c>
      <c r="B957" t="s">
        <v>3796</v>
      </c>
      <c r="C957">
        <v>2008</v>
      </c>
      <c r="D957" t="s">
        <v>24</v>
      </c>
      <c r="E957">
        <v>116</v>
      </c>
      <c r="F957" t="s">
        <v>565</v>
      </c>
      <c r="G957">
        <v>5.4</v>
      </c>
      <c r="H957">
        <v>59</v>
      </c>
      <c r="I957" t="s">
        <v>552</v>
      </c>
      <c r="J957" t="s">
        <v>165</v>
      </c>
      <c r="K957" t="s">
        <v>3797</v>
      </c>
      <c r="L957">
        <v>28660</v>
      </c>
    </row>
    <row r="958" spans="1:13" x14ac:dyDescent="0.3">
      <c r="A958" t="s">
        <v>3798</v>
      </c>
      <c r="B958" t="s">
        <v>3799</v>
      </c>
      <c r="C958">
        <v>2017</v>
      </c>
      <c r="D958" t="s">
        <v>54</v>
      </c>
      <c r="E958">
        <v>138</v>
      </c>
      <c r="F958" t="s">
        <v>3709</v>
      </c>
      <c r="G958">
        <v>5.4</v>
      </c>
      <c r="H958">
        <v>52</v>
      </c>
      <c r="I958" t="s">
        <v>320</v>
      </c>
      <c r="J958" t="s">
        <v>119</v>
      </c>
      <c r="K958" t="s">
        <v>3800</v>
      </c>
      <c r="L958">
        <v>13569</v>
      </c>
      <c r="M958">
        <v>19.3</v>
      </c>
    </row>
    <row r="959" spans="1:13" x14ac:dyDescent="0.3">
      <c r="A959" t="s">
        <v>3801</v>
      </c>
      <c r="B959" t="s">
        <v>3802</v>
      </c>
      <c r="C959">
        <v>2016</v>
      </c>
      <c r="D959" t="s">
        <v>17</v>
      </c>
      <c r="E959">
        <v>98</v>
      </c>
      <c r="F959" t="s">
        <v>2589</v>
      </c>
      <c r="G959">
        <v>5.4</v>
      </c>
      <c r="I959" t="s">
        <v>1556</v>
      </c>
      <c r="J959" t="s">
        <v>57</v>
      </c>
      <c r="K959" t="s">
        <v>3803</v>
      </c>
      <c r="L959">
        <v>204195</v>
      </c>
    </row>
    <row r="960" spans="1:13" x14ac:dyDescent="0.3">
      <c r="A960" t="s">
        <v>3804</v>
      </c>
      <c r="B960" t="s">
        <v>3805</v>
      </c>
      <c r="C960">
        <v>2016</v>
      </c>
      <c r="D960" t="s">
        <v>54</v>
      </c>
      <c r="E960">
        <v>161</v>
      </c>
      <c r="F960" t="s">
        <v>1159</v>
      </c>
      <c r="G960">
        <v>5.4</v>
      </c>
      <c r="I960" t="s">
        <v>1288</v>
      </c>
      <c r="J960" t="s">
        <v>113</v>
      </c>
      <c r="K960" t="s">
        <v>3806</v>
      </c>
      <c r="L960">
        <v>78992</v>
      </c>
      <c r="M960">
        <v>287.2</v>
      </c>
    </row>
    <row r="961" spans="1:13" x14ac:dyDescent="0.3">
      <c r="A961" t="s">
        <v>3807</v>
      </c>
      <c r="B961" t="s">
        <v>3808</v>
      </c>
      <c r="C961">
        <v>2022</v>
      </c>
      <c r="D961" t="s">
        <v>169</v>
      </c>
      <c r="E961">
        <v>114</v>
      </c>
      <c r="F961" t="s">
        <v>3809</v>
      </c>
      <c r="G961">
        <v>5.4</v>
      </c>
      <c r="H961">
        <v>64</v>
      </c>
      <c r="I961" t="s">
        <v>3810</v>
      </c>
      <c r="J961" t="s">
        <v>518</v>
      </c>
      <c r="K961" t="s">
        <v>3811</v>
      </c>
      <c r="L961">
        <v>41414</v>
      </c>
    </row>
    <row r="962" spans="1:13" x14ac:dyDescent="0.3">
      <c r="A962" t="s">
        <v>3812</v>
      </c>
      <c r="B962" t="s">
        <v>3813</v>
      </c>
      <c r="C962">
        <v>2023</v>
      </c>
      <c r="D962" t="s">
        <v>24</v>
      </c>
      <c r="E962">
        <v>92</v>
      </c>
      <c r="F962" t="s">
        <v>1033</v>
      </c>
      <c r="G962">
        <v>5.4</v>
      </c>
      <c r="I962" t="s">
        <v>3814</v>
      </c>
      <c r="J962" t="s">
        <v>165</v>
      </c>
      <c r="K962" t="s">
        <v>3815</v>
      </c>
      <c r="L962">
        <v>317753</v>
      </c>
    </row>
    <row r="963" spans="1:13" x14ac:dyDescent="0.3">
      <c r="A963" t="s">
        <v>3816</v>
      </c>
      <c r="B963" t="s">
        <v>3817</v>
      </c>
      <c r="C963">
        <v>2012</v>
      </c>
      <c r="D963" t="s">
        <v>24</v>
      </c>
      <c r="E963">
        <v>118</v>
      </c>
      <c r="F963" t="s">
        <v>72</v>
      </c>
      <c r="G963">
        <v>5.4</v>
      </c>
      <c r="H963">
        <v>69</v>
      </c>
      <c r="I963" t="s">
        <v>3818</v>
      </c>
      <c r="J963" t="s">
        <v>718</v>
      </c>
      <c r="K963" t="s">
        <v>3819</v>
      </c>
      <c r="L963">
        <v>35047</v>
      </c>
      <c r="M963">
        <v>482.45</v>
      </c>
    </row>
    <row r="964" spans="1:13" x14ac:dyDescent="0.3">
      <c r="A964" t="s">
        <v>3820</v>
      </c>
      <c r="B964" t="s">
        <v>3821</v>
      </c>
      <c r="C964">
        <v>2003</v>
      </c>
      <c r="D964" t="s">
        <v>54</v>
      </c>
      <c r="E964">
        <v>119</v>
      </c>
      <c r="F964" t="s">
        <v>3822</v>
      </c>
      <c r="G964">
        <v>5.3</v>
      </c>
      <c r="H964">
        <v>60</v>
      </c>
      <c r="I964" t="s">
        <v>3823</v>
      </c>
      <c r="J964" t="s">
        <v>92</v>
      </c>
      <c r="K964" t="s">
        <v>3824</v>
      </c>
      <c r="L964">
        <v>343557</v>
      </c>
      <c r="M964">
        <v>181.18</v>
      </c>
    </row>
    <row r="965" spans="1:13" x14ac:dyDescent="0.3">
      <c r="A965" t="s">
        <v>3825</v>
      </c>
      <c r="B965" t="s">
        <v>3826</v>
      </c>
      <c r="C965">
        <v>2002</v>
      </c>
      <c r="D965" t="s">
        <v>169</v>
      </c>
      <c r="E965">
        <v>112</v>
      </c>
      <c r="F965" t="s">
        <v>78</v>
      </c>
      <c r="G965">
        <v>5.3</v>
      </c>
      <c r="H965">
        <v>40</v>
      </c>
      <c r="I965" t="s">
        <v>3827</v>
      </c>
      <c r="J965" t="s">
        <v>103</v>
      </c>
      <c r="K965" t="s">
        <v>3828</v>
      </c>
      <c r="L965">
        <v>14962</v>
      </c>
      <c r="M965">
        <v>172.72</v>
      </c>
    </row>
    <row r="966" spans="1:13" x14ac:dyDescent="0.3">
      <c r="A966" t="s">
        <v>3829</v>
      </c>
      <c r="B966" t="s">
        <v>3830</v>
      </c>
      <c r="C966">
        <v>1997</v>
      </c>
      <c r="D966" t="s">
        <v>24</v>
      </c>
      <c r="E966">
        <v>135</v>
      </c>
      <c r="F966" t="s">
        <v>948</v>
      </c>
      <c r="G966">
        <v>5.3</v>
      </c>
      <c r="I966" t="s">
        <v>629</v>
      </c>
      <c r="J966" t="s">
        <v>524</v>
      </c>
      <c r="K966" t="s">
        <v>3831</v>
      </c>
      <c r="L966">
        <v>135271</v>
      </c>
      <c r="M966">
        <v>296.61</v>
      </c>
    </row>
    <row r="967" spans="1:13" x14ac:dyDescent="0.3">
      <c r="A967" t="s">
        <v>3832</v>
      </c>
      <c r="B967" t="s">
        <v>3833</v>
      </c>
      <c r="C967">
        <v>2022</v>
      </c>
      <c r="D967" t="s">
        <v>24</v>
      </c>
      <c r="E967">
        <v>135</v>
      </c>
      <c r="F967" t="s">
        <v>3834</v>
      </c>
      <c r="G967">
        <v>5.3</v>
      </c>
      <c r="I967" t="s">
        <v>3835</v>
      </c>
      <c r="J967" t="s">
        <v>236</v>
      </c>
      <c r="K967" t="s">
        <v>3836</v>
      </c>
      <c r="L967">
        <v>12326</v>
      </c>
      <c r="M967">
        <v>372.15</v>
      </c>
    </row>
    <row r="968" spans="1:13" x14ac:dyDescent="0.3">
      <c r="A968" t="s">
        <v>3837</v>
      </c>
      <c r="B968" t="s">
        <v>3838</v>
      </c>
      <c r="C968">
        <v>1991</v>
      </c>
      <c r="D968" t="s">
        <v>54</v>
      </c>
      <c r="E968">
        <v>83</v>
      </c>
      <c r="F968" t="s">
        <v>3839</v>
      </c>
      <c r="G968">
        <v>5.3</v>
      </c>
      <c r="I968" t="s">
        <v>3840</v>
      </c>
      <c r="J968" t="s">
        <v>125</v>
      </c>
      <c r="K968" t="s">
        <v>3841</v>
      </c>
      <c r="L968">
        <v>64352</v>
      </c>
      <c r="M968">
        <v>16.14</v>
      </c>
    </row>
    <row r="969" spans="1:13" x14ac:dyDescent="0.3">
      <c r="A969" t="s">
        <v>3842</v>
      </c>
      <c r="B969" t="s">
        <v>3843</v>
      </c>
      <c r="C969">
        <v>2012</v>
      </c>
      <c r="D969" t="s">
        <v>17</v>
      </c>
      <c r="E969">
        <v>115</v>
      </c>
      <c r="F969" t="s">
        <v>55</v>
      </c>
      <c r="G969">
        <v>5.3</v>
      </c>
      <c r="I969" t="s">
        <v>3844</v>
      </c>
      <c r="J969" t="s">
        <v>80</v>
      </c>
      <c r="K969" t="s">
        <v>3845</v>
      </c>
      <c r="L969">
        <v>33232</v>
      </c>
      <c r="M969">
        <v>309.91000000000003</v>
      </c>
    </row>
    <row r="970" spans="1:13" x14ac:dyDescent="0.3">
      <c r="A970" t="s">
        <v>3846</v>
      </c>
      <c r="B970" t="s">
        <v>3847</v>
      </c>
      <c r="C970">
        <v>2024</v>
      </c>
      <c r="D970" t="s">
        <v>54</v>
      </c>
      <c r="E970">
        <v>117</v>
      </c>
      <c r="F970" t="s">
        <v>1405</v>
      </c>
      <c r="G970">
        <v>5.3</v>
      </c>
      <c r="I970" t="s">
        <v>231</v>
      </c>
      <c r="J970" t="s">
        <v>153</v>
      </c>
      <c r="K970" t="s">
        <v>3848</v>
      </c>
      <c r="L970">
        <v>45991</v>
      </c>
      <c r="M970">
        <v>160.53</v>
      </c>
    </row>
    <row r="971" spans="1:13" x14ac:dyDescent="0.3">
      <c r="A971" t="s">
        <v>3849</v>
      </c>
      <c r="B971" t="s">
        <v>3850</v>
      </c>
      <c r="C971">
        <v>2021</v>
      </c>
      <c r="D971" t="s">
        <v>17</v>
      </c>
      <c r="E971">
        <v>128</v>
      </c>
      <c r="F971" t="s">
        <v>606</v>
      </c>
      <c r="G971">
        <v>5.3</v>
      </c>
      <c r="H971">
        <v>59</v>
      </c>
      <c r="I971" t="s">
        <v>250</v>
      </c>
      <c r="J971" t="s">
        <v>20</v>
      </c>
      <c r="K971" t="s">
        <v>3851</v>
      </c>
      <c r="L971">
        <v>280332</v>
      </c>
      <c r="M971">
        <v>242.51</v>
      </c>
    </row>
    <row r="972" spans="1:13" x14ac:dyDescent="0.3">
      <c r="A972" t="s">
        <v>3852</v>
      </c>
      <c r="B972" t="s">
        <v>3853</v>
      </c>
      <c r="C972">
        <v>2002</v>
      </c>
      <c r="D972" t="s">
        <v>54</v>
      </c>
      <c r="E972">
        <v>126</v>
      </c>
      <c r="F972" t="s">
        <v>3854</v>
      </c>
      <c r="G972">
        <v>5.3</v>
      </c>
      <c r="H972">
        <v>58</v>
      </c>
      <c r="I972" t="s">
        <v>3855</v>
      </c>
      <c r="J972" t="s">
        <v>33</v>
      </c>
      <c r="K972" t="s">
        <v>3856</v>
      </c>
      <c r="L972">
        <v>7924</v>
      </c>
    </row>
    <row r="973" spans="1:13" x14ac:dyDescent="0.3">
      <c r="A973" t="s">
        <v>3857</v>
      </c>
      <c r="B973" t="s">
        <v>3858</v>
      </c>
      <c r="C973">
        <v>2018</v>
      </c>
      <c r="D973" t="s">
        <v>285</v>
      </c>
      <c r="E973">
        <v>106</v>
      </c>
      <c r="F973" t="s">
        <v>1336</v>
      </c>
      <c r="G973">
        <v>5.2</v>
      </c>
      <c r="H973">
        <v>46</v>
      </c>
      <c r="I973" t="s">
        <v>3859</v>
      </c>
      <c r="J973" t="s">
        <v>103</v>
      </c>
      <c r="K973" t="s">
        <v>3860</v>
      </c>
      <c r="L973">
        <v>128901</v>
      </c>
    </row>
    <row r="974" spans="1:13" x14ac:dyDescent="0.3">
      <c r="A974" t="s">
        <v>3861</v>
      </c>
      <c r="B974" t="s">
        <v>3862</v>
      </c>
      <c r="C974">
        <v>2005</v>
      </c>
      <c r="D974" t="s">
        <v>24</v>
      </c>
      <c r="E974">
        <v>142</v>
      </c>
      <c r="F974" t="s">
        <v>3863</v>
      </c>
      <c r="G974">
        <v>5.2</v>
      </c>
      <c r="I974" t="s">
        <v>3864</v>
      </c>
      <c r="J974" t="s">
        <v>63</v>
      </c>
      <c r="K974" t="s">
        <v>3865</v>
      </c>
      <c r="L974">
        <v>34764</v>
      </c>
      <c r="M974">
        <v>465.86</v>
      </c>
    </row>
    <row r="975" spans="1:13" x14ac:dyDescent="0.3">
      <c r="A975" t="s">
        <v>3866</v>
      </c>
      <c r="B975" t="s">
        <v>3867</v>
      </c>
      <c r="C975">
        <v>2000</v>
      </c>
      <c r="D975" t="s">
        <v>24</v>
      </c>
      <c r="E975">
        <v>143</v>
      </c>
      <c r="F975" t="s">
        <v>72</v>
      </c>
      <c r="G975">
        <v>5.2</v>
      </c>
      <c r="H975">
        <v>59</v>
      </c>
      <c r="I975" t="s">
        <v>1067</v>
      </c>
      <c r="J975" t="s">
        <v>20</v>
      </c>
      <c r="K975" t="s">
        <v>3868</v>
      </c>
      <c r="L975">
        <v>96710</v>
      </c>
      <c r="M975">
        <v>102.04</v>
      </c>
    </row>
    <row r="976" spans="1:13" x14ac:dyDescent="0.3">
      <c r="A976" t="s">
        <v>3869</v>
      </c>
      <c r="B976" t="s">
        <v>3870</v>
      </c>
      <c r="C976">
        <v>2022</v>
      </c>
      <c r="D976" t="s">
        <v>54</v>
      </c>
      <c r="E976">
        <v>122</v>
      </c>
      <c r="F976" t="s">
        <v>1076</v>
      </c>
      <c r="G976">
        <v>5.2</v>
      </c>
      <c r="H976">
        <v>44</v>
      </c>
      <c r="I976" t="s">
        <v>3358</v>
      </c>
      <c r="J976" t="s">
        <v>593</v>
      </c>
      <c r="K976" t="s">
        <v>3871</v>
      </c>
      <c r="L976">
        <v>97221</v>
      </c>
      <c r="M976">
        <v>465.03</v>
      </c>
    </row>
    <row r="977" spans="1:13" x14ac:dyDescent="0.3">
      <c r="A977" t="s">
        <v>3872</v>
      </c>
      <c r="B977" t="s">
        <v>3873</v>
      </c>
      <c r="C977">
        <v>2007</v>
      </c>
      <c r="D977" t="s">
        <v>17</v>
      </c>
      <c r="E977">
        <v>131</v>
      </c>
      <c r="F977" t="s">
        <v>784</v>
      </c>
      <c r="G977">
        <v>5.2</v>
      </c>
      <c r="I977" t="s">
        <v>85</v>
      </c>
      <c r="J977" t="s">
        <v>63</v>
      </c>
      <c r="K977" t="s">
        <v>3874</v>
      </c>
      <c r="L977">
        <v>34910</v>
      </c>
      <c r="M977">
        <v>430.32</v>
      </c>
    </row>
    <row r="978" spans="1:13" x14ac:dyDescent="0.3">
      <c r="A978" t="s">
        <v>3875</v>
      </c>
      <c r="B978" t="s">
        <v>3876</v>
      </c>
      <c r="C978">
        <v>2005</v>
      </c>
      <c r="D978" t="s">
        <v>17</v>
      </c>
      <c r="E978">
        <v>108</v>
      </c>
      <c r="F978" t="s">
        <v>1841</v>
      </c>
      <c r="G978">
        <v>5.2</v>
      </c>
      <c r="H978">
        <v>59</v>
      </c>
      <c r="I978" t="s">
        <v>3877</v>
      </c>
      <c r="J978" t="s">
        <v>137</v>
      </c>
      <c r="K978" t="s">
        <v>3878</v>
      </c>
      <c r="L978">
        <v>89777</v>
      </c>
      <c r="M978">
        <v>498</v>
      </c>
    </row>
    <row r="979" spans="1:13" x14ac:dyDescent="0.3">
      <c r="A979" t="s">
        <v>3879</v>
      </c>
      <c r="B979" t="s">
        <v>3880</v>
      </c>
      <c r="C979">
        <v>2001</v>
      </c>
      <c r="D979" t="s">
        <v>17</v>
      </c>
      <c r="E979">
        <v>96</v>
      </c>
      <c r="F979" t="s">
        <v>3538</v>
      </c>
      <c r="G979">
        <v>5.2</v>
      </c>
      <c r="H979">
        <v>43</v>
      </c>
      <c r="I979" t="s">
        <v>85</v>
      </c>
      <c r="J979" t="s">
        <v>251</v>
      </c>
      <c r="K979" t="s">
        <v>3881</v>
      </c>
      <c r="L979">
        <v>134887</v>
      </c>
    </row>
    <row r="980" spans="1:13" x14ac:dyDescent="0.3">
      <c r="A980" t="s">
        <v>3882</v>
      </c>
      <c r="B980" t="s">
        <v>3883</v>
      </c>
      <c r="C980">
        <v>2010</v>
      </c>
      <c r="D980" t="s">
        <v>54</v>
      </c>
      <c r="E980">
        <v>89</v>
      </c>
      <c r="F980" t="s">
        <v>375</v>
      </c>
      <c r="G980">
        <v>5.2</v>
      </c>
      <c r="H980">
        <v>53</v>
      </c>
      <c r="I980" t="s">
        <v>3884</v>
      </c>
      <c r="J980" t="s">
        <v>221</v>
      </c>
      <c r="K980" t="s">
        <v>3885</v>
      </c>
      <c r="L980">
        <v>5562</v>
      </c>
      <c r="M980">
        <v>230.26</v>
      </c>
    </row>
    <row r="981" spans="1:13" x14ac:dyDescent="0.3">
      <c r="A981" t="s">
        <v>3886</v>
      </c>
      <c r="B981" t="s">
        <v>3887</v>
      </c>
      <c r="C981">
        <v>2008</v>
      </c>
      <c r="D981" t="s">
        <v>24</v>
      </c>
      <c r="E981">
        <v>105</v>
      </c>
      <c r="F981" t="s">
        <v>784</v>
      </c>
      <c r="G981">
        <v>5.0999999999999996</v>
      </c>
      <c r="H981">
        <v>44</v>
      </c>
      <c r="I981" t="s">
        <v>3888</v>
      </c>
      <c r="J981" t="s">
        <v>368</v>
      </c>
      <c r="K981" t="s">
        <v>3889</v>
      </c>
      <c r="L981">
        <v>52890</v>
      </c>
    </row>
    <row r="982" spans="1:13" x14ac:dyDescent="0.3">
      <c r="A982" t="s">
        <v>3890</v>
      </c>
      <c r="B982" t="s">
        <v>3891</v>
      </c>
      <c r="C982">
        <v>1989</v>
      </c>
      <c r="D982" t="s">
        <v>17</v>
      </c>
      <c r="E982">
        <v>99</v>
      </c>
      <c r="F982" t="s">
        <v>861</v>
      </c>
      <c r="G982">
        <v>5.0999999999999996</v>
      </c>
      <c r="I982" t="s">
        <v>102</v>
      </c>
      <c r="J982" t="s">
        <v>196</v>
      </c>
      <c r="K982" t="s">
        <v>3892</v>
      </c>
      <c r="L982">
        <v>21202</v>
      </c>
      <c r="M982">
        <v>203.59</v>
      </c>
    </row>
    <row r="983" spans="1:13" x14ac:dyDescent="0.3">
      <c r="A983" t="s">
        <v>3893</v>
      </c>
      <c r="B983" t="s">
        <v>3894</v>
      </c>
      <c r="C983">
        <v>2018</v>
      </c>
      <c r="D983" t="s">
        <v>24</v>
      </c>
      <c r="E983">
        <v>88</v>
      </c>
      <c r="F983" t="s">
        <v>868</v>
      </c>
      <c r="G983">
        <v>5.0999999999999996</v>
      </c>
      <c r="H983">
        <v>61</v>
      </c>
      <c r="I983" t="s">
        <v>102</v>
      </c>
      <c r="J983" t="s">
        <v>524</v>
      </c>
      <c r="K983" t="s">
        <v>3895</v>
      </c>
      <c r="L983">
        <v>990978</v>
      </c>
    </row>
    <row r="984" spans="1:13" x14ac:dyDescent="0.3">
      <c r="A984" t="s">
        <v>3896</v>
      </c>
      <c r="B984" t="s">
        <v>3897</v>
      </c>
      <c r="C984">
        <v>2018</v>
      </c>
      <c r="D984" t="s">
        <v>54</v>
      </c>
      <c r="E984">
        <v>136</v>
      </c>
      <c r="F984" t="s">
        <v>43</v>
      </c>
      <c r="G984">
        <v>5</v>
      </c>
      <c r="I984" t="s">
        <v>3898</v>
      </c>
      <c r="J984" t="s">
        <v>20</v>
      </c>
      <c r="K984" t="s">
        <v>3899</v>
      </c>
      <c r="L984">
        <v>104933</v>
      </c>
      <c r="M984">
        <v>174.47</v>
      </c>
    </row>
    <row r="985" spans="1:13" x14ac:dyDescent="0.3">
      <c r="A985" t="s">
        <v>3900</v>
      </c>
      <c r="B985" t="s">
        <v>3901</v>
      </c>
      <c r="C985">
        <v>2005</v>
      </c>
      <c r="D985" t="s">
        <v>24</v>
      </c>
      <c r="E985">
        <v>124</v>
      </c>
      <c r="F985" t="s">
        <v>3348</v>
      </c>
      <c r="G985">
        <v>5</v>
      </c>
      <c r="H985">
        <v>58</v>
      </c>
      <c r="I985" t="s">
        <v>158</v>
      </c>
      <c r="J985" t="s">
        <v>196</v>
      </c>
      <c r="K985" t="s">
        <v>3902</v>
      </c>
      <c r="L985">
        <v>41325</v>
      </c>
      <c r="M985">
        <v>201.78</v>
      </c>
    </row>
    <row r="986" spans="1:13" x14ac:dyDescent="0.3">
      <c r="A986" t="s">
        <v>3903</v>
      </c>
      <c r="B986" t="s">
        <v>3904</v>
      </c>
      <c r="C986">
        <v>2024</v>
      </c>
      <c r="D986" t="s">
        <v>293</v>
      </c>
      <c r="E986">
        <v>114</v>
      </c>
      <c r="F986" t="s">
        <v>3028</v>
      </c>
      <c r="G986">
        <v>5</v>
      </c>
      <c r="H986">
        <v>56</v>
      </c>
      <c r="I986" t="s">
        <v>305</v>
      </c>
      <c r="J986" t="s">
        <v>251</v>
      </c>
      <c r="K986" t="s">
        <v>3905</v>
      </c>
      <c r="L986">
        <v>155302</v>
      </c>
      <c r="M986">
        <v>230.34</v>
      </c>
    </row>
    <row r="987" spans="1:13" x14ac:dyDescent="0.3">
      <c r="A987" t="s">
        <v>3906</v>
      </c>
      <c r="B987" t="s">
        <v>3907</v>
      </c>
      <c r="C987">
        <v>1983</v>
      </c>
      <c r="D987" t="s">
        <v>17</v>
      </c>
      <c r="E987">
        <v>108</v>
      </c>
      <c r="F987" t="s">
        <v>987</v>
      </c>
      <c r="G987">
        <v>4.9000000000000004</v>
      </c>
      <c r="I987" t="s">
        <v>798</v>
      </c>
      <c r="J987" t="s">
        <v>191</v>
      </c>
      <c r="K987" t="s">
        <v>3908</v>
      </c>
      <c r="L987">
        <v>16326</v>
      </c>
      <c r="M987">
        <v>184.66</v>
      </c>
    </row>
    <row r="988" spans="1:13" x14ac:dyDescent="0.3">
      <c r="A988" t="s">
        <v>3909</v>
      </c>
      <c r="B988" t="s">
        <v>3910</v>
      </c>
      <c r="C988">
        <v>2002</v>
      </c>
      <c r="D988" t="s">
        <v>54</v>
      </c>
      <c r="E988">
        <v>102</v>
      </c>
      <c r="F988" t="s">
        <v>55</v>
      </c>
      <c r="G988">
        <v>4.9000000000000004</v>
      </c>
      <c r="H988">
        <v>51</v>
      </c>
      <c r="I988" t="s">
        <v>852</v>
      </c>
      <c r="J988" t="s">
        <v>547</v>
      </c>
      <c r="K988" t="s">
        <v>3911</v>
      </c>
      <c r="L988">
        <v>20358</v>
      </c>
    </row>
    <row r="989" spans="1:13" x14ac:dyDescent="0.3">
      <c r="A989" t="s">
        <v>3912</v>
      </c>
      <c r="B989" t="s">
        <v>3913</v>
      </c>
      <c r="C989">
        <v>2010</v>
      </c>
      <c r="D989" t="s">
        <v>24</v>
      </c>
      <c r="E989">
        <v>75</v>
      </c>
      <c r="F989" t="s">
        <v>230</v>
      </c>
      <c r="G989">
        <v>4.9000000000000004</v>
      </c>
      <c r="H989">
        <v>44</v>
      </c>
      <c r="I989" t="s">
        <v>3914</v>
      </c>
      <c r="J989" t="s">
        <v>92</v>
      </c>
      <c r="K989" t="s">
        <v>3915</v>
      </c>
      <c r="L989">
        <v>24093</v>
      </c>
    </row>
    <row r="990" spans="1:13" x14ac:dyDescent="0.3">
      <c r="A990" t="s">
        <v>3916</v>
      </c>
      <c r="B990" t="s">
        <v>3917</v>
      </c>
      <c r="C990">
        <v>2008</v>
      </c>
      <c r="D990" t="s">
        <v>169</v>
      </c>
      <c r="E990">
        <v>129</v>
      </c>
      <c r="F990" t="s">
        <v>151</v>
      </c>
      <c r="G990">
        <v>4.9000000000000004</v>
      </c>
      <c r="H990">
        <v>62</v>
      </c>
      <c r="I990" t="s">
        <v>19</v>
      </c>
      <c r="J990" t="s">
        <v>125</v>
      </c>
      <c r="K990" t="s">
        <v>3918</v>
      </c>
      <c r="L990">
        <v>24911</v>
      </c>
      <c r="M990">
        <v>486.51</v>
      </c>
    </row>
    <row r="991" spans="1:13" x14ac:dyDescent="0.3">
      <c r="A991" t="s">
        <v>3919</v>
      </c>
      <c r="B991" t="s">
        <v>3920</v>
      </c>
      <c r="C991">
        <v>2023</v>
      </c>
      <c r="D991" t="s">
        <v>17</v>
      </c>
      <c r="E991">
        <v>198</v>
      </c>
      <c r="F991" t="s">
        <v>606</v>
      </c>
      <c r="G991">
        <v>4.9000000000000004</v>
      </c>
      <c r="H991">
        <v>46</v>
      </c>
      <c r="I991" t="s">
        <v>314</v>
      </c>
      <c r="J991" t="s">
        <v>315</v>
      </c>
      <c r="K991" t="s">
        <v>3921</v>
      </c>
      <c r="L991">
        <v>795753</v>
      </c>
      <c r="M991">
        <v>349.91</v>
      </c>
    </row>
    <row r="992" spans="1:13" x14ac:dyDescent="0.3">
      <c r="A992" t="s">
        <v>3922</v>
      </c>
      <c r="B992" t="s">
        <v>3923</v>
      </c>
      <c r="C992">
        <v>1988</v>
      </c>
      <c r="D992" t="s">
        <v>17</v>
      </c>
      <c r="E992">
        <v>119</v>
      </c>
      <c r="F992" t="s">
        <v>3924</v>
      </c>
      <c r="G992">
        <v>4.9000000000000004</v>
      </c>
      <c r="I992" t="s">
        <v>152</v>
      </c>
      <c r="J992" t="s">
        <v>153</v>
      </c>
      <c r="K992" t="s">
        <v>3925</v>
      </c>
      <c r="L992">
        <v>31429</v>
      </c>
      <c r="M992">
        <v>142.57</v>
      </c>
    </row>
    <row r="993" spans="1:13" x14ac:dyDescent="0.3">
      <c r="A993" t="s">
        <v>3926</v>
      </c>
      <c r="B993" t="s">
        <v>3927</v>
      </c>
      <c r="C993">
        <v>2020</v>
      </c>
      <c r="D993" t="s">
        <v>54</v>
      </c>
      <c r="E993">
        <v>109</v>
      </c>
      <c r="F993" t="s">
        <v>313</v>
      </c>
      <c r="G993">
        <v>4.9000000000000004</v>
      </c>
      <c r="H993">
        <v>39</v>
      </c>
      <c r="I993" t="s">
        <v>3099</v>
      </c>
      <c r="J993" t="s">
        <v>524</v>
      </c>
      <c r="K993" t="s">
        <v>3928</v>
      </c>
      <c r="L993">
        <v>310434</v>
      </c>
      <c r="M993">
        <v>30.48</v>
      </c>
    </row>
    <row r="994" spans="1:13" x14ac:dyDescent="0.3">
      <c r="A994" t="s">
        <v>3929</v>
      </c>
      <c r="B994" t="s">
        <v>3930</v>
      </c>
      <c r="C994">
        <v>2008</v>
      </c>
      <c r="D994" t="s">
        <v>17</v>
      </c>
      <c r="E994">
        <v>91</v>
      </c>
      <c r="F994" t="s">
        <v>2622</v>
      </c>
      <c r="G994">
        <v>4.7</v>
      </c>
      <c r="H994">
        <v>42</v>
      </c>
      <c r="I994" t="s">
        <v>164</v>
      </c>
      <c r="J994" t="s">
        <v>518</v>
      </c>
      <c r="K994" t="s">
        <v>3931</v>
      </c>
      <c r="L994">
        <v>26217</v>
      </c>
      <c r="M994">
        <v>333.74</v>
      </c>
    </row>
    <row r="995" spans="1:13" x14ac:dyDescent="0.3">
      <c r="A995" t="s">
        <v>3932</v>
      </c>
      <c r="B995" t="s">
        <v>3933</v>
      </c>
      <c r="C995">
        <v>2010</v>
      </c>
      <c r="D995" t="s">
        <v>17</v>
      </c>
      <c r="E995">
        <v>138</v>
      </c>
      <c r="F995" t="s">
        <v>902</v>
      </c>
      <c r="G995">
        <v>4.7</v>
      </c>
      <c r="H995">
        <v>50</v>
      </c>
      <c r="I995" t="s">
        <v>3934</v>
      </c>
      <c r="J995" t="s">
        <v>153</v>
      </c>
      <c r="K995" t="s">
        <v>3935</v>
      </c>
      <c r="L995">
        <v>13166</v>
      </c>
      <c r="M995">
        <v>148.28</v>
      </c>
    </row>
    <row r="996" spans="1:13" x14ac:dyDescent="0.3">
      <c r="A996" t="s">
        <v>3936</v>
      </c>
      <c r="B996" t="s">
        <v>3937</v>
      </c>
      <c r="C996">
        <v>1985</v>
      </c>
      <c r="D996" t="s">
        <v>17</v>
      </c>
      <c r="E996">
        <v>148</v>
      </c>
      <c r="F996" t="s">
        <v>3938</v>
      </c>
      <c r="G996">
        <v>4.5999999999999996</v>
      </c>
      <c r="H996">
        <v>38</v>
      </c>
      <c r="I996" t="s">
        <v>2766</v>
      </c>
      <c r="J996" t="s">
        <v>147</v>
      </c>
      <c r="K996" t="s">
        <v>3939</v>
      </c>
      <c r="L996">
        <v>10870</v>
      </c>
      <c r="M996">
        <v>109.29</v>
      </c>
    </row>
    <row r="997" spans="1:13" x14ac:dyDescent="0.3">
      <c r="A997" t="s">
        <v>3940</v>
      </c>
      <c r="B997" t="s">
        <v>3941</v>
      </c>
      <c r="C997">
        <v>2009</v>
      </c>
      <c r="D997" t="s">
        <v>54</v>
      </c>
      <c r="E997">
        <v>114</v>
      </c>
      <c r="F997" t="s">
        <v>3942</v>
      </c>
      <c r="G997">
        <v>4.4000000000000004</v>
      </c>
      <c r="I997" t="s">
        <v>3418</v>
      </c>
      <c r="J997" t="s">
        <v>547</v>
      </c>
      <c r="K997" t="s">
        <v>3943</v>
      </c>
      <c r="L997">
        <v>55191</v>
      </c>
      <c r="M997">
        <v>205.9</v>
      </c>
    </row>
    <row r="998" spans="1:13" x14ac:dyDescent="0.3">
      <c r="A998" t="s">
        <v>3944</v>
      </c>
      <c r="B998" t="s">
        <v>3945</v>
      </c>
      <c r="C998">
        <v>2016</v>
      </c>
      <c r="D998" t="s">
        <v>17</v>
      </c>
      <c r="E998">
        <v>140</v>
      </c>
      <c r="F998" t="s">
        <v>3235</v>
      </c>
      <c r="G998">
        <v>4.4000000000000004</v>
      </c>
      <c r="H998">
        <v>43</v>
      </c>
      <c r="I998" t="s">
        <v>3946</v>
      </c>
      <c r="J998" t="s">
        <v>33</v>
      </c>
      <c r="K998" t="s">
        <v>3947</v>
      </c>
      <c r="L998">
        <v>165514</v>
      </c>
      <c r="M998">
        <v>456.06</v>
      </c>
    </row>
    <row r="999" spans="1:13" x14ac:dyDescent="0.3">
      <c r="A999" t="s">
        <v>3948</v>
      </c>
      <c r="B999" t="s">
        <v>3949</v>
      </c>
      <c r="C999">
        <v>2024</v>
      </c>
      <c r="D999" t="s">
        <v>24</v>
      </c>
      <c r="E999">
        <v>129</v>
      </c>
      <c r="F999" t="s">
        <v>3950</v>
      </c>
      <c r="G999">
        <v>4.3</v>
      </c>
      <c r="I999" t="s">
        <v>231</v>
      </c>
      <c r="J999" t="s">
        <v>113</v>
      </c>
      <c r="K999" t="s">
        <v>3951</v>
      </c>
      <c r="L999">
        <v>28293</v>
      </c>
      <c r="M999">
        <v>279.37</v>
      </c>
    </row>
    <row r="1000" spans="1:13" x14ac:dyDescent="0.3">
      <c r="A1000" t="s">
        <v>3952</v>
      </c>
      <c r="B1000" t="s">
        <v>3953</v>
      </c>
      <c r="C1000">
        <v>2014</v>
      </c>
      <c r="D1000" t="s">
        <v>54</v>
      </c>
      <c r="E1000">
        <v>98</v>
      </c>
      <c r="F1000" t="s">
        <v>1933</v>
      </c>
      <c r="G1000">
        <v>4.2</v>
      </c>
      <c r="H1000">
        <v>54</v>
      </c>
      <c r="I1000" t="s">
        <v>158</v>
      </c>
      <c r="J1000" t="s">
        <v>608</v>
      </c>
      <c r="K1000" t="s">
        <v>3954</v>
      </c>
      <c r="L1000">
        <v>115247</v>
      </c>
      <c r="M1000">
        <v>329.82</v>
      </c>
    </row>
    <row r="1001" spans="1:13" x14ac:dyDescent="0.3">
      <c r="A1001" t="s">
        <v>3955</v>
      </c>
      <c r="B1001" t="s">
        <v>3956</v>
      </c>
      <c r="C1001">
        <v>2001</v>
      </c>
      <c r="D1001" t="s">
        <v>169</v>
      </c>
      <c r="E1001">
        <v>121</v>
      </c>
      <c r="F1001" t="s">
        <v>3957</v>
      </c>
      <c r="G1001">
        <v>4.0999999999999996</v>
      </c>
      <c r="H1001">
        <v>30</v>
      </c>
      <c r="I1001" t="s">
        <v>3958</v>
      </c>
      <c r="J1001" t="s">
        <v>718</v>
      </c>
      <c r="K1001" t="s">
        <v>3959</v>
      </c>
      <c r="L1001">
        <v>45236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CF6A5-5240-4029-8C52-9566A09F8260}">
  <dimension ref="A1:S1001"/>
  <sheetViews>
    <sheetView topLeftCell="A2" workbookViewId="0">
      <selection activeCell="B11" sqref="B11"/>
    </sheetView>
  </sheetViews>
  <sheetFormatPr defaultRowHeight="14.4" x14ac:dyDescent="0.3"/>
  <cols>
    <col min="12" max="12" width="12" bestFit="1" customWidth="1"/>
    <col min="16" max="16" width="10.88671875" bestFit="1" customWidth="1"/>
  </cols>
  <sheetData>
    <row r="1" spans="1:19" ht="43.2" x14ac:dyDescent="0.3">
      <c r="A1" s="1" t="s">
        <v>0</v>
      </c>
      <c r="B1" s="1" t="s">
        <v>1</v>
      </c>
      <c r="C1" s="1" t="s">
        <v>2</v>
      </c>
      <c r="D1" s="1" t="s">
        <v>3</v>
      </c>
      <c r="E1" s="1" t="s">
        <v>4</v>
      </c>
      <c r="F1" s="1" t="s">
        <v>5</v>
      </c>
      <c r="G1" s="1" t="s">
        <v>6</v>
      </c>
      <c r="H1" s="1" t="s">
        <v>3994</v>
      </c>
      <c r="I1" s="1" t="s">
        <v>3995</v>
      </c>
      <c r="J1" s="1" t="s">
        <v>3996</v>
      </c>
      <c r="K1" s="1" t="s">
        <v>4006</v>
      </c>
      <c r="L1" s="1" t="s">
        <v>3966</v>
      </c>
      <c r="M1" s="1" t="s">
        <v>8</v>
      </c>
      <c r="N1" s="1" t="s">
        <v>9</v>
      </c>
      <c r="O1" s="1" t="s">
        <v>10</v>
      </c>
      <c r="P1" s="1" t="s">
        <v>11</v>
      </c>
      <c r="Q1" s="1" t="s">
        <v>12</v>
      </c>
      <c r="R1" s="2" t="s">
        <v>13</v>
      </c>
      <c r="S1" s="2" t="s">
        <v>14</v>
      </c>
    </row>
    <row r="2" spans="1:19" ht="28.8" x14ac:dyDescent="0.3">
      <c r="A2" t="s">
        <v>15</v>
      </c>
      <c r="B2" t="s">
        <v>16</v>
      </c>
      <c r="C2">
        <v>2004</v>
      </c>
      <c r="D2" s="8">
        <f>FLOOR(Table1[[#This Row],[Year]],10)</f>
        <v>2000</v>
      </c>
      <c r="E2" t="s">
        <v>17</v>
      </c>
      <c r="F2">
        <v>103</v>
      </c>
      <c r="G2" t="str">
        <f>IF(Table1[[#This Row],[Runtime_minutes]]&lt;90,"Short",IF(Table1[[#This Row],[Runtime_minutes]]&lt;=120,"Medium","Long"))</f>
        <v>Medium</v>
      </c>
      <c r="H2" t="s">
        <v>210</v>
      </c>
      <c r="I2" t="s">
        <v>3976</v>
      </c>
      <c r="K2">
        <v>9.5</v>
      </c>
      <c r="M2" t="s">
        <v>19</v>
      </c>
      <c r="N2" t="s">
        <v>20</v>
      </c>
      <c r="O2" t="s">
        <v>21</v>
      </c>
      <c r="P2">
        <v>774648</v>
      </c>
      <c r="Q2" s="3">
        <v>204.79</v>
      </c>
      <c r="R2" s="3">
        <f>IF(Table1[[#This Row],[Gross_millions]]=" ",0,Table1[[#This Row],[Gross_millions]])</f>
        <v>204.79</v>
      </c>
      <c r="S2" s="4" t="str">
        <f>IF(Table1[[#This Row],[Gross_millions_Clean]]&gt;200,"Blockbuster",IF(Table1[[#This Row],[Gross_millions_Clean]]&gt;100,"Hit","Average"))</f>
        <v>Blockbuster</v>
      </c>
    </row>
    <row r="3" spans="1:19" x14ac:dyDescent="0.3">
      <c r="A3" t="s">
        <v>22</v>
      </c>
      <c r="B3" t="s">
        <v>23</v>
      </c>
      <c r="C3">
        <v>2012</v>
      </c>
      <c r="D3" s="8">
        <f>FLOOR(Table1[[#This Row],[Year]],10)</f>
        <v>2010</v>
      </c>
      <c r="E3" t="s">
        <v>24</v>
      </c>
      <c r="F3">
        <v>159</v>
      </c>
      <c r="G3" t="str">
        <f>IF(Table1[[#This Row],[Runtime_minutes]]&lt;90,"Short",IF(Table1[[#This Row],[Runtime_minutes]]&lt;=120,"Medium","Long"))</f>
        <v>Long</v>
      </c>
      <c r="H3" t="s">
        <v>72</v>
      </c>
      <c r="I3" t="s">
        <v>3977</v>
      </c>
      <c r="K3">
        <v>9.5</v>
      </c>
      <c r="M3" t="s">
        <v>26</v>
      </c>
      <c r="N3" t="s">
        <v>27</v>
      </c>
      <c r="O3" t="s">
        <v>28</v>
      </c>
      <c r="P3">
        <v>297518</v>
      </c>
      <c r="Q3" s="3">
        <v>951.58</v>
      </c>
      <c r="R3" s="3">
        <f>IF(Table1[[#This Row],[Gross_millions]]=" ",0,Table1[[#This Row],[Gross_millions]])</f>
        <v>951.58</v>
      </c>
      <c r="S3" t="str">
        <f>IF(Table1[[#This Row],[Gross_millions_Clean]]&gt;200,"Blockbuster",IF(Table1[[#This Row],[Gross_millions_Clean]]&gt;100,"Hit","Average"))</f>
        <v>Blockbuster</v>
      </c>
    </row>
    <row r="4" spans="1:19" x14ac:dyDescent="0.3">
      <c r="A4" t="s">
        <v>29</v>
      </c>
      <c r="B4" t="s">
        <v>30</v>
      </c>
      <c r="C4">
        <v>2008</v>
      </c>
      <c r="D4" s="8">
        <f>FLOOR(Table1[[#This Row],[Year]],10)</f>
        <v>2000</v>
      </c>
      <c r="E4" t="s">
        <v>24</v>
      </c>
      <c r="F4">
        <v>77</v>
      </c>
      <c r="G4" t="str">
        <f>IF(Table1[[#This Row],[Runtime_minutes]]&lt;90,"Short",IF(Table1[[#This Row],[Runtime_minutes]]&lt;=120,"Medium","Long"))</f>
        <v>Short</v>
      </c>
      <c r="H4" t="s">
        <v>210</v>
      </c>
      <c r="I4" t="s">
        <v>3978</v>
      </c>
      <c r="J4" t="s">
        <v>3979</v>
      </c>
      <c r="K4">
        <v>9.5</v>
      </c>
      <c r="L4">
        <v>100</v>
      </c>
      <c r="M4" t="s">
        <v>32</v>
      </c>
      <c r="N4" t="s">
        <v>33</v>
      </c>
      <c r="O4" t="s">
        <v>34</v>
      </c>
      <c r="P4">
        <v>583752</v>
      </c>
      <c r="Q4" s="3">
        <v>372.85</v>
      </c>
      <c r="R4" s="3">
        <f>IF(Table1[[#This Row],[Gross_millions]]=" ",0,Table1[[#This Row],[Gross_millions]])</f>
        <v>372.85</v>
      </c>
      <c r="S4" t="str">
        <f>IF(Table1[[#This Row],[Gross_millions_Clean]]&gt;200,"Blockbuster",IF(Table1[[#This Row],[Gross_millions_Clean]]&gt;100,"Hit","Average"))</f>
        <v>Blockbuster</v>
      </c>
    </row>
    <row r="5" spans="1:19" x14ac:dyDescent="0.3">
      <c r="A5" t="s">
        <v>35</v>
      </c>
      <c r="B5" t="s">
        <v>36</v>
      </c>
      <c r="C5">
        <v>2019</v>
      </c>
      <c r="D5" s="8">
        <f>FLOOR(Table1[[#This Row],[Year]],10)</f>
        <v>2010</v>
      </c>
      <c r="E5" t="s">
        <v>17</v>
      </c>
      <c r="F5">
        <v>116</v>
      </c>
      <c r="G5" t="str">
        <f>IF(Table1[[#This Row],[Runtime_minutes]]&lt;90,"Short",IF(Table1[[#This Row],[Runtime_minutes]]&lt;=120,"Medium","Long"))</f>
        <v>Medium</v>
      </c>
      <c r="H5" t="s">
        <v>37</v>
      </c>
      <c r="K5">
        <v>9.5</v>
      </c>
      <c r="M5" t="s">
        <v>38</v>
      </c>
      <c r="N5" t="s">
        <v>39</v>
      </c>
      <c r="O5" t="s">
        <v>40</v>
      </c>
      <c r="P5">
        <v>187450</v>
      </c>
      <c r="Q5" s="3"/>
      <c r="R5" s="3">
        <f>IF(Table1[[#This Row],[Gross_millions]]=" ",0,Table1[[#This Row],[Gross_millions]])</f>
        <v>0</v>
      </c>
      <c r="S5" t="str">
        <f>IF(Table1[[#This Row],[Gross_millions_Clean]]&gt;200,"Blockbuster",IF(Table1[[#This Row],[Gross_millions_Clean]]&gt;100,"Hit","Average"))</f>
        <v>Average</v>
      </c>
    </row>
    <row r="6" spans="1:19" x14ac:dyDescent="0.3">
      <c r="A6" t="s">
        <v>41</v>
      </c>
      <c r="B6" t="s">
        <v>42</v>
      </c>
      <c r="C6">
        <v>2000</v>
      </c>
      <c r="D6" s="8">
        <f>FLOOR(Table1[[#This Row],[Year]],10)</f>
        <v>2000</v>
      </c>
      <c r="E6" t="s">
        <v>24</v>
      </c>
      <c r="F6">
        <v>126</v>
      </c>
      <c r="G6" t="str">
        <f>IF(Table1[[#This Row],[Runtime_minutes]]&lt;90,"Short",IF(Table1[[#This Row],[Runtime_minutes]]&lt;=120,"Medium","Long"))</f>
        <v>Long</v>
      </c>
      <c r="H6" t="s">
        <v>43</v>
      </c>
      <c r="K6">
        <v>9.5</v>
      </c>
      <c r="L6">
        <v>99</v>
      </c>
      <c r="M6" t="s">
        <v>44</v>
      </c>
      <c r="N6" t="s">
        <v>20</v>
      </c>
      <c r="O6" t="s">
        <v>45</v>
      </c>
      <c r="P6">
        <v>642106</v>
      </c>
      <c r="Q6" s="3">
        <v>252.83</v>
      </c>
      <c r="R6" s="3">
        <f>IF(Table1[[#This Row],[Gross_millions]]=" ",0,Table1[[#This Row],[Gross_millions]])</f>
        <v>252.83</v>
      </c>
      <c r="S6" t="str">
        <f>IF(Table1[[#This Row],[Gross_millions_Clean]]&gt;200,"Blockbuster",IF(Table1[[#This Row],[Gross_millions_Clean]]&gt;100,"Hit","Average"))</f>
        <v>Blockbuster</v>
      </c>
    </row>
    <row r="7" spans="1:19" x14ac:dyDescent="0.3">
      <c r="A7" t="s">
        <v>46</v>
      </c>
      <c r="B7" t="s">
        <v>47</v>
      </c>
      <c r="C7">
        <v>2023</v>
      </c>
      <c r="D7" s="8">
        <f>FLOOR(Table1[[#This Row],[Year]],10)</f>
        <v>2020</v>
      </c>
      <c r="E7" t="s">
        <v>24</v>
      </c>
      <c r="F7">
        <v>123</v>
      </c>
      <c r="G7" t="str">
        <f>IF(Table1[[#This Row],[Runtime_minutes]]&lt;90,"Short",IF(Table1[[#This Row],[Runtime_minutes]]&lt;=120,"Medium","Long"))</f>
        <v>Long</v>
      </c>
      <c r="H7" t="s">
        <v>48</v>
      </c>
      <c r="K7">
        <v>9.5</v>
      </c>
      <c r="L7">
        <v>98</v>
      </c>
      <c r="M7" t="s">
        <v>49</v>
      </c>
      <c r="N7" t="s">
        <v>50</v>
      </c>
      <c r="O7" t="s">
        <v>51</v>
      </c>
      <c r="P7">
        <v>207806</v>
      </c>
      <c r="Q7" s="3">
        <v>808.8</v>
      </c>
      <c r="R7" s="3">
        <f>IF(Table1[[#This Row],[Gross_millions]]=" ",0,Table1[[#This Row],[Gross_millions]])</f>
        <v>808.8</v>
      </c>
      <c r="S7" t="str">
        <f>IF(Table1[[#This Row],[Gross_millions_Clean]]&gt;200,"Blockbuster",IF(Table1[[#This Row],[Gross_millions_Clean]]&gt;100,"Hit","Average"))</f>
        <v>Blockbuster</v>
      </c>
    </row>
    <row r="8" spans="1:19" x14ac:dyDescent="0.3">
      <c r="A8" t="s">
        <v>52</v>
      </c>
      <c r="B8" t="s">
        <v>53</v>
      </c>
      <c r="C8">
        <v>2000</v>
      </c>
      <c r="D8" s="8">
        <f>FLOOR(Table1[[#This Row],[Year]],10)</f>
        <v>2000</v>
      </c>
      <c r="E8" t="s">
        <v>54</v>
      </c>
      <c r="F8">
        <v>141</v>
      </c>
      <c r="G8" t="str">
        <f>IF(Table1[[#This Row],[Runtime_minutes]]&lt;90,"Short",IF(Table1[[#This Row],[Runtime_minutes]]&lt;=120,"Medium","Long"))</f>
        <v>Long</v>
      </c>
      <c r="H8" t="s">
        <v>55</v>
      </c>
      <c r="K8">
        <v>9.3000000000000007</v>
      </c>
      <c r="M8" t="s">
        <v>56</v>
      </c>
      <c r="N8" t="s">
        <v>57</v>
      </c>
      <c r="O8" t="s">
        <v>58</v>
      </c>
      <c r="P8">
        <v>215726</v>
      </c>
      <c r="Q8" s="3">
        <v>64.12</v>
      </c>
      <c r="R8" s="3">
        <f>IF(Table1[[#This Row],[Gross_millions]]=" ",0,Table1[[#This Row],[Gross_millions]])</f>
        <v>64.12</v>
      </c>
      <c r="S8" t="str">
        <f>IF(Table1[[#This Row],[Gross_millions_Clean]]&gt;200,"Blockbuster",IF(Table1[[#This Row],[Gross_millions_Clean]]&gt;100,"Hit","Average"))</f>
        <v>Average</v>
      </c>
    </row>
    <row r="9" spans="1:19" x14ac:dyDescent="0.3">
      <c r="A9" t="s">
        <v>59</v>
      </c>
      <c r="B9" t="s">
        <v>60</v>
      </c>
      <c r="C9">
        <v>2000</v>
      </c>
      <c r="D9" s="8">
        <f>FLOOR(Table1[[#This Row],[Year]],10)</f>
        <v>2000</v>
      </c>
      <c r="E9" t="s">
        <v>54</v>
      </c>
      <c r="F9">
        <v>121</v>
      </c>
      <c r="G9" t="str">
        <f>IF(Table1[[#This Row],[Runtime_minutes]]&lt;90,"Short",IF(Table1[[#This Row],[Runtime_minutes]]&lt;=120,"Medium","Long"))</f>
        <v>Long</v>
      </c>
      <c r="H9" t="s">
        <v>767</v>
      </c>
      <c r="I9" t="s">
        <v>3980</v>
      </c>
      <c r="K9">
        <v>9.1</v>
      </c>
      <c r="L9">
        <v>98</v>
      </c>
      <c r="M9" t="s">
        <v>62</v>
      </c>
      <c r="N9" t="s">
        <v>63</v>
      </c>
      <c r="O9" t="s">
        <v>64</v>
      </c>
      <c r="P9">
        <v>7274</v>
      </c>
      <c r="Q9" s="3">
        <v>24.5</v>
      </c>
      <c r="R9" s="3">
        <f>IF(Table1[[#This Row],[Gross_millions]]=" ",0,Table1[[#This Row],[Gross_millions]])</f>
        <v>24.5</v>
      </c>
      <c r="S9" t="str">
        <f>IF(Table1[[#This Row],[Gross_millions_Clean]]&gt;200,"Blockbuster",IF(Table1[[#This Row],[Gross_millions_Clean]]&gt;100,"Hit","Average"))</f>
        <v>Average</v>
      </c>
    </row>
    <row r="10" spans="1:19" x14ac:dyDescent="0.3">
      <c r="A10" t="s">
        <v>65</v>
      </c>
      <c r="B10" t="s">
        <v>66</v>
      </c>
      <c r="C10">
        <v>2021</v>
      </c>
      <c r="D10" s="8">
        <f>FLOOR(Table1[[#This Row],[Year]],10)</f>
        <v>2020</v>
      </c>
      <c r="E10" t="s">
        <v>54</v>
      </c>
      <c r="F10">
        <v>124</v>
      </c>
      <c r="G10" t="str">
        <f>IF(Table1[[#This Row],[Runtime_minutes]]&lt;90,"Short",IF(Table1[[#This Row],[Runtime_minutes]]&lt;=120,"Medium","Long"))</f>
        <v>Long</v>
      </c>
      <c r="H10" t="s">
        <v>48</v>
      </c>
      <c r="K10">
        <v>9.1</v>
      </c>
      <c r="L10">
        <v>95</v>
      </c>
      <c r="M10" t="s">
        <v>67</v>
      </c>
      <c r="N10" t="s">
        <v>68</v>
      </c>
      <c r="O10" t="s">
        <v>69</v>
      </c>
      <c r="P10">
        <v>279682</v>
      </c>
      <c r="Q10" s="3"/>
      <c r="R10" s="3">
        <f>IF(Table1[[#This Row],[Gross_millions]]=" ",0,Table1[[#This Row],[Gross_millions]])</f>
        <v>0</v>
      </c>
      <c r="S10" t="str">
        <f>IF(Table1[[#This Row],[Gross_millions_Clean]]&gt;200,"Blockbuster",IF(Table1[[#This Row],[Gross_millions_Clean]]&gt;100,"Hit","Average"))</f>
        <v>Average</v>
      </c>
    </row>
    <row r="11" spans="1:19" x14ac:dyDescent="0.3">
      <c r="A11" t="s">
        <v>70</v>
      </c>
      <c r="B11" t="s">
        <v>71</v>
      </c>
      <c r="C11">
        <v>2023</v>
      </c>
      <c r="D11" s="8">
        <f>FLOOR(Table1[[#This Row],[Year]],10)</f>
        <v>2020</v>
      </c>
      <c r="E11" t="s">
        <v>17</v>
      </c>
      <c r="F11">
        <v>143</v>
      </c>
      <c r="G11" t="str">
        <f>IF(Table1[[#This Row],[Runtime_minutes]]&lt;90,"Short",IF(Table1[[#This Row],[Runtime_minutes]]&lt;=120,"Medium","Long"))</f>
        <v>Long</v>
      </c>
      <c r="H11" t="s">
        <v>72</v>
      </c>
      <c r="K11">
        <v>9.1</v>
      </c>
      <c r="L11">
        <v>88</v>
      </c>
      <c r="M11" t="s">
        <v>73</v>
      </c>
      <c r="N11" t="s">
        <v>74</v>
      </c>
      <c r="O11" t="s">
        <v>75</v>
      </c>
      <c r="P11">
        <v>54004</v>
      </c>
      <c r="Q11" s="3"/>
      <c r="R11" s="3">
        <f>IF(Table1[[#This Row],[Gross_millions]]=" ",0,Table1[[#This Row],[Gross_millions]])</f>
        <v>0</v>
      </c>
      <c r="S11" t="str">
        <f>IF(Table1[[#This Row],[Gross_millions_Clean]]&gt;200,"Blockbuster",IF(Table1[[#This Row],[Gross_millions_Clean]]&gt;100,"Hit","Average"))</f>
        <v>Average</v>
      </c>
    </row>
    <row r="12" spans="1:19" x14ac:dyDescent="0.3">
      <c r="A12" t="s">
        <v>76</v>
      </c>
      <c r="B12" t="s">
        <v>77</v>
      </c>
      <c r="C12">
        <v>2009</v>
      </c>
      <c r="D12" s="8">
        <f>FLOOR(Table1[[#This Row],[Year]],10)</f>
        <v>2000</v>
      </c>
      <c r="E12" t="s">
        <v>24</v>
      </c>
      <c r="F12">
        <v>125</v>
      </c>
      <c r="G12" t="str">
        <f>IF(Table1[[#This Row],[Runtime_minutes]]&lt;90,"Short",IF(Table1[[#This Row],[Runtime_minutes]]&lt;=120,"Medium","Long"))</f>
        <v>Long</v>
      </c>
      <c r="H12" t="s">
        <v>78</v>
      </c>
      <c r="K12">
        <v>9</v>
      </c>
      <c r="M12" t="s">
        <v>79</v>
      </c>
      <c r="N12" t="s">
        <v>80</v>
      </c>
      <c r="O12" t="s">
        <v>81</v>
      </c>
      <c r="P12">
        <v>46006</v>
      </c>
      <c r="Q12" s="3"/>
      <c r="R12" s="3">
        <f>IF(Table1[[#This Row],[Gross_millions]]=" ",0,Table1[[#This Row],[Gross_millions]])</f>
        <v>0</v>
      </c>
      <c r="S12" t="str">
        <f>IF(Table1[[#This Row],[Gross_millions_Clean]]&gt;200,"Blockbuster",IF(Table1[[#This Row],[Gross_millions_Clean]]&gt;100,"Hit","Average"))</f>
        <v>Average</v>
      </c>
    </row>
    <row r="13" spans="1:19" x14ac:dyDescent="0.3">
      <c r="A13" t="s">
        <v>82</v>
      </c>
      <c r="B13" t="s">
        <v>83</v>
      </c>
      <c r="C13">
        <v>1945</v>
      </c>
      <c r="D13" s="8">
        <f>FLOOR(Table1[[#This Row],[Year]],10)</f>
        <v>1940</v>
      </c>
      <c r="E13" t="s">
        <v>24</v>
      </c>
      <c r="F13">
        <v>128</v>
      </c>
      <c r="G13" t="str">
        <f>IF(Table1[[#This Row],[Runtime_minutes]]&lt;90,"Short",IF(Table1[[#This Row],[Runtime_minutes]]&lt;=120,"Medium","Long"))</f>
        <v>Long</v>
      </c>
      <c r="H13" t="s">
        <v>767</v>
      </c>
      <c r="I13" t="s">
        <v>3981</v>
      </c>
      <c r="K13">
        <v>9</v>
      </c>
      <c r="L13">
        <v>75</v>
      </c>
      <c r="M13" t="s">
        <v>85</v>
      </c>
      <c r="N13" t="s">
        <v>86</v>
      </c>
      <c r="O13" t="s">
        <v>87</v>
      </c>
      <c r="P13">
        <v>93356</v>
      </c>
      <c r="Q13" s="3">
        <v>124.78</v>
      </c>
      <c r="R13" s="3">
        <f>IF(Table1[[#This Row],[Gross_millions]]=" ",0,Table1[[#This Row],[Gross_millions]])</f>
        <v>124.78</v>
      </c>
      <c r="S13" t="str">
        <f>IF(Table1[[#This Row],[Gross_millions_Clean]]&gt;200,"Blockbuster",IF(Table1[[#This Row],[Gross_millions_Clean]]&gt;100,"Hit","Average"))</f>
        <v>Hit</v>
      </c>
    </row>
    <row r="14" spans="1:19" x14ac:dyDescent="0.3">
      <c r="A14" t="s">
        <v>88</v>
      </c>
      <c r="B14" t="s">
        <v>89</v>
      </c>
      <c r="C14">
        <v>2014</v>
      </c>
      <c r="D14" s="8">
        <f>FLOOR(Table1[[#This Row],[Year]],10)</f>
        <v>2010</v>
      </c>
      <c r="E14" t="s">
        <v>17</v>
      </c>
      <c r="F14">
        <v>127</v>
      </c>
      <c r="G14" t="str">
        <f>IF(Table1[[#This Row],[Runtime_minutes]]&lt;90,"Short",IF(Table1[[#This Row],[Runtime_minutes]]&lt;=120,"Medium","Long"))</f>
        <v>Long</v>
      </c>
      <c r="H14" t="s">
        <v>72</v>
      </c>
      <c r="I14" t="s">
        <v>3982</v>
      </c>
      <c r="J14" t="s">
        <v>3983</v>
      </c>
      <c r="K14">
        <v>9</v>
      </c>
      <c r="L14">
        <v>96</v>
      </c>
      <c r="M14" t="s">
        <v>91</v>
      </c>
      <c r="N14" t="s">
        <v>92</v>
      </c>
      <c r="O14" t="s">
        <v>93</v>
      </c>
      <c r="P14">
        <v>118662</v>
      </c>
      <c r="Q14" s="3">
        <v>131.58000000000001</v>
      </c>
      <c r="R14" s="3">
        <f>IF(Table1[[#This Row],[Gross_millions]]=" ",0,Table1[[#This Row],[Gross_millions]])</f>
        <v>131.58000000000001</v>
      </c>
      <c r="S14" t="str">
        <f>IF(Table1[[#This Row],[Gross_millions_Clean]]&gt;200,"Blockbuster",IF(Table1[[#This Row],[Gross_millions_Clean]]&gt;100,"Hit","Average"))</f>
        <v>Hit</v>
      </c>
    </row>
    <row r="15" spans="1:19" x14ac:dyDescent="0.3">
      <c r="A15" t="s">
        <v>94</v>
      </c>
      <c r="B15" t="s">
        <v>95</v>
      </c>
      <c r="C15">
        <v>2022</v>
      </c>
      <c r="D15" s="8">
        <f>FLOOR(Table1[[#This Row],[Year]],10)</f>
        <v>2020</v>
      </c>
      <c r="E15" t="s">
        <v>54</v>
      </c>
      <c r="F15">
        <v>140</v>
      </c>
      <c r="G15" t="str">
        <f>IF(Table1[[#This Row],[Runtime_minutes]]&lt;90,"Short",IF(Table1[[#This Row],[Runtime_minutes]]&lt;=120,"Medium","Long"))</f>
        <v>Long</v>
      </c>
      <c r="H15" t="s">
        <v>72</v>
      </c>
      <c r="I15" t="s">
        <v>3984</v>
      </c>
      <c r="K15">
        <v>9</v>
      </c>
      <c r="M15" t="s">
        <v>97</v>
      </c>
      <c r="N15" t="s">
        <v>27</v>
      </c>
      <c r="O15" t="s">
        <v>98</v>
      </c>
      <c r="P15">
        <v>955084</v>
      </c>
      <c r="Q15" s="3"/>
      <c r="R15" s="3">
        <f>IF(Table1[[#This Row],[Gross_millions]]=" ",0,Table1[[#This Row],[Gross_millions]])</f>
        <v>0</v>
      </c>
      <c r="S15" t="str">
        <f>IF(Table1[[#This Row],[Gross_millions_Clean]]&gt;200,"Blockbuster",IF(Table1[[#This Row],[Gross_millions_Clean]]&gt;100,"Hit","Average"))</f>
        <v>Average</v>
      </c>
    </row>
    <row r="16" spans="1:19" x14ac:dyDescent="0.3">
      <c r="A16" t="s">
        <v>99</v>
      </c>
      <c r="B16" t="s">
        <v>100</v>
      </c>
      <c r="C16">
        <v>2002</v>
      </c>
      <c r="D16" s="8">
        <f>FLOOR(Table1[[#This Row],[Year]],10)</f>
        <v>2000</v>
      </c>
      <c r="E16" t="s">
        <v>17</v>
      </c>
      <c r="F16">
        <v>97</v>
      </c>
      <c r="G16" t="str">
        <f>IF(Table1[[#This Row],[Runtime_minutes]]&lt;90,"Short",IF(Table1[[#This Row],[Runtime_minutes]]&lt;=120,"Medium","Long"))</f>
        <v>Medium</v>
      </c>
      <c r="H16" t="s">
        <v>868</v>
      </c>
      <c r="I16" t="s">
        <v>3976</v>
      </c>
      <c r="K16">
        <v>9</v>
      </c>
      <c r="M16" t="s">
        <v>102</v>
      </c>
      <c r="N16" t="s">
        <v>103</v>
      </c>
      <c r="O16" t="s">
        <v>104</v>
      </c>
      <c r="P16">
        <v>1164424</v>
      </c>
      <c r="Q16" s="3"/>
      <c r="R16" s="3">
        <f>IF(Table1[[#This Row],[Gross_millions]]=" ",0,Table1[[#This Row],[Gross_millions]])</f>
        <v>0</v>
      </c>
      <c r="S16" t="str">
        <f>IF(Table1[[#This Row],[Gross_millions_Clean]]&gt;200,"Blockbuster",IF(Table1[[#This Row],[Gross_millions_Clean]]&gt;100,"Hit","Average"))</f>
        <v>Average</v>
      </c>
    </row>
    <row r="17" spans="1:19" x14ac:dyDescent="0.3">
      <c r="A17" t="s">
        <v>105</v>
      </c>
      <c r="B17" t="s">
        <v>106</v>
      </c>
      <c r="C17">
        <v>2013</v>
      </c>
      <c r="D17" s="8">
        <f>FLOOR(Table1[[#This Row],[Year]],10)</f>
        <v>2010</v>
      </c>
      <c r="E17" t="s">
        <v>17</v>
      </c>
      <c r="F17">
        <v>122</v>
      </c>
      <c r="G17" t="str">
        <f>IF(Table1[[#This Row],[Runtime_minutes]]&lt;90,"Short",IF(Table1[[#This Row],[Runtime_minutes]]&lt;=120,"Medium","Long"))</f>
        <v>Long</v>
      </c>
      <c r="H17" t="s">
        <v>37</v>
      </c>
      <c r="I17" t="s">
        <v>3985</v>
      </c>
      <c r="K17">
        <v>8.9</v>
      </c>
      <c r="L17">
        <v>75</v>
      </c>
      <c r="M17" t="s">
        <v>38</v>
      </c>
      <c r="N17" t="s">
        <v>27</v>
      </c>
      <c r="O17" t="s">
        <v>108</v>
      </c>
      <c r="P17">
        <v>216018</v>
      </c>
      <c r="Q17" s="3"/>
      <c r="R17" s="3">
        <f>IF(Table1[[#This Row],[Gross_millions]]=" ",0,Table1[[#This Row],[Gross_millions]])</f>
        <v>0</v>
      </c>
      <c r="S17" t="str">
        <f>IF(Table1[[#This Row],[Gross_millions_Clean]]&gt;200,"Blockbuster",IF(Table1[[#This Row],[Gross_millions_Clean]]&gt;100,"Hit","Average"))</f>
        <v>Average</v>
      </c>
    </row>
    <row r="18" spans="1:19" x14ac:dyDescent="0.3">
      <c r="A18" t="s">
        <v>109</v>
      </c>
      <c r="B18" t="s">
        <v>110</v>
      </c>
      <c r="C18">
        <v>1977</v>
      </c>
      <c r="D18" s="8">
        <f>FLOOR(Table1[[#This Row],[Year]],10)</f>
        <v>1970</v>
      </c>
      <c r="E18" t="s">
        <v>54</v>
      </c>
      <c r="F18">
        <v>107</v>
      </c>
      <c r="G18" t="str">
        <f>IF(Table1[[#This Row],[Runtime_minutes]]&lt;90,"Short",IF(Table1[[#This Row],[Runtime_minutes]]&lt;=120,"Medium","Long"))</f>
        <v>Medium</v>
      </c>
      <c r="H18" t="s">
        <v>767</v>
      </c>
      <c r="I18" t="s">
        <v>3982</v>
      </c>
      <c r="J18" t="s">
        <v>3980</v>
      </c>
      <c r="K18">
        <v>8.9</v>
      </c>
      <c r="L18">
        <v>100</v>
      </c>
      <c r="M18" t="s">
        <v>112</v>
      </c>
      <c r="N18" t="s">
        <v>113</v>
      </c>
      <c r="O18" t="s">
        <v>114</v>
      </c>
      <c r="P18">
        <v>70408</v>
      </c>
      <c r="Q18" s="3">
        <v>19.98</v>
      </c>
      <c r="R18" s="3">
        <f>IF(Table1[[#This Row],[Gross_millions]]=" ",0,Table1[[#This Row],[Gross_millions]])</f>
        <v>19.98</v>
      </c>
      <c r="S18" t="str">
        <f>IF(Table1[[#This Row],[Gross_millions_Clean]]&gt;200,"Blockbuster",IF(Table1[[#This Row],[Gross_millions_Clean]]&gt;100,"Hit","Average"))</f>
        <v>Average</v>
      </c>
    </row>
    <row r="19" spans="1:19" x14ac:dyDescent="0.3">
      <c r="A19" t="s">
        <v>115</v>
      </c>
      <c r="B19" t="s">
        <v>116</v>
      </c>
      <c r="C19">
        <v>1997</v>
      </c>
      <c r="D19" s="8">
        <f>FLOOR(Table1[[#This Row],[Year]],10)</f>
        <v>1990</v>
      </c>
      <c r="E19" t="s">
        <v>17</v>
      </c>
      <c r="F19">
        <v>132</v>
      </c>
      <c r="G19" t="str">
        <f>IF(Table1[[#This Row],[Runtime_minutes]]&lt;90,"Short",IF(Table1[[#This Row],[Runtime_minutes]]&lt;=120,"Medium","Long"))</f>
        <v>Long</v>
      </c>
      <c r="H19" t="s">
        <v>72</v>
      </c>
      <c r="I19" t="s">
        <v>3986</v>
      </c>
      <c r="K19">
        <v>8.8000000000000007</v>
      </c>
      <c r="L19">
        <v>84</v>
      </c>
      <c r="M19" t="s">
        <v>118</v>
      </c>
      <c r="N19" t="s">
        <v>119</v>
      </c>
      <c r="O19" t="s">
        <v>120</v>
      </c>
      <c r="P19">
        <v>157304</v>
      </c>
      <c r="Q19" s="3">
        <v>181.29</v>
      </c>
      <c r="R19" s="3">
        <f>IF(Table1[[#This Row],[Gross_millions]]=" ",0,Table1[[#This Row],[Gross_millions]])</f>
        <v>181.29</v>
      </c>
      <c r="S19" t="str">
        <f>IF(Table1[[#This Row],[Gross_millions_Clean]]&gt;200,"Blockbuster",IF(Table1[[#This Row],[Gross_millions_Clean]]&gt;100,"Hit","Average"))</f>
        <v>Hit</v>
      </c>
    </row>
    <row r="20" spans="1:19" x14ac:dyDescent="0.3">
      <c r="A20" t="s">
        <v>121</v>
      </c>
      <c r="B20" t="s">
        <v>122</v>
      </c>
      <c r="C20">
        <v>1960</v>
      </c>
      <c r="D20" s="8">
        <f>FLOOR(Table1[[#This Row],[Year]],10)</f>
        <v>1960</v>
      </c>
      <c r="E20" t="s">
        <v>17</v>
      </c>
      <c r="F20">
        <v>119</v>
      </c>
      <c r="G20" t="str">
        <f>IF(Table1[[#This Row],[Runtime_minutes]]&lt;90,"Short",IF(Table1[[#This Row],[Runtime_minutes]]&lt;=120,"Medium","Long"))</f>
        <v>Medium</v>
      </c>
      <c r="H20" t="s">
        <v>230</v>
      </c>
      <c r="I20" t="s">
        <v>3987</v>
      </c>
      <c r="J20" t="s">
        <v>3979</v>
      </c>
      <c r="K20">
        <v>8.8000000000000007</v>
      </c>
      <c r="M20" t="s">
        <v>124</v>
      </c>
      <c r="N20" t="s">
        <v>125</v>
      </c>
      <c r="O20" t="s">
        <v>126</v>
      </c>
      <c r="P20">
        <v>1411</v>
      </c>
      <c r="Q20" s="3">
        <v>263.5</v>
      </c>
      <c r="R20" s="3">
        <f>IF(Table1[[#This Row],[Gross_millions]]=" ",0,Table1[[#This Row],[Gross_millions]])</f>
        <v>263.5</v>
      </c>
      <c r="S20" t="str">
        <f>IF(Table1[[#This Row],[Gross_millions_Clean]]&gt;200,"Blockbuster",IF(Table1[[#This Row],[Gross_millions_Clean]]&gt;100,"Hit","Average"))</f>
        <v>Blockbuster</v>
      </c>
    </row>
    <row r="21" spans="1:19" x14ac:dyDescent="0.3">
      <c r="A21" t="s">
        <v>127</v>
      </c>
      <c r="B21" t="s">
        <v>128</v>
      </c>
      <c r="C21">
        <v>1963</v>
      </c>
      <c r="D21" s="8">
        <f>FLOOR(Table1[[#This Row],[Year]],10)</f>
        <v>1960</v>
      </c>
      <c r="E21" t="s">
        <v>17</v>
      </c>
      <c r="F21">
        <v>127</v>
      </c>
      <c r="G21" t="str">
        <f>IF(Table1[[#This Row],[Runtime_minutes]]&lt;90,"Short",IF(Table1[[#This Row],[Runtime_minutes]]&lt;=120,"Medium","Long"))</f>
        <v>Long</v>
      </c>
      <c r="H21" t="s">
        <v>129</v>
      </c>
      <c r="K21">
        <v>8.8000000000000007</v>
      </c>
      <c r="L21">
        <v>100</v>
      </c>
      <c r="M21" t="s">
        <v>130</v>
      </c>
      <c r="N21" t="s">
        <v>131</v>
      </c>
      <c r="O21" t="s">
        <v>132</v>
      </c>
      <c r="P21">
        <v>33020</v>
      </c>
      <c r="Q21" s="3">
        <v>218.75</v>
      </c>
      <c r="R21" s="3">
        <f>IF(Table1[[#This Row],[Gross_millions]]=" ",0,Table1[[#This Row],[Gross_millions]])</f>
        <v>218.75</v>
      </c>
      <c r="S21" t="str">
        <f>IF(Table1[[#This Row],[Gross_millions_Clean]]&gt;200,"Blockbuster",IF(Table1[[#This Row],[Gross_millions_Clean]]&gt;100,"Hit","Average"))</f>
        <v>Blockbuster</v>
      </c>
    </row>
    <row r="22" spans="1:19" x14ac:dyDescent="0.3">
      <c r="A22" t="s">
        <v>133</v>
      </c>
      <c r="B22" t="s">
        <v>134</v>
      </c>
      <c r="C22">
        <v>1961</v>
      </c>
      <c r="D22" s="8">
        <f>FLOOR(Table1[[#This Row],[Year]],10)</f>
        <v>1960</v>
      </c>
      <c r="E22" t="s">
        <v>17</v>
      </c>
      <c r="F22">
        <v>96</v>
      </c>
      <c r="G22" t="str">
        <f>IF(Table1[[#This Row],[Runtime_minutes]]&lt;90,"Short",IF(Table1[[#This Row],[Runtime_minutes]]&lt;=120,"Medium","Long"))</f>
        <v>Medium</v>
      </c>
      <c r="H22" t="s">
        <v>43</v>
      </c>
      <c r="I22" t="s">
        <v>3988</v>
      </c>
      <c r="K22">
        <v>8.6999999999999993</v>
      </c>
      <c r="L22">
        <v>90</v>
      </c>
      <c r="M22" t="s">
        <v>136</v>
      </c>
      <c r="N22" t="s">
        <v>137</v>
      </c>
      <c r="O22" t="s">
        <v>138</v>
      </c>
      <c r="P22">
        <v>221952</v>
      </c>
      <c r="Q22" s="3">
        <v>186.09</v>
      </c>
      <c r="R22" s="3">
        <f>IF(Table1[[#This Row],[Gross_millions]]=" ",0,Table1[[#This Row],[Gross_millions]])</f>
        <v>186.09</v>
      </c>
      <c r="S22" t="str">
        <f>IF(Table1[[#This Row],[Gross_millions_Clean]]&gt;200,"Blockbuster",IF(Table1[[#This Row],[Gross_millions_Clean]]&gt;100,"Hit","Average"))</f>
        <v>Hit</v>
      </c>
    </row>
    <row r="23" spans="1:19" x14ac:dyDescent="0.3">
      <c r="A23" t="s">
        <v>139</v>
      </c>
      <c r="B23" t="s">
        <v>140</v>
      </c>
      <c r="C23">
        <v>2024</v>
      </c>
      <c r="D23" s="8">
        <f>FLOOR(Table1[[#This Row],[Year]],10)</f>
        <v>2020</v>
      </c>
      <c r="E23" t="s">
        <v>54</v>
      </c>
      <c r="F23">
        <v>70</v>
      </c>
      <c r="G23" t="str">
        <f>IF(Table1[[#This Row],[Runtime_minutes]]&lt;90,"Short",IF(Table1[[#This Row],[Runtime_minutes]]&lt;=120,"Medium","Long"))</f>
        <v>Short</v>
      </c>
      <c r="H23" t="s">
        <v>78</v>
      </c>
      <c r="K23">
        <v>8.6999999999999993</v>
      </c>
      <c r="L23">
        <v>72</v>
      </c>
      <c r="M23" t="s">
        <v>141</v>
      </c>
      <c r="N23" t="s">
        <v>86</v>
      </c>
      <c r="O23" t="s">
        <v>142</v>
      </c>
      <c r="P23">
        <v>97124</v>
      </c>
      <c r="Q23" s="3">
        <v>642.62</v>
      </c>
      <c r="R23" s="3">
        <f>IF(Table1[[#This Row],[Gross_millions]]=" ",0,Table1[[#This Row],[Gross_millions]])</f>
        <v>642.62</v>
      </c>
      <c r="S23" t="str">
        <f>IF(Table1[[#This Row],[Gross_millions_Clean]]&gt;200,"Blockbuster",IF(Table1[[#This Row],[Gross_millions_Clean]]&gt;100,"Hit","Average"))</f>
        <v>Blockbuster</v>
      </c>
    </row>
    <row r="24" spans="1:19" x14ac:dyDescent="0.3">
      <c r="A24" t="s">
        <v>143</v>
      </c>
      <c r="B24" t="s">
        <v>144</v>
      </c>
      <c r="C24">
        <v>2011</v>
      </c>
      <c r="D24" s="8">
        <f>FLOOR(Table1[[#This Row],[Year]],10)</f>
        <v>2010</v>
      </c>
      <c r="E24" t="s">
        <v>54</v>
      </c>
      <c r="F24">
        <v>80</v>
      </c>
      <c r="G24" t="str">
        <f>IF(Table1[[#This Row],[Runtime_minutes]]&lt;90,"Short",IF(Table1[[#This Row],[Runtime_minutes]]&lt;=120,"Medium","Long"))</f>
        <v>Short</v>
      </c>
      <c r="H24" t="s">
        <v>230</v>
      </c>
      <c r="I24" t="s">
        <v>3981</v>
      </c>
      <c r="K24">
        <v>8.6999999999999993</v>
      </c>
      <c r="M24" t="s">
        <v>146</v>
      </c>
      <c r="N24" t="s">
        <v>147</v>
      </c>
      <c r="O24" t="s">
        <v>148</v>
      </c>
      <c r="P24">
        <v>22886</v>
      </c>
      <c r="Q24" s="3"/>
      <c r="R24" s="3">
        <f>IF(Table1[[#This Row],[Gross_millions]]=" ",0,Table1[[#This Row],[Gross_millions]])</f>
        <v>0</v>
      </c>
      <c r="S24" t="str">
        <f>IF(Table1[[#This Row],[Gross_millions_Clean]]&gt;200,"Blockbuster",IF(Table1[[#This Row],[Gross_millions_Clean]]&gt;100,"Hit","Average"))</f>
        <v>Average</v>
      </c>
    </row>
    <row r="25" spans="1:19" x14ac:dyDescent="0.3">
      <c r="A25" t="s">
        <v>149</v>
      </c>
      <c r="B25" t="s">
        <v>150</v>
      </c>
      <c r="C25">
        <v>2018</v>
      </c>
      <c r="D25" s="8">
        <f>FLOOR(Table1[[#This Row],[Year]],10)</f>
        <v>2010</v>
      </c>
      <c r="E25" t="s">
        <v>54</v>
      </c>
      <c r="F25">
        <v>132</v>
      </c>
      <c r="G25" t="str">
        <f>IF(Table1[[#This Row],[Runtime_minutes]]&lt;90,"Short",IF(Table1[[#This Row],[Runtime_minutes]]&lt;=120,"Medium","Long"))</f>
        <v>Long</v>
      </c>
      <c r="H25" t="s">
        <v>210</v>
      </c>
      <c r="I25" t="s">
        <v>3978</v>
      </c>
      <c r="K25">
        <v>8.6999999999999993</v>
      </c>
      <c r="L25">
        <v>84</v>
      </c>
      <c r="M25" t="s">
        <v>152</v>
      </c>
      <c r="N25" t="s">
        <v>153</v>
      </c>
      <c r="O25" t="s">
        <v>154</v>
      </c>
      <c r="P25">
        <v>123542</v>
      </c>
      <c r="Q25" s="3">
        <v>987.17</v>
      </c>
      <c r="R25" s="3">
        <f>IF(Table1[[#This Row],[Gross_millions]]=" ",0,Table1[[#This Row],[Gross_millions]])</f>
        <v>987.17</v>
      </c>
      <c r="S25" t="str">
        <f>IF(Table1[[#This Row],[Gross_millions_Clean]]&gt;200,"Blockbuster",IF(Table1[[#This Row],[Gross_millions_Clean]]&gt;100,"Hit","Average"))</f>
        <v>Blockbuster</v>
      </c>
    </row>
    <row r="26" spans="1:19" x14ac:dyDescent="0.3">
      <c r="A26" t="s">
        <v>155</v>
      </c>
      <c r="B26" t="s">
        <v>156</v>
      </c>
      <c r="C26">
        <v>2004</v>
      </c>
      <c r="D26" s="8">
        <f>FLOOR(Table1[[#This Row],[Year]],10)</f>
        <v>2000</v>
      </c>
      <c r="E26" t="s">
        <v>54</v>
      </c>
      <c r="F26">
        <v>118</v>
      </c>
      <c r="G26" t="str">
        <f>IF(Table1[[#This Row],[Runtime_minutes]]&lt;90,"Short",IF(Table1[[#This Row],[Runtime_minutes]]&lt;=120,"Medium","Long"))</f>
        <v>Medium</v>
      </c>
      <c r="H26" t="s">
        <v>157</v>
      </c>
      <c r="K26">
        <v>8.6999999999999993</v>
      </c>
      <c r="L26">
        <v>86</v>
      </c>
      <c r="M26" t="s">
        <v>158</v>
      </c>
      <c r="N26" t="s">
        <v>159</v>
      </c>
      <c r="O26" t="s">
        <v>160</v>
      </c>
      <c r="P26">
        <v>82668</v>
      </c>
      <c r="Q26" s="3">
        <v>50.27</v>
      </c>
      <c r="R26" s="3">
        <f>IF(Table1[[#This Row],[Gross_millions]]=" ",0,Table1[[#This Row],[Gross_millions]])</f>
        <v>50.27</v>
      </c>
      <c r="S26" t="str">
        <f>IF(Table1[[#This Row],[Gross_millions_Clean]]&gt;200,"Blockbuster",IF(Table1[[#This Row],[Gross_millions_Clean]]&gt;100,"Hit","Average"))</f>
        <v>Average</v>
      </c>
    </row>
    <row r="27" spans="1:19" x14ac:dyDescent="0.3">
      <c r="A27" t="s">
        <v>161</v>
      </c>
      <c r="B27" t="s">
        <v>162</v>
      </c>
      <c r="C27">
        <v>1987</v>
      </c>
      <c r="D27" s="8">
        <f>FLOOR(Table1[[#This Row],[Year]],10)</f>
        <v>1980</v>
      </c>
      <c r="E27" t="s">
        <v>24</v>
      </c>
      <c r="F27">
        <v>131</v>
      </c>
      <c r="G27" t="str">
        <f>IF(Table1[[#This Row],[Runtime_minutes]]&lt;90,"Short",IF(Table1[[#This Row],[Runtime_minutes]]&lt;=120,"Medium","Long"))</f>
        <v>Long</v>
      </c>
      <c r="H27" t="s">
        <v>1044</v>
      </c>
      <c r="I27" t="s">
        <v>3986</v>
      </c>
      <c r="K27">
        <v>8.6999999999999993</v>
      </c>
      <c r="L27">
        <v>77</v>
      </c>
      <c r="M27" t="s">
        <v>164</v>
      </c>
      <c r="N27" t="s">
        <v>165</v>
      </c>
      <c r="O27" t="s">
        <v>166</v>
      </c>
      <c r="P27">
        <v>300536</v>
      </c>
      <c r="Q27" s="3">
        <v>38.26</v>
      </c>
      <c r="R27" s="3">
        <f>IF(Table1[[#This Row],[Gross_millions]]=" ",0,Table1[[#This Row],[Gross_millions]])</f>
        <v>38.26</v>
      </c>
      <c r="S27" t="str">
        <f>IF(Table1[[#This Row],[Gross_millions_Clean]]&gt;200,"Blockbuster",IF(Table1[[#This Row],[Gross_millions_Clean]]&gt;100,"Hit","Average"))</f>
        <v>Average</v>
      </c>
    </row>
    <row r="28" spans="1:19" x14ac:dyDescent="0.3">
      <c r="A28" t="s">
        <v>167</v>
      </c>
      <c r="B28" t="s">
        <v>168</v>
      </c>
      <c r="C28">
        <v>1992</v>
      </c>
      <c r="D28" s="8">
        <f>FLOOR(Table1[[#This Row],[Year]],10)</f>
        <v>1990</v>
      </c>
      <c r="E28" t="s">
        <v>169</v>
      </c>
      <c r="F28">
        <v>110</v>
      </c>
      <c r="G28" t="str">
        <f>IF(Table1[[#This Row],[Runtime_minutes]]&lt;90,"Short",IF(Table1[[#This Row],[Runtime_minutes]]&lt;=120,"Medium","Long"))</f>
        <v>Medium</v>
      </c>
      <c r="H28" t="s">
        <v>78</v>
      </c>
      <c r="K28">
        <v>8.6999999999999993</v>
      </c>
      <c r="M28" t="s">
        <v>170</v>
      </c>
      <c r="N28" t="s">
        <v>50</v>
      </c>
      <c r="O28" t="s">
        <v>171</v>
      </c>
      <c r="P28">
        <v>41424</v>
      </c>
      <c r="Q28" s="3">
        <v>204.77</v>
      </c>
      <c r="R28" s="3">
        <f>IF(Table1[[#This Row],[Gross_millions]]=" ",0,Table1[[#This Row],[Gross_millions]])</f>
        <v>204.77</v>
      </c>
      <c r="S28" t="str">
        <f>IF(Table1[[#This Row],[Gross_millions_Clean]]&gt;200,"Blockbuster",IF(Table1[[#This Row],[Gross_millions_Clean]]&gt;100,"Hit","Average"))</f>
        <v>Blockbuster</v>
      </c>
    </row>
    <row r="29" spans="1:19" x14ac:dyDescent="0.3">
      <c r="A29" t="s">
        <v>172</v>
      </c>
      <c r="B29" t="s">
        <v>173</v>
      </c>
      <c r="C29">
        <v>2017</v>
      </c>
      <c r="D29" s="8">
        <f>FLOOR(Table1[[#This Row],[Year]],10)</f>
        <v>2010</v>
      </c>
      <c r="E29" t="s">
        <v>54</v>
      </c>
      <c r="F29">
        <v>123</v>
      </c>
      <c r="G29" t="str">
        <f>IF(Table1[[#This Row],[Runtime_minutes]]&lt;90,"Short",IF(Table1[[#This Row],[Runtime_minutes]]&lt;=120,"Medium","Long"))</f>
        <v>Long</v>
      </c>
      <c r="H29" t="s">
        <v>78</v>
      </c>
      <c r="I29" t="s">
        <v>3976</v>
      </c>
      <c r="K29">
        <v>8.6999999999999993</v>
      </c>
      <c r="L29">
        <v>76</v>
      </c>
      <c r="M29" t="s">
        <v>175</v>
      </c>
      <c r="N29" t="s">
        <v>20</v>
      </c>
      <c r="O29" t="s">
        <v>176</v>
      </c>
      <c r="P29">
        <v>42588</v>
      </c>
      <c r="Q29" s="3">
        <v>67.67</v>
      </c>
      <c r="R29" s="3">
        <f>IF(Table1[[#This Row],[Gross_millions]]=" ",0,Table1[[#This Row],[Gross_millions]])</f>
        <v>67.67</v>
      </c>
      <c r="S29" t="str">
        <f>IF(Table1[[#This Row],[Gross_millions_Clean]]&gt;200,"Blockbuster",IF(Table1[[#This Row],[Gross_millions_Clean]]&gt;100,"Hit","Average"))</f>
        <v>Average</v>
      </c>
    </row>
    <row r="30" spans="1:19" x14ac:dyDescent="0.3">
      <c r="A30" t="s">
        <v>177</v>
      </c>
      <c r="B30" t="s">
        <v>178</v>
      </c>
      <c r="C30">
        <v>2023</v>
      </c>
      <c r="D30" s="8">
        <f>FLOOR(Table1[[#This Row],[Year]],10)</f>
        <v>2020</v>
      </c>
      <c r="E30" t="s">
        <v>24</v>
      </c>
      <c r="F30">
        <v>103</v>
      </c>
      <c r="G30" t="str">
        <f>IF(Table1[[#This Row],[Runtime_minutes]]&lt;90,"Short",IF(Table1[[#This Row],[Runtime_minutes]]&lt;=120,"Medium","Long"))</f>
        <v>Medium</v>
      </c>
      <c r="H30" t="s">
        <v>1044</v>
      </c>
      <c r="I30" t="s">
        <v>3989</v>
      </c>
      <c r="K30">
        <v>8.6999999999999993</v>
      </c>
      <c r="M30" t="s">
        <v>180</v>
      </c>
      <c r="N30" t="s">
        <v>27</v>
      </c>
      <c r="O30" t="s">
        <v>181</v>
      </c>
      <c r="P30">
        <v>20164</v>
      </c>
      <c r="Q30" s="3">
        <v>698.26</v>
      </c>
      <c r="R30" s="3">
        <f>IF(Table1[[#This Row],[Gross_millions]]=" ",0,Table1[[#This Row],[Gross_millions]])</f>
        <v>698.26</v>
      </c>
      <c r="S30" t="str">
        <f>IF(Table1[[#This Row],[Gross_millions_Clean]]&gt;200,"Blockbuster",IF(Table1[[#This Row],[Gross_millions_Clean]]&gt;100,"Hit","Average"))</f>
        <v>Blockbuster</v>
      </c>
    </row>
    <row r="31" spans="1:19" x14ac:dyDescent="0.3">
      <c r="A31" t="s">
        <v>182</v>
      </c>
      <c r="B31" t="s">
        <v>183</v>
      </c>
      <c r="C31">
        <v>2003</v>
      </c>
      <c r="D31" s="8">
        <f>FLOOR(Table1[[#This Row],[Year]],10)</f>
        <v>2000</v>
      </c>
      <c r="E31" t="s">
        <v>17</v>
      </c>
      <c r="F31">
        <v>124</v>
      </c>
      <c r="G31" t="str">
        <f>IF(Table1[[#This Row],[Runtime_minutes]]&lt;90,"Short",IF(Table1[[#This Row],[Runtime_minutes]]&lt;=120,"Medium","Long"))</f>
        <v>Long</v>
      </c>
      <c r="H31" t="s">
        <v>55</v>
      </c>
      <c r="I31" t="s">
        <v>3979</v>
      </c>
      <c r="J31" t="s">
        <v>3990</v>
      </c>
      <c r="K31">
        <v>8.6999999999999993</v>
      </c>
      <c r="L31">
        <v>84</v>
      </c>
      <c r="M31" t="s">
        <v>185</v>
      </c>
      <c r="N31" t="s">
        <v>63</v>
      </c>
      <c r="O31" t="s">
        <v>186</v>
      </c>
      <c r="P31">
        <v>30152</v>
      </c>
      <c r="Q31" s="3">
        <v>481.83</v>
      </c>
      <c r="R31" s="3">
        <f>IF(Table1[[#This Row],[Gross_millions]]=" ",0,Table1[[#This Row],[Gross_millions]])</f>
        <v>481.83</v>
      </c>
      <c r="S31" t="str">
        <f>IF(Table1[[#This Row],[Gross_millions_Clean]]&gt;200,"Blockbuster",IF(Table1[[#This Row],[Gross_millions_Clean]]&gt;100,"Hit","Average"))</f>
        <v>Blockbuster</v>
      </c>
    </row>
    <row r="32" spans="1:19" x14ac:dyDescent="0.3">
      <c r="A32" t="s">
        <v>187</v>
      </c>
      <c r="B32" t="s">
        <v>188</v>
      </c>
      <c r="C32">
        <v>1949</v>
      </c>
      <c r="D32" s="8">
        <f>FLOOR(Table1[[#This Row],[Year]],10)</f>
        <v>1940</v>
      </c>
      <c r="E32" t="s">
        <v>24</v>
      </c>
      <c r="F32">
        <v>118</v>
      </c>
      <c r="G32" t="str">
        <f>IF(Table1[[#This Row],[Runtime_minutes]]&lt;90,"Short",IF(Table1[[#This Row],[Runtime_minutes]]&lt;=120,"Medium","Long"))</f>
        <v>Medium</v>
      </c>
      <c r="H32" t="s">
        <v>277</v>
      </c>
      <c r="I32" t="s">
        <v>3980</v>
      </c>
      <c r="K32">
        <v>8.6</v>
      </c>
      <c r="L32">
        <v>92</v>
      </c>
      <c r="M32" t="s">
        <v>190</v>
      </c>
      <c r="N32" t="s">
        <v>191</v>
      </c>
      <c r="O32" t="s">
        <v>192</v>
      </c>
      <c r="P32">
        <v>123595</v>
      </c>
      <c r="Q32" s="3">
        <v>281.54000000000002</v>
      </c>
      <c r="R32" s="3">
        <f>IF(Table1[[#This Row],[Gross_millions]]=" ",0,Table1[[#This Row],[Gross_millions]])</f>
        <v>281.54000000000002</v>
      </c>
      <c r="S32" t="str">
        <f>IF(Table1[[#This Row],[Gross_millions_Clean]]&gt;200,"Blockbuster",IF(Table1[[#This Row],[Gross_millions_Clean]]&gt;100,"Hit","Average"))</f>
        <v>Blockbuster</v>
      </c>
    </row>
    <row r="33" spans="1:19" x14ac:dyDescent="0.3">
      <c r="A33" t="s">
        <v>193</v>
      </c>
      <c r="B33" t="s">
        <v>194</v>
      </c>
      <c r="C33">
        <v>2014</v>
      </c>
      <c r="D33" s="8">
        <f>FLOOR(Table1[[#This Row],[Year]],10)</f>
        <v>2010</v>
      </c>
      <c r="E33" t="s">
        <v>54</v>
      </c>
      <c r="F33">
        <v>150</v>
      </c>
      <c r="G33" t="str">
        <f>IF(Table1[[#This Row],[Runtime_minutes]]&lt;90,"Short",IF(Table1[[#This Row],[Runtime_minutes]]&lt;=120,"Medium","Long"))</f>
        <v>Long</v>
      </c>
      <c r="H33" t="s">
        <v>37</v>
      </c>
      <c r="I33" t="s">
        <v>3983</v>
      </c>
      <c r="K33">
        <v>8.6</v>
      </c>
      <c r="M33" t="s">
        <v>38</v>
      </c>
      <c r="N33" t="s">
        <v>196</v>
      </c>
      <c r="O33" t="s">
        <v>197</v>
      </c>
      <c r="P33">
        <v>2500000</v>
      </c>
      <c r="Q33" s="3">
        <v>386.05</v>
      </c>
      <c r="R33" s="3">
        <f>IF(Table1[[#This Row],[Gross_millions]]=" ",0,Table1[[#This Row],[Gross_millions]])</f>
        <v>386.05</v>
      </c>
      <c r="S33" t="str">
        <f>IF(Table1[[#This Row],[Gross_millions_Clean]]&gt;200,"Blockbuster",IF(Table1[[#This Row],[Gross_millions_Clean]]&gt;100,"Hit","Average"))</f>
        <v>Blockbuster</v>
      </c>
    </row>
    <row r="34" spans="1:19" x14ac:dyDescent="0.3">
      <c r="A34" t="s">
        <v>198</v>
      </c>
      <c r="B34" t="s">
        <v>199</v>
      </c>
      <c r="C34">
        <v>1976</v>
      </c>
      <c r="D34" s="8">
        <f>FLOOR(Table1[[#This Row],[Year]],10)</f>
        <v>1970</v>
      </c>
      <c r="E34" t="s">
        <v>17</v>
      </c>
      <c r="F34">
        <v>121</v>
      </c>
      <c r="G34" t="str">
        <f>IF(Table1[[#This Row],[Runtime_minutes]]&lt;90,"Short",IF(Table1[[#This Row],[Runtime_minutes]]&lt;=120,"Medium","Long"))</f>
        <v>Long</v>
      </c>
      <c r="H34" t="s">
        <v>235</v>
      </c>
      <c r="I34" t="s">
        <v>3985</v>
      </c>
      <c r="K34">
        <v>8.6</v>
      </c>
      <c r="L34">
        <v>78</v>
      </c>
      <c r="M34" t="s">
        <v>201</v>
      </c>
      <c r="N34" t="s">
        <v>191</v>
      </c>
      <c r="O34" t="s">
        <v>202</v>
      </c>
      <c r="P34">
        <v>25064</v>
      </c>
      <c r="Q34" s="3"/>
      <c r="R34" s="3">
        <f>IF(Table1[[#This Row],[Gross_millions]]=" ",0,Table1[[#This Row],[Gross_millions]])</f>
        <v>0</v>
      </c>
      <c r="S34" t="str">
        <f>IF(Table1[[#This Row],[Gross_millions_Clean]]&gt;200,"Blockbuster",IF(Table1[[#This Row],[Gross_millions_Clean]]&gt;100,"Hit","Average"))</f>
        <v>Average</v>
      </c>
    </row>
    <row r="35" spans="1:19" x14ac:dyDescent="0.3">
      <c r="A35" t="s">
        <v>203</v>
      </c>
      <c r="B35" t="s">
        <v>204</v>
      </c>
      <c r="C35">
        <v>1990</v>
      </c>
      <c r="D35" s="8">
        <f>FLOOR(Table1[[#This Row],[Year]],10)</f>
        <v>1990</v>
      </c>
      <c r="E35" t="s">
        <v>24</v>
      </c>
      <c r="F35">
        <v>96</v>
      </c>
      <c r="G35" t="str">
        <f>IF(Table1[[#This Row],[Runtime_minutes]]&lt;90,"Short",IF(Table1[[#This Row],[Runtime_minutes]]&lt;=120,"Medium","Long"))</f>
        <v>Medium</v>
      </c>
      <c r="H35" t="s">
        <v>1044</v>
      </c>
      <c r="I35" t="s">
        <v>3980</v>
      </c>
      <c r="K35">
        <v>8.6</v>
      </c>
      <c r="L35">
        <v>100</v>
      </c>
      <c r="M35" t="s">
        <v>206</v>
      </c>
      <c r="N35" t="s">
        <v>80</v>
      </c>
      <c r="O35" t="s">
        <v>207</v>
      </c>
      <c r="P35">
        <v>126252</v>
      </c>
      <c r="Q35" s="3">
        <v>203.62</v>
      </c>
      <c r="R35" s="3">
        <f>IF(Table1[[#This Row],[Gross_millions]]=" ",0,Table1[[#This Row],[Gross_millions]])</f>
        <v>203.62</v>
      </c>
      <c r="S35" t="str">
        <f>IF(Table1[[#This Row],[Gross_millions_Clean]]&gt;200,"Blockbuster",IF(Table1[[#This Row],[Gross_millions_Clean]]&gt;100,"Hit","Average"))</f>
        <v>Blockbuster</v>
      </c>
    </row>
    <row r="36" spans="1:19" x14ac:dyDescent="0.3">
      <c r="A36" t="s">
        <v>208</v>
      </c>
      <c r="B36" t="s">
        <v>209</v>
      </c>
      <c r="C36">
        <v>2022</v>
      </c>
      <c r="D36" s="8">
        <f>FLOOR(Table1[[#This Row],[Year]],10)</f>
        <v>2020</v>
      </c>
      <c r="E36" t="s">
        <v>54</v>
      </c>
      <c r="F36">
        <v>154</v>
      </c>
      <c r="G36" t="str">
        <f>IF(Table1[[#This Row],[Runtime_minutes]]&lt;90,"Short",IF(Table1[[#This Row],[Runtime_minutes]]&lt;=120,"Medium","Long"))</f>
        <v>Long</v>
      </c>
      <c r="H36" t="s">
        <v>210</v>
      </c>
      <c r="K36">
        <v>8.6</v>
      </c>
      <c r="L36">
        <v>75</v>
      </c>
      <c r="M36" t="s">
        <v>211</v>
      </c>
      <c r="N36" t="s">
        <v>103</v>
      </c>
      <c r="O36" t="s">
        <v>212</v>
      </c>
      <c r="P36">
        <v>37916</v>
      </c>
      <c r="Q36" s="3">
        <v>572.53</v>
      </c>
      <c r="R36" s="3">
        <f>IF(Table1[[#This Row],[Gross_millions]]=" ",0,Table1[[#This Row],[Gross_millions]])</f>
        <v>572.53</v>
      </c>
      <c r="S36" t="str">
        <f>IF(Table1[[#This Row],[Gross_millions_Clean]]&gt;200,"Blockbuster",IF(Table1[[#This Row],[Gross_millions_Clean]]&gt;100,"Hit","Average"))</f>
        <v>Blockbuster</v>
      </c>
    </row>
    <row r="37" spans="1:19" x14ac:dyDescent="0.3">
      <c r="A37" t="s">
        <v>213</v>
      </c>
      <c r="B37" t="s">
        <v>214</v>
      </c>
      <c r="C37">
        <v>1988</v>
      </c>
      <c r="D37" s="8">
        <f>FLOOR(Table1[[#This Row],[Year]],10)</f>
        <v>1980</v>
      </c>
      <c r="E37" t="s">
        <v>24</v>
      </c>
      <c r="F37">
        <v>162</v>
      </c>
      <c r="G37" t="str">
        <f>IF(Table1[[#This Row],[Runtime_minutes]]&lt;90,"Short",IF(Table1[[#This Row],[Runtime_minutes]]&lt;=120,"Medium","Long"))</f>
        <v>Long</v>
      </c>
      <c r="H37" t="s">
        <v>55</v>
      </c>
      <c r="K37">
        <v>8.6</v>
      </c>
      <c r="M37" t="s">
        <v>215</v>
      </c>
      <c r="N37" t="s">
        <v>131</v>
      </c>
      <c r="O37" t="s">
        <v>216</v>
      </c>
      <c r="P37">
        <v>7354</v>
      </c>
      <c r="Q37" s="3"/>
      <c r="R37" s="3">
        <f>IF(Table1[[#This Row],[Gross_millions]]=" ",0,Table1[[#This Row],[Gross_millions]])</f>
        <v>0</v>
      </c>
      <c r="S37" t="str">
        <f>IF(Table1[[#This Row],[Gross_millions_Clean]]&gt;200,"Blockbuster",IF(Table1[[#This Row],[Gross_millions_Clean]]&gt;100,"Hit","Average"))</f>
        <v>Average</v>
      </c>
    </row>
    <row r="38" spans="1:19" x14ac:dyDescent="0.3">
      <c r="A38" t="s">
        <v>217</v>
      </c>
      <c r="B38" t="s">
        <v>218</v>
      </c>
      <c r="C38">
        <v>2013</v>
      </c>
      <c r="D38" s="8">
        <f>FLOOR(Table1[[#This Row],[Year]],10)</f>
        <v>2010</v>
      </c>
      <c r="E38" t="s">
        <v>169</v>
      </c>
      <c r="F38">
        <v>131</v>
      </c>
      <c r="G38" t="str">
        <f>IF(Table1[[#This Row],[Runtime_minutes]]&lt;90,"Short",IF(Table1[[#This Row],[Runtime_minutes]]&lt;=120,"Medium","Long"))</f>
        <v>Long</v>
      </c>
      <c r="H38" t="s">
        <v>606</v>
      </c>
      <c r="I38" t="s">
        <v>3981</v>
      </c>
      <c r="K38">
        <v>8.6</v>
      </c>
      <c r="L38">
        <v>86</v>
      </c>
      <c r="M38" t="s">
        <v>220</v>
      </c>
      <c r="N38" t="s">
        <v>221</v>
      </c>
      <c r="O38" t="s">
        <v>222</v>
      </c>
      <c r="P38">
        <v>11460</v>
      </c>
      <c r="Q38" s="3"/>
      <c r="R38" s="3">
        <f>IF(Table1[[#This Row],[Gross_millions]]=" ",0,Table1[[#This Row],[Gross_millions]])</f>
        <v>0</v>
      </c>
      <c r="S38" t="str">
        <f>IF(Table1[[#This Row],[Gross_millions_Clean]]&gt;200,"Blockbuster",IF(Table1[[#This Row],[Gross_millions_Clean]]&gt;100,"Hit","Average"))</f>
        <v>Average</v>
      </c>
    </row>
    <row r="39" spans="1:19" x14ac:dyDescent="0.3">
      <c r="A39" t="s">
        <v>223</v>
      </c>
      <c r="B39" t="s">
        <v>224</v>
      </c>
      <c r="C39">
        <v>2017</v>
      </c>
      <c r="D39" s="8">
        <f>FLOOR(Table1[[#This Row],[Year]],10)</f>
        <v>2010</v>
      </c>
      <c r="E39" t="s">
        <v>54</v>
      </c>
      <c r="F39">
        <v>102</v>
      </c>
      <c r="G39" t="str">
        <f>IF(Table1[[#This Row],[Runtime_minutes]]&lt;90,"Short",IF(Table1[[#This Row],[Runtime_minutes]]&lt;=120,"Medium","Long"))</f>
        <v>Medium</v>
      </c>
      <c r="H39" t="s">
        <v>1044</v>
      </c>
      <c r="I39" t="s">
        <v>3982</v>
      </c>
      <c r="K39">
        <v>8.6</v>
      </c>
      <c r="M39" t="s">
        <v>226</v>
      </c>
      <c r="N39" t="s">
        <v>113</v>
      </c>
      <c r="O39" t="s">
        <v>227</v>
      </c>
      <c r="P39">
        <v>53996</v>
      </c>
      <c r="Q39" s="3"/>
      <c r="R39" s="3">
        <f>IF(Table1[[#This Row],[Gross_millions]]=" ",0,Table1[[#This Row],[Gross_millions]])</f>
        <v>0</v>
      </c>
      <c r="S39" t="str">
        <f>IF(Table1[[#This Row],[Gross_millions_Clean]]&gt;200,"Blockbuster",IF(Table1[[#This Row],[Gross_millions_Clean]]&gt;100,"Hit","Average"))</f>
        <v>Average</v>
      </c>
    </row>
    <row r="40" spans="1:19" x14ac:dyDescent="0.3">
      <c r="A40" t="s">
        <v>228</v>
      </c>
      <c r="B40" t="s">
        <v>229</v>
      </c>
      <c r="C40">
        <v>1972</v>
      </c>
      <c r="D40" s="8">
        <f>FLOOR(Table1[[#This Row],[Year]],10)</f>
        <v>1970</v>
      </c>
      <c r="E40" t="s">
        <v>17</v>
      </c>
      <c r="F40">
        <v>140</v>
      </c>
      <c r="G40" t="str">
        <f>IF(Table1[[#This Row],[Runtime_minutes]]&lt;90,"Short",IF(Table1[[#This Row],[Runtime_minutes]]&lt;=120,"Medium","Long"))</f>
        <v>Long</v>
      </c>
      <c r="H40" t="s">
        <v>230</v>
      </c>
      <c r="K40">
        <v>8.6</v>
      </c>
      <c r="L40">
        <v>84</v>
      </c>
      <c r="M40" t="s">
        <v>231</v>
      </c>
      <c r="N40" t="s">
        <v>68</v>
      </c>
      <c r="O40" t="s">
        <v>232</v>
      </c>
      <c r="P40">
        <v>20403</v>
      </c>
      <c r="Q40" s="3">
        <v>163.31</v>
      </c>
      <c r="R40" s="3">
        <f>IF(Table1[[#This Row],[Gross_millions]]=" ",0,Table1[[#This Row],[Gross_millions]])</f>
        <v>163.31</v>
      </c>
      <c r="S40" t="str">
        <f>IF(Table1[[#This Row],[Gross_millions_Clean]]&gt;200,"Blockbuster",IF(Table1[[#This Row],[Gross_millions_Clean]]&gt;100,"Hit","Average"))</f>
        <v>Hit</v>
      </c>
    </row>
    <row r="41" spans="1:19" x14ac:dyDescent="0.3">
      <c r="A41" t="s">
        <v>233</v>
      </c>
      <c r="B41" t="s">
        <v>234</v>
      </c>
      <c r="C41">
        <v>1984</v>
      </c>
      <c r="D41" s="8">
        <f>FLOOR(Table1[[#This Row],[Year]],10)</f>
        <v>1980</v>
      </c>
      <c r="E41" t="s">
        <v>17</v>
      </c>
      <c r="F41">
        <v>131</v>
      </c>
      <c r="G41" t="str">
        <f>IF(Table1[[#This Row],[Runtime_minutes]]&lt;90,"Short",IF(Table1[[#This Row],[Runtime_minutes]]&lt;=120,"Medium","Long"))</f>
        <v>Long</v>
      </c>
      <c r="H41" t="s">
        <v>235</v>
      </c>
      <c r="K41">
        <v>8.6</v>
      </c>
      <c r="M41" t="s">
        <v>201</v>
      </c>
      <c r="N41" t="s">
        <v>236</v>
      </c>
      <c r="O41" t="s">
        <v>237</v>
      </c>
      <c r="P41">
        <v>349068</v>
      </c>
      <c r="Q41" s="3">
        <v>204.76</v>
      </c>
      <c r="R41" s="3">
        <f>IF(Table1[[#This Row],[Gross_millions]]=" ",0,Table1[[#This Row],[Gross_millions]])</f>
        <v>204.76</v>
      </c>
      <c r="S41" t="str">
        <f>IF(Table1[[#This Row],[Gross_millions_Clean]]&gt;200,"Blockbuster",IF(Table1[[#This Row],[Gross_millions_Clean]]&gt;100,"Hit","Average"))</f>
        <v>Blockbuster</v>
      </c>
    </row>
    <row r="42" spans="1:19" x14ac:dyDescent="0.3">
      <c r="A42" t="s">
        <v>238</v>
      </c>
      <c r="B42" t="s">
        <v>239</v>
      </c>
      <c r="C42">
        <v>1983</v>
      </c>
      <c r="D42" s="8">
        <f>FLOOR(Table1[[#This Row],[Year]],10)</f>
        <v>1980</v>
      </c>
      <c r="E42" t="s">
        <v>24</v>
      </c>
      <c r="F42">
        <v>125</v>
      </c>
      <c r="G42" t="str">
        <f>IF(Table1[[#This Row],[Runtime_minutes]]&lt;90,"Short",IF(Table1[[#This Row],[Runtime_minutes]]&lt;=120,"Medium","Long"))</f>
        <v>Long</v>
      </c>
      <c r="H42" t="s">
        <v>767</v>
      </c>
      <c r="I42" t="s">
        <v>3981</v>
      </c>
      <c r="K42">
        <v>8.5</v>
      </c>
      <c r="M42" t="s">
        <v>240</v>
      </c>
      <c r="N42" t="s">
        <v>131</v>
      </c>
      <c r="O42" t="s">
        <v>241</v>
      </c>
      <c r="P42">
        <v>73263</v>
      </c>
      <c r="Q42" s="3"/>
      <c r="R42" s="3">
        <f>IF(Table1[[#This Row],[Gross_millions]]=" ",0,Table1[[#This Row],[Gross_millions]])</f>
        <v>0</v>
      </c>
      <c r="S42" t="str">
        <f>IF(Table1[[#This Row],[Gross_millions_Clean]]&gt;200,"Blockbuster",IF(Table1[[#This Row],[Gross_millions_Clean]]&gt;100,"Hit","Average"))</f>
        <v>Average</v>
      </c>
    </row>
    <row r="43" spans="1:19" x14ac:dyDescent="0.3">
      <c r="A43" t="s">
        <v>242</v>
      </c>
      <c r="B43" t="s">
        <v>243</v>
      </c>
      <c r="C43">
        <v>2024</v>
      </c>
      <c r="D43" s="8">
        <f>FLOOR(Table1[[#This Row],[Year]],10)</f>
        <v>2020</v>
      </c>
      <c r="E43" t="s">
        <v>54</v>
      </c>
      <c r="F43">
        <v>129</v>
      </c>
      <c r="G43" t="str">
        <f>IF(Table1[[#This Row],[Runtime_minutes]]&lt;90,"Short",IF(Table1[[#This Row],[Runtime_minutes]]&lt;=120,"Medium","Long"))</f>
        <v>Long</v>
      </c>
      <c r="H43" t="s">
        <v>43</v>
      </c>
      <c r="I43" t="s">
        <v>3991</v>
      </c>
      <c r="K43">
        <v>8.5</v>
      </c>
      <c r="L43">
        <v>76</v>
      </c>
      <c r="M43" t="s">
        <v>245</v>
      </c>
      <c r="N43" t="s">
        <v>80</v>
      </c>
      <c r="O43" t="s">
        <v>246</v>
      </c>
      <c r="P43">
        <v>901014</v>
      </c>
      <c r="Q43" s="3">
        <v>632.39</v>
      </c>
      <c r="R43" s="3">
        <f>IF(Table1[[#This Row],[Gross_millions]]=" ",0,Table1[[#This Row],[Gross_millions]])</f>
        <v>632.39</v>
      </c>
      <c r="S43" t="str">
        <f>IF(Table1[[#This Row],[Gross_millions_Clean]]&gt;200,"Blockbuster",IF(Table1[[#This Row],[Gross_millions_Clean]]&gt;100,"Hit","Average"))</f>
        <v>Blockbuster</v>
      </c>
    </row>
    <row r="44" spans="1:19" x14ac:dyDescent="0.3">
      <c r="A44" t="s">
        <v>247</v>
      </c>
      <c r="B44" t="s">
        <v>248</v>
      </c>
      <c r="C44">
        <v>2013</v>
      </c>
      <c r="D44" s="8">
        <f>FLOOR(Table1[[#This Row],[Year]],10)</f>
        <v>2010</v>
      </c>
      <c r="E44" t="s">
        <v>54</v>
      </c>
      <c r="F44">
        <v>108</v>
      </c>
      <c r="G44" t="str">
        <f>IF(Table1[[#This Row],[Runtime_minutes]]&lt;90,"Short",IF(Table1[[#This Row],[Runtime_minutes]]&lt;=120,"Medium","Long"))</f>
        <v>Medium</v>
      </c>
      <c r="H44" t="s">
        <v>606</v>
      </c>
      <c r="I44" t="s">
        <v>3983</v>
      </c>
      <c r="K44">
        <v>8.5</v>
      </c>
      <c r="L44">
        <v>93</v>
      </c>
      <c r="M44" t="s">
        <v>250</v>
      </c>
      <c r="N44" t="s">
        <v>251</v>
      </c>
      <c r="O44" t="s">
        <v>252</v>
      </c>
      <c r="P44">
        <v>13644</v>
      </c>
      <c r="Q44" s="3">
        <v>489.01</v>
      </c>
      <c r="R44" s="3">
        <f>IF(Table1[[#This Row],[Gross_millions]]=" ",0,Table1[[#This Row],[Gross_millions]])</f>
        <v>489.01</v>
      </c>
      <c r="S44" t="str">
        <f>IF(Table1[[#This Row],[Gross_millions_Clean]]&gt;200,"Blockbuster",IF(Table1[[#This Row],[Gross_millions_Clean]]&gt;100,"Hit","Average"))</f>
        <v>Blockbuster</v>
      </c>
    </row>
    <row r="45" spans="1:19" x14ac:dyDescent="0.3">
      <c r="A45" t="s">
        <v>253</v>
      </c>
      <c r="B45" t="s">
        <v>254</v>
      </c>
      <c r="C45">
        <v>1988</v>
      </c>
      <c r="D45" s="8">
        <f>FLOOR(Table1[[#This Row],[Year]],10)</f>
        <v>1980</v>
      </c>
      <c r="E45" t="s">
        <v>24</v>
      </c>
      <c r="F45">
        <v>126</v>
      </c>
      <c r="G45" t="str">
        <f>IF(Table1[[#This Row],[Runtime_minutes]]&lt;90,"Short",IF(Table1[[#This Row],[Runtime_minutes]]&lt;=120,"Medium","Long"))</f>
        <v>Long</v>
      </c>
      <c r="H45" t="s">
        <v>78</v>
      </c>
      <c r="K45">
        <v>8.5</v>
      </c>
      <c r="L45">
        <v>90</v>
      </c>
      <c r="M45" t="s">
        <v>255</v>
      </c>
      <c r="N45" t="s">
        <v>236</v>
      </c>
      <c r="O45" t="s">
        <v>256</v>
      </c>
      <c r="P45">
        <v>184750</v>
      </c>
      <c r="Q45" s="3"/>
      <c r="R45" s="3">
        <f>IF(Table1[[#This Row],[Gross_millions]]=" ",0,Table1[[#This Row],[Gross_millions]])</f>
        <v>0</v>
      </c>
      <c r="S45" t="str">
        <f>IF(Table1[[#This Row],[Gross_millions_Clean]]&gt;200,"Blockbuster",IF(Table1[[#This Row],[Gross_millions_Clean]]&gt;100,"Hit","Average"))</f>
        <v>Average</v>
      </c>
    </row>
    <row r="46" spans="1:19" x14ac:dyDescent="0.3">
      <c r="A46" t="s">
        <v>257</v>
      </c>
      <c r="B46" t="s">
        <v>258</v>
      </c>
      <c r="C46">
        <v>1998</v>
      </c>
      <c r="D46" s="8">
        <f>FLOOR(Table1[[#This Row],[Year]],10)</f>
        <v>1990</v>
      </c>
      <c r="E46" t="s">
        <v>24</v>
      </c>
      <c r="F46">
        <v>105</v>
      </c>
      <c r="G46" t="str">
        <f>IF(Table1[[#This Row],[Runtime_minutes]]&lt;90,"Short",IF(Table1[[#This Row],[Runtime_minutes]]&lt;=120,"Medium","Long"))</f>
        <v>Medium</v>
      </c>
      <c r="H46" t="s">
        <v>235</v>
      </c>
      <c r="I46" t="s">
        <v>3980</v>
      </c>
      <c r="K46">
        <v>8.5</v>
      </c>
      <c r="M46" t="s">
        <v>201</v>
      </c>
      <c r="N46" t="s">
        <v>165</v>
      </c>
      <c r="O46" t="s">
        <v>260</v>
      </c>
      <c r="P46">
        <v>40038</v>
      </c>
      <c r="Q46" s="3">
        <v>39.020000000000003</v>
      </c>
      <c r="R46" s="3">
        <f>IF(Table1[[#This Row],[Gross_millions]]=" ",0,Table1[[#This Row],[Gross_millions]])</f>
        <v>39.020000000000003</v>
      </c>
      <c r="S46" t="str">
        <f>IF(Table1[[#This Row],[Gross_millions_Clean]]&gt;200,"Blockbuster",IF(Table1[[#This Row],[Gross_millions_Clean]]&gt;100,"Hit","Average"))</f>
        <v>Average</v>
      </c>
    </row>
    <row r="47" spans="1:19" x14ac:dyDescent="0.3">
      <c r="A47" t="s">
        <v>261</v>
      </c>
      <c r="B47" t="s">
        <v>262</v>
      </c>
      <c r="C47">
        <v>1984</v>
      </c>
      <c r="D47" s="8">
        <f>FLOOR(Table1[[#This Row],[Year]],10)</f>
        <v>1980</v>
      </c>
      <c r="E47" t="s">
        <v>54</v>
      </c>
      <c r="F47">
        <v>128</v>
      </c>
      <c r="G47" t="str">
        <f>IF(Table1[[#This Row],[Runtime_minutes]]&lt;90,"Short",IF(Table1[[#This Row],[Runtime_minutes]]&lt;=120,"Medium","Long"))</f>
        <v>Long</v>
      </c>
      <c r="H47" t="s">
        <v>767</v>
      </c>
      <c r="I47" t="s">
        <v>3989</v>
      </c>
      <c r="K47">
        <v>8.5</v>
      </c>
      <c r="L47">
        <v>90</v>
      </c>
      <c r="M47" t="s">
        <v>264</v>
      </c>
      <c r="N47" t="s">
        <v>50</v>
      </c>
      <c r="O47" t="s">
        <v>265</v>
      </c>
      <c r="P47">
        <v>17888</v>
      </c>
      <c r="Q47" s="3">
        <v>23.19</v>
      </c>
      <c r="R47" s="3">
        <f>IF(Table1[[#This Row],[Gross_millions]]=" ",0,Table1[[#This Row],[Gross_millions]])</f>
        <v>23.19</v>
      </c>
      <c r="S47" t="str">
        <f>IF(Table1[[#This Row],[Gross_millions_Clean]]&gt;200,"Blockbuster",IF(Table1[[#This Row],[Gross_millions_Clean]]&gt;100,"Hit","Average"))</f>
        <v>Average</v>
      </c>
    </row>
    <row r="48" spans="1:19" x14ac:dyDescent="0.3">
      <c r="A48" t="s">
        <v>266</v>
      </c>
      <c r="B48" t="s">
        <v>267</v>
      </c>
      <c r="C48">
        <v>2002</v>
      </c>
      <c r="D48" s="8">
        <f>FLOOR(Table1[[#This Row],[Year]],10)</f>
        <v>2000</v>
      </c>
      <c r="E48" t="s">
        <v>54</v>
      </c>
      <c r="F48">
        <v>106</v>
      </c>
      <c r="G48" t="str">
        <f>IF(Table1[[#This Row],[Runtime_minutes]]&lt;90,"Short",IF(Table1[[#This Row],[Runtime_minutes]]&lt;=120,"Medium","Long"))</f>
        <v>Medium</v>
      </c>
      <c r="H48" t="s">
        <v>453</v>
      </c>
      <c r="I48" t="s">
        <v>3991</v>
      </c>
      <c r="K48">
        <v>8.5</v>
      </c>
      <c r="L48">
        <v>95</v>
      </c>
      <c r="M48" t="s">
        <v>269</v>
      </c>
      <c r="N48" t="s">
        <v>131</v>
      </c>
      <c r="O48" t="s">
        <v>270</v>
      </c>
      <c r="P48">
        <v>605142</v>
      </c>
      <c r="Q48" s="3">
        <v>498.25</v>
      </c>
      <c r="R48" s="3">
        <f>IF(Table1[[#This Row],[Gross_millions]]=" ",0,Table1[[#This Row],[Gross_millions]])</f>
        <v>498.25</v>
      </c>
      <c r="S48" t="str">
        <f>IF(Table1[[#This Row],[Gross_millions_Clean]]&gt;200,"Blockbuster",IF(Table1[[#This Row],[Gross_millions_Clean]]&gt;100,"Hit","Average"))</f>
        <v>Blockbuster</v>
      </c>
    </row>
    <row r="49" spans="1:19" x14ac:dyDescent="0.3">
      <c r="A49" t="s">
        <v>271</v>
      </c>
      <c r="B49" t="s">
        <v>272</v>
      </c>
      <c r="C49">
        <v>1996</v>
      </c>
      <c r="D49" s="8">
        <f>FLOOR(Table1[[#This Row],[Year]],10)</f>
        <v>1990</v>
      </c>
      <c r="E49" t="s">
        <v>24</v>
      </c>
      <c r="F49">
        <v>162</v>
      </c>
      <c r="G49" t="str">
        <f>IF(Table1[[#This Row],[Runtime_minutes]]&lt;90,"Short",IF(Table1[[#This Row],[Runtime_minutes]]&lt;=120,"Medium","Long"))</f>
        <v>Long</v>
      </c>
      <c r="H49" t="s">
        <v>1044</v>
      </c>
      <c r="I49" t="s">
        <v>3990</v>
      </c>
      <c r="J49" t="s">
        <v>3981</v>
      </c>
      <c r="K49">
        <v>8.5</v>
      </c>
      <c r="L49">
        <v>88</v>
      </c>
      <c r="M49" t="s">
        <v>164</v>
      </c>
      <c r="N49" t="s">
        <v>153</v>
      </c>
      <c r="O49" t="s">
        <v>274</v>
      </c>
      <c r="P49">
        <v>5740</v>
      </c>
      <c r="Q49" s="3"/>
      <c r="R49" s="3">
        <f>IF(Table1[[#This Row],[Gross_millions]]=" ",0,Table1[[#This Row],[Gross_millions]])</f>
        <v>0</v>
      </c>
      <c r="S49" t="str">
        <f>IF(Table1[[#This Row],[Gross_millions_Clean]]&gt;200,"Blockbuster",IF(Table1[[#This Row],[Gross_millions_Clean]]&gt;100,"Hit","Average"))</f>
        <v>Average</v>
      </c>
    </row>
    <row r="50" spans="1:19" x14ac:dyDescent="0.3">
      <c r="A50" t="s">
        <v>275</v>
      </c>
      <c r="B50" t="s">
        <v>276</v>
      </c>
      <c r="C50">
        <v>2006</v>
      </c>
      <c r="D50" s="8">
        <f>FLOOR(Table1[[#This Row],[Year]],10)</f>
        <v>2000</v>
      </c>
      <c r="E50" t="s">
        <v>169</v>
      </c>
      <c r="F50">
        <v>99</v>
      </c>
      <c r="G50" t="str">
        <f>IF(Table1[[#This Row],[Runtime_minutes]]&lt;90,"Short",IF(Table1[[#This Row],[Runtime_minutes]]&lt;=120,"Medium","Long"))</f>
        <v>Medium</v>
      </c>
      <c r="H50" t="s">
        <v>277</v>
      </c>
      <c r="K50">
        <v>8.5</v>
      </c>
      <c r="L50">
        <v>85</v>
      </c>
      <c r="M50" t="s">
        <v>278</v>
      </c>
      <c r="N50" t="s">
        <v>147</v>
      </c>
      <c r="O50" t="s">
        <v>279</v>
      </c>
      <c r="P50">
        <v>747654</v>
      </c>
      <c r="Q50" s="3">
        <v>52.74</v>
      </c>
      <c r="R50" s="3">
        <f>IF(Table1[[#This Row],[Gross_millions]]=" ",0,Table1[[#This Row],[Gross_millions]])</f>
        <v>52.74</v>
      </c>
      <c r="S50" t="str">
        <f>IF(Table1[[#This Row],[Gross_millions_Clean]]&gt;200,"Blockbuster",IF(Table1[[#This Row],[Gross_millions_Clean]]&gt;100,"Hit","Average"))</f>
        <v>Average</v>
      </c>
    </row>
    <row r="51" spans="1:19" x14ac:dyDescent="0.3">
      <c r="A51" t="s">
        <v>280</v>
      </c>
      <c r="B51" t="s">
        <v>281</v>
      </c>
      <c r="C51">
        <v>2020</v>
      </c>
      <c r="D51" s="8">
        <f>FLOOR(Table1[[#This Row],[Year]],10)</f>
        <v>2020</v>
      </c>
      <c r="E51" t="s">
        <v>17</v>
      </c>
      <c r="F51">
        <v>114</v>
      </c>
      <c r="G51" t="str">
        <f>IF(Table1[[#This Row],[Runtime_minutes]]&lt;90,"Short",IF(Table1[[#This Row],[Runtime_minutes]]&lt;=120,"Medium","Long"))</f>
        <v>Medium</v>
      </c>
      <c r="H51" t="s">
        <v>277</v>
      </c>
      <c r="K51">
        <v>8.5</v>
      </c>
      <c r="L51">
        <v>73</v>
      </c>
      <c r="M51" t="s">
        <v>278</v>
      </c>
      <c r="N51" t="s">
        <v>119</v>
      </c>
      <c r="O51" t="s">
        <v>282</v>
      </c>
      <c r="P51">
        <v>1372418</v>
      </c>
      <c r="Q51" s="3">
        <v>128.5</v>
      </c>
      <c r="R51" s="3">
        <f>IF(Table1[[#This Row],[Gross_millions]]=" ",0,Table1[[#This Row],[Gross_millions]])</f>
        <v>128.5</v>
      </c>
      <c r="S51" t="str">
        <f>IF(Table1[[#This Row],[Gross_millions_Clean]]&gt;200,"Blockbuster",IF(Table1[[#This Row],[Gross_millions_Clean]]&gt;100,"Hit","Average"))</f>
        <v>Hit</v>
      </c>
    </row>
    <row r="52" spans="1:19" x14ac:dyDescent="0.3">
      <c r="A52" t="s">
        <v>283</v>
      </c>
      <c r="B52" t="s">
        <v>284</v>
      </c>
      <c r="C52">
        <v>1944</v>
      </c>
      <c r="D52" s="8">
        <f>FLOOR(Table1[[#This Row],[Year]],10)</f>
        <v>1940</v>
      </c>
      <c r="E52" t="s">
        <v>285</v>
      </c>
      <c r="F52">
        <v>151</v>
      </c>
      <c r="G52" t="str">
        <f>IF(Table1[[#This Row],[Runtime_minutes]]&lt;90,"Short",IF(Table1[[#This Row],[Runtime_minutes]]&lt;=120,"Medium","Long"))</f>
        <v>Long</v>
      </c>
      <c r="H52" t="s">
        <v>277</v>
      </c>
      <c r="I52" t="s">
        <v>3989</v>
      </c>
      <c r="K52">
        <v>8.5</v>
      </c>
      <c r="L52">
        <v>82</v>
      </c>
      <c r="M52" t="s">
        <v>287</v>
      </c>
      <c r="N52" t="s">
        <v>50</v>
      </c>
      <c r="O52" t="s">
        <v>288</v>
      </c>
      <c r="P52">
        <v>35528</v>
      </c>
      <c r="Q52" s="3">
        <v>137.85</v>
      </c>
      <c r="R52" s="3">
        <f>IF(Table1[[#This Row],[Gross_millions]]=" ",0,Table1[[#This Row],[Gross_millions]])</f>
        <v>137.85</v>
      </c>
      <c r="S52" t="str">
        <f>IF(Table1[[#This Row],[Gross_millions_Clean]]&gt;200,"Blockbuster",IF(Table1[[#This Row],[Gross_millions_Clean]]&gt;100,"Hit","Average"))</f>
        <v>Hit</v>
      </c>
    </row>
    <row r="53" spans="1:19" x14ac:dyDescent="0.3">
      <c r="A53" t="s">
        <v>289</v>
      </c>
      <c r="B53" t="s">
        <v>290</v>
      </c>
      <c r="C53">
        <v>1974</v>
      </c>
      <c r="D53" s="8">
        <f>FLOOR(Table1[[#This Row],[Year]],10)</f>
        <v>1970</v>
      </c>
      <c r="E53" t="s">
        <v>17</v>
      </c>
      <c r="F53">
        <v>123</v>
      </c>
      <c r="G53" t="str">
        <f>IF(Table1[[#This Row],[Runtime_minutes]]&lt;90,"Short",IF(Table1[[#This Row],[Runtime_minutes]]&lt;=120,"Medium","Long"))</f>
        <v>Long</v>
      </c>
      <c r="H53" t="s">
        <v>230</v>
      </c>
      <c r="K53">
        <v>8.5</v>
      </c>
      <c r="M53" t="s">
        <v>124</v>
      </c>
      <c r="N53" t="s">
        <v>147</v>
      </c>
      <c r="O53" t="s">
        <v>291</v>
      </c>
      <c r="P53">
        <v>92908</v>
      </c>
      <c r="Q53" s="3">
        <v>267.33</v>
      </c>
      <c r="R53" s="3">
        <f>IF(Table1[[#This Row],[Gross_millions]]=" ",0,Table1[[#This Row],[Gross_millions]])</f>
        <v>267.33</v>
      </c>
      <c r="S53" t="str">
        <f>IF(Table1[[#This Row],[Gross_millions_Clean]]&gt;200,"Blockbuster",IF(Table1[[#This Row],[Gross_millions_Clean]]&gt;100,"Hit","Average"))</f>
        <v>Blockbuster</v>
      </c>
    </row>
    <row r="54" spans="1:19" x14ac:dyDescent="0.3">
      <c r="A54" t="s">
        <v>292</v>
      </c>
      <c r="B54" t="s">
        <v>214</v>
      </c>
      <c r="C54">
        <v>1970</v>
      </c>
      <c r="D54" s="8">
        <f>FLOOR(Table1[[#This Row],[Year]],10)</f>
        <v>1970</v>
      </c>
      <c r="E54" t="s">
        <v>293</v>
      </c>
      <c r="F54">
        <v>98</v>
      </c>
      <c r="G54" t="str">
        <f>IF(Table1[[#This Row],[Runtime_minutes]]&lt;90,"Short",IF(Table1[[#This Row],[Runtime_minutes]]&lt;=120,"Medium","Long"))</f>
        <v>Medium</v>
      </c>
      <c r="H54" t="s">
        <v>43</v>
      </c>
      <c r="I54" t="s">
        <v>3981</v>
      </c>
      <c r="J54" t="s">
        <v>3980</v>
      </c>
      <c r="K54">
        <v>8.5</v>
      </c>
      <c r="M54" t="s">
        <v>295</v>
      </c>
      <c r="N54" t="s">
        <v>86</v>
      </c>
      <c r="O54" t="s">
        <v>296</v>
      </c>
      <c r="P54">
        <v>11510</v>
      </c>
      <c r="Q54" s="3">
        <v>63.84</v>
      </c>
      <c r="R54" s="3">
        <f>IF(Table1[[#This Row],[Gross_millions]]=" ",0,Table1[[#This Row],[Gross_millions]])</f>
        <v>63.84</v>
      </c>
      <c r="S54" t="str">
        <f>IF(Table1[[#This Row],[Gross_millions_Clean]]&gt;200,"Blockbuster",IF(Table1[[#This Row],[Gross_millions_Clean]]&gt;100,"Hit","Average"))</f>
        <v>Average</v>
      </c>
    </row>
    <row r="55" spans="1:19" x14ac:dyDescent="0.3">
      <c r="A55" t="s">
        <v>297</v>
      </c>
      <c r="B55" t="s">
        <v>298</v>
      </c>
      <c r="C55">
        <v>2019</v>
      </c>
      <c r="D55" s="8">
        <f>FLOOR(Table1[[#This Row],[Year]],10)</f>
        <v>2010</v>
      </c>
      <c r="E55" t="s">
        <v>54</v>
      </c>
      <c r="F55">
        <v>127</v>
      </c>
      <c r="G55" t="str">
        <f>IF(Table1[[#This Row],[Runtime_minutes]]&lt;90,"Short",IF(Table1[[#This Row],[Runtime_minutes]]&lt;=120,"Medium","Long"))</f>
        <v>Long</v>
      </c>
      <c r="H55" t="s">
        <v>767</v>
      </c>
      <c r="I55" t="s">
        <v>3991</v>
      </c>
      <c r="K55">
        <v>8.5</v>
      </c>
      <c r="L55">
        <v>98</v>
      </c>
      <c r="M55" t="s">
        <v>300</v>
      </c>
      <c r="N55" t="s">
        <v>125</v>
      </c>
      <c r="O55" t="s">
        <v>301</v>
      </c>
      <c r="P55">
        <v>85642</v>
      </c>
      <c r="Q55" s="3">
        <v>461.89</v>
      </c>
      <c r="R55" s="3">
        <f>IF(Table1[[#This Row],[Gross_millions]]=" ",0,Table1[[#This Row],[Gross_millions]])</f>
        <v>461.89</v>
      </c>
      <c r="S55" t="str">
        <f>IF(Table1[[#This Row],[Gross_millions_Clean]]&gt;200,"Blockbuster",IF(Table1[[#This Row],[Gross_millions_Clean]]&gt;100,"Hit","Average"))</f>
        <v>Blockbuster</v>
      </c>
    </row>
    <row r="56" spans="1:19" x14ac:dyDescent="0.3">
      <c r="A56" t="s">
        <v>302</v>
      </c>
      <c r="B56" t="s">
        <v>303</v>
      </c>
      <c r="C56">
        <v>1998</v>
      </c>
      <c r="D56" s="8">
        <f>FLOOR(Table1[[#This Row],[Year]],10)</f>
        <v>1990</v>
      </c>
      <c r="E56" t="s">
        <v>17</v>
      </c>
      <c r="F56">
        <v>128</v>
      </c>
      <c r="G56" t="str">
        <f>IF(Table1[[#This Row],[Runtime_minutes]]&lt;90,"Short",IF(Table1[[#This Row],[Runtime_minutes]]&lt;=120,"Medium","Long"))</f>
        <v>Long</v>
      </c>
      <c r="H56" t="s">
        <v>78</v>
      </c>
      <c r="I56" t="s">
        <v>3982</v>
      </c>
      <c r="K56">
        <v>8.5</v>
      </c>
      <c r="M56" t="s">
        <v>305</v>
      </c>
      <c r="N56" t="s">
        <v>27</v>
      </c>
      <c r="O56" t="s">
        <v>306</v>
      </c>
      <c r="P56">
        <v>2060246</v>
      </c>
      <c r="Q56" s="3">
        <v>59.8</v>
      </c>
      <c r="R56" s="3">
        <f>IF(Table1[[#This Row],[Gross_millions]]=" ",0,Table1[[#This Row],[Gross_millions]])</f>
        <v>59.8</v>
      </c>
      <c r="S56" t="str">
        <f>IF(Table1[[#This Row],[Gross_millions_Clean]]&gt;200,"Blockbuster",IF(Table1[[#This Row],[Gross_millions_Clean]]&gt;100,"Hit","Average"))</f>
        <v>Average</v>
      </c>
    </row>
    <row r="57" spans="1:19" x14ac:dyDescent="0.3">
      <c r="A57" t="s">
        <v>307</v>
      </c>
      <c r="B57">
        <v>1917</v>
      </c>
      <c r="C57">
        <v>1962</v>
      </c>
      <c r="D57" s="8">
        <f>FLOOR(Table1[[#This Row],[Year]],10)</f>
        <v>1960</v>
      </c>
      <c r="E57" t="s">
        <v>285</v>
      </c>
      <c r="F57">
        <v>125</v>
      </c>
      <c r="G57" t="str">
        <f>IF(Table1[[#This Row],[Runtime_minutes]]&lt;90,"Short",IF(Table1[[#This Row],[Runtime_minutes]]&lt;=120,"Medium","Long"))</f>
        <v>Long</v>
      </c>
      <c r="H57" t="s">
        <v>157</v>
      </c>
      <c r="I57" t="s">
        <v>3978</v>
      </c>
      <c r="K57">
        <v>8.5</v>
      </c>
      <c r="L57">
        <v>86</v>
      </c>
      <c r="M57" t="s">
        <v>309</v>
      </c>
      <c r="N57" t="s">
        <v>63</v>
      </c>
      <c r="O57" t="s">
        <v>310</v>
      </c>
      <c r="P57">
        <v>11235</v>
      </c>
      <c r="Q57" s="3">
        <v>185.74</v>
      </c>
      <c r="R57" s="3">
        <f>IF(Table1[[#This Row],[Gross_millions]]=" ",0,Table1[[#This Row],[Gross_millions]])</f>
        <v>185.74</v>
      </c>
      <c r="S57" t="str">
        <f>IF(Table1[[#This Row],[Gross_millions_Clean]]&gt;200,"Blockbuster",IF(Table1[[#This Row],[Gross_millions_Clean]]&gt;100,"Hit","Average"))</f>
        <v>Hit</v>
      </c>
    </row>
    <row r="58" spans="1:19" x14ac:dyDescent="0.3">
      <c r="A58" t="s">
        <v>311</v>
      </c>
      <c r="B58" t="s">
        <v>312</v>
      </c>
      <c r="C58">
        <v>1962</v>
      </c>
      <c r="D58" s="8">
        <f>FLOOR(Table1[[#This Row],[Year]],10)</f>
        <v>1960</v>
      </c>
      <c r="E58" t="s">
        <v>24</v>
      </c>
      <c r="F58">
        <v>96</v>
      </c>
      <c r="G58" t="str">
        <f>IF(Table1[[#This Row],[Runtime_minutes]]&lt;90,"Short",IF(Table1[[#This Row],[Runtime_minutes]]&lt;=120,"Medium","Long"))</f>
        <v>Medium</v>
      </c>
      <c r="H58" t="s">
        <v>606</v>
      </c>
      <c r="I58" t="s">
        <v>3987</v>
      </c>
      <c r="K58">
        <v>8.5</v>
      </c>
      <c r="L58">
        <v>81</v>
      </c>
      <c r="M58" t="s">
        <v>314</v>
      </c>
      <c r="N58" t="s">
        <v>315</v>
      </c>
      <c r="O58" t="s">
        <v>316</v>
      </c>
      <c r="P58">
        <v>549453</v>
      </c>
      <c r="Q58" s="3">
        <v>297.89</v>
      </c>
      <c r="R58" s="3">
        <f>IF(Table1[[#This Row],[Gross_millions]]=" ",0,Table1[[#This Row],[Gross_millions]])</f>
        <v>297.89</v>
      </c>
      <c r="S58" t="str">
        <f>IF(Table1[[#This Row],[Gross_millions_Clean]]&gt;200,"Blockbuster",IF(Table1[[#This Row],[Gross_millions_Clean]]&gt;100,"Hit","Average"))</f>
        <v>Blockbuster</v>
      </c>
    </row>
    <row r="59" spans="1:19" x14ac:dyDescent="0.3">
      <c r="A59" t="s">
        <v>317</v>
      </c>
      <c r="B59" t="s">
        <v>318</v>
      </c>
      <c r="C59">
        <v>2005</v>
      </c>
      <c r="D59" s="8">
        <f>FLOOR(Table1[[#This Row],[Year]],10)</f>
        <v>2000</v>
      </c>
      <c r="E59" t="s">
        <v>17</v>
      </c>
      <c r="F59">
        <v>87</v>
      </c>
      <c r="G59" t="str">
        <f>IF(Table1[[#This Row],[Runtime_minutes]]&lt;90,"Short",IF(Table1[[#This Row],[Runtime_minutes]]&lt;=120,"Medium","Long"))</f>
        <v>Short</v>
      </c>
      <c r="H59" t="s">
        <v>767</v>
      </c>
      <c r="I59" t="s">
        <v>3983</v>
      </c>
      <c r="K59">
        <v>8.4</v>
      </c>
      <c r="M59" t="s">
        <v>320</v>
      </c>
      <c r="N59" t="s">
        <v>103</v>
      </c>
      <c r="O59" t="s">
        <v>321</v>
      </c>
      <c r="P59">
        <v>951056</v>
      </c>
      <c r="Q59" s="3">
        <v>478.05</v>
      </c>
      <c r="R59" s="3">
        <f>IF(Table1[[#This Row],[Gross_millions]]=" ",0,Table1[[#This Row],[Gross_millions]])</f>
        <v>478.05</v>
      </c>
      <c r="S59" t="str">
        <f>IF(Table1[[#This Row],[Gross_millions_Clean]]&gt;200,"Blockbuster",IF(Table1[[#This Row],[Gross_millions_Clean]]&gt;100,"Hit","Average"))</f>
        <v>Blockbuster</v>
      </c>
    </row>
    <row r="60" spans="1:19" x14ac:dyDescent="0.3">
      <c r="A60" t="s">
        <v>322</v>
      </c>
      <c r="B60" t="s">
        <v>323</v>
      </c>
      <c r="C60">
        <v>1975</v>
      </c>
      <c r="D60" s="8">
        <f>FLOOR(Table1[[#This Row],[Year]],10)</f>
        <v>1970</v>
      </c>
      <c r="E60" t="s">
        <v>24</v>
      </c>
      <c r="F60">
        <v>93</v>
      </c>
      <c r="G60" t="str">
        <f>IF(Table1[[#This Row],[Runtime_minutes]]&lt;90,"Short",IF(Table1[[#This Row],[Runtime_minutes]]&lt;=120,"Medium","Long"))</f>
        <v>Medium</v>
      </c>
      <c r="H60" t="s">
        <v>157</v>
      </c>
      <c r="I60" t="s">
        <v>3990</v>
      </c>
      <c r="K60">
        <v>8.4</v>
      </c>
      <c r="L60">
        <v>98</v>
      </c>
      <c r="M60" t="s">
        <v>325</v>
      </c>
      <c r="N60" t="s">
        <v>326</v>
      </c>
      <c r="O60" t="s">
        <v>327</v>
      </c>
      <c r="P60">
        <v>112172</v>
      </c>
      <c r="Q60" s="3">
        <v>174.69</v>
      </c>
      <c r="R60" s="3">
        <f>IF(Table1[[#This Row],[Gross_millions]]=" ",0,Table1[[#This Row],[Gross_millions]])</f>
        <v>174.69</v>
      </c>
      <c r="S60" t="str">
        <f>IF(Table1[[#This Row],[Gross_millions_Clean]]&gt;200,"Blockbuster",IF(Table1[[#This Row],[Gross_millions_Clean]]&gt;100,"Hit","Average"))</f>
        <v>Hit</v>
      </c>
    </row>
    <row r="61" spans="1:19" x14ac:dyDescent="0.3">
      <c r="A61" t="s">
        <v>328</v>
      </c>
      <c r="B61" t="s">
        <v>329</v>
      </c>
      <c r="C61">
        <v>1968</v>
      </c>
      <c r="D61" s="8">
        <f>FLOOR(Table1[[#This Row],[Year]],10)</f>
        <v>1960</v>
      </c>
      <c r="E61" t="s">
        <v>17</v>
      </c>
      <c r="F61">
        <v>91</v>
      </c>
      <c r="G61" t="str">
        <f>IF(Table1[[#This Row],[Runtime_minutes]]&lt;90,"Short",IF(Table1[[#This Row],[Runtime_minutes]]&lt;=120,"Medium","Long"))</f>
        <v>Medium</v>
      </c>
      <c r="H61" t="s">
        <v>78</v>
      </c>
      <c r="K61">
        <v>8.4</v>
      </c>
      <c r="L61">
        <v>88</v>
      </c>
      <c r="M61" t="s">
        <v>305</v>
      </c>
      <c r="N61" t="s">
        <v>92</v>
      </c>
      <c r="O61" t="s">
        <v>330</v>
      </c>
      <c r="P61">
        <v>1920324</v>
      </c>
      <c r="Q61" s="3">
        <v>84.58</v>
      </c>
      <c r="R61" s="3">
        <f>IF(Table1[[#This Row],[Gross_millions]]=" ",0,Table1[[#This Row],[Gross_millions]])</f>
        <v>84.58</v>
      </c>
      <c r="S61" t="str">
        <f>IF(Table1[[#This Row],[Gross_millions_Clean]]&gt;200,"Blockbuster",IF(Table1[[#This Row],[Gross_millions_Clean]]&gt;100,"Hit","Average"))</f>
        <v>Average</v>
      </c>
    </row>
    <row r="62" spans="1:19" x14ac:dyDescent="0.3">
      <c r="A62" t="s">
        <v>331</v>
      </c>
      <c r="B62" t="s">
        <v>332</v>
      </c>
      <c r="C62">
        <v>2023</v>
      </c>
      <c r="D62" s="8">
        <f>FLOOR(Table1[[#This Row],[Year]],10)</f>
        <v>2020</v>
      </c>
      <c r="E62" t="s">
        <v>17</v>
      </c>
      <c r="F62">
        <v>107</v>
      </c>
      <c r="G62" t="str">
        <f>IF(Table1[[#This Row],[Runtime_minutes]]&lt;90,"Short",IF(Table1[[#This Row],[Runtime_minutes]]&lt;=120,"Medium","Long"))</f>
        <v>Medium</v>
      </c>
      <c r="H62" t="s">
        <v>55</v>
      </c>
      <c r="K62">
        <v>8.4</v>
      </c>
      <c r="L62">
        <v>93</v>
      </c>
      <c r="M62" t="s">
        <v>333</v>
      </c>
      <c r="N62" t="s">
        <v>137</v>
      </c>
      <c r="O62" t="s">
        <v>334</v>
      </c>
      <c r="P62">
        <v>73960</v>
      </c>
      <c r="Q62" s="3">
        <v>835.91</v>
      </c>
      <c r="R62" s="3">
        <f>IF(Table1[[#This Row],[Gross_millions]]=" ",0,Table1[[#This Row],[Gross_millions]])</f>
        <v>835.91</v>
      </c>
      <c r="S62" t="str">
        <f>IF(Table1[[#This Row],[Gross_millions_Clean]]&gt;200,"Blockbuster",IF(Table1[[#This Row],[Gross_millions_Clean]]&gt;100,"Hit","Average"))</f>
        <v>Blockbuster</v>
      </c>
    </row>
    <row r="63" spans="1:19" x14ac:dyDescent="0.3">
      <c r="A63" t="s">
        <v>335</v>
      </c>
      <c r="B63" t="s">
        <v>336</v>
      </c>
      <c r="C63">
        <v>2000</v>
      </c>
      <c r="D63" s="8">
        <f>FLOOR(Table1[[#This Row],[Year]],10)</f>
        <v>2000</v>
      </c>
      <c r="E63" t="s">
        <v>17</v>
      </c>
      <c r="F63">
        <v>157</v>
      </c>
      <c r="G63" t="str">
        <f>IF(Table1[[#This Row],[Runtime_minutes]]&lt;90,"Short",IF(Table1[[#This Row],[Runtime_minutes]]&lt;=120,"Medium","Long"))</f>
        <v>Long</v>
      </c>
      <c r="H63" t="s">
        <v>235</v>
      </c>
      <c r="I63" t="s">
        <v>3983</v>
      </c>
      <c r="K63">
        <v>8.4</v>
      </c>
      <c r="M63" t="s">
        <v>338</v>
      </c>
      <c r="N63" t="s">
        <v>63</v>
      </c>
      <c r="O63" t="s">
        <v>339</v>
      </c>
      <c r="P63">
        <v>20054</v>
      </c>
      <c r="Q63" s="3">
        <v>193.94</v>
      </c>
      <c r="R63" s="3">
        <f>IF(Table1[[#This Row],[Gross_millions]]=" ",0,Table1[[#This Row],[Gross_millions]])</f>
        <v>193.94</v>
      </c>
      <c r="S63" t="str">
        <f>IF(Table1[[#This Row],[Gross_millions_Clean]]&gt;200,"Blockbuster",IF(Table1[[#This Row],[Gross_millions_Clean]]&gt;100,"Hit","Average"))</f>
        <v>Hit</v>
      </c>
    </row>
    <row r="64" spans="1:19" x14ac:dyDescent="0.3">
      <c r="A64" t="s">
        <v>340</v>
      </c>
      <c r="B64" t="s">
        <v>341</v>
      </c>
      <c r="C64">
        <v>1940</v>
      </c>
      <c r="D64" s="8">
        <f>FLOOR(Table1[[#This Row],[Year]],10)</f>
        <v>1940</v>
      </c>
      <c r="E64" t="s">
        <v>17</v>
      </c>
      <c r="F64">
        <v>98</v>
      </c>
      <c r="G64" t="str">
        <f>IF(Table1[[#This Row],[Runtime_minutes]]&lt;90,"Short",IF(Table1[[#This Row],[Runtime_minutes]]&lt;=120,"Medium","Long"))</f>
        <v>Medium</v>
      </c>
      <c r="H64" t="s">
        <v>157</v>
      </c>
      <c r="I64" t="s">
        <v>3978</v>
      </c>
      <c r="K64">
        <v>8.4</v>
      </c>
      <c r="L64">
        <v>81</v>
      </c>
      <c r="M64" t="s">
        <v>158</v>
      </c>
      <c r="N64" t="s">
        <v>63</v>
      </c>
      <c r="O64" t="s">
        <v>342</v>
      </c>
      <c r="P64">
        <v>18091</v>
      </c>
      <c r="Q64" s="3"/>
      <c r="R64" s="3">
        <f>IF(Table1[[#This Row],[Gross_millions]]=" ",0,Table1[[#This Row],[Gross_millions]])</f>
        <v>0</v>
      </c>
      <c r="S64" t="str">
        <f>IF(Table1[[#This Row],[Gross_millions_Clean]]&gt;200,"Blockbuster",IF(Table1[[#This Row],[Gross_millions_Clean]]&gt;100,"Hit","Average"))</f>
        <v>Average</v>
      </c>
    </row>
    <row r="65" spans="1:19" x14ac:dyDescent="0.3">
      <c r="A65" t="s">
        <v>343</v>
      </c>
      <c r="B65" t="s">
        <v>344</v>
      </c>
      <c r="C65">
        <v>2013</v>
      </c>
      <c r="D65" s="8">
        <f>FLOOR(Table1[[#This Row],[Year]],10)</f>
        <v>2010</v>
      </c>
      <c r="E65" t="s">
        <v>293</v>
      </c>
      <c r="F65">
        <v>162</v>
      </c>
      <c r="G65" t="str">
        <f>IF(Table1[[#This Row],[Runtime_minutes]]&lt;90,"Short",IF(Table1[[#This Row],[Runtime_minutes]]&lt;=120,"Medium","Long"))</f>
        <v>Long</v>
      </c>
      <c r="H65" t="s">
        <v>1044</v>
      </c>
      <c r="I65" t="s">
        <v>3977</v>
      </c>
      <c r="K65">
        <v>8.4</v>
      </c>
      <c r="L65">
        <v>71</v>
      </c>
      <c r="M65" t="s">
        <v>164</v>
      </c>
      <c r="N65" t="s">
        <v>27</v>
      </c>
      <c r="O65" t="s">
        <v>346</v>
      </c>
      <c r="P65">
        <v>230412</v>
      </c>
      <c r="Q65" s="3"/>
      <c r="R65" s="3">
        <f>IF(Table1[[#This Row],[Gross_millions]]=" ",0,Table1[[#This Row],[Gross_millions]])</f>
        <v>0</v>
      </c>
      <c r="S65" t="str">
        <f>IF(Table1[[#This Row],[Gross_millions_Clean]]&gt;200,"Blockbuster",IF(Table1[[#This Row],[Gross_millions_Clean]]&gt;100,"Hit","Average"))</f>
        <v>Average</v>
      </c>
    </row>
    <row r="66" spans="1:19" x14ac:dyDescent="0.3">
      <c r="A66" t="s">
        <v>347</v>
      </c>
      <c r="B66" t="s">
        <v>348</v>
      </c>
      <c r="C66">
        <v>2022</v>
      </c>
      <c r="D66" s="8">
        <f>FLOOR(Table1[[#This Row],[Year]],10)</f>
        <v>2020</v>
      </c>
      <c r="E66" t="s">
        <v>17</v>
      </c>
      <c r="F66">
        <v>107</v>
      </c>
      <c r="G66" t="str">
        <f>IF(Table1[[#This Row],[Runtime_minutes]]&lt;90,"Short",IF(Table1[[#This Row],[Runtime_minutes]]&lt;=120,"Medium","Long"))</f>
        <v>Medium</v>
      </c>
      <c r="H66" t="s">
        <v>868</v>
      </c>
      <c r="I66" t="s">
        <v>3978</v>
      </c>
      <c r="K66">
        <v>8.4</v>
      </c>
      <c r="M66" t="s">
        <v>350</v>
      </c>
      <c r="N66" t="s">
        <v>137</v>
      </c>
      <c r="O66" t="s">
        <v>351</v>
      </c>
      <c r="P66">
        <v>346200</v>
      </c>
      <c r="Q66" s="3">
        <v>512.29999999999995</v>
      </c>
      <c r="R66" s="3">
        <f>IF(Table1[[#This Row],[Gross_millions]]=" ",0,Table1[[#This Row],[Gross_millions]])</f>
        <v>512.29999999999995</v>
      </c>
      <c r="S66" t="str">
        <f>IF(Table1[[#This Row],[Gross_millions_Clean]]&gt;200,"Blockbuster",IF(Table1[[#This Row],[Gross_millions_Clean]]&gt;100,"Hit","Average"))</f>
        <v>Blockbuster</v>
      </c>
    </row>
    <row r="67" spans="1:19" x14ac:dyDescent="0.3">
      <c r="A67" t="s">
        <v>352</v>
      </c>
      <c r="B67" t="s">
        <v>353</v>
      </c>
      <c r="C67">
        <v>2007</v>
      </c>
      <c r="D67" s="8">
        <f>FLOOR(Table1[[#This Row],[Year]],10)</f>
        <v>2000</v>
      </c>
      <c r="E67" t="s">
        <v>17</v>
      </c>
      <c r="F67">
        <v>106</v>
      </c>
      <c r="G67" t="str">
        <f>IF(Table1[[#This Row],[Runtime_minutes]]&lt;90,"Short",IF(Table1[[#This Row],[Runtime_minutes]]&lt;=120,"Medium","Long"))</f>
        <v>Medium</v>
      </c>
      <c r="H67" t="s">
        <v>868</v>
      </c>
      <c r="I67" t="s">
        <v>3991</v>
      </c>
      <c r="K67">
        <v>8.4</v>
      </c>
      <c r="L67">
        <v>81</v>
      </c>
      <c r="M67" t="s">
        <v>355</v>
      </c>
      <c r="N67" t="s">
        <v>103</v>
      </c>
      <c r="O67" t="s">
        <v>356</v>
      </c>
      <c r="P67">
        <v>112746</v>
      </c>
      <c r="Q67" s="3">
        <v>383.09</v>
      </c>
      <c r="R67" s="3">
        <f>IF(Table1[[#This Row],[Gross_millions]]=" ",0,Table1[[#This Row],[Gross_millions]])</f>
        <v>383.09</v>
      </c>
      <c r="S67" t="str">
        <f>IF(Table1[[#This Row],[Gross_millions_Clean]]&gt;200,"Blockbuster",IF(Table1[[#This Row],[Gross_millions_Clean]]&gt;100,"Hit","Average"))</f>
        <v>Blockbuster</v>
      </c>
    </row>
    <row r="68" spans="1:19" x14ac:dyDescent="0.3">
      <c r="A68" t="s">
        <v>357</v>
      </c>
      <c r="B68" t="s">
        <v>358</v>
      </c>
      <c r="C68">
        <v>2003</v>
      </c>
      <c r="D68" s="8">
        <f>FLOOR(Table1[[#This Row],[Year]],10)</f>
        <v>2000</v>
      </c>
      <c r="E68" t="s">
        <v>285</v>
      </c>
      <c r="F68">
        <v>129</v>
      </c>
      <c r="G68" t="str">
        <f>IF(Table1[[#This Row],[Runtime_minutes]]&lt;90,"Short",IF(Table1[[#This Row],[Runtime_minutes]]&lt;=120,"Medium","Long"))</f>
        <v>Long</v>
      </c>
      <c r="H68" t="s">
        <v>72</v>
      </c>
      <c r="I68" t="s">
        <v>3981</v>
      </c>
      <c r="J68" t="s">
        <v>3987</v>
      </c>
      <c r="K68">
        <v>8.4</v>
      </c>
      <c r="L68">
        <v>76</v>
      </c>
      <c r="M68" t="s">
        <v>360</v>
      </c>
      <c r="N68" t="s">
        <v>86</v>
      </c>
      <c r="O68" t="s">
        <v>361</v>
      </c>
      <c r="P68">
        <v>89930</v>
      </c>
      <c r="Q68" s="3">
        <v>473.41</v>
      </c>
      <c r="R68" s="3">
        <f>IF(Table1[[#This Row],[Gross_millions]]=" ",0,Table1[[#This Row],[Gross_millions]])</f>
        <v>473.41</v>
      </c>
      <c r="S68" t="str">
        <f>IF(Table1[[#This Row],[Gross_millions_Clean]]&gt;200,"Blockbuster",IF(Table1[[#This Row],[Gross_millions_Clean]]&gt;100,"Hit","Average"))</f>
        <v>Blockbuster</v>
      </c>
    </row>
    <row r="69" spans="1:19" x14ac:dyDescent="0.3">
      <c r="A69" t="s">
        <v>362</v>
      </c>
      <c r="B69" t="s">
        <v>363</v>
      </c>
      <c r="C69">
        <v>1997</v>
      </c>
      <c r="D69" s="8">
        <f>FLOOR(Table1[[#This Row],[Year]],10)</f>
        <v>1990</v>
      </c>
      <c r="E69" t="s">
        <v>24</v>
      </c>
      <c r="F69">
        <v>130</v>
      </c>
      <c r="G69" t="str">
        <f>IF(Table1[[#This Row],[Runtime_minutes]]&lt;90,"Short",IF(Table1[[#This Row],[Runtime_minutes]]&lt;=120,"Medium","Long"))</f>
        <v>Long</v>
      </c>
      <c r="H69" t="s">
        <v>235</v>
      </c>
      <c r="K69">
        <v>8.4</v>
      </c>
      <c r="L69">
        <v>70</v>
      </c>
      <c r="M69" t="s">
        <v>201</v>
      </c>
      <c r="N69" t="s">
        <v>153</v>
      </c>
      <c r="O69" t="s">
        <v>364</v>
      </c>
      <c r="P69">
        <v>2500000</v>
      </c>
      <c r="Q69" s="3">
        <v>217.75</v>
      </c>
      <c r="R69" s="3">
        <f>IF(Table1[[#This Row],[Gross_millions]]=" ",0,Table1[[#This Row],[Gross_millions]])</f>
        <v>217.75</v>
      </c>
      <c r="S69" t="str">
        <f>IF(Table1[[#This Row],[Gross_millions_Clean]]&gt;200,"Blockbuster",IF(Table1[[#This Row],[Gross_millions_Clean]]&gt;100,"Hit","Average"))</f>
        <v>Blockbuster</v>
      </c>
    </row>
    <row r="70" spans="1:19" x14ac:dyDescent="0.3">
      <c r="A70" t="s">
        <v>365</v>
      </c>
      <c r="B70" t="s">
        <v>366</v>
      </c>
      <c r="C70">
        <v>1997</v>
      </c>
      <c r="D70" s="8">
        <f>FLOOR(Table1[[#This Row],[Year]],10)</f>
        <v>1990</v>
      </c>
      <c r="E70" t="s">
        <v>24</v>
      </c>
      <c r="F70">
        <v>161</v>
      </c>
      <c r="G70" t="str">
        <f>IF(Table1[[#This Row],[Runtime_minutes]]&lt;90,"Short",IF(Table1[[#This Row],[Runtime_minutes]]&lt;=120,"Medium","Long"))</f>
        <v>Long</v>
      </c>
      <c r="H70" t="s">
        <v>453</v>
      </c>
      <c r="I70" t="s">
        <v>3986</v>
      </c>
      <c r="J70" t="s">
        <v>3984</v>
      </c>
      <c r="K70">
        <v>8.4</v>
      </c>
      <c r="L70">
        <v>88</v>
      </c>
      <c r="M70" t="s">
        <v>269</v>
      </c>
      <c r="N70" t="s">
        <v>368</v>
      </c>
      <c r="O70" t="s">
        <v>369</v>
      </c>
      <c r="P70">
        <v>82428</v>
      </c>
      <c r="Q70" s="3"/>
      <c r="R70" s="3">
        <f>IF(Table1[[#This Row],[Gross_millions]]=" ",0,Table1[[#This Row],[Gross_millions]])</f>
        <v>0</v>
      </c>
      <c r="S70" t="str">
        <f>IF(Table1[[#This Row],[Gross_millions_Clean]]&gt;200,"Blockbuster",IF(Table1[[#This Row],[Gross_millions_Clean]]&gt;100,"Hit","Average"))</f>
        <v>Average</v>
      </c>
    </row>
    <row r="71" spans="1:19" x14ac:dyDescent="0.3">
      <c r="A71" t="s">
        <v>370</v>
      </c>
      <c r="B71" t="s">
        <v>371</v>
      </c>
      <c r="C71">
        <v>2001</v>
      </c>
      <c r="D71" s="8">
        <f>FLOOR(Table1[[#This Row],[Year]],10)</f>
        <v>2000</v>
      </c>
      <c r="E71" t="s">
        <v>54</v>
      </c>
      <c r="F71">
        <v>113</v>
      </c>
      <c r="G71" t="str">
        <f>IF(Table1[[#This Row],[Runtime_minutes]]&lt;90,"Short",IF(Table1[[#This Row],[Runtime_minutes]]&lt;=120,"Medium","Long"))</f>
        <v>Medium</v>
      </c>
      <c r="H71" t="s">
        <v>37</v>
      </c>
      <c r="K71">
        <v>8.4</v>
      </c>
      <c r="M71" t="s">
        <v>38</v>
      </c>
      <c r="N71" t="s">
        <v>165</v>
      </c>
      <c r="O71" t="s">
        <v>372</v>
      </c>
      <c r="P71">
        <v>169100</v>
      </c>
      <c r="Q71" s="3"/>
      <c r="R71" s="3">
        <f>IF(Table1[[#This Row],[Gross_millions]]=" ",0,Table1[[#This Row],[Gross_millions]])</f>
        <v>0</v>
      </c>
      <c r="S71" t="str">
        <f>IF(Table1[[#This Row],[Gross_millions_Clean]]&gt;200,"Blockbuster",IF(Table1[[#This Row],[Gross_millions_Clean]]&gt;100,"Hit","Average"))</f>
        <v>Average</v>
      </c>
    </row>
    <row r="72" spans="1:19" x14ac:dyDescent="0.3">
      <c r="A72" t="s">
        <v>373</v>
      </c>
      <c r="B72" t="s">
        <v>374</v>
      </c>
      <c r="C72">
        <v>2003</v>
      </c>
      <c r="D72" s="8">
        <f>FLOOR(Table1[[#This Row],[Year]],10)</f>
        <v>2000</v>
      </c>
      <c r="E72" t="s">
        <v>54</v>
      </c>
      <c r="F72">
        <v>123</v>
      </c>
      <c r="G72" t="str">
        <f>IF(Table1[[#This Row],[Runtime_minutes]]&lt;90,"Short",IF(Table1[[#This Row],[Runtime_minutes]]&lt;=120,"Medium","Long"))</f>
        <v>Long</v>
      </c>
      <c r="H72" t="s">
        <v>375</v>
      </c>
      <c r="K72">
        <v>8.4</v>
      </c>
      <c r="L72">
        <v>80</v>
      </c>
      <c r="M72" t="s">
        <v>376</v>
      </c>
      <c r="N72" t="s">
        <v>315</v>
      </c>
      <c r="O72" t="s">
        <v>377</v>
      </c>
      <c r="P72">
        <v>768016</v>
      </c>
      <c r="Q72" s="3">
        <v>185.42</v>
      </c>
      <c r="R72" s="3">
        <f>IF(Table1[[#This Row],[Gross_millions]]=" ",0,Table1[[#This Row],[Gross_millions]])</f>
        <v>185.42</v>
      </c>
      <c r="S72" t="str">
        <f>IF(Table1[[#This Row],[Gross_millions_Clean]]&gt;200,"Blockbuster",IF(Table1[[#This Row],[Gross_millions_Clean]]&gt;100,"Hit","Average"))</f>
        <v>Hit</v>
      </c>
    </row>
    <row r="73" spans="1:19" x14ac:dyDescent="0.3">
      <c r="A73" t="s">
        <v>378</v>
      </c>
      <c r="B73" t="s">
        <v>379</v>
      </c>
      <c r="C73">
        <v>2004</v>
      </c>
      <c r="D73" s="8">
        <f>FLOOR(Table1[[#This Row],[Year]],10)</f>
        <v>2000</v>
      </c>
      <c r="E73" t="s">
        <v>54</v>
      </c>
      <c r="F73">
        <v>148</v>
      </c>
      <c r="G73" t="str">
        <f>IF(Table1[[#This Row],[Runtime_minutes]]&lt;90,"Short",IF(Table1[[#This Row],[Runtime_minutes]]&lt;=120,"Medium","Long"))</f>
        <v>Long</v>
      </c>
      <c r="H73" t="s">
        <v>375</v>
      </c>
      <c r="I73" t="s">
        <v>3989</v>
      </c>
      <c r="K73">
        <v>8.4</v>
      </c>
      <c r="M73" t="s">
        <v>381</v>
      </c>
      <c r="N73" t="s">
        <v>326</v>
      </c>
      <c r="O73" t="s">
        <v>382</v>
      </c>
      <c r="P73">
        <v>519922</v>
      </c>
      <c r="Q73" s="3">
        <v>415.45</v>
      </c>
      <c r="R73" s="3">
        <f>IF(Table1[[#This Row],[Gross_millions]]=" ",0,Table1[[#This Row],[Gross_millions]])</f>
        <v>415.45</v>
      </c>
      <c r="S73" t="str">
        <f>IF(Table1[[#This Row],[Gross_millions_Clean]]&gt;200,"Blockbuster",IF(Table1[[#This Row],[Gross_millions_Clean]]&gt;100,"Hit","Average"))</f>
        <v>Blockbuster</v>
      </c>
    </row>
    <row r="74" spans="1:19" x14ac:dyDescent="0.3">
      <c r="A74" t="s">
        <v>383</v>
      </c>
      <c r="B74" t="s">
        <v>384</v>
      </c>
      <c r="C74">
        <v>1969</v>
      </c>
      <c r="D74" s="8">
        <f>FLOOR(Table1[[#This Row],[Year]],10)</f>
        <v>1960</v>
      </c>
      <c r="E74" t="s">
        <v>17</v>
      </c>
      <c r="F74">
        <v>113</v>
      </c>
      <c r="G74" t="str">
        <f>IF(Table1[[#This Row],[Runtime_minutes]]&lt;90,"Short",IF(Table1[[#This Row],[Runtime_minutes]]&lt;=120,"Medium","Long"))</f>
        <v>Medium</v>
      </c>
      <c r="H74" t="s">
        <v>55</v>
      </c>
      <c r="I74" t="s">
        <v>3988</v>
      </c>
      <c r="K74">
        <v>8.3000000000000007</v>
      </c>
      <c r="L74">
        <v>69</v>
      </c>
      <c r="M74" t="s">
        <v>386</v>
      </c>
      <c r="N74" t="s">
        <v>165</v>
      </c>
      <c r="O74" t="s">
        <v>387</v>
      </c>
      <c r="P74">
        <v>310406</v>
      </c>
      <c r="Q74" s="3">
        <v>169.85</v>
      </c>
      <c r="R74" s="3">
        <f>IF(Table1[[#This Row],[Gross_millions]]=" ",0,Table1[[#This Row],[Gross_millions]])</f>
        <v>169.85</v>
      </c>
      <c r="S74" t="str">
        <f>IF(Table1[[#This Row],[Gross_millions_Clean]]&gt;200,"Blockbuster",IF(Table1[[#This Row],[Gross_millions_Clean]]&gt;100,"Hit","Average"))</f>
        <v>Hit</v>
      </c>
    </row>
    <row r="75" spans="1:19" x14ac:dyDescent="0.3">
      <c r="A75" t="s">
        <v>388</v>
      </c>
      <c r="B75" t="s">
        <v>389</v>
      </c>
      <c r="C75">
        <v>1981</v>
      </c>
      <c r="D75" s="8">
        <f>FLOOR(Table1[[#This Row],[Year]],10)</f>
        <v>1980</v>
      </c>
      <c r="E75" t="s">
        <v>169</v>
      </c>
      <c r="F75">
        <v>121</v>
      </c>
      <c r="G75" t="str">
        <f>IF(Table1[[#This Row],[Runtime_minutes]]&lt;90,"Short",IF(Table1[[#This Row],[Runtime_minutes]]&lt;=120,"Medium","Long"))</f>
        <v>Long</v>
      </c>
      <c r="H75" t="s">
        <v>43</v>
      </c>
      <c r="I75" t="s">
        <v>3980</v>
      </c>
      <c r="K75">
        <v>8.3000000000000007</v>
      </c>
      <c r="M75" t="s">
        <v>391</v>
      </c>
      <c r="N75" t="s">
        <v>221</v>
      </c>
      <c r="O75" t="s">
        <v>392</v>
      </c>
      <c r="P75">
        <v>9064</v>
      </c>
      <c r="Q75" s="3"/>
      <c r="R75" s="3">
        <f>IF(Table1[[#This Row],[Gross_millions]]=" ",0,Table1[[#This Row],[Gross_millions]])</f>
        <v>0</v>
      </c>
      <c r="S75" t="str">
        <f>IF(Table1[[#This Row],[Gross_millions_Clean]]&gt;200,"Blockbuster",IF(Table1[[#This Row],[Gross_millions_Clean]]&gt;100,"Hit","Average"))</f>
        <v>Average</v>
      </c>
    </row>
    <row r="76" spans="1:19" x14ac:dyDescent="0.3">
      <c r="A76" t="s">
        <v>393</v>
      </c>
      <c r="B76" t="s">
        <v>394</v>
      </c>
      <c r="C76">
        <v>2024</v>
      </c>
      <c r="D76" s="8">
        <f>FLOOR(Table1[[#This Row],[Year]],10)</f>
        <v>2020</v>
      </c>
      <c r="E76" t="s">
        <v>17</v>
      </c>
      <c r="F76">
        <v>128</v>
      </c>
      <c r="G76" t="str">
        <f>IF(Table1[[#This Row],[Runtime_minutes]]&lt;90,"Short",IF(Table1[[#This Row],[Runtime_minutes]]&lt;=120,"Medium","Long"))</f>
        <v>Long</v>
      </c>
      <c r="H76" t="s">
        <v>277</v>
      </c>
      <c r="I76" t="s">
        <v>3980</v>
      </c>
      <c r="K76">
        <v>8.3000000000000007</v>
      </c>
      <c r="M76" t="s">
        <v>395</v>
      </c>
      <c r="N76" t="s">
        <v>236</v>
      </c>
      <c r="O76" t="s">
        <v>396</v>
      </c>
      <c r="P76">
        <v>236438</v>
      </c>
      <c r="Q76" s="3">
        <v>150.6</v>
      </c>
      <c r="R76" s="3">
        <f>IF(Table1[[#This Row],[Gross_millions]]=" ",0,Table1[[#This Row],[Gross_millions]])</f>
        <v>150.6</v>
      </c>
      <c r="S76" t="str">
        <f>IF(Table1[[#This Row],[Gross_millions_Clean]]&gt;200,"Blockbuster",IF(Table1[[#This Row],[Gross_millions_Clean]]&gt;100,"Hit","Average"))</f>
        <v>Hit</v>
      </c>
    </row>
    <row r="77" spans="1:19" x14ac:dyDescent="0.3">
      <c r="A77" t="s">
        <v>397</v>
      </c>
      <c r="B77" t="s">
        <v>398</v>
      </c>
      <c r="C77">
        <v>2001</v>
      </c>
      <c r="D77" s="8">
        <f>FLOOR(Table1[[#This Row],[Year]],10)</f>
        <v>2000</v>
      </c>
      <c r="E77" t="s">
        <v>54</v>
      </c>
      <c r="F77">
        <v>78</v>
      </c>
      <c r="G77" t="str">
        <f>IF(Table1[[#This Row],[Runtime_minutes]]&lt;90,"Short",IF(Table1[[#This Row],[Runtime_minutes]]&lt;=120,"Medium","Long"))</f>
        <v>Short</v>
      </c>
      <c r="H77" t="s">
        <v>606</v>
      </c>
      <c r="I77" t="s">
        <v>3984</v>
      </c>
      <c r="J77" t="s">
        <v>3982</v>
      </c>
      <c r="K77">
        <v>8.3000000000000007</v>
      </c>
      <c r="M77" t="s">
        <v>400</v>
      </c>
      <c r="N77" t="s">
        <v>125</v>
      </c>
      <c r="O77" t="s">
        <v>401</v>
      </c>
      <c r="P77">
        <v>164336</v>
      </c>
      <c r="Q77" s="3"/>
      <c r="R77" s="3">
        <f>IF(Table1[[#This Row],[Gross_millions]]=" ",0,Table1[[#This Row],[Gross_millions]])</f>
        <v>0</v>
      </c>
      <c r="S77" t="str">
        <f>IF(Table1[[#This Row],[Gross_millions_Clean]]&gt;200,"Blockbuster",IF(Table1[[#This Row],[Gross_millions_Clean]]&gt;100,"Hit","Average"))</f>
        <v>Average</v>
      </c>
    </row>
    <row r="78" spans="1:19" x14ac:dyDescent="0.3">
      <c r="A78" t="s">
        <v>402</v>
      </c>
      <c r="B78" t="s">
        <v>403</v>
      </c>
      <c r="C78">
        <v>2019</v>
      </c>
      <c r="D78" s="8">
        <f>FLOOR(Table1[[#This Row],[Year]],10)</f>
        <v>2010</v>
      </c>
      <c r="E78" t="s">
        <v>54</v>
      </c>
      <c r="F78">
        <v>120</v>
      </c>
      <c r="G78" t="str">
        <f>IF(Table1[[#This Row],[Runtime_minutes]]&lt;90,"Short",IF(Table1[[#This Row],[Runtime_minutes]]&lt;=120,"Medium","Long"))</f>
        <v>Medium</v>
      </c>
      <c r="H78" t="s">
        <v>230</v>
      </c>
      <c r="I78" t="s">
        <v>3992</v>
      </c>
      <c r="K78">
        <v>8.3000000000000007</v>
      </c>
      <c r="M78" t="s">
        <v>231</v>
      </c>
      <c r="N78" t="s">
        <v>119</v>
      </c>
      <c r="O78" t="s">
        <v>405</v>
      </c>
      <c r="P78">
        <v>47058</v>
      </c>
      <c r="Q78" s="3"/>
      <c r="R78" s="3">
        <f>IF(Table1[[#This Row],[Gross_millions]]=" ",0,Table1[[#This Row],[Gross_millions]])</f>
        <v>0</v>
      </c>
      <c r="S78" t="str">
        <f>IF(Table1[[#This Row],[Gross_millions_Clean]]&gt;200,"Blockbuster",IF(Table1[[#This Row],[Gross_millions_Clean]]&gt;100,"Hit","Average"))</f>
        <v>Average</v>
      </c>
    </row>
    <row r="79" spans="1:19" x14ac:dyDescent="0.3">
      <c r="A79" t="s">
        <v>406</v>
      </c>
      <c r="B79" t="s">
        <v>407</v>
      </c>
      <c r="C79">
        <v>1982</v>
      </c>
      <c r="D79" s="8">
        <f>FLOOR(Table1[[#This Row],[Year]],10)</f>
        <v>1980</v>
      </c>
      <c r="E79" t="s">
        <v>17</v>
      </c>
      <c r="F79">
        <v>125</v>
      </c>
      <c r="G79" t="str">
        <f>IF(Table1[[#This Row],[Runtime_minutes]]&lt;90,"Short",IF(Table1[[#This Row],[Runtime_minutes]]&lt;=120,"Medium","Long"))</f>
        <v>Long</v>
      </c>
      <c r="H79" t="s">
        <v>55</v>
      </c>
      <c r="K79">
        <v>8.3000000000000007</v>
      </c>
      <c r="L79">
        <v>93</v>
      </c>
      <c r="M79" t="s">
        <v>408</v>
      </c>
      <c r="N79" t="s">
        <v>68</v>
      </c>
      <c r="O79" t="s">
        <v>409</v>
      </c>
      <c r="P79">
        <v>25906</v>
      </c>
      <c r="Q79" s="3">
        <v>282.5</v>
      </c>
      <c r="R79" s="3">
        <f>IF(Table1[[#This Row],[Gross_millions]]=" ",0,Table1[[#This Row],[Gross_millions]])</f>
        <v>282.5</v>
      </c>
      <c r="S79" t="str">
        <f>IF(Table1[[#This Row],[Gross_millions_Clean]]&gt;200,"Blockbuster",IF(Table1[[#This Row],[Gross_millions_Clean]]&gt;100,"Hit","Average"))</f>
        <v>Blockbuster</v>
      </c>
    </row>
    <row r="80" spans="1:19" x14ac:dyDescent="0.3">
      <c r="A80" t="s">
        <v>410</v>
      </c>
      <c r="B80" t="s">
        <v>411</v>
      </c>
      <c r="C80">
        <v>1983</v>
      </c>
      <c r="D80" s="8">
        <f>FLOOR(Table1[[#This Row],[Year]],10)</f>
        <v>1980</v>
      </c>
      <c r="E80" t="s">
        <v>293</v>
      </c>
      <c r="F80">
        <v>124</v>
      </c>
      <c r="G80" t="str">
        <f>IF(Table1[[#This Row],[Runtime_minutes]]&lt;90,"Short",IF(Table1[[#This Row],[Runtime_minutes]]&lt;=120,"Medium","Long"))</f>
        <v>Long</v>
      </c>
      <c r="H80" t="s">
        <v>78</v>
      </c>
      <c r="K80">
        <v>8.3000000000000007</v>
      </c>
      <c r="L80">
        <v>80</v>
      </c>
      <c r="M80" t="s">
        <v>412</v>
      </c>
      <c r="N80" t="s">
        <v>57</v>
      </c>
      <c r="O80" t="s">
        <v>413</v>
      </c>
      <c r="P80">
        <v>24607</v>
      </c>
      <c r="Q80" s="3">
        <v>106.21</v>
      </c>
      <c r="R80" s="3">
        <f>IF(Table1[[#This Row],[Gross_millions]]=" ",0,Table1[[#This Row],[Gross_millions]])</f>
        <v>106.21</v>
      </c>
      <c r="S80" t="str">
        <f>IF(Table1[[#This Row],[Gross_millions_Clean]]&gt;200,"Blockbuster",IF(Table1[[#This Row],[Gross_millions_Clean]]&gt;100,"Hit","Average"))</f>
        <v>Hit</v>
      </c>
    </row>
    <row r="81" spans="1:19" x14ac:dyDescent="0.3">
      <c r="A81" t="s">
        <v>414</v>
      </c>
      <c r="B81" t="s">
        <v>415</v>
      </c>
      <c r="C81">
        <v>1974</v>
      </c>
      <c r="D81" s="8">
        <f>FLOOR(Table1[[#This Row],[Year]],10)</f>
        <v>1970</v>
      </c>
      <c r="E81" t="s">
        <v>293</v>
      </c>
      <c r="F81">
        <v>125</v>
      </c>
      <c r="G81" t="str">
        <f>IF(Table1[[#This Row],[Runtime_minutes]]&lt;90,"Short",IF(Table1[[#This Row],[Runtime_minutes]]&lt;=120,"Medium","Long"))</f>
        <v>Long</v>
      </c>
      <c r="H81" t="s">
        <v>230</v>
      </c>
      <c r="I81" t="s">
        <v>3980</v>
      </c>
      <c r="J81" t="s">
        <v>3993</v>
      </c>
      <c r="K81">
        <v>8.3000000000000007</v>
      </c>
      <c r="M81" t="s">
        <v>417</v>
      </c>
      <c r="N81" t="s">
        <v>125</v>
      </c>
      <c r="O81" t="s">
        <v>418</v>
      </c>
      <c r="P81">
        <v>72402</v>
      </c>
      <c r="Q81" s="3"/>
      <c r="R81" s="3">
        <f>IF(Table1[[#This Row],[Gross_millions]]=" ",0,Table1[[#This Row],[Gross_millions]])</f>
        <v>0</v>
      </c>
      <c r="S81" t="str">
        <f>IF(Table1[[#This Row],[Gross_millions_Clean]]&gt;200,"Blockbuster",IF(Table1[[#This Row],[Gross_millions_Clean]]&gt;100,"Hit","Average"))</f>
        <v>Average</v>
      </c>
    </row>
    <row r="82" spans="1:19" x14ac:dyDescent="0.3">
      <c r="A82" t="s">
        <v>419</v>
      </c>
      <c r="B82" t="s">
        <v>420</v>
      </c>
      <c r="C82">
        <v>1955</v>
      </c>
      <c r="D82" s="8">
        <f>FLOOR(Table1[[#This Row],[Year]],10)</f>
        <v>1950</v>
      </c>
      <c r="E82" t="s">
        <v>17</v>
      </c>
      <c r="F82">
        <v>116</v>
      </c>
      <c r="G82" t="str">
        <f>IF(Table1[[#This Row],[Runtime_minutes]]&lt;90,"Short",IF(Table1[[#This Row],[Runtime_minutes]]&lt;=120,"Medium","Long"))</f>
        <v>Medium</v>
      </c>
      <c r="H82" t="s">
        <v>375</v>
      </c>
      <c r="I82" t="s">
        <v>3978</v>
      </c>
      <c r="K82">
        <v>8.3000000000000007</v>
      </c>
      <c r="L82">
        <v>70</v>
      </c>
      <c r="M82" t="s">
        <v>422</v>
      </c>
      <c r="N82" t="s">
        <v>27</v>
      </c>
      <c r="O82" t="s">
        <v>423</v>
      </c>
      <c r="P82">
        <v>68203</v>
      </c>
      <c r="Q82" s="3">
        <v>255.59</v>
      </c>
      <c r="R82" s="3">
        <f>IF(Table1[[#This Row],[Gross_millions]]=" ",0,Table1[[#This Row],[Gross_millions]])</f>
        <v>255.59</v>
      </c>
      <c r="S82" t="str">
        <f>IF(Table1[[#This Row],[Gross_millions_Clean]]&gt;200,"Blockbuster",IF(Table1[[#This Row],[Gross_millions_Clean]]&gt;100,"Hit","Average"))</f>
        <v>Blockbuster</v>
      </c>
    </row>
    <row r="83" spans="1:19" x14ac:dyDescent="0.3">
      <c r="A83" t="s">
        <v>424</v>
      </c>
      <c r="B83" t="s">
        <v>425</v>
      </c>
      <c r="C83">
        <v>1943</v>
      </c>
      <c r="D83" s="8">
        <f>FLOOR(Table1[[#This Row],[Year]],10)</f>
        <v>1940</v>
      </c>
      <c r="E83" t="s">
        <v>24</v>
      </c>
      <c r="F83">
        <v>107</v>
      </c>
      <c r="G83" t="str">
        <f>IF(Table1[[#This Row],[Runtime_minutes]]&lt;90,"Short",IF(Table1[[#This Row],[Runtime_minutes]]&lt;=120,"Medium","Long"))</f>
        <v>Medium</v>
      </c>
      <c r="H83" t="s">
        <v>375</v>
      </c>
      <c r="I83" t="s">
        <v>3983</v>
      </c>
      <c r="K83">
        <v>8.3000000000000007</v>
      </c>
      <c r="L83">
        <v>92</v>
      </c>
      <c r="M83" t="s">
        <v>381</v>
      </c>
      <c r="N83" t="s">
        <v>125</v>
      </c>
      <c r="O83" t="s">
        <v>427</v>
      </c>
      <c r="P83">
        <v>721707</v>
      </c>
      <c r="Q83" s="3">
        <v>18.05</v>
      </c>
      <c r="R83" s="3">
        <f>IF(Table1[[#This Row],[Gross_millions]]=" ",0,Table1[[#This Row],[Gross_millions]])</f>
        <v>18.05</v>
      </c>
      <c r="S83" t="str">
        <f>IF(Table1[[#This Row],[Gross_millions_Clean]]&gt;200,"Blockbuster",IF(Table1[[#This Row],[Gross_millions_Clean]]&gt;100,"Hit","Average"))</f>
        <v>Average</v>
      </c>
    </row>
    <row r="84" spans="1:19" x14ac:dyDescent="0.3">
      <c r="A84" t="s">
        <v>428</v>
      </c>
      <c r="B84" t="s">
        <v>429</v>
      </c>
      <c r="C84">
        <v>2024</v>
      </c>
      <c r="D84" s="8">
        <f>FLOOR(Table1[[#This Row],[Year]],10)</f>
        <v>2020</v>
      </c>
      <c r="E84" t="s">
        <v>24</v>
      </c>
      <c r="F84">
        <v>114</v>
      </c>
      <c r="G84" t="str">
        <f>IF(Table1[[#This Row],[Runtime_minutes]]&lt;90,"Short",IF(Table1[[#This Row],[Runtime_minutes]]&lt;=120,"Medium","Long"))</f>
        <v>Medium</v>
      </c>
      <c r="H84" t="s">
        <v>210</v>
      </c>
      <c r="I84" t="s">
        <v>3989</v>
      </c>
      <c r="K84">
        <v>8.3000000000000007</v>
      </c>
      <c r="L84">
        <v>90</v>
      </c>
      <c r="M84" t="s">
        <v>431</v>
      </c>
      <c r="N84" t="s">
        <v>165</v>
      </c>
      <c r="O84" t="s">
        <v>432</v>
      </c>
      <c r="P84">
        <v>894336</v>
      </c>
      <c r="Q84" s="3">
        <v>676.44</v>
      </c>
      <c r="R84" s="3">
        <f>IF(Table1[[#This Row],[Gross_millions]]=" ",0,Table1[[#This Row],[Gross_millions]])</f>
        <v>676.44</v>
      </c>
      <c r="S84" t="str">
        <f>IF(Table1[[#This Row],[Gross_millions_Clean]]&gt;200,"Blockbuster",IF(Table1[[#This Row],[Gross_millions_Clean]]&gt;100,"Hit","Average"))</f>
        <v>Blockbuster</v>
      </c>
    </row>
    <row r="85" spans="1:19" x14ac:dyDescent="0.3">
      <c r="A85" t="s">
        <v>433</v>
      </c>
      <c r="B85" t="s">
        <v>434</v>
      </c>
      <c r="C85">
        <v>2015</v>
      </c>
      <c r="D85" s="8">
        <f>FLOOR(Table1[[#This Row],[Year]],10)</f>
        <v>2010</v>
      </c>
      <c r="E85" t="s">
        <v>24</v>
      </c>
      <c r="F85">
        <v>129</v>
      </c>
      <c r="G85" t="str">
        <f>IF(Table1[[#This Row],[Runtime_minutes]]&lt;90,"Short",IF(Table1[[#This Row],[Runtime_minutes]]&lt;=120,"Medium","Long"))</f>
        <v>Long</v>
      </c>
      <c r="H85" t="s">
        <v>453</v>
      </c>
      <c r="I85" t="s">
        <v>3991</v>
      </c>
      <c r="K85">
        <v>8.3000000000000007</v>
      </c>
      <c r="L85">
        <v>82</v>
      </c>
      <c r="M85" t="s">
        <v>435</v>
      </c>
      <c r="N85" t="s">
        <v>86</v>
      </c>
      <c r="O85" t="s">
        <v>436</v>
      </c>
      <c r="P85">
        <v>118746</v>
      </c>
      <c r="Q85" s="3">
        <v>434.07</v>
      </c>
      <c r="R85" s="3">
        <f>IF(Table1[[#This Row],[Gross_millions]]=" ",0,Table1[[#This Row],[Gross_millions]])</f>
        <v>434.07</v>
      </c>
      <c r="S85" t="str">
        <f>IF(Table1[[#This Row],[Gross_millions_Clean]]&gt;200,"Blockbuster",IF(Table1[[#This Row],[Gross_millions_Clean]]&gt;100,"Hit","Average"))</f>
        <v>Blockbuster</v>
      </c>
    </row>
    <row r="86" spans="1:19" x14ac:dyDescent="0.3">
      <c r="A86" t="s">
        <v>437</v>
      </c>
      <c r="B86" t="s">
        <v>438</v>
      </c>
      <c r="C86">
        <v>1982</v>
      </c>
      <c r="D86" s="8">
        <f>FLOOR(Table1[[#This Row],[Year]],10)</f>
        <v>1980</v>
      </c>
      <c r="E86" t="s">
        <v>17</v>
      </c>
      <c r="F86">
        <v>120</v>
      </c>
      <c r="G86" t="str">
        <f>IF(Table1[[#This Row],[Runtime_minutes]]&lt;90,"Short",IF(Table1[[#This Row],[Runtime_minutes]]&lt;=120,"Medium","Long"))</f>
        <v>Medium</v>
      </c>
      <c r="H86" t="s">
        <v>55</v>
      </c>
      <c r="I86" t="s">
        <v>3985</v>
      </c>
      <c r="K86">
        <v>8.3000000000000007</v>
      </c>
      <c r="L86">
        <v>68</v>
      </c>
      <c r="M86" t="s">
        <v>440</v>
      </c>
      <c r="N86" t="s">
        <v>50</v>
      </c>
      <c r="O86" t="s">
        <v>441</v>
      </c>
      <c r="P86">
        <v>117325</v>
      </c>
      <c r="Q86" s="3">
        <v>106.37</v>
      </c>
      <c r="R86" s="3">
        <f>IF(Table1[[#This Row],[Gross_millions]]=" ",0,Table1[[#This Row],[Gross_millions]])</f>
        <v>106.37</v>
      </c>
      <c r="S86" t="str">
        <f>IF(Table1[[#This Row],[Gross_millions_Clean]]&gt;200,"Blockbuster",IF(Table1[[#This Row],[Gross_millions_Clean]]&gt;100,"Hit","Average"))</f>
        <v>Hit</v>
      </c>
    </row>
    <row r="87" spans="1:19" x14ac:dyDescent="0.3">
      <c r="A87" t="s">
        <v>442</v>
      </c>
      <c r="B87" t="s">
        <v>443</v>
      </c>
      <c r="C87">
        <v>2010</v>
      </c>
      <c r="D87" s="8">
        <f>FLOOR(Table1[[#This Row],[Year]],10)</f>
        <v>2010</v>
      </c>
      <c r="E87" t="s">
        <v>54</v>
      </c>
      <c r="F87">
        <v>144</v>
      </c>
      <c r="G87" t="str">
        <f>IF(Table1[[#This Row],[Runtime_minutes]]&lt;90,"Short",IF(Table1[[#This Row],[Runtime_minutes]]&lt;=120,"Medium","Long"))</f>
        <v>Long</v>
      </c>
      <c r="H87" t="s">
        <v>868</v>
      </c>
      <c r="I87" t="s">
        <v>3986</v>
      </c>
      <c r="K87">
        <v>8.3000000000000007</v>
      </c>
      <c r="M87" t="s">
        <v>102</v>
      </c>
      <c r="N87" t="s">
        <v>33</v>
      </c>
      <c r="O87" t="s">
        <v>445</v>
      </c>
      <c r="P87">
        <v>278582</v>
      </c>
      <c r="Q87" s="3">
        <v>385.34</v>
      </c>
      <c r="R87" s="3">
        <f>IF(Table1[[#This Row],[Gross_millions]]=" ",0,Table1[[#This Row],[Gross_millions]])</f>
        <v>385.34</v>
      </c>
      <c r="S87" t="str">
        <f>IF(Table1[[#This Row],[Gross_millions_Clean]]&gt;200,"Blockbuster",IF(Table1[[#This Row],[Gross_millions_Clean]]&gt;100,"Hit","Average"))</f>
        <v>Blockbuster</v>
      </c>
    </row>
    <row r="88" spans="1:19" x14ac:dyDescent="0.3">
      <c r="A88" t="s">
        <v>446</v>
      </c>
      <c r="B88" t="s">
        <v>447</v>
      </c>
      <c r="C88">
        <v>1957</v>
      </c>
      <c r="D88" s="8">
        <f>FLOOR(Table1[[#This Row],[Year]],10)</f>
        <v>1950</v>
      </c>
      <c r="E88" t="s">
        <v>293</v>
      </c>
      <c r="F88">
        <v>119</v>
      </c>
      <c r="G88" t="str">
        <f>IF(Table1[[#This Row],[Runtime_minutes]]&lt;90,"Short",IF(Table1[[#This Row],[Runtime_minutes]]&lt;=120,"Medium","Long"))</f>
        <v>Medium</v>
      </c>
      <c r="H88" t="s">
        <v>210</v>
      </c>
      <c r="I88" t="s">
        <v>3984</v>
      </c>
      <c r="K88">
        <v>8.1999999999999993</v>
      </c>
      <c r="L88">
        <v>85</v>
      </c>
      <c r="M88" t="s">
        <v>449</v>
      </c>
      <c r="N88" t="s">
        <v>39</v>
      </c>
      <c r="O88" t="s">
        <v>450</v>
      </c>
      <c r="P88">
        <v>2500000</v>
      </c>
      <c r="Q88" s="3"/>
      <c r="R88" s="3">
        <f>IF(Table1[[#This Row],[Gross_millions]]=" ",0,Table1[[#This Row],[Gross_millions]])</f>
        <v>0</v>
      </c>
      <c r="S88" t="str">
        <f>IF(Table1[[#This Row],[Gross_millions_Clean]]&gt;200,"Blockbuster",IF(Table1[[#This Row],[Gross_millions_Clean]]&gt;100,"Hit","Average"))</f>
        <v>Average</v>
      </c>
    </row>
    <row r="89" spans="1:19" x14ac:dyDescent="0.3">
      <c r="A89" t="s">
        <v>451</v>
      </c>
      <c r="B89" t="s">
        <v>452</v>
      </c>
      <c r="C89">
        <v>2006</v>
      </c>
      <c r="D89" s="8">
        <f>FLOOR(Table1[[#This Row],[Year]],10)</f>
        <v>2000</v>
      </c>
      <c r="E89" t="s">
        <v>17</v>
      </c>
      <c r="F89">
        <v>114</v>
      </c>
      <c r="G89" t="str">
        <f>IF(Table1[[#This Row],[Runtime_minutes]]&lt;90,"Short",IF(Table1[[#This Row],[Runtime_minutes]]&lt;=120,"Medium","Long"))</f>
        <v>Medium</v>
      </c>
      <c r="H89" t="s">
        <v>453</v>
      </c>
      <c r="K89">
        <v>8.1999999999999993</v>
      </c>
      <c r="L89">
        <v>73</v>
      </c>
      <c r="M89" t="s">
        <v>454</v>
      </c>
      <c r="N89" t="s">
        <v>74</v>
      </c>
      <c r="O89" t="s">
        <v>455</v>
      </c>
      <c r="P89">
        <v>2244</v>
      </c>
      <c r="Q89" s="3">
        <v>266.39999999999998</v>
      </c>
      <c r="R89" s="3">
        <f>IF(Table1[[#This Row],[Gross_millions]]=" ",0,Table1[[#This Row],[Gross_millions]])</f>
        <v>266.39999999999998</v>
      </c>
      <c r="S89" t="str">
        <f>IF(Table1[[#This Row],[Gross_millions_Clean]]&gt;200,"Blockbuster",IF(Table1[[#This Row],[Gross_millions_Clean]]&gt;100,"Hit","Average"))</f>
        <v>Blockbuster</v>
      </c>
    </row>
    <row r="90" spans="1:19" x14ac:dyDescent="0.3">
      <c r="A90" t="s">
        <v>456</v>
      </c>
      <c r="B90" t="s">
        <v>457</v>
      </c>
      <c r="C90">
        <v>1969</v>
      </c>
      <c r="D90" s="8">
        <f>FLOOR(Table1[[#This Row],[Year]],10)</f>
        <v>1960</v>
      </c>
      <c r="E90" t="s">
        <v>17</v>
      </c>
      <c r="F90">
        <v>115</v>
      </c>
      <c r="G90" t="str">
        <f>IF(Table1[[#This Row],[Runtime_minutes]]&lt;90,"Short",IF(Table1[[#This Row],[Runtime_minutes]]&lt;=120,"Medium","Long"))</f>
        <v>Medium</v>
      </c>
      <c r="H90" t="s">
        <v>37</v>
      </c>
      <c r="I90" t="s">
        <v>3985</v>
      </c>
      <c r="K90">
        <v>8.1999999999999993</v>
      </c>
      <c r="M90" t="s">
        <v>458</v>
      </c>
      <c r="N90" t="s">
        <v>147</v>
      </c>
      <c r="O90" t="s">
        <v>459</v>
      </c>
      <c r="P90">
        <v>8476</v>
      </c>
      <c r="Q90" s="3"/>
      <c r="R90" s="3">
        <f>IF(Table1[[#This Row],[Gross_millions]]=" ",0,Table1[[#This Row],[Gross_millions]])</f>
        <v>0</v>
      </c>
      <c r="S90" t="str">
        <f>IF(Table1[[#This Row],[Gross_millions_Clean]]&gt;200,"Blockbuster",IF(Table1[[#This Row],[Gross_millions_Clean]]&gt;100,"Hit","Average"))</f>
        <v>Average</v>
      </c>
    </row>
    <row r="91" spans="1:19" x14ac:dyDescent="0.3">
      <c r="A91" t="s">
        <v>460</v>
      </c>
      <c r="B91" t="s">
        <v>461</v>
      </c>
      <c r="C91">
        <v>2002</v>
      </c>
      <c r="D91" s="8">
        <f>FLOOR(Table1[[#This Row],[Year]],10)</f>
        <v>2000</v>
      </c>
      <c r="E91" t="s">
        <v>17</v>
      </c>
      <c r="F91">
        <v>86</v>
      </c>
      <c r="G91" t="str">
        <f>IF(Table1[[#This Row],[Runtime_minutes]]&lt;90,"Short",IF(Table1[[#This Row],[Runtime_minutes]]&lt;=120,"Medium","Long"))</f>
        <v>Short</v>
      </c>
      <c r="H91" t="s">
        <v>277</v>
      </c>
      <c r="I91" t="s">
        <v>3982</v>
      </c>
      <c r="J91" t="s">
        <v>3987</v>
      </c>
      <c r="K91">
        <v>8.1999999999999993</v>
      </c>
      <c r="M91" t="s">
        <v>395</v>
      </c>
      <c r="N91" t="s">
        <v>147</v>
      </c>
      <c r="O91" t="s">
        <v>463</v>
      </c>
      <c r="P91">
        <v>94478</v>
      </c>
      <c r="Q91" s="3"/>
      <c r="R91" s="3">
        <f>IF(Table1[[#This Row],[Gross_millions]]=" ",0,Table1[[#This Row],[Gross_millions]])</f>
        <v>0</v>
      </c>
      <c r="S91" t="str">
        <f>IF(Table1[[#This Row],[Gross_millions_Clean]]&gt;200,"Blockbuster",IF(Table1[[#This Row],[Gross_millions_Clean]]&gt;100,"Hit","Average"))</f>
        <v>Average</v>
      </c>
    </row>
    <row r="92" spans="1:19" x14ac:dyDescent="0.3">
      <c r="A92" t="s">
        <v>464</v>
      </c>
      <c r="B92" t="s">
        <v>465</v>
      </c>
      <c r="C92">
        <v>1959</v>
      </c>
      <c r="D92" s="8">
        <f>FLOOR(Table1[[#This Row],[Year]],10)</f>
        <v>1950</v>
      </c>
      <c r="E92" t="s">
        <v>17</v>
      </c>
      <c r="F92">
        <v>109</v>
      </c>
      <c r="G92" t="str">
        <f>IF(Table1[[#This Row],[Runtime_minutes]]&lt;90,"Short",IF(Table1[[#This Row],[Runtime_minutes]]&lt;=120,"Medium","Long"))</f>
        <v>Medium</v>
      </c>
      <c r="H92" t="s">
        <v>453</v>
      </c>
      <c r="I92" t="s">
        <v>3978</v>
      </c>
      <c r="K92">
        <v>8.1999999999999993</v>
      </c>
      <c r="M92" t="s">
        <v>269</v>
      </c>
      <c r="N92" t="s">
        <v>92</v>
      </c>
      <c r="O92" t="s">
        <v>467</v>
      </c>
      <c r="P92">
        <v>12782</v>
      </c>
      <c r="Q92" s="3"/>
      <c r="R92" s="3">
        <f>IF(Table1[[#This Row],[Gross_millions]]=" ",0,Table1[[#This Row],[Gross_millions]])</f>
        <v>0</v>
      </c>
      <c r="S92" t="str">
        <f>IF(Table1[[#This Row],[Gross_millions_Clean]]&gt;200,"Blockbuster",IF(Table1[[#This Row],[Gross_millions_Clean]]&gt;100,"Hit","Average"))</f>
        <v>Average</v>
      </c>
    </row>
    <row r="93" spans="1:19" x14ac:dyDescent="0.3">
      <c r="A93" t="s">
        <v>468</v>
      </c>
      <c r="B93" t="s">
        <v>469</v>
      </c>
      <c r="C93">
        <v>1964</v>
      </c>
      <c r="D93" s="8">
        <f>FLOOR(Table1[[#This Row],[Year]],10)</f>
        <v>1960</v>
      </c>
      <c r="E93" t="s">
        <v>54</v>
      </c>
      <c r="F93">
        <v>136</v>
      </c>
      <c r="G93" t="str">
        <f>IF(Table1[[#This Row],[Runtime_minutes]]&lt;90,"Short",IF(Table1[[#This Row],[Runtime_minutes]]&lt;=120,"Medium","Long"))</f>
        <v>Long</v>
      </c>
      <c r="H93" t="s">
        <v>72</v>
      </c>
      <c r="I93" t="s">
        <v>3982</v>
      </c>
      <c r="K93">
        <v>8.1999999999999993</v>
      </c>
      <c r="L93">
        <v>89</v>
      </c>
      <c r="M93" t="s">
        <v>471</v>
      </c>
      <c r="N93" t="s">
        <v>251</v>
      </c>
      <c r="O93" t="s">
        <v>472</v>
      </c>
      <c r="P93">
        <v>45880</v>
      </c>
      <c r="Q93" s="3"/>
      <c r="R93" s="3">
        <f>IF(Table1[[#This Row],[Gross_millions]]=" ",0,Table1[[#This Row],[Gross_millions]])</f>
        <v>0</v>
      </c>
      <c r="S93" t="str">
        <f>IF(Table1[[#This Row],[Gross_millions_Clean]]&gt;200,"Blockbuster",IF(Table1[[#This Row],[Gross_millions_Clean]]&gt;100,"Hit","Average"))</f>
        <v>Average</v>
      </c>
    </row>
    <row r="94" spans="1:19" x14ac:dyDescent="0.3">
      <c r="A94" t="s">
        <v>473</v>
      </c>
      <c r="B94" t="s">
        <v>474</v>
      </c>
      <c r="C94">
        <v>1950</v>
      </c>
      <c r="D94" s="8">
        <f>FLOOR(Table1[[#This Row],[Year]],10)</f>
        <v>1950</v>
      </c>
      <c r="E94" t="s">
        <v>24</v>
      </c>
      <c r="F94">
        <v>125</v>
      </c>
      <c r="G94" t="str">
        <f>IF(Table1[[#This Row],[Runtime_minutes]]&lt;90,"Short",IF(Table1[[#This Row],[Runtime_minutes]]&lt;=120,"Medium","Long"))</f>
        <v>Long</v>
      </c>
      <c r="H94" t="s">
        <v>43</v>
      </c>
      <c r="I94" t="s">
        <v>3991</v>
      </c>
      <c r="K94">
        <v>8.1999999999999993</v>
      </c>
      <c r="M94" t="s">
        <v>475</v>
      </c>
      <c r="N94" t="s">
        <v>131</v>
      </c>
      <c r="O94" t="s">
        <v>476</v>
      </c>
      <c r="P94">
        <v>4040</v>
      </c>
      <c r="Q94" s="3">
        <v>254.37</v>
      </c>
      <c r="R94" s="3">
        <f>IF(Table1[[#This Row],[Gross_millions]]=" ",0,Table1[[#This Row],[Gross_millions]])</f>
        <v>254.37</v>
      </c>
      <c r="S94" t="str">
        <f>IF(Table1[[#This Row],[Gross_millions_Clean]]&gt;200,"Blockbuster",IF(Table1[[#This Row],[Gross_millions_Clean]]&gt;100,"Hit","Average"))</f>
        <v>Blockbuster</v>
      </c>
    </row>
    <row r="95" spans="1:19" x14ac:dyDescent="0.3">
      <c r="A95" t="s">
        <v>477</v>
      </c>
      <c r="B95" t="s">
        <v>478</v>
      </c>
      <c r="C95">
        <v>2008</v>
      </c>
      <c r="D95" s="8">
        <f>FLOOR(Table1[[#This Row],[Year]],10)</f>
        <v>2000</v>
      </c>
      <c r="E95" t="s">
        <v>54</v>
      </c>
      <c r="F95">
        <v>124</v>
      </c>
      <c r="G95" t="str">
        <f>IF(Table1[[#This Row],[Runtime_minutes]]&lt;90,"Short",IF(Table1[[#This Row],[Runtime_minutes]]&lt;=120,"Medium","Long"))</f>
        <v>Long</v>
      </c>
      <c r="H95" t="s">
        <v>43</v>
      </c>
      <c r="I95" t="s">
        <v>3992</v>
      </c>
      <c r="K95">
        <v>8.1999999999999993</v>
      </c>
      <c r="M95" t="s">
        <v>136</v>
      </c>
      <c r="N95" t="s">
        <v>137</v>
      </c>
      <c r="O95" t="s">
        <v>480</v>
      </c>
      <c r="P95">
        <v>103798</v>
      </c>
      <c r="Q95" s="3">
        <v>110.53</v>
      </c>
      <c r="R95" s="3">
        <f>IF(Table1[[#This Row],[Gross_millions]]=" ",0,Table1[[#This Row],[Gross_millions]])</f>
        <v>110.53</v>
      </c>
      <c r="S95" t="str">
        <f>IF(Table1[[#This Row],[Gross_millions_Clean]]&gt;200,"Blockbuster",IF(Table1[[#This Row],[Gross_millions_Clean]]&gt;100,"Hit","Average"))</f>
        <v>Hit</v>
      </c>
    </row>
    <row r="96" spans="1:19" x14ac:dyDescent="0.3">
      <c r="A96" t="s">
        <v>481</v>
      </c>
      <c r="B96" t="s">
        <v>482</v>
      </c>
      <c r="C96">
        <v>2013</v>
      </c>
      <c r="D96" s="8">
        <f>FLOOR(Table1[[#This Row],[Year]],10)</f>
        <v>2010</v>
      </c>
      <c r="E96" t="s">
        <v>54</v>
      </c>
      <c r="F96">
        <v>127</v>
      </c>
      <c r="G96" t="str">
        <f>IF(Table1[[#This Row],[Runtime_minutes]]&lt;90,"Short",IF(Table1[[#This Row],[Runtime_minutes]]&lt;=120,"Medium","Long"))</f>
        <v>Long</v>
      </c>
      <c r="H96" t="s">
        <v>1044</v>
      </c>
      <c r="I96" t="s">
        <v>3989</v>
      </c>
      <c r="K96">
        <v>8.1999999999999993</v>
      </c>
      <c r="L96">
        <v>75</v>
      </c>
      <c r="M96" t="s">
        <v>226</v>
      </c>
      <c r="N96" t="s">
        <v>483</v>
      </c>
      <c r="O96" t="s">
        <v>484</v>
      </c>
      <c r="P96">
        <v>108500</v>
      </c>
      <c r="Q96" s="3"/>
      <c r="R96" s="3">
        <f>IF(Table1[[#This Row],[Gross_millions]]=" ",0,Table1[[#This Row],[Gross_millions]])</f>
        <v>0</v>
      </c>
      <c r="S96" t="str">
        <f>IF(Table1[[#This Row],[Gross_millions_Clean]]&gt;200,"Blockbuster",IF(Table1[[#This Row],[Gross_millions_Clean]]&gt;100,"Hit","Average"))</f>
        <v>Average</v>
      </c>
    </row>
    <row r="97" spans="1:19" x14ac:dyDescent="0.3">
      <c r="A97" t="s">
        <v>485</v>
      </c>
      <c r="B97" t="s">
        <v>486</v>
      </c>
      <c r="C97">
        <v>2003</v>
      </c>
      <c r="D97" s="8">
        <f>FLOOR(Table1[[#This Row],[Year]],10)</f>
        <v>2000</v>
      </c>
      <c r="E97" t="s">
        <v>24</v>
      </c>
      <c r="F97">
        <v>89</v>
      </c>
      <c r="G97" t="str">
        <f>IF(Table1[[#This Row],[Runtime_minutes]]&lt;90,"Short",IF(Table1[[#This Row],[Runtime_minutes]]&lt;=120,"Medium","Long"))</f>
        <v>Short</v>
      </c>
      <c r="H97" t="s">
        <v>230</v>
      </c>
      <c r="I97" t="s">
        <v>3987</v>
      </c>
      <c r="J97" t="s">
        <v>3990</v>
      </c>
      <c r="K97">
        <v>8.1999999999999993</v>
      </c>
      <c r="L97">
        <v>72</v>
      </c>
      <c r="M97" t="s">
        <v>231</v>
      </c>
      <c r="N97" t="s">
        <v>68</v>
      </c>
      <c r="O97" t="s">
        <v>488</v>
      </c>
      <c r="P97">
        <v>1770838</v>
      </c>
      <c r="Q97" s="3">
        <v>432.74</v>
      </c>
      <c r="R97" s="3">
        <f>IF(Table1[[#This Row],[Gross_millions]]=" ",0,Table1[[#This Row],[Gross_millions]])</f>
        <v>432.74</v>
      </c>
      <c r="S97" t="str">
        <f>IF(Table1[[#This Row],[Gross_millions_Clean]]&gt;200,"Blockbuster",IF(Table1[[#This Row],[Gross_millions_Clean]]&gt;100,"Hit","Average"))</f>
        <v>Blockbuster</v>
      </c>
    </row>
    <row r="98" spans="1:19" x14ac:dyDescent="0.3">
      <c r="A98" t="s">
        <v>489</v>
      </c>
      <c r="B98" t="s">
        <v>490</v>
      </c>
      <c r="C98">
        <v>2002</v>
      </c>
      <c r="D98" s="8">
        <f>FLOOR(Table1[[#This Row],[Year]],10)</f>
        <v>2000</v>
      </c>
      <c r="E98" t="s">
        <v>54</v>
      </c>
      <c r="F98">
        <v>129</v>
      </c>
      <c r="G98" t="str">
        <f>IF(Table1[[#This Row],[Runtime_minutes]]&lt;90,"Short",IF(Table1[[#This Row],[Runtime_minutes]]&lt;=120,"Medium","Long"))</f>
        <v>Long</v>
      </c>
      <c r="H98" t="s">
        <v>72</v>
      </c>
      <c r="K98">
        <v>8.1999999999999993</v>
      </c>
      <c r="L98">
        <v>73</v>
      </c>
      <c r="M98" t="s">
        <v>491</v>
      </c>
      <c r="N98" t="s">
        <v>326</v>
      </c>
      <c r="O98" t="s">
        <v>492</v>
      </c>
      <c r="P98">
        <v>28846</v>
      </c>
      <c r="Q98" s="3">
        <v>10.23</v>
      </c>
      <c r="R98" s="3">
        <f>IF(Table1[[#This Row],[Gross_millions]]=" ",0,Table1[[#This Row],[Gross_millions]])</f>
        <v>10.23</v>
      </c>
      <c r="S98" t="str">
        <f>IF(Table1[[#This Row],[Gross_millions_Clean]]&gt;200,"Blockbuster",IF(Table1[[#This Row],[Gross_millions_Clean]]&gt;100,"Hit","Average"))</f>
        <v>Average</v>
      </c>
    </row>
    <row r="99" spans="1:19" x14ac:dyDescent="0.3">
      <c r="A99" t="s">
        <v>493</v>
      </c>
      <c r="B99" t="s">
        <v>494</v>
      </c>
      <c r="C99">
        <v>2019</v>
      </c>
      <c r="D99" s="8">
        <f>FLOOR(Table1[[#This Row],[Year]],10)</f>
        <v>2010</v>
      </c>
      <c r="E99" t="s">
        <v>17</v>
      </c>
      <c r="F99">
        <v>117</v>
      </c>
      <c r="G99" t="str">
        <f>IF(Table1[[#This Row],[Runtime_minutes]]&lt;90,"Short",IF(Table1[[#This Row],[Runtime_minutes]]&lt;=120,"Medium","Long"))</f>
        <v>Medium</v>
      </c>
      <c r="H99" t="s">
        <v>277</v>
      </c>
      <c r="K99">
        <v>8.1999999999999993</v>
      </c>
      <c r="L99">
        <v>95</v>
      </c>
      <c r="M99" t="s">
        <v>495</v>
      </c>
      <c r="N99" t="s">
        <v>20</v>
      </c>
      <c r="O99" t="s">
        <v>496</v>
      </c>
      <c r="P99">
        <v>13580</v>
      </c>
      <c r="Q99" s="3">
        <v>677.4</v>
      </c>
      <c r="R99" s="3">
        <f>IF(Table1[[#This Row],[Gross_millions]]=" ",0,Table1[[#This Row],[Gross_millions]])</f>
        <v>677.4</v>
      </c>
      <c r="S99" t="str">
        <f>IF(Table1[[#This Row],[Gross_millions_Clean]]&gt;200,"Blockbuster",IF(Table1[[#This Row],[Gross_millions_Clean]]&gt;100,"Hit","Average"))</f>
        <v>Blockbuster</v>
      </c>
    </row>
    <row r="100" spans="1:19" x14ac:dyDescent="0.3">
      <c r="A100" t="s">
        <v>497</v>
      </c>
      <c r="B100" t="s">
        <v>498</v>
      </c>
      <c r="C100">
        <v>1980</v>
      </c>
      <c r="D100" s="8">
        <f>FLOOR(Table1[[#This Row],[Year]],10)</f>
        <v>1980</v>
      </c>
      <c r="E100" t="s">
        <v>17</v>
      </c>
      <c r="F100">
        <v>141</v>
      </c>
      <c r="G100" t="str">
        <f>IF(Table1[[#This Row],[Runtime_minutes]]&lt;90,"Short",IF(Table1[[#This Row],[Runtime_minutes]]&lt;=120,"Medium","Long"))</f>
        <v>Long</v>
      </c>
      <c r="H100" t="s">
        <v>129</v>
      </c>
      <c r="I100" t="s">
        <v>3993</v>
      </c>
      <c r="K100">
        <v>8.1999999999999993</v>
      </c>
      <c r="L100">
        <v>70</v>
      </c>
      <c r="M100" t="s">
        <v>500</v>
      </c>
      <c r="N100" t="s">
        <v>326</v>
      </c>
      <c r="O100" t="s">
        <v>501</v>
      </c>
      <c r="P100">
        <v>14266</v>
      </c>
      <c r="Q100" s="3">
        <v>131.65</v>
      </c>
      <c r="R100" s="3">
        <f>IF(Table1[[#This Row],[Gross_millions]]=" ",0,Table1[[#This Row],[Gross_millions]])</f>
        <v>131.65</v>
      </c>
      <c r="S100" t="str">
        <f>IF(Table1[[#This Row],[Gross_millions_Clean]]&gt;200,"Blockbuster",IF(Table1[[#This Row],[Gross_millions_Clean]]&gt;100,"Hit","Average"))</f>
        <v>Hit</v>
      </c>
    </row>
    <row r="101" spans="1:19" x14ac:dyDescent="0.3">
      <c r="A101" t="s">
        <v>502</v>
      </c>
      <c r="B101" t="s">
        <v>503</v>
      </c>
      <c r="C101">
        <v>2001</v>
      </c>
      <c r="D101" s="8">
        <f>FLOOR(Table1[[#This Row],[Year]],10)</f>
        <v>2000</v>
      </c>
      <c r="E101" t="s">
        <v>54</v>
      </c>
      <c r="F101">
        <v>107</v>
      </c>
      <c r="G101" t="str">
        <f>IF(Table1[[#This Row],[Runtime_minutes]]&lt;90,"Short",IF(Table1[[#This Row],[Runtime_minutes]]&lt;=120,"Medium","Long"))</f>
        <v>Medium</v>
      </c>
      <c r="H101" t="s">
        <v>453</v>
      </c>
      <c r="I101" t="s">
        <v>3977</v>
      </c>
      <c r="K101">
        <v>8.1999999999999993</v>
      </c>
      <c r="L101">
        <v>95</v>
      </c>
      <c r="M101" t="s">
        <v>269</v>
      </c>
      <c r="N101" t="s">
        <v>251</v>
      </c>
      <c r="O101" t="s">
        <v>505</v>
      </c>
      <c r="P101">
        <v>53606</v>
      </c>
      <c r="Q101" s="3">
        <v>46.22</v>
      </c>
      <c r="R101" s="3">
        <f>IF(Table1[[#This Row],[Gross_millions]]=" ",0,Table1[[#This Row],[Gross_millions]])</f>
        <v>46.22</v>
      </c>
      <c r="S101" t="str">
        <f>IF(Table1[[#This Row],[Gross_millions_Clean]]&gt;200,"Blockbuster",IF(Table1[[#This Row],[Gross_millions_Clean]]&gt;100,"Hit","Average"))</f>
        <v>Average</v>
      </c>
    </row>
    <row r="102" spans="1:19" x14ac:dyDescent="0.3">
      <c r="A102" t="s">
        <v>506</v>
      </c>
      <c r="B102" t="s">
        <v>507</v>
      </c>
      <c r="C102">
        <v>1982</v>
      </c>
      <c r="D102" s="8">
        <f>FLOOR(Table1[[#This Row],[Year]],10)</f>
        <v>1980</v>
      </c>
      <c r="E102" t="s">
        <v>169</v>
      </c>
      <c r="F102">
        <v>112</v>
      </c>
      <c r="G102" t="str">
        <f>IF(Table1[[#This Row],[Runtime_minutes]]&lt;90,"Short",IF(Table1[[#This Row],[Runtime_minutes]]&lt;=120,"Medium","Long"))</f>
        <v>Medium</v>
      </c>
      <c r="H102" t="s">
        <v>453</v>
      </c>
      <c r="K102">
        <v>8.1999999999999993</v>
      </c>
      <c r="L102">
        <v>85</v>
      </c>
      <c r="M102" t="s">
        <v>508</v>
      </c>
      <c r="N102" t="s">
        <v>147</v>
      </c>
      <c r="O102" t="s">
        <v>509</v>
      </c>
      <c r="P102">
        <v>193981</v>
      </c>
      <c r="Q102" s="3">
        <v>182.49</v>
      </c>
      <c r="R102" s="3">
        <f>IF(Table1[[#This Row],[Gross_millions]]=" ",0,Table1[[#This Row],[Gross_millions]])</f>
        <v>182.49</v>
      </c>
      <c r="S102" t="str">
        <f>IF(Table1[[#This Row],[Gross_millions_Clean]]&gt;200,"Blockbuster",IF(Table1[[#This Row],[Gross_millions_Clean]]&gt;100,"Hit","Average"))</f>
        <v>Hit</v>
      </c>
    </row>
    <row r="103" spans="1:19" x14ac:dyDescent="0.3">
      <c r="A103" t="s">
        <v>510</v>
      </c>
      <c r="B103" t="s">
        <v>511</v>
      </c>
      <c r="C103">
        <v>1985</v>
      </c>
      <c r="D103" s="8">
        <f>FLOOR(Table1[[#This Row],[Year]],10)</f>
        <v>1980</v>
      </c>
      <c r="E103" t="s">
        <v>17</v>
      </c>
      <c r="F103">
        <v>124</v>
      </c>
      <c r="G103" t="str">
        <f>IF(Table1[[#This Row],[Runtime_minutes]]&lt;90,"Short",IF(Table1[[#This Row],[Runtime_minutes]]&lt;=120,"Medium","Long"))</f>
        <v>Long</v>
      </c>
      <c r="H103" t="s">
        <v>375</v>
      </c>
      <c r="I103" t="s">
        <v>3979</v>
      </c>
      <c r="J103" t="s">
        <v>3987</v>
      </c>
      <c r="K103">
        <v>8.1999999999999993</v>
      </c>
      <c r="L103">
        <v>92</v>
      </c>
      <c r="M103" t="s">
        <v>513</v>
      </c>
      <c r="N103" t="s">
        <v>191</v>
      </c>
      <c r="O103" t="s">
        <v>514</v>
      </c>
      <c r="P103">
        <v>27034</v>
      </c>
      <c r="Q103" s="3"/>
      <c r="R103" s="3">
        <f>IF(Table1[[#This Row],[Gross_millions]]=" ",0,Table1[[#This Row],[Gross_millions]])</f>
        <v>0</v>
      </c>
      <c r="S103" t="str">
        <f>IF(Table1[[#This Row],[Gross_millions_Clean]]&gt;200,"Blockbuster",IF(Table1[[#This Row],[Gross_millions_Clean]]&gt;100,"Hit","Average"))</f>
        <v>Average</v>
      </c>
    </row>
    <row r="104" spans="1:19" x14ac:dyDescent="0.3">
      <c r="A104" t="s">
        <v>515</v>
      </c>
      <c r="B104" t="s">
        <v>516</v>
      </c>
      <c r="C104">
        <v>1991</v>
      </c>
      <c r="D104" s="8">
        <f>FLOOR(Table1[[#This Row],[Year]],10)</f>
        <v>1990</v>
      </c>
      <c r="E104" t="s">
        <v>17</v>
      </c>
      <c r="F104">
        <v>129</v>
      </c>
      <c r="G104" t="str">
        <f>IF(Table1[[#This Row],[Runtime_minutes]]&lt;90,"Short",IF(Table1[[#This Row],[Runtime_minutes]]&lt;=120,"Medium","Long"))</f>
        <v>Long</v>
      </c>
      <c r="H104" t="s">
        <v>1044</v>
      </c>
      <c r="I104" t="s">
        <v>3990</v>
      </c>
      <c r="K104">
        <v>8.1999999999999993</v>
      </c>
      <c r="M104" t="s">
        <v>226</v>
      </c>
      <c r="N104" t="s">
        <v>518</v>
      </c>
      <c r="O104" t="s">
        <v>519</v>
      </c>
      <c r="P104">
        <v>33622</v>
      </c>
      <c r="Q104" s="3">
        <v>148.97</v>
      </c>
      <c r="R104" s="3">
        <f>IF(Table1[[#This Row],[Gross_millions]]=" ",0,Table1[[#This Row],[Gross_millions]])</f>
        <v>148.97</v>
      </c>
      <c r="S104" t="str">
        <f>IF(Table1[[#This Row],[Gross_millions_Clean]]&gt;200,"Blockbuster",IF(Table1[[#This Row],[Gross_millions_Clean]]&gt;100,"Hit","Average"))</f>
        <v>Hit</v>
      </c>
    </row>
    <row r="105" spans="1:19" x14ac:dyDescent="0.3">
      <c r="A105" t="s">
        <v>520</v>
      </c>
      <c r="B105" t="s">
        <v>521</v>
      </c>
      <c r="C105">
        <v>1987</v>
      </c>
      <c r="D105" s="8">
        <f>FLOOR(Table1[[#This Row],[Year]],10)</f>
        <v>1980</v>
      </c>
      <c r="E105" t="s">
        <v>54</v>
      </c>
      <c r="F105">
        <v>103</v>
      </c>
      <c r="G105" t="str">
        <f>IF(Table1[[#This Row],[Runtime_minutes]]&lt;90,"Short",IF(Table1[[#This Row],[Runtime_minutes]]&lt;=120,"Medium","Long"))</f>
        <v>Medium</v>
      </c>
      <c r="H105" t="s">
        <v>453</v>
      </c>
      <c r="I105" t="s">
        <v>3986</v>
      </c>
      <c r="K105">
        <v>8.1999999999999993</v>
      </c>
      <c r="M105" t="s">
        <v>523</v>
      </c>
      <c r="N105" t="s">
        <v>524</v>
      </c>
      <c r="O105" t="s">
        <v>525</v>
      </c>
      <c r="P105">
        <v>119856</v>
      </c>
      <c r="Q105" s="3">
        <v>54.62</v>
      </c>
      <c r="R105" s="3">
        <f>IF(Table1[[#This Row],[Gross_millions]]=" ",0,Table1[[#This Row],[Gross_millions]])</f>
        <v>54.62</v>
      </c>
      <c r="S105" t="str">
        <f>IF(Table1[[#This Row],[Gross_millions_Clean]]&gt;200,"Blockbuster",IF(Table1[[#This Row],[Gross_millions_Clean]]&gt;100,"Hit","Average"))</f>
        <v>Average</v>
      </c>
    </row>
    <row r="106" spans="1:19" x14ac:dyDescent="0.3">
      <c r="A106" t="s">
        <v>526</v>
      </c>
      <c r="B106" t="s">
        <v>527</v>
      </c>
      <c r="C106">
        <v>1980</v>
      </c>
      <c r="D106" s="8">
        <f>FLOOR(Table1[[#This Row],[Year]],10)</f>
        <v>1980</v>
      </c>
      <c r="E106" t="s">
        <v>24</v>
      </c>
      <c r="F106">
        <v>104</v>
      </c>
      <c r="G106" t="str">
        <f>IF(Table1[[#This Row],[Runtime_minutes]]&lt;90,"Short",IF(Table1[[#This Row],[Runtime_minutes]]&lt;=120,"Medium","Long"))</f>
        <v>Medium</v>
      </c>
      <c r="H106" t="s">
        <v>235</v>
      </c>
      <c r="I106" t="s">
        <v>3978</v>
      </c>
      <c r="J106" t="s">
        <v>3982</v>
      </c>
      <c r="K106">
        <v>8.1999999999999993</v>
      </c>
      <c r="L106">
        <v>68</v>
      </c>
      <c r="M106" t="s">
        <v>201</v>
      </c>
      <c r="N106" t="s">
        <v>251</v>
      </c>
      <c r="O106" t="s">
        <v>529</v>
      </c>
      <c r="P106">
        <v>153246</v>
      </c>
      <c r="Q106" s="3">
        <v>107.19</v>
      </c>
      <c r="R106" s="3">
        <f>IF(Table1[[#This Row],[Gross_millions]]=" ",0,Table1[[#This Row],[Gross_millions]])</f>
        <v>107.19</v>
      </c>
      <c r="S106" t="str">
        <f>IF(Table1[[#This Row],[Gross_millions_Clean]]&gt;200,"Blockbuster",IF(Table1[[#This Row],[Gross_millions_Clean]]&gt;100,"Hit","Average"))</f>
        <v>Hit</v>
      </c>
    </row>
    <row r="107" spans="1:19" x14ac:dyDescent="0.3">
      <c r="A107" t="s">
        <v>530</v>
      </c>
      <c r="B107" t="s">
        <v>531</v>
      </c>
      <c r="C107">
        <v>2008</v>
      </c>
      <c r="D107" s="8">
        <f>FLOOR(Table1[[#This Row],[Year]],10)</f>
        <v>2000</v>
      </c>
      <c r="E107" t="s">
        <v>24</v>
      </c>
      <c r="F107">
        <v>75</v>
      </c>
      <c r="G107" t="str">
        <f>IF(Table1[[#This Row],[Runtime_minutes]]&lt;90,"Short",IF(Table1[[#This Row],[Runtime_minutes]]&lt;=120,"Medium","Long"))</f>
        <v>Short</v>
      </c>
      <c r="H107" t="s">
        <v>43</v>
      </c>
      <c r="I107" t="s">
        <v>3990</v>
      </c>
      <c r="K107">
        <v>8.1999999999999993</v>
      </c>
      <c r="L107">
        <v>84</v>
      </c>
      <c r="M107" t="s">
        <v>533</v>
      </c>
      <c r="N107" t="s">
        <v>147</v>
      </c>
      <c r="O107" t="s">
        <v>534</v>
      </c>
      <c r="P107">
        <v>14146</v>
      </c>
      <c r="Q107" s="3"/>
      <c r="R107" s="3">
        <f>IF(Table1[[#This Row],[Gross_millions]]=" ",0,Table1[[#This Row],[Gross_millions]])</f>
        <v>0</v>
      </c>
      <c r="S107" t="str">
        <f>IF(Table1[[#This Row],[Gross_millions_Clean]]&gt;200,"Blockbuster",IF(Table1[[#This Row],[Gross_millions_Clean]]&gt;100,"Hit","Average"))</f>
        <v>Average</v>
      </c>
    </row>
    <row r="108" spans="1:19" x14ac:dyDescent="0.3">
      <c r="A108" t="s">
        <v>535</v>
      </c>
      <c r="B108" t="s">
        <v>536</v>
      </c>
      <c r="C108">
        <v>2022</v>
      </c>
      <c r="D108" s="8">
        <f>FLOOR(Table1[[#This Row],[Year]],10)</f>
        <v>2020</v>
      </c>
      <c r="E108" t="s">
        <v>54</v>
      </c>
      <c r="F108">
        <v>142</v>
      </c>
      <c r="G108" t="str">
        <f>IF(Table1[[#This Row],[Runtime_minutes]]&lt;90,"Short",IF(Table1[[#This Row],[Runtime_minutes]]&lt;=120,"Medium","Long"))</f>
        <v>Long</v>
      </c>
      <c r="H108" t="s">
        <v>157</v>
      </c>
      <c r="I108" t="s">
        <v>3980</v>
      </c>
      <c r="K108">
        <v>8.1999999999999993</v>
      </c>
      <c r="L108">
        <v>95</v>
      </c>
      <c r="M108" t="s">
        <v>538</v>
      </c>
      <c r="N108" t="s">
        <v>113</v>
      </c>
      <c r="O108" t="s">
        <v>539</v>
      </c>
      <c r="P108">
        <v>26120</v>
      </c>
      <c r="Q108" s="3">
        <v>316.14</v>
      </c>
      <c r="R108" s="3">
        <f>IF(Table1[[#This Row],[Gross_millions]]=" ",0,Table1[[#This Row],[Gross_millions]])</f>
        <v>316.14</v>
      </c>
      <c r="S108" t="str">
        <f>IF(Table1[[#This Row],[Gross_millions_Clean]]&gt;200,"Blockbuster",IF(Table1[[#This Row],[Gross_millions_Clean]]&gt;100,"Hit","Average"))</f>
        <v>Blockbuster</v>
      </c>
    </row>
    <row r="109" spans="1:19" x14ac:dyDescent="0.3">
      <c r="A109" t="s">
        <v>540</v>
      </c>
      <c r="B109" t="s">
        <v>541</v>
      </c>
      <c r="C109">
        <v>2019</v>
      </c>
      <c r="D109" s="8">
        <f>FLOOR(Table1[[#This Row],[Year]],10)</f>
        <v>2010</v>
      </c>
      <c r="E109" t="s">
        <v>54</v>
      </c>
      <c r="F109">
        <v>117</v>
      </c>
      <c r="G109" t="str">
        <f>IF(Table1[[#This Row],[Runtime_minutes]]&lt;90,"Short",IF(Table1[[#This Row],[Runtime_minutes]]&lt;=120,"Medium","Long"))</f>
        <v>Medium</v>
      </c>
      <c r="H109" t="s">
        <v>37</v>
      </c>
      <c r="I109" t="s">
        <v>3978</v>
      </c>
      <c r="J109" t="s">
        <v>3981</v>
      </c>
      <c r="K109">
        <v>8.1999999999999993</v>
      </c>
      <c r="L109">
        <v>75</v>
      </c>
      <c r="M109" t="s">
        <v>38</v>
      </c>
      <c r="N109" t="s">
        <v>165</v>
      </c>
      <c r="O109" t="s">
        <v>543</v>
      </c>
      <c r="P109">
        <v>308464</v>
      </c>
      <c r="Q109" s="3">
        <v>225.6</v>
      </c>
      <c r="R109" s="3">
        <f>IF(Table1[[#This Row],[Gross_millions]]=" ",0,Table1[[#This Row],[Gross_millions]])</f>
        <v>225.6</v>
      </c>
      <c r="S109" t="str">
        <f>IF(Table1[[#This Row],[Gross_millions_Clean]]&gt;200,"Blockbuster",IF(Table1[[#This Row],[Gross_millions_Clean]]&gt;100,"Hit","Average"))</f>
        <v>Blockbuster</v>
      </c>
    </row>
    <row r="110" spans="1:19" x14ac:dyDescent="0.3">
      <c r="A110" t="s">
        <v>544</v>
      </c>
      <c r="B110" t="s">
        <v>545</v>
      </c>
      <c r="C110">
        <v>1992</v>
      </c>
      <c r="D110" s="8">
        <f>FLOOR(Table1[[#This Row],[Year]],10)</f>
        <v>1990</v>
      </c>
      <c r="E110" t="s">
        <v>17</v>
      </c>
      <c r="F110">
        <v>130</v>
      </c>
      <c r="G110" t="str">
        <f>IF(Table1[[#This Row],[Runtime_minutes]]&lt;90,"Short",IF(Table1[[#This Row],[Runtime_minutes]]&lt;=120,"Medium","Long"))</f>
        <v>Long</v>
      </c>
      <c r="H110" t="s">
        <v>606</v>
      </c>
      <c r="I110" t="s">
        <v>3982</v>
      </c>
      <c r="J110" t="s">
        <v>3983</v>
      </c>
      <c r="K110">
        <v>8.1999999999999993</v>
      </c>
      <c r="L110">
        <v>72</v>
      </c>
      <c r="M110" t="s">
        <v>220</v>
      </c>
      <c r="N110" t="s">
        <v>547</v>
      </c>
      <c r="O110" t="s">
        <v>548</v>
      </c>
      <c r="P110">
        <v>101722</v>
      </c>
      <c r="Q110" s="3">
        <v>126.87</v>
      </c>
      <c r="R110" s="3">
        <f>IF(Table1[[#This Row],[Gross_millions]]=" ",0,Table1[[#This Row],[Gross_millions]])</f>
        <v>126.87</v>
      </c>
      <c r="S110" t="str">
        <f>IF(Table1[[#This Row],[Gross_millions_Clean]]&gt;200,"Blockbuster",IF(Table1[[#This Row],[Gross_millions_Clean]]&gt;100,"Hit","Average"))</f>
        <v>Hit</v>
      </c>
    </row>
    <row r="111" spans="1:19" x14ac:dyDescent="0.3">
      <c r="A111" t="s">
        <v>549</v>
      </c>
      <c r="B111" t="s">
        <v>550</v>
      </c>
      <c r="C111">
        <v>2024</v>
      </c>
      <c r="D111" s="8">
        <f>FLOOR(Table1[[#This Row],[Year]],10)</f>
        <v>2020</v>
      </c>
      <c r="E111" t="s">
        <v>17</v>
      </c>
      <c r="F111">
        <v>131</v>
      </c>
      <c r="G111" t="str">
        <f>IF(Table1[[#This Row],[Runtime_minutes]]&lt;90,"Short",IF(Table1[[#This Row],[Runtime_minutes]]&lt;=120,"Medium","Long"))</f>
        <v>Long</v>
      </c>
      <c r="H111" t="s">
        <v>48</v>
      </c>
      <c r="I111" t="s">
        <v>3993</v>
      </c>
      <c r="J111" t="s">
        <v>3988</v>
      </c>
      <c r="K111">
        <v>8.1999999999999993</v>
      </c>
      <c r="M111" t="s">
        <v>552</v>
      </c>
      <c r="N111" t="s">
        <v>165</v>
      </c>
      <c r="O111" t="s">
        <v>553</v>
      </c>
      <c r="P111">
        <v>745112</v>
      </c>
      <c r="Q111" s="3">
        <v>287.20999999999998</v>
      </c>
      <c r="R111" s="3">
        <f>IF(Table1[[#This Row],[Gross_millions]]=" ",0,Table1[[#This Row],[Gross_millions]])</f>
        <v>287.20999999999998</v>
      </c>
      <c r="S111" t="str">
        <f>IF(Table1[[#This Row],[Gross_millions_Clean]]&gt;200,"Blockbuster",IF(Table1[[#This Row],[Gross_millions_Clean]]&gt;100,"Hit","Average"))</f>
        <v>Blockbuster</v>
      </c>
    </row>
    <row r="112" spans="1:19" x14ac:dyDescent="0.3">
      <c r="A112" t="s">
        <v>554</v>
      </c>
      <c r="B112" t="s">
        <v>555</v>
      </c>
      <c r="C112">
        <v>2003</v>
      </c>
      <c r="D112" s="8">
        <f>FLOOR(Table1[[#This Row],[Year]],10)</f>
        <v>2000</v>
      </c>
      <c r="E112" t="s">
        <v>24</v>
      </c>
      <c r="F112">
        <v>146</v>
      </c>
      <c r="G112" t="str">
        <f>IF(Table1[[#This Row],[Runtime_minutes]]&lt;90,"Short",IF(Table1[[#This Row],[Runtime_minutes]]&lt;=120,"Medium","Long"))</f>
        <v>Long</v>
      </c>
      <c r="H112" t="s">
        <v>453</v>
      </c>
      <c r="I112" t="s">
        <v>3982</v>
      </c>
      <c r="K112">
        <v>8.1999999999999993</v>
      </c>
      <c r="L112">
        <v>83</v>
      </c>
      <c r="M112" t="s">
        <v>557</v>
      </c>
      <c r="N112" t="s">
        <v>159</v>
      </c>
      <c r="O112" t="s">
        <v>558</v>
      </c>
      <c r="P112">
        <v>125636</v>
      </c>
      <c r="Q112" s="3">
        <v>177.65</v>
      </c>
      <c r="R112" s="3">
        <f>IF(Table1[[#This Row],[Gross_millions]]=" ",0,Table1[[#This Row],[Gross_millions]])</f>
        <v>177.65</v>
      </c>
      <c r="S112" t="str">
        <f>IF(Table1[[#This Row],[Gross_millions_Clean]]&gt;200,"Blockbuster",IF(Table1[[#This Row],[Gross_millions_Clean]]&gt;100,"Hit","Average"))</f>
        <v>Hit</v>
      </c>
    </row>
    <row r="113" spans="1:19" x14ac:dyDescent="0.3">
      <c r="A113" t="s">
        <v>559</v>
      </c>
      <c r="B113" t="s">
        <v>560</v>
      </c>
      <c r="C113">
        <v>2000</v>
      </c>
      <c r="D113" s="8">
        <f>FLOOR(Table1[[#This Row],[Year]],10)</f>
        <v>2000</v>
      </c>
      <c r="E113" t="s">
        <v>17</v>
      </c>
      <c r="F113">
        <v>111</v>
      </c>
      <c r="G113" t="str">
        <f>IF(Table1[[#This Row],[Runtime_minutes]]&lt;90,"Short",IF(Table1[[#This Row],[Runtime_minutes]]&lt;=120,"Medium","Long"))</f>
        <v>Medium</v>
      </c>
      <c r="H113" t="s">
        <v>37</v>
      </c>
      <c r="K113">
        <v>8.1999999999999993</v>
      </c>
      <c r="L113">
        <v>97</v>
      </c>
      <c r="M113" t="s">
        <v>561</v>
      </c>
      <c r="N113" t="s">
        <v>159</v>
      </c>
      <c r="O113" t="s">
        <v>562</v>
      </c>
      <c r="P113">
        <v>428684</v>
      </c>
      <c r="Q113" s="3">
        <v>294.49</v>
      </c>
      <c r="R113" s="3">
        <f>IF(Table1[[#This Row],[Gross_millions]]=" ",0,Table1[[#This Row],[Gross_millions]])</f>
        <v>294.49</v>
      </c>
      <c r="S113" t="str">
        <f>IF(Table1[[#This Row],[Gross_millions_Clean]]&gt;200,"Blockbuster",IF(Table1[[#This Row],[Gross_millions_Clean]]&gt;100,"Hit","Average"))</f>
        <v>Blockbuster</v>
      </c>
    </row>
    <row r="114" spans="1:19" x14ac:dyDescent="0.3">
      <c r="A114" t="s">
        <v>563</v>
      </c>
      <c r="B114" t="s">
        <v>564</v>
      </c>
      <c r="C114">
        <v>2020</v>
      </c>
      <c r="D114" s="8">
        <f>FLOOR(Table1[[#This Row],[Year]],10)</f>
        <v>2020</v>
      </c>
      <c r="E114" t="s">
        <v>293</v>
      </c>
      <c r="F114">
        <v>149</v>
      </c>
      <c r="G114" t="str">
        <f>IF(Table1[[#This Row],[Runtime_minutes]]&lt;90,"Short",IF(Table1[[#This Row],[Runtime_minutes]]&lt;=120,"Medium","Long"))</f>
        <v>Long</v>
      </c>
      <c r="H114" t="s">
        <v>48</v>
      </c>
      <c r="I114" t="s">
        <v>3991</v>
      </c>
      <c r="K114">
        <v>8.1999999999999993</v>
      </c>
      <c r="L114">
        <v>82</v>
      </c>
      <c r="M114" t="s">
        <v>566</v>
      </c>
      <c r="N114" t="s">
        <v>221</v>
      </c>
      <c r="O114" t="s">
        <v>567</v>
      </c>
      <c r="P114">
        <v>54658</v>
      </c>
      <c r="Q114" s="3">
        <v>186.68</v>
      </c>
      <c r="R114" s="3">
        <f>IF(Table1[[#This Row],[Gross_millions]]=" ",0,Table1[[#This Row],[Gross_millions]])</f>
        <v>186.68</v>
      </c>
      <c r="S114" t="str">
        <f>IF(Table1[[#This Row],[Gross_millions_Clean]]&gt;200,"Blockbuster",IF(Table1[[#This Row],[Gross_millions_Clean]]&gt;100,"Hit","Average"))</f>
        <v>Hit</v>
      </c>
    </row>
    <row r="115" spans="1:19" x14ac:dyDescent="0.3">
      <c r="A115" t="s">
        <v>568</v>
      </c>
      <c r="B115" t="s">
        <v>569</v>
      </c>
      <c r="C115">
        <v>2003</v>
      </c>
      <c r="D115" s="8">
        <f>FLOOR(Table1[[#This Row],[Year]],10)</f>
        <v>2000</v>
      </c>
      <c r="E115" t="s">
        <v>24</v>
      </c>
      <c r="F115">
        <v>114</v>
      </c>
      <c r="G115" t="str">
        <f>IF(Table1[[#This Row],[Runtime_minutes]]&lt;90,"Short",IF(Table1[[#This Row],[Runtime_minutes]]&lt;=120,"Medium","Long"))</f>
        <v>Medium</v>
      </c>
      <c r="H115" t="s">
        <v>230</v>
      </c>
      <c r="K115">
        <v>8.1999999999999993</v>
      </c>
      <c r="L115">
        <v>97</v>
      </c>
      <c r="M115" t="s">
        <v>570</v>
      </c>
      <c r="N115" t="s">
        <v>326</v>
      </c>
      <c r="O115" t="s">
        <v>571</v>
      </c>
      <c r="P115">
        <v>277762</v>
      </c>
      <c r="Q115" s="3">
        <v>251.71</v>
      </c>
      <c r="R115" s="3">
        <f>IF(Table1[[#This Row],[Gross_millions]]=" ",0,Table1[[#This Row],[Gross_millions]])</f>
        <v>251.71</v>
      </c>
      <c r="S115" t="str">
        <f>IF(Table1[[#This Row],[Gross_millions_Clean]]&gt;200,"Blockbuster",IF(Table1[[#This Row],[Gross_millions_Clean]]&gt;100,"Hit","Average"))</f>
        <v>Blockbuster</v>
      </c>
    </row>
    <row r="116" spans="1:19" x14ac:dyDescent="0.3">
      <c r="A116" t="s">
        <v>572</v>
      </c>
      <c r="B116" t="s">
        <v>573</v>
      </c>
      <c r="C116">
        <v>2024</v>
      </c>
      <c r="D116" s="8">
        <f>FLOOR(Table1[[#This Row],[Year]],10)</f>
        <v>2020</v>
      </c>
      <c r="E116" t="s">
        <v>24</v>
      </c>
      <c r="F116">
        <v>122</v>
      </c>
      <c r="G116" t="str">
        <f>IF(Table1[[#This Row],[Runtime_minutes]]&lt;90,"Short",IF(Table1[[#This Row],[Runtime_minutes]]&lt;=120,"Medium","Long"))</f>
        <v>Long</v>
      </c>
      <c r="H116" t="s">
        <v>210</v>
      </c>
      <c r="I116" t="s">
        <v>3978</v>
      </c>
      <c r="K116">
        <v>8.1999999999999993</v>
      </c>
      <c r="L116">
        <v>70</v>
      </c>
      <c r="M116" t="s">
        <v>574</v>
      </c>
      <c r="N116" t="s">
        <v>80</v>
      </c>
      <c r="O116" t="s">
        <v>575</v>
      </c>
      <c r="P116">
        <v>18666</v>
      </c>
      <c r="Q116" s="3">
        <v>491.06</v>
      </c>
      <c r="R116" s="3">
        <f>IF(Table1[[#This Row],[Gross_millions]]=" ",0,Table1[[#This Row],[Gross_millions]])</f>
        <v>491.06</v>
      </c>
      <c r="S116" t="str">
        <f>IF(Table1[[#This Row],[Gross_millions_Clean]]&gt;200,"Blockbuster",IF(Table1[[#This Row],[Gross_millions_Clean]]&gt;100,"Hit","Average"))</f>
        <v>Blockbuster</v>
      </c>
    </row>
    <row r="117" spans="1:19" x14ac:dyDescent="0.3">
      <c r="A117" t="s">
        <v>576</v>
      </c>
      <c r="B117" t="s">
        <v>577</v>
      </c>
      <c r="C117">
        <v>2013</v>
      </c>
      <c r="D117" s="8">
        <f>FLOOR(Table1[[#This Row],[Year]],10)</f>
        <v>2010</v>
      </c>
      <c r="E117" t="s">
        <v>17</v>
      </c>
      <c r="F117">
        <v>103</v>
      </c>
      <c r="G117" t="str">
        <f>IF(Table1[[#This Row],[Runtime_minutes]]&lt;90,"Short",IF(Table1[[#This Row],[Runtime_minutes]]&lt;=120,"Medium","Long"))</f>
        <v>Medium</v>
      </c>
      <c r="H117" t="s">
        <v>72</v>
      </c>
      <c r="K117">
        <v>8.1</v>
      </c>
      <c r="M117" t="s">
        <v>578</v>
      </c>
      <c r="N117" t="s">
        <v>518</v>
      </c>
      <c r="O117" t="s">
        <v>579</v>
      </c>
      <c r="P117">
        <v>79734</v>
      </c>
      <c r="Q117" s="3">
        <v>916.56</v>
      </c>
      <c r="R117" s="3">
        <f>IF(Table1[[#This Row],[Gross_millions]]=" ",0,Table1[[#This Row],[Gross_millions]])</f>
        <v>916.56</v>
      </c>
      <c r="S117" t="str">
        <f>IF(Table1[[#This Row],[Gross_millions_Clean]]&gt;200,"Blockbuster",IF(Table1[[#This Row],[Gross_millions_Clean]]&gt;100,"Hit","Average"))</f>
        <v>Blockbuster</v>
      </c>
    </row>
    <row r="118" spans="1:19" x14ac:dyDescent="0.3">
      <c r="A118" t="s">
        <v>580</v>
      </c>
      <c r="B118" t="s">
        <v>581</v>
      </c>
      <c r="C118">
        <v>2001</v>
      </c>
      <c r="D118" s="8">
        <f>FLOOR(Table1[[#This Row],[Year]],10)</f>
        <v>2000</v>
      </c>
      <c r="E118" t="s">
        <v>17</v>
      </c>
      <c r="F118">
        <v>115</v>
      </c>
      <c r="G118" t="str">
        <f>IF(Table1[[#This Row],[Runtime_minutes]]&lt;90,"Short",IF(Table1[[#This Row],[Runtime_minutes]]&lt;=120,"Medium","Long"))</f>
        <v>Medium</v>
      </c>
      <c r="H118" t="s">
        <v>375</v>
      </c>
      <c r="I118" t="s">
        <v>3983</v>
      </c>
      <c r="K118">
        <v>8.1</v>
      </c>
      <c r="L118">
        <v>71</v>
      </c>
      <c r="M118" t="s">
        <v>582</v>
      </c>
      <c r="N118" t="s">
        <v>119</v>
      </c>
      <c r="O118" t="s">
        <v>583</v>
      </c>
      <c r="P118">
        <v>149664</v>
      </c>
      <c r="Q118" s="3">
        <v>62.77</v>
      </c>
      <c r="R118" s="3">
        <f>IF(Table1[[#This Row],[Gross_millions]]=" ",0,Table1[[#This Row],[Gross_millions]])</f>
        <v>62.77</v>
      </c>
      <c r="S118" t="str">
        <f>IF(Table1[[#This Row],[Gross_millions_Clean]]&gt;200,"Blockbuster",IF(Table1[[#This Row],[Gross_millions_Clean]]&gt;100,"Hit","Average"))</f>
        <v>Average</v>
      </c>
    </row>
    <row r="119" spans="1:19" x14ac:dyDescent="0.3">
      <c r="A119" t="s">
        <v>584</v>
      </c>
      <c r="B119" t="s">
        <v>585</v>
      </c>
      <c r="C119">
        <v>1940</v>
      </c>
      <c r="D119" s="8">
        <f>FLOOR(Table1[[#This Row],[Year]],10)</f>
        <v>1940</v>
      </c>
      <c r="E119" t="s">
        <v>17</v>
      </c>
      <c r="F119">
        <v>117</v>
      </c>
      <c r="G119" t="str">
        <f>IF(Table1[[#This Row],[Runtime_minutes]]&lt;90,"Short",IF(Table1[[#This Row],[Runtime_minutes]]&lt;=120,"Medium","Long"))</f>
        <v>Medium</v>
      </c>
      <c r="H119" t="s">
        <v>48</v>
      </c>
      <c r="I119" t="s">
        <v>3984</v>
      </c>
      <c r="K119">
        <v>8.1</v>
      </c>
      <c r="L119">
        <v>70</v>
      </c>
      <c r="M119" t="s">
        <v>587</v>
      </c>
      <c r="N119" t="s">
        <v>50</v>
      </c>
      <c r="O119" t="s">
        <v>588</v>
      </c>
      <c r="P119">
        <v>7820</v>
      </c>
      <c r="Q119" s="3"/>
      <c r="R119" s="3">
        <f>IF(Table1[[#This Row],[Gross_millions]]=" ",0,Table1[[#This Row],[Gross_millions]])</f>
        <v>0</v>
      </c>
      <c r="S119" t="str">
        <f>IF(Table1[[#This Row],[Gross_millions_Clean]]&gt;200,"Blockbuster",IF(Table1[[#This Row],[Gross_millions_Clean]]&gt;100,"Hit","Average"))</f>
        <v>Average</v>
      </c>
    </row>
    <row r="120" spans="1:19" x14ac:dyDescent="0.3">
      <c r="A120" t="s">
        <v>589</v>
      </c>
      <c r="B120" t="s">
        <v>590</v>
      </c>
      <c r="C120">
        <v>2012</v>
      </c>
      <c r="D120" s="8">
        <f>FLOOR(Table1[[#This Row],[Year]],10)</f>
        <v>2010</v>
      </c>
      <c r="E120" t="s">
        <v>293</v>
      </c>
      <c r="F120">
        <v>88</v>
      </c>
      <c r="G120" t="str">
        <f>IF(Table1[[#This Row],[Runtime_minutes]]&lt;90,"Short",IF(Table1[[#This Row],[Runtime_minutes]]&lt;=120,"Medium","Long"))</f>
        <v>Short</v>
      </c>
      <c r="H120" t="s">
        <v>767</v>
      </c>
      <c r="I120" t="s">
        <v>3988</v>
      </c>
      <c r="J120" t="s">
        <v>3986</v>
      </c>
      <c r="K120">
        <v>8.1</v>
      </c>
      <c r="L120">
        <v>85</v>
      </c>
      <c r="M120" t="s">
        <v>592</v>
      </c>
      <c r="N120" t="s">
        <v>593</v>
      </c>
      <c r="O120" t="s">
        <v>594</v>
      </c>
      <c r="P120">
        <v>949114</v>
      </c>
      <c r="Q120" s="3"/>
      <c r="R120" s="3">
        <f>IF(Table1[[#This Row],[Gross_millions]]=" ",0,Table1[[#This Row],[Gross_millions]])</f>
        <v>0</v>
      </c>
      <c r="S120" t="str">
        <f>IF(Table1[[#This Row],[Gross_millions_Clean]]&gt;200,"Blockbuster",IF(Table1[[#This Row],[Gross_millions_Clean]]&gt;100,"Hit","Average"))</f>
        <v>Average</v>
      </c>
    </row>
    <row r="121" spans="1:19" x14ac:dyDescent="0.3">
      <c r="A121" t="s">
        <v>595</v>
      </c>
      <c r="B121" t="s">
        <v>596</v>
      </c>
      <c r="C121">
        <v>2024</v>
      </c>
      <c r="D121" s="8">
        <f>FLOOR(Table1[[#This Row],[Year]],10)</f>
        <v>2020</v>
      </c>
      <c r="E121" t="s">
        <v>17</v>
      </c>
      <c r="F121">
        <v>89</v>
      </c>
      <c r="G121" t="str">
        <f>IF(Table1[[#This Row],[Runtime_minutes]]&lt;90,"Short",IF(Table1[[#This Row],[Runtime_minutes]]&lt;=120,"Medium","Long"))</f>
        <v>Short</v>
      </c>
      <c r="H121" t="s">
        <v>157</v>
      </c>
      <c r="K121">
        <v>8.1</v>
      </c>
      <c r="M121" t="s">
        <v>597</v>
      </c>
      <c r="N121" t="s">
        <v>326</v>
      </c>
      <c r="O121" t="s">
        <v>598</v>
      </c>
      <c r="P121">
        <v>20774</v>
      </c>
      <c r="Q121" s="3">
        <v>640.57000000000005</v>
      </c>
      <c r="R121" s="3">
        <f>IF(Table1[[#This Row],[Gross_millions]]=" ",0,Table1[[#This Row],[Gross_millions]])</f>
        <v>640.57000000000005</v>
      </c>
      <c r="S121" t="str">
        <f>IF(Table1[[#This Row],[Gross_millions_Clean]]&gt;200,"Blockbuster",IF(Table1[[#This Row],[Gross_millions_Clean]]&gt;100,"Hit","Average"))</f>
        <v>Blockbuster</v>
      </c>
    </row>
    <row r="122" spans="1:19" x14ac:dyDescent="0.3">
      <c r="A122" t="s">
        <v>599</v>
      </c>
      <c r="B122" t="s">
        <v>600</v>
      </c>
      <c r="C122">
        <v>1950</v>
      </c>
      <c r="D122" s="8">
        <f>FLOOR(Table1[[#This Row],[Year]],10)</f>
        <v>1950</v>
      </c>
      <c r="E122" t="s">
        <v>169</v>
      </c>
      <c r="F122">
        <v>129</v>
      </c>
      <c r="G122" t="str">
        <f>IF(Table1[[#This Row],[Runtime_minutes]]&lt;90,"Short",IF(Table1[[#This Row],[Runtime_minutes]]&lt;=120,"Medium","Long"))</f>
        <v>Long</v>
      </c>
      <c r="H122" t="s">
        <v>55</v>
      </c>
      <c r="I122" t="s">
        <v>3976</v>
      </c>
      <c r="K122">
        <v>8.1</v>
      </c>
      <c r="L122">
        <v>85</v>
      </c>
      <c r="M122" t="s">
        <v>602</v>
      </c>
      <c r="N122" t="s">
        <v>50</v>
      </c>
      <c r="O122" t="s">
        <v>603</v>
      </c>
      <c r="P122">
        <v>189823</v>
      </c>
      <c r="Q122" s="3">
        <v>156.84</v>
      </c>
      <c r="R122" s="3">
        <f>IF(Table1[[#This Row],[Gross_millions]]=" ",0,Table1[[#This Row],[Gross_millions]])</f>
        <v>156.84</v>
      </c>
      <c r="S122" t="str">
        <f>IF(Table1[[#This Row],[Gross_millions_Clean]]&gt;200,"Blockbuster",IF(Table1[[#This Row],[Gross_millions_Clean]]&gt;100,"Hit","Average"))</f>
        <v>Hit</v>
      </c>
    </row>
    <row r="123" spans="1:19" x14ac:dyDescent="0.3">
      <c r="A123" t="s">
        <v>604</v>
      </c>
      <c r="B123" t="s">
        <v>605</v>
      </c>
      <c r="C123">
        <v>1970</v>
      </c>
      <c r="D123" s="8">
        <f>FLOOR(Table1[[#This Row],[Year]],10)</f>
        <v>1970</v>
      </c>
      <c r="E123" t="s">
        <v>24</v>
      </c>
      <c r="F123">
        <v>150</v>
      </c>
      <c r="G123" t="str">
        <f>IF(Table1[[#This Row],[Runtime_minutes]]&lt;90,"Short",IF(Table1[[#This Row],[Runtime_minutes]]&lt;=120,"Medium","Long"))</f>
        <v>Long</v>
      </c>
      <c r="H123" t="s">
        <v>606</v>
      </c>
      <c r="K123">
        <v>8.1</v>
      </c>
      <c r="L123">
        <v>75</v>
      </c>
      <c r="M123" t="s">
        <v>607</v>
      </c>
      <c r="N123" t="s">
        <v>608</v>
      </c>
      <c r="O123" t="s">
        <v>609</v>
      </c>
      <c r="P123">
        <v>50569</v>
      </c>
      <c r="Q123" s="3">
        <v>7.41</v>
      </c>
      <c r="R123" s="3">
        <f>IF(Table1[[#This Row],[Gross_millions]]=" ",0,Table1[[#This Row],[Gross_millions]])</f>
        <v>7.41</v>
      </c>
      <c r="S123" t="str">
        <f>IF(Table1[[#This Row],[Gross_millions_Clean]]&gt;200,"Blockbuster",IF(Table1[[#This Row],[Gross_millions_Clean]]&gt;100,"Hit","Average"))</f>
        <v>Average</v>
      </c>
    </row>
    <row r="124" spans="1:19" x14ac:dyDescent="0.3">
      <c r="A124" t="s">
        <v>610</v>
      </c>
      <c r="B124" t="s">
        <v>611</v>
      </c>
      <c r="C124">
        <v>2016</v>
      </c>
      <c r="D124" s="8">
        <f>FLOOR(Table1[[#This Row],[Year]],10)</f>
        <v>2010</v>
      </c>
      <c r="E124" t="s">
        <v>24</v>
      </c>
      <c r="F124">
        <v>137</v>
      </c>
      <c r="G124" t="str">
        <f>IF(Table1[[#This Row],[Runtime_minutes]]&lt;90,"Short",IF(Table1[[#This Row],[Runtime_minutes]]&lt;=120,"Medium","Long"))</f>
        <v>Long</v>
      </c>
      <c r="H124" t="s">
        <v>1044</v>
      </c>
      <c r="I124" t="s">
        <v>3980</v>
      </c>
      <c r="J124" t="s">
        <v>3991</v>
      </c>
      <c r="K124">
        <v>8.1</v>
      </c>
      <c r="M124" t="s">
        <v>613</v>
      </c>
      <c r="N124" t="s">
        <v>251</v>
      </c>
      <c r="O124" t="s">
        <v>614</v>
      </c>
      <c r="P124">
        <v>48396</v>
      </c>
      <c r="Q124" s="3">
        <v>421.14</v>
      </c>
      <c r="R124" s="3">
        <f>IF(Table1[[#This Row],[Gross_millions]]=" ",0,Table1[[#This Row],[Gross_millions]])</f>
        <v>421.14</v>
      </c>
      <c r="S124" t="str">
        <f>IF(Table1[[#This Row],[Gross_millions_Clean]]&gt;200,"Blockbuster",IF(Table1[[#This Row],[Gross_millions_Clean]]&gt;100,"Hit","Average"))</f>
        <v>Blockbuster</v>
      </c>
    </row>
    <row r="125" spans="1:19" x14ac:dyDescent="0.3">
      <c r="A125" t="s">
        <v>615</v>
      </c>
      <c r="B125" t="s">
        <v>616</v>
      </c>
      <c r="C125">
        <v>1944</v>
      </c>
      <c r="D125" s="8">
        <f>FLOOR(Table1[[#This Row],[Year]],10)</f>
        <v>1940</v>
      </c>
      <c r="E125" t="s">
        <v>54</v>
      </c>
      <c r="F125">
        <v>110</v>
      </c>
      <c r="G125" t="str">
        <f>IF(Table1[[#This Row],[Runtime_minutes]]&lt;90,"Short",IF(Table1[[#This Row],[Runtime_minutes]]&lt;=120,"Medium","Long"))</f>
        <v>Medium</v>
      </c>
      <c r="H125" t="s">
        <v>55</v>
      </c>
      <c r="I125" t="s">
        <v>3979</v>
      </c>
      <c r="K125">
        <v>8.1</v>
      </c>
      <c r="M125" t="s">
        <v>618</v>
      </c>
      <c r="N125" t="s">
        <v>27</v>
      </c>
      <c r="O125" t="s">
        <v>619</v>
      </c>
      <c r="P125">
        <v>13668</v>
      </c>
      <c r="Q125" s="3"/>
      <c r="R125" s="3">
        <f>IF(Table1[[#This Row],[Gross_millions]]=" ",0,Table1[[#This Row],[Gross_millions]])</f>
        <v>0</v>
      </c>
      <c r="S125" t="str">
        <f>IF(Table1[[#This Row],[Gross_millions_Clean]]&gt;200,"Blockbuster",IF(Table1[[#This Row],[Gross_millions_Clean]]&gt;100,"Hit","Average"))</f>
        <v>Average</v>
      </c>
    </row>
    <row r="126" spans="1:19" x14ac:dyDescent="0.3">
      <c r="A126" t="s">
        <v>620</v>
      </c>
      <c r="B126" t="s">
        <v>621</v>
      </c>
      <c r="C126">
        <v>2015</v>
      </c>
      <c r="D126" s="8">
        <f>FLOOR(Table1[[#This Row],[Year]],10)</f>
        <v>2010</v>
      </c>
      <c r="E126" t="s">
        <v>17</v>
      </c>
      <c r="F126">
        <v>131</v>
      </c>
      <c r="G126" t="str">
        <f>IF(Table1[[#This Row],[Runtime_minutes]]&lt;90,"Short",IF(Table1[[#This Row],[Runtime_minutes]]&lt;=120,"Medium","Long"))</f>
        <v>Long</v>
      </c>
      <c r="H126" t="s">
        <v>157</v>
      </c>
      <c r="I126" t="s">
        <v>3978</v>
      </c>
      <c r="K126">
        <v>8.1</v>
      </c>
      <c r="L126">
        <v>75</v>
      </c>
      <c r="M126" t="s">
        <v>158</v>
      </c>
      <c r="N126" t="s">
        <v>103</v>
      </c>
      <c r="O126" t="s">
        <v>622</v>
      </c>
      <c r="P126">
        <v>479306</v>
      </c>
      <c r="Q126" s="3">
        <v>986.48</v>
      </c>
      <c r="R126" s="3">
        <f>IF(Table1[[#This Row],[Gross_millions]]=" ",0,Table1[[#This Row],[Gross_millions]])</f>
        <v>986.48</v>
      </c>
      <c r="S126" t="str">
        <f>IF(Table1[[#This Row],[Gross_millions_Clean]]&gt;200,"Blockbuster",IF(Table1[[#This Row],[Gross_millions_Clean]]&gt;100,"Hit","Average"))</f>
        <v>Blockbuster</v>
      </c>
    </row>
    <row r="127" spans="1:19" x14ac:dyDescent="0.3">
      <c r="A127" t="s">
        <v>623</v>
      </c>
      <c r="B127" t="s">
        <v>624</v>
      </c>
      <c r="C127">
        <v>2001</v>
      </c>
      <c r="D127" s="8">
        <f>FLOOR(Table1[[#This Row],[Year]],10)</f>
        <v>2000</v>
      </c>
      <c r="E127" t="s">
        <v>285</v>
      </c>
      <c r="F127">
        <v>126</v>
      </c>
      <c r="G127" t="str">
        <f>IF(Table1[[#This Row],[Runtime_minutes]]&lt;90,"Short",IF(Table1[[#This Row],[Runtime_minutes]]&lt;=120,"Medium","Long"))</f>
        <v>Long</v>
      </c>
      <c r="H127" t="s">
        <v>277</v>
      </c>
      <c r="K127">
        <v>8.1</v>
      </c>
      <c r="L127">
        <v>88</v>
      </c>
      <c r="M127" t="s">
        <v>278</v>
      </c>
      <c r="N127" t="s">
        <v>27</v>
      </c>
      <c r="O127" t="s">
        <v>625</v>
      </c>
      <c r="P127">
        <v>606704</v>
      </c>
      <c r="Q127" s="3">
        <v>297.95999999999998</v>
      </c>
      <c r="R127" s="3">
        <f>IF(Table1[[#This Row],[Gross_millions]]=" ",0,Table1[[#This Row],[Gross_millions]])</f>
        <v>297.95999999999998</v>
      </c>
      <c r="S127" t="str">
        <f>IF(Table1[[#This Row],[Gross_millions_Clean]]&gt;200,"Blockbuster",IF(Table1[[#This Row],[Gross_millions_Clean]]&gt;100,"Hit","Average"))</f>
        <v>Blockbuster</v>
      </c>
    </row>
    <row r="128" spans="1:19" x14ac:dyDescent="0.3">
      <c r="A128" t="s">
        <v>626</v>
      </c>
      <c r="B128" t="s">
        <v>627</v>
      </c>
      <c r="C128">
        <v>1984</v>
      </c>
      <c r="D128" s="8">
        <f>FLOOR(Table1[[#This Row],[Year]],10)</f>
        <v>1980</v>
      </c>
      <c r="E128" t="s">
        <v>17</v>
      </c>
      <c r="F128">
        <v>129</v>
      </c>
      <c r="G128" t="str">
        <f>IF(Table1[[#This Row],[Runtime_minutes]]&lt;90,"Short",IF(Table1[[#This Row],[Runtime_minutes]]&lt;=120,"Medium","Long"))</f>
        <v>Long</v>
      </c>
      <c r="H128" t="s">
        <v>157</v>
      </c>
      <c r="I128" t="s">
        <v>3976</v>
      </c>
      <c r="J128" t="s">
        <v>3989</v>
      </c>
      <c r="K128">
        <v>8.1</v>
      </c>
      <c r="L128">
        <v>74</v>
      </c>
      <c r="M128" t="s">
        <v>629</v>
      </c>
      <c r="N128" t="s">
        <v>33</v>
      </c>
      <c r="O128" t="s">
        <v>630</v>
      </c>
      <c r="P128">
        <v>209676</v>
      </c>
      <c r="Q128" s="3">
        <v>214.86</v>
      </c>
      <c r="R128" s="3">
        <f>IF(Table1[[#This Row],[Gross_millions]]=" ",0,Table1[[#This Row],[Gross_millions]])</f>
        <v>214.86</v>
      </c>
      <c r="S128" t="str">
        <f>IF(Table1[[#This Row],[Gross_millions_Clean]]&gt;200,"Blockbuster",IF(Table1[[#This Row],[Gross_millions_Clean]]&gt;100,"Hit","Average"))</f>
        <v>Blockbuster</v>
      </c>
    </row>
    <row r="129" spans="1:19" x14ac:dyDescent="0.3">
      <c r="A129" t="s">
        <v>631</v>
      </c>
      <c r="B129" t="s">
        <v>632</v>
      </c>
      <c r="C129">
        <v>2008</v>
      </c>
      <c r="D129" s="8">
        <f>FLOOR(Table1[[#This Row],[Year]],10)</f>
        <v>2000</v>
      </c>
      <c r="E129" t="s">
        <v>17</v>
      </c>
      <c r="F129">
        <v>121</v>
      </c>
      <c r="G129" t="str">
        <f>IF(Table1[[#This Row],[Runtime_minutes]]&lt;90,"Short",IF(Table1[[#This Row],[Runtime_minutes]]&lt;=120,"Medium","Long"))</f>
        <v>Long</v>
      </c>
      <c r="H129" t="s">
        <v>129</v>
      </c>
      <c r="I129" t="s">
        <v>3984</v>
      </c>
      <c r="J129" t="s">
        <v>3987</v>
      </c>
      <c r="K129">
        <v>8.1</v>
      </c>
      <c r="L129">
        <v>96</v>
      </c>
      <c r="M129" t="s">
        <v>634</v>
      </c>
      <c r="N129" t="s">
        <v>236</v>
      </c>
      <c r="O129" t="s">
        <v>635</v>
      </c>
      <c r="P129">
        <v>221414</v>
      </c>
      <c r="Q129" s="3">
        <v>153.63999999999999</v>
      </c>
      <c r="R129" s="3">
        <f>IF(Table1[[#This Row],[Gross_millions]]=" ",0,Table1[[#This Row],[Gross_millions]])</f>
        <v>153.63999999999999</v>
      </c>
      <c r="S129" t="str">
        <f>IF(Table1[[#This Row],[Gross_millions_Clean]]&gt;200,"Blockbuster",IF(Table1[[#This Row],[Gross_millions_Clean]]&gt;100,"Hit","Average"))</f>
        <v>Hit</v>
      </c>
    </row>
    <row r="130" spans="1:19" x14ac:dyDescent="0.3">
      <c r="A130" t="s">
        <v>636</v>
      </c>
      <c r="B130" t="s">
        <v>637</v>
      </c>
      <c r="C130">
        <v>2013</v>
      </c>
      <c r="D130" s="8">
        <f>FLOOR(Table1[[#This Row],[Year]],10)</f>
        <v>2010</v>
      </c>
      <c r="E130" t="s">
        <v>17</v>
      </c>
      <c r="F130">
        <v>102</v>
      </c>
      <c r="G130" t="str">
        <f>IF(Table1[[#This Row],[Runtime_minutes]]&lt;90,"Short",IF(Table1[[#This Row],[Runtime_minutes]]&lt;=120,"Medium","Long"))</f>
        <v>Medium</v>
      </c>
      <c r="H130" t="s">
        <v>48</v>
      </c>
      <c r="K130">
        <v>8.1</v>
      </c>
      <c r="M130" t="s">
        <v>638</v>
      </c>
      <c r="N130" t="s">
        <v>80</v>
      </c>
      <c r="O130" t="s">
        <v>639</v>
      </c>
      <c r="P130">
        <v>341124</v>
      </c>
      <c r="Q130" s="3"/>
      <c r="R130" s="3">
        <f>IF(Table1[[#This Row],[Gross_millions]]=" ",0,Table1[[#This Row],[Gross_millions]])</f>
        <v>0</v>
      </c>
      <c r="S130" t="str">
        <f>IF(Table1[[#This Row],[Gross_millions_Clean]]&gt;200,"Blockbuster",IF(Table1[[#This Row],[Gross_millions_Clean]]&gt;100,"Hit","Average"))</f>
        <v>Average</v>
      </c>
    </row>
    <row r="131" spans="1:19" x14ac:dyDescent="0.3">
      <c r="A131" t="s">
        <v>640</v>
      </c>
      <c r="B131" t="s">
        <v>641</v>
      </c>
      <c r="C131">
        <v>2016</v>
      </c>
      <c r="D131" s="8">
        <f>FLOOR(Table1[[#This Row],[Year]],10)</f>
        <v>2010</v>
      </c>
      <c r="E131" t="s">
        <v>24</v>
      </c>
      <c r="F131">
        <v>129</v>
      </c>
      <c r="G131" t="str">
        <f>IF(Table1[[#This Row],[Runtime_minutes]]&lt;90,"Short",IF(Table1[[#This Row],[Runtime_minutes]]&lt;=120,"Medium","Long"))</f>
        <v>Long</v>
      </c>
      <c r="H131" t="s">
        <v>78</v>
      </c>
      <c r="I131" t="s">
        <v>3992</v>
      </c>
      <c r="K131">
        <v>8.1</v>
      </c>
      <c r="L131">
        <v>77</v>
      </c>
      <c r="M131" t="s">
        <v>305</v>
      </c>
      <c r="N131" t="s">
        <v>524</v>
      </c>
      <c r="O131" t="s">
        <v>643</v>
      </c>
      <c r="P131">
        <v>204140</v>
      </c>
      <c r="Q131" s="3"/>
      <c r="R131" s="3">
        <f>IF(Table1[[#This Row],[Gross_millions]]=" ",0,Table1[[#This Row],[Gross_millions]])</f>
        <v>0</v>
      </c>
      <c r="S131" t="str">
        <f>IF(Table1[[#This Row],[Gross_millions_Clean]]&gt;200,"Blockbuster",IF(Table1[[#This Row],[Gross_millions_Clean]]&gt;100,"Hit","Average"))</f>
        <v>Average</v>
      </c>
    </row>
    <row r="132" spans="1:19" x14ac:dyDescent="0.3">
      <c r="A132" t="s">
        <v>644</v>
      </c>
      <c r="B132" t="s">
        <v>645</v>
      </c>
      <c r="C132">
        <v>2004</v>
      </c>
      <c r="D132" s="8">
        <f>FLOOR(Table1[[#This Row],[Year]],10)</f>
        <v>2000</v>
      </c>
      <c r="E132" t="s">
        <v>54</v>
      </c>
      <c r="F132">
        <v>110</v>
      </c>
      <c r="G132" t="str">
        <f>IF(Table1[[#This Row],[Runtime_minutes]]&lt;90,"Short",IF(Table1[[#This Row],[Runtime_minutes]]&lt;=120,"Medium","Long"))</f>
        <v>Medium</v>
      </c>
      <c r="H132" t="s">
        <v>157</v>
      </c>
      <c r="K132">
        <v>8.1</v>
      </c>
      <c r="L132">
        <v>72</v>
      </c>
      <c r="M132" t="s">
        <v>629</v>
      </c>
      <c r="N132" t="s">
        <v>524</v>
      </c>
      <c r="O132" t="s">
        <v>646</v>
      </c>
      <c r="P132">
        <v>195488</v>
      </c>
      <c r="Q132" s="3">
        <v>474.92</v>
      </c>
      <c r="R132" s="3">
        <f>IF(Table1[[#This Row],[Gross_millions]]=" ",0,Table1[[#This Row],[Gross_millions]])</f>
        <v>474.92</v>
      </c>
      <c r="S132" t="str">
        <f>IF(Table1[[#This Row],[Gross_millions_Clean]]&gt;200,"Blockbuster",IF(Table1[[#This Row],[Gross_millions_Clean]]&gt;100,"Hit","Average"))</f>
        <v>Blockbuster</v>
      </c>
    </row>
    <row r="133" spans="1:19" x14ac:dyDescent="0.3">
      <c r="A133" t="s">
        <v>647</v>
      </c>
      <c r="B133" t="s">
        <v>648</v>
      </c>
      <c r="C133">
        <v>1993</v>
      </c>
      <c r="D133" s="8">
        <f>FLOOR(Table1[[#This Row],[Year]],10)</f>
        <v>1990</v>
      </c>
      <c r="E133" t="s">
        <v>54</v>
      </c>
      <c r="F133">
        <v>80</v>
      </c>
      <c r="G133" t="str">
        <f>IF(Table1[[#This Row],[Runtime_minutes]]&lt;90,"Short",IF(Table1[[#This Row],[Runtime_minutes]]&lt;=120,"Medium","Long"))</f>
        <v>Short</v>
      </c>
      <c r="H133" t="s">
        <v>43</v>
      </c>
      <c r="I133" t="s">
        <v>3984</v>
      </c>
      <c r="J133" t="s">
        <v>3992</v>
      </c>
      <c r="K133">
        <v>8.1</v>
      </c>
      <c r="M133" t="s">
        <v>650</v>
      </c>
      <c r="N133" t="s">
        <v>368</v>
      </c>
      <c r="O133" t="s">
        <v>651</v>
      </c>
      <c r="P133">
        <v>289416</v>
      </c>
      <c r="Q133" s="3"/>
      <c r="R133" s="3">
        <f>IF(Table1[[#This Row],[Gross_millions]]=" ",0,Table1[[#This Row],[Gross_millions]])</f>
        <v>0</v>
      </c>
      <c r="S133" t="str">
        <f>IF(Table1[[#This Row],[Gross_millions_Clean]]&gt;200,"Blockbuster",IF(Table1[[#This Row],[Gross_millions_Clean]]&gt;100,"Hit","Average"))</f>
        <v>Average</v>
      </c>
    </row>
    <row r="134" spans="1:19" x14ac:dyDescent="0.3">
      <c r="A134" t="s">
        <v>652</v>
      </c>
      <c r="B134" t="s">
        <v>653</v>
      </c>
      <c r="C134">
        <v>1987</v>
      </c>
      <c r="D134" s="8">
        <f>FLOOR(Table1[[#This Row],[Year]],10)</f>
        <v>1980</v>
      </c>
      <c r="E134" t="s">
        <v>17</v>
      </c>
      <c r="F134">
        <v>149</v>
      </c>
      <c r="G134" t="str">
        <f>IF(Table1[[#This Row],[Runtime_minutes]]&lt;90,"Short",IF(Table1[[#This Row],[Runtime_minutes]]&lt;=120,"Medium","Long"))</f>
        <v>Long</v>
      </c>
      <c r="H134" t="s">
        <v>72</v>
      </c>
      <c r="I134" t="s">
        <v>3984</v>
      </c>
      <c r="K134">
        <v>8.1</v>
      </c>
      <c r="L134">
        <v>71</v>
      </c>
      <c r="M134" t="s">
        <v>491</v>
      </c>
      <c r="N134" t="s">
        <v>68</v>
      </c>
      <c r="O134" t="s">
        <v>654</v>
      </c>
      <c r="P134">
        <v>2500000</v>
      </c>
      <c r="Q134" s="3">
        <v>222.6</v>
      </c>
      <c r="R134" s="3">
        <f>IF(Table1[[#This Row],[Gross_millions]]=" ",0,Table1[[#This Row],[Gross_millions]])</f>
        <v>222.6</v>
      </c>
      <c r="S134" t="str">
        <f>IF(Table1[[#This Row],[Gross_millions_Clean]]&gt;200,"Blockbuster",IF(Table1[[#This Row],[Gross_millions_Clean]]&gt;100,"Hit","Average"))</f>
        <v>Blockbuster</v>
      </c>
    </row>
    <row r="135" spans="1:19" x14ac:dyDescent="0.3">
      <c r="A135" t="s">
        <v>655</v>
      </c>
      <c r="B135" t="s">
        <v>656</v>
      </c>
      <c r="C135">
        <v>1993</v>
      </c>
      <c r="D135" s="8">
        <f>FLOOR(Table1[[#This Row],[Year]],10)</f>
        <v>1990</v>
      </c>
      <c r="E135" t="s">
        <v>54</v>
      </c>
      <c r="F135">
        <v>104</v>
      </c>
      <c r="G135" t="str">
        <f>IF(Table1[[#This Row],[Runtime_minutes]]&lt;90,"Short",IF(Table1[[#This Row],[Runtime_minutes]]&lt;=120,"Medium","Long"))</f>
        <v>Medium</v>
      </c>
      <c r="H135" t="s">
        <v>375</v>
      </c>
      <c r="I135" t="s">
        <v>3989</v>
      </c>
      <c r="K135">
        <v>8.1</v>
      </c>
      <c r="L135">
        <v>86</v>
      </c>
      <c r="M135" t="s">
        <v>381</v>
      </c>
      <c r="N135" t="s">
        <v>153</v>
      </c>
      <c r="O135" t="s">
        <v>657</v>
      </c>
      <c r="P135">
        <v>57820</v>
      </c>
      <c r="Q135" s="3">
        <v>123.67</v>
      </c>
      <c r="R135" s="3">
        <f>IF(Table1[[#This Row],[Gross_millions]]=" ",0,Table1[[#This Row],[Gross_millions]])</f>
        <v>123.67</v>
      </c>
      <c r="S135" t="str">
        <f>IF(Table1[[#This Row],[Gross_millions_Clean]]&gt;200,"Blockbuster",IF(Table1[[#This Row],[Gross_millions_Clean]]&gt;100,"Hit","Average"))</f>
        <v>Hit</v>
      </c>
    </row>
    <row r="136" spans="1:19" x14ac:dyDescent="0.3">
      <c r="A136" t="s">
        <v>658</v>
      </c>
      <c r="B136" t="s">
        <v>659</v>
      </c>
      <c r="C136">
        <v>2023</v>
      </c>
      <c r="D136" s="8">
        <f>FLOOR(Table1[[#This Row],[Year]],10)</f>
        <v>2020</v>
      </c>
      <c r="E136" t="s">
        <v>17</v>
      </c>
      <c r="F136">
        <v>133</v>
      </c>
      <c r="G136" t="str">
        <f>IF(Table1[[#This Row],[Runtime_minutes]]&lt;90,"Short",IF(Table1[[#This Row],[Runtime_minutes]]&lt;=120,"Medium","Long"))</f>
        <v>Long</v>
      </c>
      <c r="H136" t="s">
        <v>129</v>
      </c>
      <c r="I136" t="s">
        <v>3989</v>
      </c>
      <c r="K136">
        <v>8.1</v>
      </c>
      <c r="M136" t="s">
        <v>634</v>
      </c>
      <c r="N136" t="s">
        <v>125</v>
      </c>
      <c r="O136" t="s">
        <v>661</v>
      </c>
      <c r="P136">
        <v>50164</v>
      </c>
      <c r="Q136" s="3">
        <v>477.01</v>
      </c>
      <c r="R136" s="3">
        <f>IF(Table1[[#This Row],[Gross_millions]]=" ",0,Table1[[#This Row],[Gross_millions]])</f>
        <v>477.01</v>
      </c>
      <c r="S136" t="str">
        <f>IF(Table1[[#This Row],[Gross_millions_Clean]]&gt;200,"Blockbuster",IF(Table1[[#This Row],[Gross_millions_Clean]]&gt;100,"Hit","Average"))</f>
        <v>Blockbuster</v>
      </c>
    </row>
    <row r="137" spans="1:19" x14ac:dyDescent="0.3">
      <c r="A137" t="s">
        <v>662</v>
      </c>
      <c r="B137" t="s">
        <v>663</v>
      </c>
      <c r="C137">
        <v>2005</v>
      </c>
      <c r="D137" s="8">
        <f>FLOOR(Table1[[#This Row],[Year]],10)</f>
        <v>2000</v>
      </c>
      <c r="E137" t="s">
        <v>17</v>
      </c>
      <c r="F137">
        <v>136</v>
      </c>
      <c r="G137" t="str">
        <f>IF(Table1[[#This Row],[Runtime_minutes]]&lt;90,"Short",IF(Table1[[#This Row],[Runtime_minutes]]&lt;=120,"Medium","Long"))</f>
        <v>Long</v>
      </c>
      <c r="H137" t="s">
        <v>72</v>
      </c>
      <c r="I137" t="s">
        <v>3990</v>
      </c>
      <c r="K137">
        <v>8.1</v>
      </c>
      <c r="M137" t="s">
        <v>491</v>
      </c>
      <c r="N137" t="s">
        <v>368</v>
      </c>
      <c r="O137" t="s">
        <v>665</v>
      </c>
      <c r="P137">
        <v>276470</v>
      </c>
      <c r="Q137" s="3">
        <v>97.99</v>
      </c>
      <c r="R137" s="3">
        <f>IF(Table1[[#This Row],[Gross_millions]]=" ",0,Table1[[#This Row],[Gross_millions]])</f>
        <v>97.99</v>
      </c>
      <c r="S137" t="str">
        <f>IF(Table1[[#This Row],[Gross_millions_Clean]]&gt;200,"Blockbuster",IF(Table1[[#This Row],[Gross_millions_Clean]]&gt;100,"Hit","Average"))</f>
        <v>Average</v>
      </c>
    </row>
    <row r="138" spans="1:19" x14ac:dyDescent="0.3">
      <c r="A138" t="s">
        <v>666</v>
      </c>
      <c r="B138" t="s">
        <v>667</v>
      </c>
      <c r="C138">
        <v>2020</v>
      </c>
      <c r="D138" s="8">
        <f>FLOOR(Table1[[#This Row],[Year]],10)</f>
        <v>2020</v>
      </c>
      <c r="E138" t="s">
        <v>285</v>
      </c>
      <c r="F138">
        <v>117</v>
      </c>
      <c r="G138" t="str">
        <f>IF(Table1[[#This Row],[Runtime_minutes]]&lt;90,"Short",IF(Table1[[#This Row],[Runtime_minutes]]&lt;=120,"Medium","Long"))</f>
        <v>Medium</v>
      </c>
      <c r="H138" t="s">
        <v>230</v>
      </c>
      <c r="K138">
        <v>8.1</v>
      </c>
      <c r="M138" t="s">
        <v>668</v>
      </c>
      <c r="N138" t="s">
        <v>86</v>
      </c>
      <c r="O138" t="s">
        <v>669</v>
      </c>
      <c r="P138">
        <v>480446</v>
      </c>
      <c r="Q138" s="3"/>
      <c r="R138" s="3">
        <f>IF(Table1[[#This Row],[Gross_millions]]=" ",0,Table1[[#This Row],[Gross_millions]])</f>
        <v>0</v>
      </c>
      <c r="S138" t="str">
        <f>IF(Table1[[#This Row],[Gross_millions_Clean]]&gt;200,"Blockbuster",IF(Table1[[#This Row],[Gross_millions_Clean]]&gt;100,"Hit","Average"))</f>
        <v>Average</v>
      </c>
    </row>
    <row r="139" spans="1:19" x14ac:dyDescent="0.3">
      <c r="A139" t="s">
        <v>670</v>
      </c>
      <c r="B139" t="s">
        <v>671</v>
      </c>
      <c r="C139">
        <v>1995</v>
      </c>
      <c r="D139" s="8">
        <f>FLOOR(Table1[[#This Row],[Year]],10)</f>
        <v>1990</v>
      </c>
      <c r="E139" t="s">
        <v>169</v>
      </c>
      <c r="F139">
        <v>133</v>
      </c>
      <c r="G139" t="str">
        <f>IF(Table1[[#This Row],[Runtime_minutes]]&lt;90,"Short",IF(Table1[[#This Row],[Runtime_minutes]]&lt;=120,"Medium","Long"))</f>
        <v>Long</v>
      </c>
      <c r="H139" t="s">
        <v>235</v>
      </c>
      <c r="I139" t="s">
        <v>3993</v>
      </c>
      <c r="K139">
        <v>8.1</v>
      </c>
      <c r="L139">
        <v>82</v>
      </c>
      <c r="M139" t="s">
        <v>673</v>
      </c>
      <c r="N139" t="s">
        <v>68</v>
      </c>
      <c r="O139" t="s">
        <v>674</v>
      </c>
      <c r="P139">
        <v>373846</v>
      </c>
      <c r="Q139" s="3"/>
      <c r="R139" s="3">
        <f>IF(Table1[[#This Row],[Gross_millions]]=" ",0,Table1[[#This Row],[Gross_millions]])</f>
        <v>0</v>
      </c>
      <c r="S139" t="str">
        <f>IF(Table1[[#This Row],[Gross_millions_Clean]]&gt;200,"Blockbuster",IF(Table1[[#This Row],[Gross_millions_Clean]]&gt;100,"Hit","Average"))</f>
        <v>Average</v>
      </c>
    </row>
    <row r="140" spans="1:19" x14ac:dyDescent="0.3">
      <c r="A140" t="s">
        <v>675</v>
      </c>
      <c r="B140" t="s">
        <v>676</v>
      </c>
      <c r="C140">
        <v>2019</v>
      </c>
      <c r="D140" s="8">
        <f>FLOOR(Table1[[#This Row],[Year]],10)</f>
        <v>2010</v>
      </c>
      <c r="E140" t="s">
        <v>24</v>
      </c>
      <c r="F140">
        <v>109</v>
      </c>
      <c r="G140" t="str">
        <f>IF(Table1[[#This Row],[Runtime_minutes]]&lt;90,"Short",IF(Table1[[#This Row],[Runtime_minutes]]&lt;=120,"Medium","Long"))</f>
        <v>Medium</v>
      </c>
      <c r="H140" t="s">
        <v>37</v>
      </c>
      <c r="I140" t="s">
        <v>3989</v>
      </c>
      <c r="K140">
        <v>8</v>
      </c>
      <c r="L140">
        <v>72</v>
      </c>
      <c r="M140" t="s">
        <v>678</v>
      </c>
      <c r="N140" t="s">
        <v>80</v>
      </c>
      <c r="O140" t="s">
        <v>679</v>
      </c>
      <c r="P140">
        <v>33606</v>
      </c>
      <c r="Q140" s="3">
        <v>422.17</v>
      </c>
      <c r="R140" s="3">
        <f>IF(Table1[[#This Row],[Gross_millions]]=" ",0,Table1[[#This Row],[Gross_millions]])</f>
        <v>422.17</v>
      </c>
      <c r="S140" t="str">
        <f>IF(Table1[[#This Row],[Gross_millions_Clean]]&gt;200,"Blockbuster",IF(Table1[[#This Row],[Gross_millions_Clean]]&gt;100,"Hit","Average"))</f>
        <v>Blockbuster</v>
      </c>
    </row>
    <row r="141" spans="1:19" x14ac:dyDescent="0.3">
      <c r="A141" t="s">
        <v>680</v>
      </c>
      <c r="B141" t="s">
        <v>681</v>
      </c>
      <c r="C141">
        <v>1978</v>
      </c>
      <c r="D141" s="8">
        <f>FLOOR(Table1[[#This Row],[Year]],10)</f>
        <v>1970</v>
      </c>
      <c r="E141" t="s">
        <v>17</v>
      </c>
      <c r="F141">
        <v>100</v>
      </c>
      <c r="G141" t="str">
        <f>IF(Table1[[#This Row],[Runtime_minutes]]&lt;90,"Short",IF(Table1[[#This Row],[Runtime_minutes]]&lt;=120,"Medium","Long"))</f>
        <v>Medium</v>
      </c>
      <c r="H141" t="s">
        <v>235</v>
      </c>
      <c r="I141" t="s">
        <v>3981</v>
      </c>
      <c r="J141" t="s">
        <v>3979</v>
      </c>
      <c r="K141">
        <v>8</v>
      </c>
      <c r="L141">
        <v>74</v>
      </c>
      <c r="M141" t="s">
        <v>683</v>
      </c>
      <c r="N141" t="s">
        <v>86</v>
      </c>
      <c r="O141" t="s">
        <v>684</v>
      </c>
      <c r="P141">
        <v>41716</v>
      </c>
      <c r="Q141" s="3"/>
      <c r="R141" s="3">
        <f>IF(Table1[[#This Row],[Gross_millions]]=" ",0,Table1[[#This Row],[Gross_millions]])</f>
        <v>0</v>
      </c>
      <c r="S141" t="str">
        <f>IF(Table1[[#This Row],[Gross_millions_Clean]]&gt;200,"Blockbuster",IF(Table1[[#This Row],[Gross_millions_Clean]]&gt;100,"Hit","Average"))</f>
        <v>Average</v>
      </c>
    </row>
    <row r="142" spans="1:19" x14ac:dyDescent="0.3">
      <c r="A142" t="s">
        <v>685</v>
      </c>
      <c r="B142" t="s">
        <v>686</v>
      </c>
      <c r="C142">
        <v>1964</v>
      </c>
      <c r="D142" s="8">
        <f>FLOOR(Table1[[#This Row],[Year]],10)</f>
        <v>1960</v>
      </c>
      <c r="E142" t="s">
        <v>24</v>
      </c>
      <c r="F142">
        <v>126</v>
      </c>
      <c r="G142" t="str">
        <f>IF(Table1[[#This Row],[Runtime_minutes]]&lt;90,"Short",IF(Table1[[#This Row],[Runtime_minutes]]&lt;=120,"Medium","Long"))</f>
        <v>Long</v>
      </c>
      <c r="H142" t="s">
        <v>37</v>
      </c>
      <c r="I142" t="s">
        <v>3986</v>
      </c>
      <c r="K142">
        <v>8</v>
      </c>
      <c r="L142">
        <v>66</v>
      </c>
      <c r="M142" t="s">
        <v>38</v>
      </c>
      <c r="N142" t="s">
        <v>20</v>
      </c>
      <c r="O142" t="s">
        <v>688</v>
      </c>
      <c r="P142">
        <v>77580</v>
      </c>
      <c r="Q142" s="3">
        <v>196.37</v>
      </c>
      <c r="R142" s="3">
        <f>IF(Table1[[#This Row],[Gross_millions]]=" ",0,Table1[[#This Row],[Gross_millions]])</f>
        <v>196.37</v>
      </c>
      <c r="S142" t="str">
        <f>IF(Table1[[#This Row],[Gross_millions_Clean]]&gt;200,"Blockbuster",IF(Table1[[#This Row],[Gross_millions_Clean]]&gt;100,"Hit","Average"))</f>
        <v>Hit</v>
      </c>
    </row>
    <row r="143" spans="1:19" x14ac:dyDescent="0.3">
      <c r="A143" t="s">
        <v>689</v>
      </c>
      <c r="B143" t="s">
        <v>690</v>
      </c>
      <c r="C143">
        <v>1972</v>
      </c>
      <c r="D143" s="8">
        <f>FLOOR(Table1[[#This Row],[Year]],10)</f>
        <v>1970</v>
      </c>
      <c r="E143" t="s">
        <v>17</v>
      </c>
      <c r="F143">
        <v>130</v>
      </c>
      <c r="G143" t="str">
        <f>IF(Table1[[#This Row],[Runtime_minutes]]&lt;90,"Short",IF(Table1[[#This Row],[Runtime_minutes]]&lt;=120,"Medium","Long"))</f>
        <v>Long</v>
      </c>
      <c r="H143" t="s">
        <v>453</v>
      </c>
      <c r="I143" t="s">
        <v>3986</v>
      </c>
      <c r="K143">
        <v>8</v>
      </c>
      <c r="L143">
        <v>81</v>
      </c>
      <c r="M143" t="s">
        <v>435</v>
      </c>
      <c r="N143" t="s">
        <v>326</v>
      </c>
      <c r="O143" t="s">
        <v>691</v>
      </c>
      <c r="P143">
        <v>17864</v>
      </c>
      <c r="Q143" s="3">
        <v>16.48</v>
      </c>
      <c r="R143" s="3">
        <f>IF(Table1[[#This Row],[Gross_millions]]=" ",0,Table1[[#This Row],[Gross_millions]])</f>
        <v>16.48</v>
      </c>
      <c r="S143" t="str">
        <f>IF(Table1[[#This Row],[Gross_millions_Clean]]&gt;200,"Blockbuster",IF(Table1[[#This Row],[Gross_millions_Clean]]&gt;100,"Hit","Average"))</f>
        <v>Average</v>
      </c>
    </row>
    <row r="144" spans="1:19" x14ac:dyDescent="0.3">
      <c r="A144" t="s">
        <v>692</v>
      </c>
      <c r="B144" t="s">
        <v>693</v>
      </c>
      <c r="C144">
        <v>1961</v>
      </c>
      <c r="D144" s="8">
        <f>FLOOR(Table1[[#This Row],[Year]],10)</f>
        <v>1960</v>
      </c>
      <c r="E144" t="s">
        <v>285</v>
      </c>
      <c r="F144">
        <v>103</v>
      </c>
      <c r="G144" t="str">
        <f>IF(Table1[[#This Row],[Runtime_minutes]]&lt;90,"Short",IF(Table1[[#This Row],[Runtime_minutes]]&lt;=120,"Medium","Long"))</f>
        <v>Medium</v>
      </c>
      <c r="H144" t="s">
        <v>48</v>
      </c>
      <c r="K144">
        <v>8</v>
      </c>
      <c r="M144" t="s">
        <v>67</v>
      </c>
      <c r="N144" t="s">
        <v>524</v>
      </c>
      <c r="O144" t="s">
        <v>694</v>
      </c>
      <c r="P144">
        <v>141814</v>
      </c>
      <c r="Q144" s="3">
        <v>273.14999999999998</v>
      </c>
      <c r="R144" s="3">
        <f>IF(Table1[[#This Row],[Gross_millions]]=" ",0,Table1[[#This Row],[Gross_millions]])</f>
        <v>273.14999999999998</v>
      </c>
      <c r="S144" t="str">
        <f>IF(Table1[[#This Row],[Gross_millions_Clean]]&gt;200,"Blockbuster",IF(Table1[[#This Row],[Gross_millions_Clean]]&gt;100,"Hit","Average"))</f>
        <v>Blockbuster</v>
      </c>
    </row>
    <row r="145" spans="1:19" x14ac:dyDescent="0.3">
      <c r="A145" t="s">
        <v>695</v>
      </c>
      <c r="B145" t="s">
        <v>696</v>
      </c>
      <c r="C145">
        <v>1971</v>
      </c>
      <c r="D145" s="8">
        <f>FLOOR(Table1[[#This Row],[Year]],10)</f>
        <v>1970</v>
      </c>
      <c r="E145" t="s">
        <v>17</v>
      </c>
      <c r="F145">
        <v>113</v>
      </c>
      <c r="G145" t="str">
        <f>IF(Table1[[#This Row],[Runtime_minutes]]&lt;90,"Short",IF(Table1[[#This Row],[Runtime_minutes]]&lt;=120,"Medium","Long"))</f>
        <v>Medium</v>
      </c>
      <c r="H145" t="s">
        <v>453</v>
      </c>
      <c r="I145" t="s">
        <v>3982</v>
      </c>
      <c r="K145">
        <v>8</v>
      </c>
      <c r="M145" t="s">
        <v>697</v>
      </c>
      <c r="N145" t="s">
        <v>518</v>
      </c>
      <c r="O145" t="s">
        <v>698</v>
      </c>
      <c r="P145">
        <v>3999</v>
      </c>
      <c r="Q145" s="3">
        <v>283.32</v>
      </c>
      <c r="R145" s="3">
        <f>IF(Table1[[#This Row],[Gross_millions]]=" ",0,Table1[[#This Row],[Gross_millions]])</f>
        <v>283.32</v>
      </c>
      <c r="S145" t="str">
        <f>IF(Table1[[#This Row],[Gross_millions_Clean]]&gt;200,"Blockbuster",IF(Table1[[#This Row],[Gross_millions_Clean]]&gt;100,"Hit","Average"))</f>
        <v>Blockbuster</v>
      </c>
    </row>
    <row r="146" spans="1:19" x14ac:dyDescent="0.3">
      <c r="A146" t="s">
        <v>699</v>
      </c>
      <c r="B146" t="s">
        <v>700</v>
      </c>
      <c r="C146">
        <v>1995</v>
      </c>
      <c r="D146" s="8">
        <f>FLOOR(Table1[[#This Row],[Year]],10)</f>
        <v>1990</v>
      </c>
      <c r="E146" t="s">
        <v>24</v>
      </c>
      <c r="F146">
        <v>89</v>
      </c>
      <c r="G146" t="str">
        <f>IF(Table1[[#This Row],[Runtime_minutes]]&lt;90,"Short",IF(Table1[[#This Row],[Runtime_minutes]]&lt;=120,"Medium","Long"))</f>
        <v>Short</v>
      </c>
      <c r="H146" t="s">
        <v>606</v>
      </c>
      <c r="I146" t="s">
        <v>3976</v>
      </c>
      <c r="K146">
        <v>8</v>
      </c>
      <c r="M146" t="s">
        <v>702</v>
      </c>
      <c r="N146" t="s">
        <v>125</v>
      </c>
      <c r="O146" t="s">
        <v>703</v>
      </c>
      <c r="P146">
        <v>216338</v>
      </c>
      <c r="Q146" s="3">
        <v>249.36</v>
      </c>
      <c r="R146" s="3">
        <f>IF(Table1[[#This Row],[Gross_millions]]=" ",0,Table1[[#This Row],[Gross_millions]])</f>
        <v>249.36</v>
      </c>
      <c r="S146" t="str">
        <f>IF(Table1[[#This Row],[Gross_millions_Clean]]&gt;200,"Blockbuster",IF(Table1[[#This Row],[Gross_millions_Clean]]&gt;100,"Hit","Average"))</f>
        <v>Blockbuster</v>
      </c>
    </row>
    <row r="147" spans="1:19" x14ac:dyDescent="0.3">
      <c r="A147" t="s">
        <v>704</v>
      </c>
      <c r="B147" t="s">
        <v>705</v>
      </c>
      <c r="C147">
        <v>2012</v>
      </c>
      <c r="D147" s="8">
        <f>FLOOR(Table1[[#This Row],[Year]],10)</f>
        <v>2010</v>
      </c>
      <c r="E147" t="s">
        <v>293</v>
      </c>
      <c r="F147">
        <v>126</v>
      </c>
      <c r="G147" t="str">
        <f>IF(Table1[[#This Row],[Runtime_minutes]]&lt;90,"Short",IF(Table1[[#This Row],[Runtime_minutes]]&lt;=120,"Medium","Long"))</f>
        <v>Long</v>
      </c>
      <c r="H147" t="s">
        <v>868</v>
      </c>
      <c r="I147" t="s">
        <v>3980</v>
      </c>
      <c r="K147">
        <v>8</v>
      </c>
      <c r="L147">
        <v>92</v>
      </c>
      <c r="M147" t="s">
        <v>707</v>
      </c>
      <c r="N147" t="s">
        <v>518</v>
      </c>
      <c r="O147" t="s">
        <v>708</v>
      </c>
      <c r="P147">
        <v>3594</v>
      </c>
      <c r="Q147" s="3">
        <v>337.62</v>
      </c>
      <c r="R147" s="3">
        <f>IF(Table1[[#This Row],[Gross_millions]]=" ",0,Table1[[#This Row],[Gross_millions]])</f>
        <v>337.62</v>
      </c>
      <c r="S147" t="str">
        <f>IF(Table1[[#This Row],[Gross_millions_Clean]]&gt;200,"Blockbuster",IF(Table1[[#This Row],[Gross_millions_Clean]]&gt;100,"Hit","Average"))</f>
        <v>Blockbuster</v>
      </c>
    </row>
    <row r="148" spans="1:19" x14ac:dyDescent="0.3">
      <c r="A148" t="s">
        <v>709</v>
      </c>
      <c r="B148" t="s">
        <v>710</v>
      </c>
      <c r="C148">
        <v>2017</v>
      </c>
      <c r="D148" s="8">
        <f>FLOOR(Table1[[#This Row],[Year]],10)</f>
        <v>2010</v>
      </c>
      <c r="E148" t="s">
        <v>285</v>
      </c>
      <c r="F148">
        <v>85</v>
      </c>
      <c r="G148" t="str">
        <f>IF(Table1[[#This Row],[Runtime_minutes]]&lt;90,"Short",IF(Table1[[#This Row],[Runtime_minutes]]&lt;=120,"Medium","Long"))</f>
        <v>Short</v>
      </c>
      <c r="H148" t="s">
        <v>129</v>
      </c>
      <c r="K148">
        <v>8</v>
      </c>
      <c r="L148">
        <v>68</v>
      </c>
      <c r="M148" t="s">
        <v>711</v>
      </c>
      <c r="N148" t="s">
        <v>315</v>
      </c>
      <c r="O148" t="s">
        <v>712</v>
      </c>
      <c r="P148">
        <v>4945</v>
      </c>
      <c r="Q148" s="3"/>
      <c r="R148" s="3">
        <f>IF(Table1[[#This Row],[Gross_millions]]=" ",0,Table1[[#This Row],[Gross_millions]])</f>
        <v>0</v>
      </c>
      <c r="S148" t="str">
        <f>IF(Table1[[#This Row],[Gross_millions_Clean]]&gt;200,"Blockbuster",IF(Table1[[#This Row],[Gross_millions_Clean]]&gt;100,"Hit","Average"))</f>
        <v>Average</v>
      </c>
    </row>
    <row r="149" spans="1:19" x14ac:dyDescent="0.3">
      <c r="A149" t="s">
        <v>713</v>
      </c>
      <c r="B149" t="s">
        <v>714</v>
      </c>
      <c r="C149">
        <v>2000</v>
      </c>
      <c r="D149" s="8">
        <f>FLOOR(Table1[[#This Row],[Year]],10)</f>
        <v>2000</v>
      </c>
      <c r="E149" t="s">
        <v>54</v>
      </c>
      <c r="F149">
        <v>113</v>
      </c>
      <c r="G149" t="str">
        <f>IF(Table1[[#This Row],[Runtime_minutes]]&lt;90,"Short",IF(Table1[[#This Row],[Runtime_minutes]]&lt;=120,"Medium","Long"))</f>
        <v>Medium</v>
      </c>
      <c r="H149" t="s">
        <v>129</v>
      </c>
      <c r="K149">
        <v>8</v>
      </c>
      <c r="L149">
        <v>88</v>
      </c>
      <c r="M149" t="s">
        <v>634</v>
      </c>
      <c r="N149" t="s">
        <v>608</v>
      </c>
      <c r="O149" t="s">
        <v>715</v>
      </c>
      <c r="P149">
        <v>138210</v>
      </c>
      <c r="Q149" s="3"/>
      <c r="R149" s="3">
        <f>IF(Table1[[#This Row],[Gross_millions]]=" ",0,Table1[[#This Row],[Gross_millions]])</f>
        <v>0</v>
      </c>
      <c r="S149" t="str">
        <f>IF(Table1[[#This Row],[Gross_millions_Clean]]&gt;200,"Blockbuster",IF(Table1[[#This Row],[Gross_millions_Clean]]&gt;100,"Hit","Average"))</f>
        <v>Average</v>
      </c>
    </row>
    <row r="150" spans="1:19" x14ac:dyDescent="0.3">
      <c r="A150" t="s">
        <v>716</v>
      </c>
      <c r="B150" t="s">
        <v>717</v>
      </c>
      <c r="C150">
        <v>1995</v>
      </c>
      <c r="D150" s="8">
        <f>FLOOR(Table1[[#This Row],[Year]],10)</f>
        <v>1990</v>
      </c>
      <c r="E150" t="s">
        <v>17</v>
      </c>
      <c r="F150">
        <v>91</v>
      </c>
      <c r="G150" t="str">
        <f>IF(Table1[[#This Row],[Runtime_minutes]]&lt;90,"Short",IF(Table1[[#This Row],[Runtime_minutes]]&lt;=120,"Medium","Long"))</f>
        <v>Medium</v>
      </c>
      <c r="H150" t="s">
        <v>48</v>
      </c>
      <c r="K150">
        <v>8</v>
      </c>
      <c r="L150">
        <v>90</v>
      </c>
      <c r="M150" t="s">
        <v>67</v>
      </c>
      <c r="N150" t="s">
        <v>718</v>
      </c>
      <c r="O150" t="s">
        <v>719</v>
      </c>
      <c r="P150">
        <v>72846</v>
      </c>
      <c r="Q150" s="3">
        <v>87.53</v>
      </c>
      <c r="R150" s="3">
        <f>IF(Table1[[#This Row],[Gross_millions]]=" ",0,Table1[[#This Row],[Gross_millions]])</f>
        <v>87.53</v>
      </c>
      <c r="S150" t="str">
        <f>IF(Table1[[#This Row],[Gross_millions_Clean]]&gt;200,"Blockbuster",IF(Table1[[#This Row],[Gross_millions_Clean]]&gt;100,"Hit","Average"))</f>
        <v>Average</v>
      </c>
    </row>
    <row r="151" spans="1:19" x14ac:dyDescent="0.3">
      <c r="A151" t="s">
        <v>720</v>
      </c>
      <c r="B151" t="s">
        <v>721</v>
      </c>
      <c r="C151">
        <v>1985</v>
      </c>
      <c r="D151" s="8">
        <f>FLOOR(Table1[[#This Row],[Year]],10)</f>
        <v>1980</v>
      </c>
      <c r="E151" t="s">
        <v>54</v>
      </c>
      <c r="F151">
        <v>110</v>
      </c>
      <c r="G151" t="str">
        <f>IF(Table1[[#This Row],[Runtime_minutes]]&lt;90,"Short",IF(Table1[[#This Row],[Runtime_minutes]]&lt;=120,"Medium","Long"))</f>
        <v>Medium</v>
      </c>
      <c r="H151" t="s">
        <v>43</v>
      </c>
      <c r="I151" t="s">
        <v>3990</v>
      </c>
      <c r="J151" t="s">
        <v>3988</v>
      </c>
      <c r="K151">
        <v>8</v>
      </c>
      <c r="L151">
        <v>88</v>
      </c>
      <c r="M151" t="s">
        <v>723</v>
      </c>
      <c r="N151" t="s">
        <v>57</v>
      </c>
      <c r="O151" t="s">
        <v>724</v>
      </c>
      <c r="P151">
        <v>128485</v>
      </c>
      <c r="Q151" s="3">
        <v>289.11</v>
      </c>
      <c r="R151" s="3">
        <f>IF(Table1[[#This Row],[Gross_millions]]=" ",0,Table1[[#This Row],[Gross_millions]])</f>
        <v>289.11</v>
      </c>
      <c r="S151" t="str">
        <f>IF(Table1[[#This Row],[Gross_millions_Clean]]&gt;200,"Blockbuster",IF(Table1[[#This Row],[Gross_millions_Clean]]&gt;100,"Hit","Average"))</f>
        <v>Blockbuster</v>
      </c>
    </row>
    <row r="152" spans="1:19" x14ac:dyDescent="0.3">
      <c r="A152" t="s">
        <v>725</v>
      </c>
      <c r="B152" t="s">
        <v>726</v>
      </c>
      <c r="C152">
        <v>1998</v>
      </c>
      <c r="D152" s="8">
        <f>FLOOR(Table1[[#This Row],[Year]],10)</f>
        <v>1990</v>
      </c>
      <c r="E152" t="s">
        <v>293</v>
      </c>
      <c r="F152">
        <v>125</v>
      </c>
      <c r="G152" t="str">
        <f>IF(Table1[[#This Row],[Runtime_minutes]]&lt;90,"Short",IF(Table1[[#This Row],[Runtime_minutes]]&lt;=120,"Medium","Long"))</f>
        <v>Long</v>
      </c>
      <c r="H152" t="s">
        <v>210</v>
      </c>
      <c r="I152" t="s">
        <v>3984</v>
      </c>
      <c r="J152" t="s">
        <v>3978</v>
      </c>
      <c r="K152">
        <v>8</v>
      </c>
      <c r="L152">
        <v>75</v>
      </c>
      <c r="M152" t="s">
        <v>728</v>
      </c>
      <c r="N152" t="s">
        <v>593</v>
      </c>
      <c r="O152" t="s">
        <v>729</v>
      </c>
      <c r="P152">
        <v>43818</v>
      </c>
      <c r="Q152" s="3">
        <v>298.31</v>
      </c>
      <c r="R152" s="3">
        <f>IF(Table1[[#This Row],[Gross_millions]]=" ",0,Table1[[#This Row],[Gross_millions]])</f>
        <v>298.31</v>
      </c>
      <c r="S152" t="str">
        <f>IF(Table1[[#This Row],[Gross_millions_Clean]]&gt;200,"Blockbuster",IF(Table1[[#This Row],[Gross_millions_Clean]]&gt;100,"Hit","Average"))</f>
        <v>Blockbuster</v>
      </c>
    </row>
    <row r="153" spans="1:19" x14ac:dyDescent="0.3">
      <c r="A153" t="s">
        <v>730</v>
      </c>
      <c r="B153" t="s">
        <v>731</v>
      </c>
      <c r="C153">
        <v>1991</v>
      </c>
      <c r="D153" s="8">
        <f>FLOOR(Table1[[#This Row],[Year]],10)</f>
        <v>1990</v>
      </c>
      <c r="E153" t="s">
        <v>293</v>
      </c>
      <c r="F153">
        <v>123</v>
      </c>
      <c r="G153" t="str">
        <f>IF(Table1[[#This Row],[Runtime_minutes]]&lt;90,"Short",IF(Table1[[#This Row],[Runtime_minutes]]&lt;=120,"Medium","Long"))</f>
        <v>Long</v>
      </c>
      <c r="H153" t="s">
        <v>37</v>
      </c>
      <c r="K153">
        <v>8</v>
      </c>
      <c r="L153">
        <v>66</v>
      </c>
      <c r="M153" t="s">
        <v>38</v>
      </c>
      <c r="N153" t="s">
        <v>547</v>
      </c>
      <c r="O153" t="s">
        <v>732</v>
      </c>
      <c r="P153">
        <v>66483</v>
      </c>
      <c r="Q153" s="3"/>
      <c r="R153" s="3">
        <f>IF(Table1[[#This Row],[Gross_millions]]=" ",0,Table1[[#This Row],[Gross_millions]])</f>
        <v>0</v>
      </c>
      <c r="S153" t="str">
        <f>IF(Table1[[#This Row],[Gross_millions_Clean]]&gt;200,"Blockbuster",IF(Table1[[#This Row],[Gross_millions_Clean]]&gt;100,"Hit","Average"))</f>
        <v>Average</v>
      </c>
    </row>
    <row r="154" spans="1:19" x14ac:dyDescent="0.3">
      <c r="A154" t="s">
        <v>733</v>
      </c>
      <c r="B154" t="s">
        <v>734</v>
      </c>
      <c r="C154">
        <v>2013</v>
      </c>
      <c r="D154" s="8">
        <f>FLOOR(Table1[[#This Row],[Year]],10)</f>
        <v>2010</v>
      </c>
      <c r="E154" t="s">
        <v>24</v>
      </c>
      <c r="F154">
        <v>123</v>
      </c>
      <c r="G154" t="str">
        <f>IF(Table1[[#This Row],[Runtime_minutes]]&lt;90,"Short",IF(Table1[[#This Row],[Runtime_minutes]]&lt;=120,"Medium","Long"))</f>
        <v>Long</v>
      </c>
      <c r="H154" t="s">
        <v>157</v>
      </c>
      <c r="K154">
        <v>8</v>
      </c>
      <c r="L154">
        <v>78</v>
      </c>
      <c r="M154" t="s">
        <v>158</v>
      </c>
      <c r="N154" t="s">
        <v>547</v>
      </c>
      <c r="O154" t="s">
        <v>735</v>
      </c>
      <c r="P154">
        <v>13229</v>
      </c>
      <c r="Q154" s="3">
        <v>974.82</v>
      </c>
      <c r="R154" s="3">
        <f>IF(Table1[[#This Row],[Gross_millions]]=" ",0,Table1[[#This Row],[Gross_millions]])</f>
        <v>974.82</v>
      </c>
      <c r="S154" t="str">
        <f>IF(Table1[[#This Row],[Gross_millions_Clean]]&gt;200,"Blockbuster",IF(Table1[[#This Row],[Gross_millions_Clean]]&gt;100,"Hit","Average"))</f>
        <v>Blockbuster</v>
      </c>
    </row>
    <row r="155" spans="1:19" x14ac:dyDescent="0.3">
      <c r="A155" t="s">
        <v>736</v>
      </c>
      <c r="B155" t="s">
        <v>737</v>
      </c>
      <c r="C155">
        <v>2013</v>
      </c>
      <c r="D155" s="8">
        <f>FLOOR(Table1[[#This Row],[Year]],10)</f>
        <v>2010</v>
      </c>
      <c r="E155" t="s">
        <v>17</v>
      </c>
      <c r="F155">
        <v>114</v>
      </c>
      <c r="G155" t="str">
        <f>IF(Table1[[#This Row],[Runtime_minutes]]&lt;90,"Short",IF(Table1[[#This Row],[Runtime_minutes]]&lt;=120,"Medium","Long"))</f>
        <v>Medium</v>
      </c>
      <c r="H155" t="s">
        <v>230</v>
      </c>
      <c r="I155" t="s">
        <v>3992</v>
      </c>
      <c r="J155" t="s">
        <v>3988</v>
      </c>
      <c r="K155">
        <v>8</v>
      </c>
      <c r="M155" t="s">
        <v>231</v>
      </c>
      <c r="N155" t="s">
        <v>165</v>
      </c>
      <c r="O155" t="s">
        <v>739</v>
      </c>
      <c r="P155">
        <v>47806</v>
      </c>
      <c r="Q155" s="3"/>
      <c r="R155" s="3">
        <f>IF(Table1[[#This Row],[Gross_millions]]=" ",0,Table1[[#This Row],[Gross_millions]])</f>
        <v>0</v>
      </c>
      <c r="S155" t="str">
        <f>IF(Table1[[#This Row],[Gross_millions_Clean]]&gt;200,"Blockbuster",IF(Table1[[#This Row],[Gross_millions_Clean]]&gt;100,"Hit","Average"))</f>
        <v>Average</v>
      </c>
    </row>
    <row r="156" spans="1:19" x14ac:dyDescent="0.3">
      <c r="A156" t="s">
        <v>740</v>
      </c>
      <c r="B156" t="s">
        <v>741</v>
      </c>
      <c r="C156">
        <v>2011</v>
      </c>
      <c r="D156" s="8">
        <f>FLOOR(Table1[[#This Row],[Year]],10)</f>
        <v>2010</v>
      </c>
      <c r="E156" t="s">
        <v>24</v>
      </c>
      <c r="F156">
        <v>111</v>
      </c>
      <c r="G156" t="str">
        <f>IF(Table1[[#This Row],[Runtime_minutes]]&lt;90,"Short",IF(Table1[[#This Row],[Runtime_minutes]]&lt;=120,"Medium","Long"))</f>
        <v>Medium</v>
      </c>
      <c r="H156" t="s">
        <v>48</v>
      </c>
      <c r="I156" t="s">
        <v>3980</v>
      </c>
      <c r="J156" t="s">
        <v>3982</v>
      </c>
      <c r="K156">
        <v>8</v>
      </c>
      <c r="L156">
        <v>67</v>
      </c>
      <c r="M156" t="s">
        <v>743</v>
      </c>
      <c r="N156" t="s">
        <v>63</v>
      </c>
      <c r="O156" t="s">
        <v>744</v>
      </c>
      <c r="P156">
        <v>66289</v>
      </c>
      <c r="Q156" s="3"/>
      <c r="R156" s="3">
        <f>IF(Table1[[#This Row],[Gross_millions]]=" ",0,Table1[[#This Row],[Gross_millions]])</f>
        <v>0</v>
      </c>
      <c r="S156" t="str">
        <f>IF(Table1[[#This Row],[Gross_millions_Clean]]&gt;200,"Blockbuster",IF(Table1[[#This Row],[Gross_millions_Clean]]&gt;100,"Hit","Average"))</f>
        <v>Average</v>
      </c>
    </row>
    <row r="157" spans="1:19" x14ac:dyDescent="0.3">
      <c r="A157" t="s">
        <v>745</v>
      </c>
      <c r="B157" t="s">
        <v>746</v>
      </c>
      <c r="C157">
        <v>2007</v>
      </c>
      <c r="D157" s="8">
        <f>FLOOR(Table1[[#This Row],[Year]],10)</f>
        <v>2000</v>
      </c>
      <c r="E157" t="s">
        <v>24</v>
      </c>
      <c r="F157">
        <v>142</v>
      </c>
      <c r="G157" t="str">
        <f>IF(Table1[[#This Row],[Runtime_minutes]]&lt;90,"Short",IF(Table1[[#This Row],[Runtime_minutes]]&lt;=120,"Medium","Long"))</f>
        <v>Long</v>
      </c>
      <c r="H157" t="s">
        <v>157</v>
      </c>
      <c r="I157" t="s">
        <v>3985</v>
      </c>
      <c r="K157">
        <v>8</v>
      </c>
      <c r="L157">
        <v>83</v>
      </c>
      <c r="M157" t="s">
        <v>748</v>
      </c>
      <c r="N157" t="s">
        <v>236</v>
      </c>
      <c r="O157" t="s">
        <v>749</v>
      </c>
      <c r="P157">
        <v>50156</v>
      </c>
      <c r="Q157" s="3">
        <v>402.57</v>
      </c>
      <c r="R157" s="3">
        <f>IF(Table1[[#This Row],[Gross_millions]]=" ",0,Table1[[#This Row],[Gross_millions]])</f>
        <v>402.57</v>
      </c>
      <c r="S157" t="str">
        <f>IF(Table1[[#This Row],[Gross_millions_Clean]]&gt;200,"Blockbuster",IF(Table1[[#This Row],[Gross_millions_Clean]]&gt;100,"Hit","Average"))</f>
        <v>Blockbuster</v>
      </c>
    </row>
    <row r="158" spans="1:19" x14ac:dyDescent="0.3">
      <c r="A158" t="s">
        <v>750</v>
      </c>
      <c r="B158" t="s">
        <v>751</v>
      </c>
      <c r="C158">
        <v>1991</v>
      </c>
      <c r="D158" s="8">
        <f>FLOOR(Table1[[#This Row],[Year]],10)</f>
        <v>1990</v>
      </c>
      <c r="E158" t="s">
        <v>54</v>
      </c>
      <c r="F158">
        <v>85</v>
      </c>
      <c r="G158" t="str">
        <f>IF(Table1[[#This Row],[Runtime_minutes]]&lt;90,"Short",IF(Table1[[#This Row],[Runtime_minutes]]&lt;=120,"Medium","Long"))</f>
        <v>Short</v>
      </c>
      <c r="H158" t="s">
        <v>606</v>
      </c>
      <c r="I158" t="s">
        <v>3976</v>
      </c>
      <c r="J158" t="s">
        <v>3986</v>
      </c>
      <c r="K158">
        <v>8</v>
      </c>
      <c r="M158" t="s">
        <v>753</v>
      </c>
      <c r="N158" t="s">
        <v>191</v>
      </c>
      <c r="O158" t="s">
        <v>754</v>
      </c>
      <c r="P158">
        <v>50422</v>
      </c>
      <c r="Q158" s="3">
        <v>259.45999999999998</v>
      </c>
      <c r="R158" s="3">
        <f>IF(Table1[[#This Row],[Gross_millions]]=" ",0,Table1[[#This Row],[Gross_millions]])</f>
        <v>259.45999999999998</v>
      </c>
      <c r="S158" t="str">
        <f>IF(Table1[[#This Row],[Gross_millions_Clean]]&gt;200,"Blockbuster",IF(Table1[[#This Row],[Gross_millions_Clean]]&gt;100,"Hit","Average"))</f>
        <v>Blockbuster</v>
      </c>
    </row>
    <row r="159" spans="1:19" x14ac:dyDescent="0.3">
      <c r="A159" t="s">
        <v>755</v>
      </c>
      <c r="B159" t="s">
        <v>756</v>
      </c>
      <c r="C159">
        <v>2000</v>
      </c>
      <c r="D159" s="8">
        <f>FLOOR(Table1[[#This Row],[Year]],10)</f>
        <v>2000</v>
      </c>
      <c r="E159" t="s">
        <v>24</v>
      </c>
      <c r="F159">
        <v>152</v>
      </c>
      <c r="G159" t="str">
        <f>IF(Table1[[#This Row],[Runtime_minutes]]&lt;90,"Short",IF(Table1[[#This Row],[Runtime_minutes]]&lt;=120,"Medium","Long"))</f>
        <v>Long</v>
      </c>
      <c r="H159" t="s">
        <v>230</v>
      </c>
      <c r="I159" t="s">
        <v>3989</v>
      </c>
      <c r="J159" t="s">
        <v>3993</v>
      </c>
      <c r="K159">
        <v>8</v>
      </c>
      <c r="L159">
        <v>76</v>
      </c>
      <c r="M159" t="s">
        <v>758</v>
      </c>
      <c r="N159" t="s">
        <v>74</v>
      </c>
      <c r="O159" t="s">
        <v>759</v>
      </c>
      <c r="P159">
        <v>700778</v>
      </c>
      <c r="Q159" s="3">
        <v>45.63</v>
      </c>
      <c r="R159" s="3">
        <f>IF(Table1[[#This Row],[Gross_millions]]=" ",0,Table1[[#This Row],[Gross_millions]])</f>
        <v>45.63</v>
      </c>
      <c r="S159" t="str">
        <f>IF(Table1[[#This Row],[Gross_millions_Clean]]&gt;200,"Blockbuster",IF(Table1[[#This Row],[Gross_millions_Clean]]&gt;100,"Hit","Average"))</f>
        <v>Average</v>
      </c>
    </row>
    <row r="160" spans="1:19" x14ac:dyDescent="0.3">
      <c r="A160" t="s">
        <v>760</v>
      </c>
      <c r="B160" t="s">
        <v>761</v>
      </c>
      <c r="C160">
        <v>2008</v>
      </c>
      <c r="D160" s="8">
        <f>FLOOR(Table1[[#This Row],[Year]],10)</f>
        <v>2000</v>
      </c>
      <c r="E160" t="s">
        <v>24</v>
      </c>
      <c r="F160">
        <v>132</v>
      </c>
      <c r="G160" t="str">
        <f>IF(Table1[[#This Row],[Runtime_minutes]]&lt;90,"Short",IF(Table1[[#This Row],[Runtime_minutes]]&lt;=120,"Medium","Long"))</f>
        <v>Long</v>
      </c>
      <c r="H160" t="s">
        <v>78</v>
      </c>
      <c r="I160" t="s">
        <v>3986</v>
      </c>
      <c r="K160">
        <v>8</v>
      </c>
      <c r="M160" t="s">
        <v>763</v>
      </c>
      <c r="N160" t="s">
        <v>57</v>
      </c>
      <c r="O160" t="s">
        <v>764</v>
      </c>
      <c r="P160">
        <v>80400</v>
      </c>
      <c r="Q160" s="3"/>
      <c r="R160" s="3">
        <f>IF(Table1[[#This Row],[Gross_millions]]=" ",0,Table1[[#This Row],[Gross_millions]])</f>
        <v>0</v>
      </c>
      <c r="S160" t="str">
        <f>IF(Table1[[#This Row],[Gross_millions_Clean]]&gt;200,"Blockbuster",IF(Table1[[#This Row],[Gross_millions_Clean]]&gt;100,"Hit","Average"))</f>
        <v>Average</v>
      </c>
    </row>
    <row r="161" spans="1:19" x14ac:dyDescent="0.3">
      <c r="A161" t="s">
        <v>765</v>
      </c>
      <c r="B161" t="s">
        <v>766</v>
      </c>
      <c r="C161">
        <v>1970</v>
      </c>
      <c r="D161" s="8">
        <f>FLOOR(Table1[[#This Row],[Year]],10)</f>
        <v>1970</v>
      </c>
      <c r="E161" t="s">
        <v>17</v>
      </c>
      <c r="F161">
        <v>105</v>
      </c>
      <c r="G161" t="str">
        <f>IF(Table1[[#This Row],[Runtime_minutes]]&lt;90,"Short",IF(Table1[[#This Row],[Runtime_minutes]]&lt;=120,"Medium","Long"))</f>
        <v>Medium</v>
      </c>
      <c r="H161" t="s">
        <v>767</v>
      </c>
      <c r="K161">
        <v>8</v>
      </c>
      <c r="L161">
        <v>68</v>
      </c>
      <c r="M161" t="s">
        <v>768</v>
      </c>
      <c r="N161" t="s">
        <v>33</v>
      </c>
      <c r="O161" t="s">
        <v>769</v>
      </c>
      <c r="P161">
        <v>175405</v>
      </c>
      <c r="Q161" s="3">
        <v>78.17</v>
      </c>
      <c r="R161" s="3">
        <f>IF(Table1[[#This Row],[Gross_millions]]=" ",0,Table1[[#This Row],[Gross_millions]])</f>
        <v>78.17</v>
      </c>
      <c r="S161" t="str">
        <f>IF(Table1[[#This Row],[Gross_millions_Clean]]&gt;200,"Blockbuster",IF(Table1[[#This Row],[Gross_millions_Clean]]&gt;100,"Hit","Average"))</f>
        <v>Average</v>
      </c>
    </row>
    <row r="162" spans="1:19" x14ac:dyDescent="0.3">
      <c r="A162" t="s">
        <v>770</v>
      </c>
      <c r="B162" t="s">
        <v>771</v>
      </c>
      <c r="C162">
        <v>1949</v>
      </c>
      <c r="D162" s="8">
        <f>FLOOR(Table1[[#This Row],[Year]],10)</f>
        <v>1940</v>
      </c>
      <c r="E162" t="s">
        <v>24</v>
      </c>
      <c r="F162">
        <v>127</v>
      </c>
      <c r="G162" t="str">
        <f>IF(Table1[[#This Row],[Runtime_minutes]]&lt;90,"Short",IF(Table1[[#This Row],[Runtime_minutes]]&lt;=120,"Medium","Long"))</f>
        <v>Long</v>
      </c>
      <c r="H162" t="s">
        <v>37</v>
      </c>
      <c r="I162" t="s">
        <v>3990</v>
      </c>
      <c r="K162">
        <v>8</v>
      </c>
      <c r="L162">
        <v>84</v>
      </c>
      <c r="M162" t="s">
        <v>38</v>
      </c>
      <c r="N162" t="s">
        <v>483</v>
      </c>
      <c r="O162" t="s">
        <v>773</v>
      </c>
      <c r="P162">
        <v>23193</v>
      </c>
      <c r="Q162" s="3">
        <v>89.85</v>
      </c>
      <c r="R162" s="3">
        <f>IF(Table1[[#This Row],[Gross_millions]]=" ",0,Table1[[#This Row],[Gross_millions]])</f>
        <v>89.85</v>
      </c>
      <c r="S162" t="str">
        <f>IF(Table1[[#This Row],[Gross_millions_Clean]]&gt;200,"Blockbuster",IF(Table1[[#This Row],[Gross_millions_Clean]]&gt;100,"Hit","Average"))</f>
        <v>Average</v>
      </c>
    </row>
    <row r="163" spans="1:19" x14ac:dyDescent="0.3">
      <c r="A163" t="s">
        <v>774</v>
      </c>
      <c r="B163" t="s">
        <v>775</v>
      </c>
      <c r="C163">
        <v>2016</v>
      </c>
      <c r="D163" s="8">
        <f>FLOOR(Table1[[#This Row],[Year]],10)</f>
        <v>2010</v>
      </c>
      <c r="E163" t="s">
        <v>24</v>
      </c>
      <c r="F163">
        <v>130</v>
      </c>
      <c r="G163" t="str">
        <f>IF(Table1[[#This Row],[Runtime_minutes]]&lt;90,"Short",IF(Table1[[#This Row],[Runtime_minutes]]&lt;=120,"Medium","Long"))</f>
        <v>Long</v>
      </c>
      <c r="H163" t="s">
        <v>235</v>
      </c>
      <c r="I163" t="s">
        <v>3987</v>
      </c>
      <c r="K163">
        <v>7.9</v>
      </c>
      <c r="M163" t="s">
        <v>777</v>
      </c>
      <c r="N163" t="s">
        <v>608</v>
      </c>
      <c r="O163" t="s">
        <v>778</v>
      </c>
      <c r="P163">
        <v>23018</v>
      </c>
      <c r="Q163" s="3">
        <v>823.99</v>
      </c>
      <c r="R163" s="3">
        <f>IF(Table1[[#This Row],[Gross_millions]]=" ",0,Table1[[#This Row],[Gross_millions]])</f>
        <v>823.99</v>
      </c>
      <c r="S163" t="str">
        <f>IF(Table1[[#This Row],[Gross_millions_Clean]]&gt;200,"Blockbuster",IF(Table1[[#This Row],[Gross_millions_Clean]]&gt;100,"Hit","Average"))</f>
        <v>Blockbuster</v>
      </c>
    </row>
    <row r="164" spans="1:19" x14ac:dyDescent="0.3">
      <c r="A164" t="s">
        <v>779</v>
      </c>
      <c r="B164" t="s">
        <v>780</v>
      </c>
      <c r="C164">
        <v>2003</v>
      </c>
      <c r="D164" s="8">
        <f>FLOOR(Table1[[#This Row],[Year]],10)</f>
        <v>2000</v>
      </c>
      <c r="E164" t="s">
        <v>54</v>
      </c>
      <c r="F164">
        <v>124</v>
      </c>
      <c r="G164" t="str">
        <f>IF(Table1[[#This Row],[Runtime_minutes]]&lt;90,"Short",IF(Table1[[#This Row],[Runtime_minutes]]&lt;=120,"Medium","Long"))</f>
        <v>Long</v>
      </c>
      <c r="H164" t="s">
        <v>230</v>
      </c>
      <c r="K164">
        <v>7.9</v>
      </c>
      <c r="M164" t="s">
        <v>231</v>
      </c>
      <c r="N164" t="s">
        <v>92</v>
      </c>
      <c r="O164" t="s">
        <v>781</v>
      </c>
      <c r="P164">
        <v>27728</v>
      </c>
      <c r="Q164" s="3"/>
      <c r="R164" s="3">
        <f>IF(Table1[[#This Row],[Gross_millions]]=" ",0,Table1[[#This Row],[Gross_millions]])</f>
        <v>0</v>
      </c>
      <c r="S164" t="str">
        <f>IF(Table1[[#This Row],[Gross_millions_Clean]]&gt;200,"Blockbuster",IF(Table1[[#This Row],[Gross_millions_Clean]]&gt;100,"Hit","Average"))</f>
        <v>Average</v>
      </c>
    </row>
    <row r="165" spans="1:19" x14ac:dyDescent="0.3">
      <c r="A165" t="s">
        <v>782</v>
      </c>
      <c r="B165" t="s">
        <v>783</v>
      </c>
      <c r="C165">
        <v>1960</v>
      </c>
      <c r="D165" s="8">
        <f>FLOOR(Table1[[#This Row],[Year]],10)</f>
        <v>1960</v>
      </c>
      <c r="E165" t="s">
        <v>17</v>
      </c>
      <c r="F165">
        <v>150</v>
      </c>
      <c r="G165" t="str">
        <f>IF(Table1[[#This Row],[Runtime_minutes]]&lt;90,"Short",IF(Table1[[#This Row],[Runtime_minutes]]&lt;=120,"Medium","Long"))</f>
        <v>Long</v>
      </c>
      <c r="H165" t="s">
        <v>767</v>
      </c>
      <c r="I165" t="s">
        <v>3978</v>
      </c>
      <c r="K165">
        <v>7.9</v>
      </c>
      <c r="M165" t="s">
        <v>785</v>
      </c>
      <c r="N165" t="s">
        <v>50</v>
      </c>
      <c r="O165" t="s">
        <v>786</v>
      </c>
      <c r="P165">
        <v>22160</v>
      </c>
      <c r="Q165" s="3">
        <v>210.01</v>
      </c>
      <c r="R165" s="3">
        <f>IF(Table1[[#This Row],[Gross_millions]]=" ",0,Table1[[#This Row],[Gross_millions]])</f>
        <v>210.01</v>
      </c>
      <c r="S165" t="str">
        <f>IF(Table1[[#This Row],[Gross_millions_Clean]]&gt;200,"Blockbuster",IF(Table1[[#This Row],[Gross_millions_Clean]]&gt;100,"Hit","Average"))</f>
        <v>Blockbuster</v>
      </c>
    </row>
    <row r="166" spans="1:19" x14ac:dyDescent="0.3">
      <c r="A166" t="s">
        <v>787</v>
      </c>
      <c r="B166" t="s">
        <v>788</v>
      </c>
      <c r="C166">
        <v>2008</v>
      </c>
      <c r="D166" s="8">
        <f>FLOOR(Table1[[#This Row],[Year]],10)</f>
        <v>2000</v>
      </c>
      <c r="E166" t="s">
        <v>54</v>
      </c>
      <c r="F166">
        <v>118</v>
      </c>
      <c r="G166" t="str">
        <f>IF(Table1[[#This Row],[Runtime_minutes]]&lt;90,"Short",IF(Table1[[#This Row],[Runtime_minutes]]&lt;=120,"Medium","Long"))</f>
        <v>Medium</v>
      </c>
      <c r="H166" t="s">
        <v>375</v>
      </c>
      <c r="I166" t="s">
        <v>3977</v>
      </c>
      <c r="J166" t="s">
        <v>3988</v>
      </c>
      <c r="K166">
        <v>7.9</v>
      </c>
      <c r="L166">
        <v>65</v>
      </c>
      <c r="M166" t="s">
        <v>422</v>
      </c>
      <c r="N166" t="s">
        <v>221</v>
      </c>
      <c r="O166" t="s">
        <v>790</v>
      </c>
      <c r="P166">
        <v>30153</v>
      </c>
      <c r="Q166" s="3">
        <v>133.74</v>
      </c>
      <c r="R166" s="3">
        <f>IF(Table1[[#This Row],[Gross_millions]]=" ",0,Table1[[#This Row],[Gross_millions]])</f>
        <v>133.74</v>
      </c>
      <c r="S166" t="str">
        <f>IF(Table1[[#This Row],[Gross_millions_Clean]]&gt;200,"Blockbuster",IF(Table1[[#This Row],[Gross_millions_Clean]]&gt;100,"Hit","Average"))</f>
        <v>Hit</v>
      </c>
    </row>
    <row r="167" spans="1:19" x14ac:dyDescent="0.3">
      <c r="A167" t="s">
        <v>791</v>
      </c>
      <c r="B167" t="s">
        <v>792</v>
      </c>
      <c r="C167">
        <v>1989</v>
      </c>
      <c r="D167" s="8">
        <f>FLOOR(Table1[[#This Row],[Year]],10)</f>
        <v>1980</v>
      </c>
      <c r="E167" t="s">
        <v>54</v>
      </c>
      <c r="F167">
        <v>143</v>
      </c>
      <c r="G167" t="str">
        <f>IF(Table1[[#This Row],[Runtime_minutes]]&lt;90,"Short",IF(Table1[[#This Row],[Runtime_minutes]]&lt;=120,"Medium","Long"))</f>
        <v>Long</v>
      </c>
      <c r="H167" t="s">
        <v>606</v>
      </c>
      <c r="I167" t="s">
        <v>3978</v>
      </c>
      <c r="K167">
        <v>7.9</v>
      </c>
      <c r="L167">
        <v>68</v>
      </c>
      <c r="M167" t="s">
        <v>220</v>
      </c>
      <c r="N167" t="s">
        <v>153</v>
      </c>
      <c r="O167" t="s">
        <v>794</v>
      </c>
      <c r="P167">
        <v>152395</v>
      </c>
      <c r="Q167" s="3"/>
      <c r="R167" s="3">
        <f>IF(Table1[[#This Row],[Gross_millions]]=" ",0,Table1[[#This Row],[Gross_millions]])</f>
        <v>0</v>
      </c>
      <c r="S167" t="str">
        <f>IF(Table1[[#This Row],[Gross_millions_Clean]]&gt;200,"Blockbuster",IF(Table1[[#This Row],[Gross_millions_Clean]]&gt;100,"Hit","Average"))</f>
        <v>Average</v>
      </c>
    </row>
    <row r="168" spans="1:19" x14ac:dyDescent="0.3">
      <c r="A168" t="s">
        <v>795</v>
      </c>
      <c r="B168" t="s">
        <v>796</v>
      </c>
      <c r="C168">
        <v>1995</v>
      </c>
      <c r="D168" s="8">
        <f>FLOOR(Table1[[#This Row],[Year]],10)</f>
        <v>1990</v>
      </c>
      <c r="E168" t="s">
        <v>24</v>
      </c>
      <c r="F168">
        <v>115</v>
      </c>
      <c r="G168" t="str">
        <f>IF(Table1[[#This Row],[Runtime_minutes]]&lt;90,"Short",IF(Table1[[#This Row],[Runtime_minutes]]&lt;=120,"Medium","Long"))</f>
        <v>Medium</v>
      </c>
      <c r="H168" t="s">
        <v>230</v>
      </c>
      <c r="I168" t="s">
        <v>3976</v>
      </c>
      <c r="J168" t="s">
        <v>3979</v>
      </c>
      <c r="K168">
        <v>7.9</v>
      </c>
      <c r="L168">
        <v>72</v>
      </c>
      <c r="M168" t="s">
        <v>798</v>
      </c>
      <c r="N168" t="s">
        <v>191</v>
      </c>
      <c r="O168" t="s">
        <v>799</v>
      </c>
      <c r="P168">
        <v>15767</v>
      </c>
      <c r="Q168" s="3">
        <v>245.49</v>
      </c>
      <c r="R168" s="3">
        <f>IF(Table1[[#This Row],[Gross_millions]]=" ",0,Table1[[#This Row],[Gross_millions]])</f>
        <v>245.49</v>
      </c>
      <c r="S168" t="str">
        <f>IF(Table1[[#This Row],[Gross_millions_Clean]]&gt;200,"Blockbuster",IF(Table1[[#This Row],[Gross_millions_Clean]]&gt;100,"Hit","Average"))</f>
        <v>Blockbuster</v>
      </c>
    </row>
    <row r="169" spans="1:19" x14ac:dyDescent="0.3">
      <c r="A169" t="s">
        <v>800</v>
      </c>
      <c r="B169" t="s">
        <v>801</v>
      </c>
      <c r="C169">
        <v>1990</v>
      </c>
      <c r="D169" s="8">
        <f>FLOOR(Table1[[#This Row],[Year]],10)</f>
        <v>1990</v>
      </c>
      <c r="E169" t="s">
        <v>285</v>
      </c>
      <c r="F169">
        <v>132</v>
      </c>
      <c r="G169" t="str">
        <f>IF(Table1[[#This Row],[Runtime_minutes]]&lt;90,"Short",IF(Table1[[#This Row],[Runtime_minutes]]&lt;=120,"Medium","Long"))</f>
        <v>Long</v>
      </c>
      <c r="H169" t="s">
        <v>129</v>
      </c>
      <c r="K169">
        <v>7.9</v>
      </c>
      <c r="M169" t="s">
        <v>500</v>
      </c>
      <c r="N169" t="s">
        <v>326</v>
      </c>
      <c r="O169" t="s">
        <v>802</v>
      </c>
      <c r="P169">
        <v>12011</v>
      </c>
      <c r="Q169" s="3"/>
      <c r="R169" s="3">
        <f>IF(Table1[[#This Row],[Gross_millions]]=" ",0,Table1[[#This Row],[Gross_millions]])</f>
        <v>0</v>
      </c>
      <c r="S169" t="str">
        <f>IF(Table1[[#This Row],[Gross_millions_Clean]]&gt;200,"Blockbuster",IF(Table1[[#This Row],[Gross_millions_Clean]]&gt;100,"Hit","Average"))</f>
        <v>Average</v>
      </c>
    </row>
    <row r="170" spans="1:19" x14ac:dyDescent="0.3">
      <c r="A170" t="s">
        <v>803</v>
      </c>
      <c r="B170" t="s">
        <v>804</v>
      </c>
      <c r="C170">
        <v>1982</v>
      </c>
      <c r="D170" s="8">
        <f>FLOOR(Table1[[#This Row],[Year]],10)</f>
        <v>1980</v>
      </c>
      <c r="E170" t="s">
        <v>54</v>
      </c>
      <c r="F170">
        <v>110</v>
      </c>
      <c r="G170" t="str">
        <f>IF(Table1[[#This Row],[Runtime_minutes]]&lt;90,"Short",IF(Table1[[#This Row],[Runtime_minutes]]&lt;=120,"Medium","Long"))</f>
        <v>Medium</v>
      </c>
      <c r="H170" t="s">
        <v>606</v>
      </c>
      <c r="I170" t="s">
        <v>3987</v>
      </c>
      <c r="K170">
        <v>7.9</v>
      </c>
      <c r="M170" t="s">
        <v>805</v>
      </c>
      <c r="N170" t="s">
        <v>39</v>
      </c>
      <c r="O170" t="s">
        <v>806</v>
      </c>
      <c r="P170">
        <v>507552</v>
      </c>
      <c r="Q170" s="3">
        <v>23.37</v>
      </c>
      <c r="R170" s="3">
        <f>IF(Table1[[#This Row],[Gross_millions]]=" ",0,Table1[[#This Row],[Gross_millions]])</f>
        <v>23.37</v>
      </c>
      <c r="S170" t="str">
        <f>IF(Table1[[#This Row],[Gross_millions_Clean]]&gt;200,"Blockbuster",IF(Table1[[#This Row],[Gross_millions_Clean]]&gt;100,"Hit","Average"))</f>
        <v>Average</v>
      </c>
    </row>
    <row r="171" spans="1:19" x14ac:dyDescent="0.3">
      <c r="A171" t="s">
        <v>807</v>
      </c>
      <c r="B171" t="s">
        <v>808</v>
      </c>
      <c r="C171">
        <v>2020</v>
      </c>
      <c r="D171" s="8">
        <f>FLOOR(Table1[[#This Row],[Year]],10)</f>
        <v>2020</v>
      </c>
      <c r="E171" t="s">
        <v>54</v>
      </c>
      <c r="F171">
        <v>138</v>
      </c>
      <c r="G171" t="str">
        <f>IF(Table1[[#This Row],[Runtime_minutes]]&lt;90,"Short",IF(Table1[[#This Row],[Runtime_minutes]]&lt;=120,"Medium","Long"))</f>
        <v>Long</v>
      </c>
      <c r="H171" t="s">
        <v>235</v>
      </c>
      <c r="I171" t="s">
        <v>3985</v>
      </c>
      <c r="J171" t="s">
        <v>3987</v>
      </c>
      <c r="K171">
        <v>7.9</v>
      </c>
      <c r="L171">
        <v>68</v>
      </c>
      <c r="M171" t="s">
        <v>201</v>
      </c>
      <c r="N171" t="s">
        <v>50</v>
      </c>
      <c r="O171" t="s">
        <v>810</v>
      </c>
      <c r="P171">
        <v>176752</v>
      </c>
      <c r="Q171" s="3">
        <v>417.81</v>
      </c>
      <c r="R171" s="3">
        <f>IF(Table1[[#This Row],[Gross_millions]]=" ",0,Table1[[#This Row],[Gross_millions]])</f>
        <v>417.81</v>
      </c>
      <c r="S171" t="str">
        <f>IF(Table1[[#This Row],[Gross_millions_Clean]]&gt;200,"Blockbuster",IF(Table1[[#This Row],[Gross_millions_Clean]]&gt;100,"Hit","Average"))</f>
        <v>Blockbuster</v>
      </c>
    </row>
    <row r="172" spans="1:19" x14ac:dyDescent="0.3">
      <c r="A172" t="s">
        <v>811</v>
      </c>
      <c r="B172" t="s">
        <v>812</v>
      </c>
      <c r="C172">
        <v>2022</v>
      </c>
      <c r="D172" s="8">
        <f>FLOOR(Table1[[#This Row],[Year]],10)</f>
        <v>2020</v>
      </c>
      <c r="E172" t="s">
        <v>17</v>
      </c>
      <c r="F172">
        <v>141</v>
      </c>
      <c r="G172" t="str">
        <f>IF(Table1[[#This Row],[Runtime_minutes]]&lt;90,"Short",IF(Table1[[#This Row],[Runtime_minutes]]&lt;=120,"Medium","Long"))</f>
        <v>Long</v>
      </c>
      <c r="H172" t="s">
        <v>235</v>
      </c>
      <c r="I172" t="s">
        <v>3993</v>
      </c>
      <c r="K172">
        <v>7.9</v>
      </c>
      <c r="M172" t="s">
        <v>813</v>
      </c>
      <c r="N172" t="s">
        <v>33</v>
      </c>
      <c r="O172" t="s">
        <v>814</v>
      </c>
      <c r="P172">
        <v>2670</v>
      </c>
      <c r="Q172" s="3">
        <v>100.43</v>
      </c>
      <c r="R172" s="3">
        <f>IF(Table1[[#This Row],[Gross_millions]]=" ",0,Table1[[#This Row],[Gross_millions]])</f>
        <v>100.43</v>
      </c>
      <c r="S172" t="str">
        <f>IF(Table1[[#This Row],[Gross_millions_Clean]]&gt;200,"Blockbuster",IF(Table1[[#This Row],[Gross_millions_Clean]]&gt;100,"Hit","Average"))</f>
        <v>Hit</v>
      </c>
    </row>
    <row r="173" spans="1:19" x14ac:dyDescent="0.3">
      <c r="A173" t="s">
        <v>815</v>
      </c>
      <c r="B173" t="s">
        <v>816</v>
      </c>
      <c r="C173">
        <v>2012</v>
      </c>
      <c r="D173" s="8">
        <f>FLOOR(Table1[[#This Row],[Year]],10)</f>
        <v>2010</v>
      </c>
      <c r="E173" t="s">
        <v>54</v>
      </c>
      <c r="F173">
        <v>99</v>
      </c>
      <c r="G173" t="str">
        <f>IF(Table1[[#This Row],[Runtime_minutes]]&lt;90,"Short",IF(Table1[[#This Row],[Runtime_minutes]]&lt;=120,"Medium","Long"))</f>
        <v>Medium</v>
      </c>
      <c r="H173" t="s">
        <v>210</v>
      </c>
      <c r="I173" t="s">
        <v>3987</v>
      </c>
      <c r="K173">
        <v>7.9</v>
      </c>
      <c r="M173" t="s">
        <v>19</v>
      </c>
      <c r="N173" t="s">
        <v>368</v>
      </c>
      <c r="O173" t="s">
        <v>818</v>
      </c>
      <c r="P173">
        <v>16329</v>
      </c>
      <c r="Q173" s="3">
        <v>869.63</v>
      </c>
      <c r="R173" s="3">
        <f>IF(Table1[[#This Row],[Gross_millions]]=" ",0,Table1[[#This Row],[Gross_millions]])</f>
        <v>869.63</v>
      </c>
      <c r="S173" t="str">
        <f>IF(Table1[[#This Row],[Gross_millions_Clean]]&gt;200,"Blockbuster",IF(Table1[[#This Row],[Gross_millions_Clean]]&gt;100,"Hit","Average"))</f>
        <v>Blockbuster</v>
      </c>
    </row>
    <row r="174" spans="1:19" x14ac:dyDescent="0.3">
      <c r="A174" t="s">
        <v>819</v>
      </c>
      <c r="B174" t="s">
        <v>820</v>
      </c>
      <c r="C174">
        <v>1957</v>
      </c>
      <c r="D174" s="8">
        <f>FLOOR(Table1[[#This Row],[Year]],10)</f>
        <v>1950</v>
      </c>
      <c r="E174" t="s">
        <v>54</v>
      </c>
      <c r="F174">
        <v>113</v>
      </c>
      <c r="G174" t="str">
        <f>IF(Table1[[#This Row],[Runtime_minutes]]&lt;90,"Short",IF(Table1[[#This Row],[Runtime_minutes]]&lt;=120,"Medium","Long"))</f>
        <v>Medium</v>
      </c>
      <c r="H174" t="s">
        <v>72</v>
      </c>
      <c r="I174" t="s">
        <v>3984</v>
      </c>
      <c r="K174">
        <v>7.9</v>
      </c>
      <c r="L174">
        <v>76</v>
      </c>
      <c r="M174" t="s">
        <v>491</v>
      </c>
      <c r="N174" t="s">
        <v>159</v>
      </c>
      <c r="O174" t="s">
        <v>821</v>
      </c>
      <c r="P174">
        <v>28204</v>
      </c>
      <c r="Q174" s="3">
        <v>89.57</v>
      </c>
      <c r="R174" s="3">
        <f>IF(Table1[[#This Row],[Gross_millions]]=" ",0,Table1[[#This Row],[Gross_millions]])</f>
        <v>89.57</v>
      </c>
      <c r="S174" t="str">
        <f>IF(Table1[[#This Row],[Gross_millions_Clean]]&gt;200,"Blockbuster",IF(Table1[[#This Row],[Gross_millions_Clean]]&gt;100,"Hit","Average"))</f>
        <v>Average</v>
      </c>
    </row>
    <row r="175" spans="1:19" x14ac:dyDescent="0.3">
      <c r="A175" t="s">
        <v>822</v>
      </c>
      <c r="B175" t="s">
        <v>823</v>
      </c>
      <c r="C175">
        <v>2010</v>
      </c>
      <c r="D175" s="8">
        <f>FLOOR(Table1[[#This Row],[Year]],10)</f>
        <v>2010</v>
      </c>
      <c r="E175" t="s">
        <v>54</v>
      </c>
      <c r="F175">
        <v>87</v>
      </c>
      <c r="G175" t="str">
        <f>IF(Table1[[#This Row],[Runtime_minutes]]&lt;90,"Short",IF(Table1[[#This Row],[Runtime_minutes]]&lt;=120,"Medium","Long"))</f>
        <v>Short</v>
      </c>
      <c r="H175" t="s">
        <v>157</v>
      </c>
      <c r="K175">
        <v>7.9</v>
      </c>
      <c r="M175" t="s">
        <v>824</v>
      </c>
      <c r="N175" t="s">
        <v>119</v>
      </c>
      <c r="O175" t="s">
        <v>825</v>
      </c>
      <c r="P175">
        <v>192165</v>
      </c>
      <c r="Q175" s="3">
        <v>466</v>
      </c>
      <c r="R175" s="3">
        <f>IF(Table1[[#This Row],[Gross_millions]]=" ",0,Table1[[#This Row],[Gross_millions]])</f>
        <v>466</v>
      </c>
      <c r="S175" t="str">
        <f>IF(Table1[[#This Row],[Gross_millions_Clean]]&gt;200,"Blockbuster",IF(Table1[[#This Row],[Gross_millions_Clean]]&gt;100,"Hit","Average"))</f>
        <v>Blockbuster</v>
      </c>
    </row>
    <row r="176" spans="1:19" x14ac:dyDescent="0.3">
      <c r="A176" t="s">
        <v>826</v>
      </c>
      <c r="B176" t="s">
        <v>162</v>
      </c>
      <c r="C176">
        <v>1978</v>
      </c>
      <c r="D176" s="8">
        <f>FLOOR(Table1[[#This Row],[Year]],10)</f>
        <v>1970</v>
      </c>
      <c r="E176" t="s">
        <v>24</v>
      </c>
      <c r="F176">
        <v>112</v>
      </c>
      <c r="G176" t="str">
        <f>IF(Table1[[#This Row],[Runtime_minutes]]&lt;90,"Short",IF(Table1[[#This Row],[Runtime_minutes]]&lt;=120,"Medium","Long"))</f>
        <v>Medium</v>
      </c>
      <c r="H176" t="s">
        <v>375</v>
      </c>
      <c r="I176" t="s">
        <v>3983</v>
      </c>
      <c r="J176" t="s">
        <v>3987</v>
      </c>
      <c r="K176">
        <v>7.9</v>
      </c>
      <c r="M176" t="s">
        <v>828</v>
      </c>
      <c r="N176" t="s">
        <v>86</v>
      </c>
      <c r="O176" t="s">
        <v>829</v>
      </c>
      <c r="P176">
        <v>89920</v>
      </c>
      <c r="Q176" s="3">
        <v>212.07</v>
      </c>
      <c r="R176" s="3">
        <f>IF(Table1[[#This Row],[Gross_millions]]=" ",0,Table1[[#This Row],[Gross_millions]])</f>
        <v>212.07</v>
      </c>
      <c r="S176" t="str">
        <f>IF(Table1[[#This Row],[Gross_millions_Clean]]&gt;200,"Blockbuster",IF(Table1[[#This Row],[Gross_millions_Clean]]&gt;100,"Hit","Average"))</f>
        <v>Blockbuster</v>
      </c>
    </row>
    <row r="177" spans="1:19" x14ac:dyDescent="0.3">
      <c r="A177" t="s">
        <v>830</v>
      </c>
      <c r="B177" t="s">
        <v>831</v>
      </c>
      <c r="C177">
        <v>1986</v>
      </c>
      <c r="D177" s="8">
        <f>FLOOR(Table1[[#This Row],[Year]],10)</f>
        <v>1980</v>
      </c>
      <c r="E177" t="s">
        <v>169</v>
      </c>
      <c r="F177">
        <v>122</v>
      </c>
      <c r="G177" t="str">
        <f>IF(Table1[[#This Row],[Runtime_minutes]]&lt;90,"Short",IF(Table1[[#This Row],[Runtime_minutes]]&lt;=120,"Medium","Long"))</f>
        <v>Long</v>
      </c>
      <c r="H177" t="s">
        <v>72</v>
      </c>
      <c r="K177">
        <v>7.9</v>
      </c>
      <c r="L177">
        <v>65</v>
      </c>
      <c r="M177" t="s">
        <v>832</v>
      </c>
      <c r="N177" t="s">
        <v>524</v>
      </c>
      <c r="O177" t="s">
        <v>833</v>
      </c>
      <c r="P177">
        <v>39753</v>
      </c>
      <c r="Q177" s="3"/>
      <c r="R177" s="3">
        <f>IF(Table1[[#This Row],[Gross_millions]]=" ",0,Table1[[#This Row],[Gross_millions]])</f>
        <v>0</v>
      </c>
      <c r="S177" t="str">
        <f>IF(Table1[[#This Row],[Gross_millions_Clean]]&gt;200,"Blockbuster",IF(Table1[[#This Row],[Gross_millions_Clean]]&gt;100,"Hit","Average"))</f>
        <v>Average</v>
      </c>
    </row>
    <row r="178" spans="1:19" x14ac:dyDescent="0.3">
      <c r="A178" t="s">
        <v>834</v>
      </c>
      <c r="B178" t="s">
        <v>835</v>
      </c>
      <c r="C178">
        <v>2019</v>
      </c>
      <c r="D178" s="8">
        <f>FLOOR(Table1[[#This Row],[Year]],10)</f>
        <v>2010</v>
      </c>
      <c r="E178" t="s">
        <v>54</v>
      </c>
      <c r="F178">
        <v>139</v>
      </c>
      <c r="G178" t="str">
        <f>IF(Table1[[#This Row],[Runtime_minutes]]&lt;90,"Short",IF(Table1[[#This Row],[Runtime_minutes]]&lt;=120,"Medium","Long"))</f>
        <v>Long</v>
      </c>
      <c r="H178" t="s">
        <v>375</v>
      </c>
      <c r="K178">
        <v>7.9</v>
      </c>
      <c r="L178">
        <v>67</v>
      </c>
      <c r="M178" t="s">
        <v>422</v>
      </c>
      <c r="N178" t="s">
        <v>137</v>
      </c>
      <c r="O178" t="s">
        <v>836</v>
      </c>
      <c r="P178">
        <v>2500000</v>
      </c>
      <c r="Q178" s="3"/>
      <c r="R178" s="3">
        <f>IF(Table1[[#This Row],[Gross_millions]]=" ",0,Table1[[#This Row],[Gross_millions]])</f>
        <v>0</v>
      </c>
      <c r="S178" t="str">
        <f>IF(Table1[[#This Row],[Gross_millions_Clean]]&gt;200,"Blockbuster",IF(Table1[[#This Row],[Gross_millions_Clean]]&gt;100,"Hit","Average"))</f>
        <v>Average</v>
      </c>
    </row>
    <row r="179" spans="1:19" x14ac:dyDescent="0.3">
      <c r="A179" t="s">
        <v>837</v>
      </c>
      <c r="B179" t="s">
        <v>838</v>
      </c>
      <c r="C179">
        <v>1995</v>
      </c>
      <c r="D179" s="8">
        <f>FLOOR(Table1[[#This Row],[Year]],10)</f>
        <v>1990</v>
      </c>
      <c r="E179" t="s">
        <v>54</v>
      </c>
      <c r="F179">
        <v>156</v>
      </c>
      <c r="G179" t="str">
        <f>IF(Table1[[#This Row],[Runtime_minutes]]&lt;90,"Short",IF(Table1[[#This Row],[Runtime_minutes]]&lt;=120,"Medium","Long"))</f>
        <v>Long</v>
      </c>
      <c r="H179" t="s">
        <v>78</v>
      </c>
      <c r="I179" t="s">
        <v>3991</v>
      </c>
      <c r="K179">
        <v>7.9</v>
      </c>
      <c r="L179">
        <v>76</v>
      </c>
      <c r="M179" t="s">
        <v>412</v>
      </c>
      <c r="N179" t="s">
        <v>125</v>
      </c>
      <c r="O179" t="s">
        <v>840</v>
      </c>
      <c r="P179">
        <v>29620</v>
      </c>
      <c r="Q179" s="3"/>
      <c r="R179" s="3">
        <f>IF(Table1[[#This Row],[Gross_millions]]=" ",0,Table1[[#This Row],[Gross_millions]])</f>
        <v>0</v>
      </c>
      <c r="S179" t="str">
        <f>IF(Table1[[#This Row],[Gross_millions_Clean]]&gt;200,"Blockbuster",IF(Table1[[#This Row],[Gross_millions_Clean]]&gt;100,"Hit","Average"))</f>
        <v>Average</v>
      </c>
    </row>
    <row r="180" spans="1:19" x14ac:dyDescent="0.3">
      <c r="A180" t="s">
        <v>841</v>
      </c>
      <c r="B180" t="s">
        <v>842</v>
      </c>
      <c r="C180">
        <v>2012</v>
      </c>
      <c r="D180" s="8">
        <f>FLOOR(Table1[[#This Row],[Year]],10)</f>
        <v>2010</v>
      </c>
      <c r="E180" t="s">
        <v>17</v>
      </c>
      <c r="F180">
        <v>135</v>
      </c>
      <c r="G180" t="str">
        <f>IF(Table1[[#This Row],[Runtime_minutes]]&lt;90,"Short",IF(Table1[[#This Row],[Runtime_minutes]]&lt;=120,"Medium","Long"))</f>
        <v>Long</v>
      </c>
      <c r="H180" t="s">
        <v>235</v>
      </c>
      <c r="I180" t="s">
        <v>3991</v>
      </c>
      <c r="K180">
        <v>7.9</v>
      </c>
      <c r="M180" t="s">
        <v>844</v>
      </c>
      <c r="N180" t="s">
        <v>315</v>
      </c>
      <c r="O180" t="s">
        <v>845</v>
      </c>
      <c r="P180">
        <v>51522</v>
      </c>
      <c r="Q180" s="3">
        <v>550.44000000000005</v>
      </c>
      <c r="R180" s="3">
        <f>IF(Table1[[#This Row],[Gross_millions]]=" ",0,Table1[[#This Row],[Gross_millions]])</f>
        <v>550.44000000000005</v>
      </c>
      <c r="S180" t="str">
        <f>IF(Table1[[#This Row],[Gross_millions_Clean]]&gt;200,"Blockbuster",IF(Table1[[#This Row],[Gross_millions_Clean]]&gt;100,"Hit","Average"))</f>
        <v>Blockbuster</v>
      </c>
    </row>
    <row r="181" spans="1:19" x14ac:dyDescent="0.3">
      <c r="A181" t="s">
        <v>846</v>
      </c>
      <c r="B181" t="s">
        <v>847</v>
      </c>
      <c r="C181">
        <v>2000</v>
      </c>
      <c r="D181" s="8">
        <f>FLOOR(Table1[[#This Row],[Year]],10)</f>
        <v>2000</v>
      </c>
      <c r="E181" t="s">
        <v>17</v>
      </c>
      <c r="F181">
        <v>89</v>
      </c>
      <c r="G181" t="str">
        <f>IF(Table1[[#This Row],[Runtime_minutes]]&lt;90,"Short",IF(Table1[[#This Row],[Runtime_minutes]]&lt;=120,"Medium","Long"))</f>
        <v>Short</v>
      </c>
      <c r="H181" t="s">
        <v>235</v>
      </c>
      <c r="I181" t="s">
        <v>3991</v>
      </c>
      <c r="K181">
        <v>7.9</v>
      </c>
      <c r="L181">
        <v>79</v>
      </c>
      <c r="M181" t="s">
        <v>201</v>
      </c>
      <c r="N181" t="s">
        <v>147</v>
      </c>
      <c r="O181" t="s">
        <v>848</v>
      </c>
      <c r="P181">
        <v>26165</v>
      </c>
      <c r="Q181" s="3">
        <v>218.12</v>
      </c>
      <c r="R181" s="3">
        <f>IF(Table1[[#This Row],[Gross_millions]]=" ",0,Table1[[#This Row],[Gross_millions]])</f>
        <v>218.12</v>
      </c>
      <c r="S181" t="str">
        <f>IF(Table1[[#This Row],[Gross_millions_Clean]]&gt;200,"Blockbuster",IF(Table1[[#This Row],[Gross_millions_Clean]]&gt;100,"Hit","Average"))</f>
        <v>Blockbuster</v>
      </c>
    </row>
    <row r="182" spans="1:19" x14ac:dyDescent="0.3">
      <c r="A182" t="s">
        <v>849</v>
      </c>
      <c r="B182" t="s">
        <v>850</v>
      </c>
      <c r="C182">
        <v>2005</v>
      </c>
      <c r="D182" s="8">
        <f>FLOOR(Table1[[#This Row],[Year]],10)</f>
        <v>2000</v>
      </c>
      <c r="E182" t="s">
        <v>54</v>
      </c>
      <c r="F182">
        <v>133</v>
      </c>
      <c r="G182" t="str">
        <f>IF(Table1[[#This Row],[Runtime_minutes]]&lt;90,"Short",IF(Table1[[#This Row],[Runtime_minutes]]&lt;=120,"Medium","Long"))</f>
        <v>Long</v>
      </c>
      <c r="H182" t="s">
        <v>55</v>
      </c>
      <c r="I182" t="s">
        <v>3989</v>
      </c>
      <c r="K182">
        <v>7.9</v>
      </c>
      <c r="L182">
        <v>90</v>
      </c>
      <c r="M182" t="s">
        <v>852</v>
      </c>
      <c r="N182" t="s">
        <v>80</v>
      </c>
      <c r="O182" t="s">
        <v>853</v>
      </c>
      <c r="P182">
        <v>78553</v>
      </c>
      <c r="Q182" s="3">
        <v>499.98</v>
      </c>
      <c r="R182" s="3">
        <f>IF(Table1[[#This Row],[Gross_millions]]=" ",0,Table1[[#This Row],[Gross_millions]])</f>
        <v>499.98</v>
      </c>
      <c r="S182" t="str">
        <f>IF(Table1[[#This Row],[Gross_millions_Clean]]&gt;200,"Blockbuster",IF(Table1[[#This Row],[Gross_millions_Clean]]&gt;100,"Hit","Average"))</f>
        <v>Blockbuster</v>
      </c>
    </row>
    <row r="183" spans="1:19" x14ac:dyDescent="0.3">
      <c r="A183" t="s">
        <v>854</v>
      </c>
      <c r="B183" t="s">
        <v>855</v>
      </c>
      <c r="C183">
        <v>2002</v>
      </c>
      <c r="D183" s="8">
        <f>FLOOR(Table1[[#This Row],[Year]],10)</f>
        <v>2000</v>
      </c>
      <c r="E183" t="s">
        <v>24</v>
      </c>
      <c r="F183">
        <v>130</v>
      </c>
      <c r="G183" t="str">
        <f>IF(Table1[[#This Row],[Runtime_minutes]]&lt;90,"Short",IF(Table1[[#This Row],[Runtime_minutes]]&lt;=120,"Medium","Long"))</f>
        <v>Long</v>
      </c>
      <c r="H183" t="s">
        <v>868</v>
      </c>
      <c r="I183" t="s">
        <v>3984</v>
      </c>
      <c r="K183">
        <v>7.9</v>
      </c>
      <c r="L183">
        <v>86</v>
      </c>
      <c r="M183" t="s">
        <v>857</v>
      </c>
      <c r="N183" t="s">
        <v>524</v>
      </c>
      <c r="O183" t="s">
        <v>858</v>
      </c>
      <c r="P183">
        <v>176033</v>
      </c>
      <c r="Q183" s="3">
        <v>339.8</v>
      </c>
      <c r="R183" s="3">
        <f>IF(Table1[[#This Row],[Gross_millions]]=" ",0,Table1[[#This Row],[Gross_millions]])</f>
        <v>339.8</v>
      </c>
      <c r="S183" t="str">
        <f>IF(Table1[[#This Row],[Gross_millions_Clean]]&gt;200,"Blockbuster",IF(Table1[[#This Row],[Gross_millions_Clean]]&gt;100,"Hit","Average"))</f>
        <v>Blockbuster</v>
      </c>
    </row>
    <row r="184" spans="1:19" x14ac:dyDescent="0.3">
      <c r="A184" t="s">
        <v>859</v>
      </c>
      <c r="B184" t="s">
        <v>860</v>
      </c>
      <c r="C184">
        <v>2007</v>
      </c>
      <c r="D184" s="8">
        <f>FLOOR(Table1[[#This Row],[Year]],10)</f>
        <v>2000</v>
      </c>
      <c r="E184" t="s">
        <v>169</v>
      </c>
      <c r="F184">
        <v>119</v>
      </c>
      <c r="G184" t="str">
        <f>IF(Table1[[#This Row],[Runtime_minutes]]&lt;90,"Short",IF(Table1[[#This Row],[Runtime_minutes]]&lt;=120,"Medium","Long"))</f>
        <v>Medium</v>
      </c>
      <c r="H184" t="s">
        <v>868</v>
      </c>
      <c r="I184" t="s">
        <v>3993</v>
      </c>
      <c r="K184">
        <v>7.9</v>
      </c>
      <c r="L184">
        <v>81</v>
      </c>
      <c r="M184" t="s">
        <v>355</v>
      </c>
      <c r="N184" t="s">
        <v>27</v>
      </c>
      <c r="O184" t="s">
        <v>862</v>
      </c>
      <c r="P184">
        <v>135320</v>
      </c>
      <c r="Q184" s="3">
        <v>454.59</v>
      </c>
      <c r="R184" s="3">
        <f>IF(Table1[[#This Row],[Gross_millions]]=" ",0,Table1[[#This Row],[Gross_millions]])</f>
        <v>454.59</v>
      </c>
      <c r="S184" t="str">
        <f>IF(Table1[[#This Row],[Gross_millions_Clean]]&gt;200,"Blockbuster",IF(Table1[[#This Row],[Gross_millions_Clean]]&gt;100,"Hit","Average"))</f>
        <v>Blockbuster</v>
      </c>
    </row>
    <row r="185" spans="1:19" x14ac:dyDescent="0.3">
      <c r="A185" t="s">
        <v>863</v>
      </c>
      <c r="B185" t="s">
        <v>864</v>
      </c>
      <c r="C185">
        <v>2004</v>
      </c>
      <c r="D185" s="8">
        <f>FLOOR(Table1[[#This Row],[Year]],10)</f>
        <v>2000</v>
      </c>
      <c r="E185" t="s">
        <v>17</v>
      </c>
      <c r="F185">
        <v>107</v>
      </c>
      <c r="G185" t="str">
        <f>IF(Table1[[#This Row],[Runtime_minutes]]&lt;90,"Short",IF(Table1[[#This Row],[Runtime_minutes]]&lt;=120,"Medium","Long"))</f>
        <v>Medium</v>
      </c>
      <c r="H185" t="s">
        <v>37</v>
      </c>
      <c r="K185">
        <v>7.9</v>
      </c>
      <c r="M185" t="s">
        <v>561</v>
      </c>
      <c r="N185" t="s">
        <v>137</v>
      </c>
      <c r="O185" t="s">
        <v>865</v>
      </c>
      <c r="P185">
        <v>504214</v>
      </c>
      <c r="Q185" s="3"/>
      <c r="R185" s="3">
        <f>IF(Table1[[#This Row],[Gross_millions]]=" ",0,Table1[[#This Row],[Gross_millions]])</f>
        <v>0</v>
      </c>
      <c r="S185" t="str">
        <f>IF(Table1[[#This Row],[Gross_millions_Clean]]&gt;200,"Blockbuster",IF(Table1[[#This Row],[Gross_millions_Clean]]&gt;100,"Hit","Average"))</f>
        <v>Average</v>
      </c>
    </row>
    <row r="186" spans="1:19" x14ac:dyDescent="0.3">
      <c r="A186" t="s">
        <v>866</v>
      </c>
      <c r="B186" t="s">
        <v>867</v>
      </c>
      <c r="C186">
        <v>2024</v>
      </c>
      <c r="D186" s="8">
        <f>FLOOR(Table1[[#This Row],[Year]],10)</f>
        <v>2020</v>
      </c>
      <c r="E186" t="s">
        <v>17</v>
      </c>
      <c r="F186">
        <v>110</v>
      </c>
      <c r="G186" t="str">
        <f>IF(Table1[[#This Row],[Runtime_minutes]]&lt;90,"Short",IF(Table1[[#This Row],[Runtime_minutes]]&lt;=120,"Medium","Long"))</f>
        <v>Medium</v>
      </c>
      <c r="H186" t="s">
        <v>868</v>
      </c>
      <c r="K186">
        <v>7.9</v>
      </c>
      <c r="L186">
        <v>91</v>
      </c>
      <c r="M186" t="s">
        <v>355</v>
      </c>
      <c r="N186" t="s">
        <v>153</v>
      </c>
      <c r="O186" t="s">
        <v>869</v>
      </c>
      <c r="P186">
        <v>15647</v>
      </c>
      <c r="Q186" s="3"/>
      <c r="R186" s="3">
        <f>IF(Table1[[#This Row],[Gross_millions]]=" ",0,Table1[[#This Row],[Gross_millions]])</f>
        <v>0</v>
      </c>
      <c r="S186" t="str">
        <f>IF(Table1[[#This Row],[Gross_millions_Clean]]&gt;200,"Blockbuster",IF(Table1[[#This Row],[Gross_millions_Clean]]&gt;100,"Hit","Average"))</f>
        <v>Average</v>
      </c>
    </row>
    <row r="187" spans="1:19" x14ac:dyDescent="0.3">
      <c r="A187" t="s">
        <v>870</v>
      </c>
      <c r="B187" t="s">
        <v>871</v>
      </c>
      <c r="C187">
        <v>2023</v>
      </c>
      <c r="D187" s="8">
        <f>FLOOR(Table1[[#This Row],[Year]],10)</f>
        <v>2020</v>
      </c>
      <c r="E187" t="s">
        <v>54</v>
      </c>
      <c r="F187">
        <v>84</v>
      </c>
      <c r="G187" t="str">
        <f>IF(Table1[[#This Row],[Runtime_minutes]]&lt;90,"Short",IF(Table1[[#This Row],[Runtime_minutes]]&lt;=120,"Medium","Long"))</f>
        <v>Short</v>
      </c>
      <c r="H187" t="s">
        <v>277</v>
      </c>
      <c r="I187" t="s">
        <v>3990</v>
      </c>
      <c r="K187">
        <v>7.9</v>
      </c>
      <c r="L187">
        <v>74</v>
      </c>
      <c r="M187" t="s">
        <v>873</v>
      </c>
      <c r="N187" t="s">
        <v>315</v>
      </c>
      <c r="O187" t="s">
        <v>874</v>
      </c>
      <c r="P187">
        <v>15388</v>
      </c>
      <c r="Q187" s="3">
        <v>404.1</v>
      </c>
      <c r="R187" s="3">
        <f>IF(Table1[[#This Row],[Gross_millions]]=" ",0,Table1[[#This Row],[Gross_millions]])</f>
        <v>404.1</v>
      </c>
      <c r="S187" t="str">
        <f>IF(Table1[[#This Row],[Gross_millions_Clean]]&gt;200,"Blockbuster",IF(Table1[[#This Row],[Gross_millions_Clean]]&gt;100,"Hit","Average"))</f>
        <v>Blockbuster</v>
      </c>
    </row>
    <row r="188" spans="1:19" x14ac:dyDescent="0.3">
      <c r="A188" t="s">
        <v>875</v>
      </c>
      <c r="B188" t="s">
        <v>876</v>
      </c>
      <c r="C188">
        <v>2021</v>
      </c>
      <c r="D188" s="8">
        <f>FLOOR(Table1[[#This Row],[Year]],10)</f>
        <v>2020</v>
      </c>
      <c r="E188" t="s">
        <v>54</v>
      </c>
      <c r="F188">
        <v>122</v>
      </c>
      <c r="G188" t="str">
        <f>IF(Table1[[#This Row],[Runtime_minutes]]&lt;90,"Short",IF(Table1[[#This Row],[Runtime_minutes]]&lt;=120,"Medium","Long"))</f>
        <v>Long</v>
      </c>
      <c r="H188" t="s">
        <v>868</v>
      </c>
      <c r="I188" t="s">
        <v>3992</v>
      </c>
      <c r="J188" t="s">
        <v>3993</v>
      </c>
      <c r="K188">
        <v>7.9</v>
      </c>
      <c r="M188" t="s">
        <v>355</v>
      </c>
      <c r="N188" t="s">
        <v>20</v>
      </c>
      <c r="O188" t="s">
        <v>878</v>
      </c>
      <c r="P188">
        <v>17581</v>
      </c>
      <c r="Q188" s="3"/>
      <c r="R188" s="3">
        <f>IF(Table1[[#This Row],[Gross_millions]]=" ",0,Table1[[#This Row],[Gross_millions]])</f>
        <v>0</v>
      </c>
      <c r="S188" t="str">
        <f>IF(Table1[[#This Row],[Gross_millions_Clean]]&gt;200,"Blockbuster",IF(Table1[[#This Row],[Gross_millions_Clean]]&gt;100,"Hit","Average"))</f>
        <v>Average</v>
      </c>
    </row>
    <row r="189" spans="1:19" x14ac:dyDescent="0.3">
      <c r="A189" t="s">
        <v>879</v>
      </c>
      <c r="B189" t="s">
        <v>880</v>
      </c>
      <c r="C189">
        <v>1989</v>
      </c>
      <c r="D189" s="8">
        <f>FLOOR(Table1[[#This Row],[Year]],10)</f>
        <v>1980</v>
      </c>
      <c r="E189" t="s">
        <v>17</v>
      </c>
      <c r="F189">
        <v>123</v>
      </c>
      <c r="G189" t="str">
        <f>IF(Table1[[#This Row],[Runtime_minutes]]&lt;90,"Short",IF(Table1[[#This Row],[Runtime_minutes]]&lt;=120,"Medium","Long"))</f>
        <v>Long</v>
      </c>
      <c r="H189" t="s">
        <v>37</v>
      </c>
      <c r="K189">
        <v>7.9</v>
      </c>
      <c r="M189" t="s">
        <v>881</v>
      </c>
      <c r="N189" t="s">
        <v>103</v>
      </c>
      <c r="O189" t="s">
        <v>882</v>
      </c>
      <c r="P189">
        <v>129033</v>
      </c>
      <c r="Q189" s="3"/>
      <c r="R189" s="3">
        <f>IF(Table1[[#This Row],[Gross_millions]]=" ",0,Table1[[#This Row],[Gross_millions]])</f>
        <v>0</v>
      </c>
      <c r="S189" t="str">
        <f>IF(Table1[[#This Row],[Gross_millions_Clean]]&gt;200,"Blockbuster",IF(Table1[[#This Row],[Gross_millions_Clean]]&gt;100,"Hit","Average"))</f>
        <v>Average</v>
      </c>
    </row>
    <row r="190" spans="1:19" x14ac:dyDescent="0.3">
      <c r="A190" t="s">
        <v>883</v>
      </c>
      <c r="B190" t="s">
        <v>884</v>
      </c>
      <c r="C190">
        <v>2008</v>
      </c>
      <c r="D190" s="8">
        <f>FLOOR(Table1[[#This Row],[Year]],10)</f>
        <v>2000</v>
      </c>
      <c r="E190" t="s">
        <v>285</v>
      </c>
      <c r="F190">
        <v>139</v>
      </c>
      <c r="G190" t="str">
        <f>IF(Table1[[#This Row],[Runtime_minutes]]&lt;90,"Short",IF(Table1[[#This Row],[Runtime_minutes]]&lt;=120,"Medium","Long"))</f>
        <v>Long</v>
      </c>
      <c r="H190" t="s">
        <v>1044</v>
      </c>
      <c r="I190" t="s">
        <v>3979</v>
      </c>
      <c r="K190">
        <v>7.9</v>
      </c>
      <c r="L190">
        <v>79</v>
      </c>
      <c r="M190" t="s">
        <v>886</v>
      </c>
      <c r="N190" t="s">
        <v>147</v>
      </c>
      <c r="O190" t="s">
        <v>887</v>
      </c>
      <c r="P190">
        <v>68390</v>
      </c>
      <c r="Q190" s="3"/>
      <c r="R190" s="3">
        <f>IF(Table1[[#This Row],[Gross_millions]]=" ",0,Table1[[#This Row],[Gross_millions]])</f>
        <v>0</v>
      </c>
      <c r="S190" t="str">
        <f>IF(Table1[[#This Row],[Gross_millions_Clean]]&gt;200,"Blockbuster",IF(Table1[[#This Row],[Gross_millions_Clean]]&gt;100,"Hit","Average"))</f>
        <v>Average</v>
      </c>
    </row>
    <row r="191" spans="1:19" x14ac:dyDescent="0.3">
      <c r="A191" t="s">
        <v>888</v>
      </c>
      <c r="B191" t="s">
        <v>889</v>
      </c>
      <c r="C191">
        <v>2013</v>
      </c>
      <c r="D191" s="8">
        <f>FLOOR(Table1[[#This Row],[Year]],10)</f>
        <v>2010</v>
      </c>
      <c r="E191" t="s">
        <v>54</v>
      </c>
      <c r="F191">
        <v>132</v>
      </c>
      <c r="G191" t="str">
        <f>IF(Table1[[#This Row],[Runtime_minutes]]&lt;90,"Short",IF(Table1[[#This Row],[Runtime_minutes]]&lt;=120,"Medium","Long"))</f>
        <v>Long</v>
      </c>
      <c r="H191" t="s">
        <v>43</v>
      </c>
      <c r="I191" t="s">
        <v>3991</v>
      </c>
      <c r="K191">
        <v>7.9</v>
      </c>
      <c r="L191">
        <v>74</v>
      </c>
      <c r="M191" t="s">
        <v>136</v>
      </c>
      <c r="N191" t="s">
        <v>315</v>
      </c>
      <c r="O191" t="s">
        <v>890</v>
      </c>
      <c r="P191">
        <v>48573</v>
      </c>
      <c r="Q191" s="3">
        <v>311.02999999999997</v>
      </c>
      <c r="R191" s="3">
        <f>IF(Table1[[#This Row],[Gross_millions]]=" ",0,Table1[[#This Row],[Gross_millions]])</f>
        <v>311.02999999999997</v>
      </c>
      <c r="S191" t="str">
        <f>IF(Table1[[#This Row],[Gross_millions_Clean]]&gt;200,"Blockbuster",IF(Table1[[#This Row],[Gross_millions_Clean]]&gt;100,"Hit","Average"))</f>
        <v>Blockbuster</v>
      </c>
    </row>
    <row r="192" spans="1:19" x14ac:dyDescent="0.3">
      <c r="A192" t="s">
        <v>891</v>
      </c>
      <c r="B192" t="s">
        <v>892</v>
      </c>
      <c r="C192">
        <v>1993</v>
      </c>
      <c r="D192" s="8">
        <f>FLOOR(Table1[[#This Row],[Year]],10)</f>
        <v>1990</v>
      </c>
      <c r="E192" t="s">
        <v>17</v>
      </c>
      <c r="F192">
        <v>127</v>
      </c>
      <c r="G192" t="str">
        <f>IF(Table1[[#This Row],[Runtime_minutes]]&lt;90,"Short",IF(Table1[[#This Row],[Runtime_minutes]]&lt;=120,"Medium","Long"))</f>
        <v>Long</v>
      </c>
      <c r="H192" t="s">
        <v>453</v>
      </c>
      <c r="I192" t="s">
        <v>3977</v>
      </c>
      <c r="J192" t="s">
        <v>3992</v>
      </c>
      <c r="K192">
        <v>7.9</v>
      </c>
      <c r="L192">
        <v>74</v>
      </c>
      <c r="M192" t="s">
        <v>894</v>
      </c>
      <c r="N192" t="s">
        <v>159</v>
      </c>
      <c r="O192" t="s">
        <v>895</v>
      </c>
      <c r="P192">
        <v>230821</v>
      </c>
      <c r="Q192" s="3"/>
      <c r="R192" s="3">
        <f>IF(Table1[[#This Row],[Gross_millions]]=" ",0,Table1[[#This Row],[Gross_millions]])</f>
        <v>0</v>
      </c>
      <c r="S192" t="str">
        <f>IF(Table1[[#This Row],[Gross_millions_Clean]]&gt;200,"Blockbuster",IF(Table1[[#This Row],[Gross_millions_Clean]]&gt;100,"Hit","Average"))</f>
        <v>Average</v>
      </c>
    </row>
    <row r="193" spans="1:19" x14ac:dyDescent="0.3">
      <c r="A193" t="s">
        <v>896</v>
      </c>
      <c r="B193" t="s">
        <v>897</v>
      </c>
      <c r="C193">
        <v>2024</v>
      </c>
      <c r="D193" s="8">
        <f>FLOOR(Table1[[#This Row],[Year]],10)</f>
        <v>2020</v>
      </c>
      <c r="E193" t="s">
        <v>17</v>
      </c>
      <c r="F193">
        <v>153</v>
      </c>
      <c r="G193" t="str">
        <f>IF(Table1[[#This Row],[Runtime_minutes]]&lt;90,"Short",IF(Table1[[#This Row],[Runtime_minutes]]&lt;=120,"Medium","Long"))</f>
        <v>Long</v>
      </c>
      <c r="H193" t="s">
        <v>55</v>
      </c>
      <c r="K193">
        <v>7.8</v>
      </c>
      <c r="M193" t="s">
        <v>898</v>
      </c>
      <c r="N193" t="s">
        <v>103</v>
      </c>
      <c r="O193" t="s">
        <v>899</v>
      </c>
      <c r="P193">
        <v>79694</v>
      </c>
      <c r="Q193" s="3">
        <v>983.71</v>
      </c>
      <c r="R193" s="3">
        <f>IF(Table1[[#This Row],[Gross_millions]]=" ",0,Table1[[#This Row],[Gross_millions]])</f>
        <v>983.71</v>
      </c>
      <c r="S193" t="str">
        <f>IF(Table1[[#This Row],[Gross_millions_Clean]]&gt;200,"Blockbuster",IF(Table1[[#This Row],[Gross_millions_Clean]]&gt;100,"Hit","Average"))</f>
        <v>Blockbuster</v>
      </c>
    </row>
    <row r="194" spans="1:19" x14ac:dyDescent="0.3">
      <c r="A194" t="s">
        <v>900</v>
      </c>
      <c r="B194" t="s">
        <v>901</v>
      </c>
      <c r="C194">
        <v>2001</v>
      </c>
      <c r="D194" s="8">
        <f>FLOOR(Table1[[#This Row],[Year]],10)</f>
        <v>2000</v>
      </c>
      <c r="E194" t="s">
        <v>54</v>
      </c>
      <c r="F194">
        <v>130</v>
      </c>
      <c r="G194" t="str">
        <f>IF(Table1[[#This Row],[Runtime_minutes]]&lt;90,"Short",IF(Table1[[#This Row],[Runtime_minutes]]&lt;=120,"Medium","Long"))</f>
        <v>Long</v>
      </c>
      <c r="H194" t="s">
        <v>1044</v>
      </c>
      <c r="I194" t="s">
        <v>3983</v>
      </c>
      <c r="K194">
        <v>7.8</v>
      </c>
      <c r="M194" t="s">
        <v>903</v>
      </c>
      <c r="N194" t="s">
        <v>113</v>
      </c>
      <c r="O194" t="s">
        <v>904</v>
      </c>
      <c r="P194">
        <v>345913</v>
      </c>
      <c r="Q194" s="3">
        <v>95.88</v>
      </c>
      <c r="R194" s="3">
        <f>IF(Table1[[#This Row],[Gross_millions]]=" ",0,Table1[[#This Row],[Gross_millions]])</f>
        <v>95.88</v>
      </c>
      <c r="S194" t="str">
        <f>IF(Table1[[#This Row],[Gross_millions_Clean]]&gt;200,"Blockbuster",IF(Table1[[#This Row],[Gross_millions_Clean]]&gt;100,"Hit","Average"))</f>
        <v>Average</v>
      </c>
    </row>
    <row r="195" spans="1:19" x14ac:dyDescent="0.3">
      <c r="A195" t="s">
        <v>905</v>
      </c>
      <c r="B195" t="s">
        <v>906</v>
      </c>
      <c r="C195">
        <v>2010</v>
      </c>
      <c r="D195" s="8">
        <f>FLOOR(Table1[[#This Row],[Year]],10)</f>
        <v>2010</v>
      </c>
      <c r="E195" t="s">
        <v>24</v>
      </c>
      <c r="F195">
        <v>131</v>
      </c>
      <c r="G195" t="str">
        <f>IF(Table1[[#This Row],[Runtime_minutes]]&lt;90,"Short",IF(Table1[[#This Row],[Runtime_minutes]]&lt;=120,"Medium","Long"))</f>
        <v>Long</v>
      </c>
      <c r="H195" t="s">
        <v>375</v>
      </c>
      <c r="I195" t="s">
        <v>3983</v>
      </c>
      <c r="K195">
        <v>7.8</v>
      </c>
      <c r="L195">
        <v>82</v>
      </c>
      <c r="M195" t="s">
        <v>422</v>
      </c>
      <c r="N195" t="s">
        <v>86</v>
      </c>
      <c r="O195" t="s">
        <v>907</v>
      </c>
      <c r="P195">
        <v>204991</v>
      </c>
      <c r="Q195" s="3">
        <v>155.33000000000001</v>
      </c>
      <c r="R195" s="3">
        <f>IF(Table1[[#This Row],[Gross_millions]]=" ",0,Table1[[#This Row],[Gross_millions]])</f>
        <v>155.33000000000001</v>
      </c>
      <c r="S195" t="str">
        <f>IF(Table1[[#This Row],[Gross_millions_Clean]]&gt;200,"Blockbuster",IF(Table1[[#This Row],[Gross_millions_Clean]]&gt;100,"Hit","Average"))</f>
        <v>Hit</v>
      </c>
    </row>
    <row r="196" spans="1:19" x14ac:dyDescent="0.3">
      <c r="A196" t="s">
        <v>908</v>
      </c>
      <c r="B196" t="s">
        <v>909</v>
      </c>
      <c r="C196">
        <v>2002</v>
      </c>
      <c r="D196" s="8">
        <f>FLOOR(Table1[[#This Row],[Year]],10)</f>
        <v>2000</v>
      </c>
      <c r="E196" t="s">
        <v>54</v>
      </c>
      <c r="F196">
        <v>119</v>
      </c>
      <c r="G196" t="str">
        <f>IF(Table1[[#This Row],[Runtime_minutes]]&lt;90,"Short",IF(Table1[[#This Row],[Runtime_minutes]]&lt;=120,"Medium","Long"))</f>
        <v>Medium</v>
      </c>
      <c r="H196" t="s">
        <v>129</v>
      </c>
      <c r="I196" t="s">
        <v>3983</v>
      </c>
      <c r="J196" t="s">
        <v>3980</v>
      </c>
      <c r="K196">
        <v>7.8</v>
      </c>
      <c r="L196">
        <v>76</v>
      </c>
      <c r="M196" t="s">
        <v>911</v>
      </c>
      <c r="N196" t="s">
        <v>125</v>
      </c>
      <c r="O196" t="s">
        <v>912</v>
      </c>
      <c r="P196">
        <v>71064</v>
      </c>
      <c r="Q196" s="3">
        <v>13.22</v>
      </c>
      <c r="R196" s="3">
        <f>IF(Table1[[#This Row],[Gross_millions]]=" ",0,Table1[[#This Row],[Gross_millions]])</f>
        <v>13.22</v>
      </c>
      <c r="S196" t="str">
        <f>IF(Table1[[#This Row],[Gross_millions_Clean]]&gt;200,"Blockbuster",IF(Table1[[#This Row],[Gross_millions_Clean]]&gt;100,"Hit","Average"))</f>
        <v>Average</v>
      </c>
    </row>
    <row r="197" spans="1:19" x14ac:dyDescent="0.3">
      <c r="A197" t="s">
        <v>913</v>
      </c>
      <c r="B197" t="s">
        <v>914</v>
      </c>
      <c r="C197">
        <v>1987</v>
      </c>
      <c r="D197" s="8">
        <f>FLOOR(Table1[[#This Row],[Year]],10)</f>
        <v>1980</v>
      </c>
      <c r="E197" t="s">
        <v>54</v>
      </c>
      <c r="F197">
        <v>120</v>
      </c>
      <c r="G197" t="str">
        <f>IF(Table1[[#This Row],[Runtime_minutes]]&lt;90,"Short",IF(Table1[[#This Row],[Runtime_minutes]]&lt;=120,"Medium","Long"))</f>
        <v>Medium</v>
      </c>
      <c r="H197" t="s">
        <v>767</v>
      </c>
      <c r="K197">
        <v>7.8</v>
      </c>
      <c r="L197">
        <v>73</v>
      </c>
      <c r="M197" t="s">
        <v>915</v>
      </c>
      <c r="N197" t="s">
        <v>125</v>
      </c>
      <c r="O197" t="s">
        <v>916</v>
      </c>
      <c r="P197">
        <v>71849</v>
      </c>
      <c r="Q197" s="3"/>
      <c r="R197" s="3">
        <f>IF(Table1[[#This Row],[Gross_millions]]=" ",0,Table1[[#This Row],[Gross_millions]])</f>
        <v>0</v>
      </c>
      <c r="S197" t="str">
        <f>IF(Table1[[#This Row],[Gross_millions_Clean]]&gt;200,"Blockbuster",IF(Table1[[#This Row],[Gross_millions_Clean]]&gt;100,"Hit","Average"))</f>
        <v>Average</v>
      </c>
    </row>
    <row r="198" spans="1:19" x14ac:dyDescent="0.3">
      <c r="A198" t="s">
        <v>917</v>
      </c>
      <c r="B198" t="s">
        <v>918</v>
      </c>
      <c r="C198">
        <v>2008</v>
      </c>
      <c r="D198" s="8">
        <f>FLOOR(Table1[[#This Row],[Year]],10)</f>
        <v>2000</v>
      </c>
      <c r="E198" t="s">
        <v>17</v>
      </c>
      <c r="F198">
        <v>119</v>
      </c>
      <c r="G198" t="str">
        <f>IF(Table1[[#This Row],[Runtime_minutes]]&lt;90,"Short",IF(Table1[[#This Row],[Runtime_minutes]]&lt;=120,"Medium","Long"))</f>
        <v>Medium</v>
      </c>
      <c r="H198" t="s">
        <v>157</v>
      </c>
      <c r="I198" t="s">
        <v>3981</v>
      </c>
      <c r="K198">
        <v>7.8</v>
      </c>
      <c r="L198">
        <v>78</v>
      </c>
      <c r="M198" t="s">
        <v>920</v>
      </c>
      <c r="N198" t="s">
        <v>593</v>
      </c>
      <c r="O198" t="s">
        <v>921</v>
      </c>
      <c r="P198">
        <v>55431</v>
      </c>
      <c r="Q198" s="3"/>
      <c r="R198" s="3">
        <f>IF(Table1[[#This Row],[Gross_millions]]=" ",0,Table1[[#This Row],[Gross_millions]])</f>
        <v>0</v>
      </c>
      <c r="S198" t="str">
        <f>IF(Table1[[#This Row],[Gross_millions_Clean]]&gt;200,"Blockbuster",IF(Table1[[#This Row],[Gross_millions_Clean]]&gt;100,"Hit","Average"))</f>
        <v>Average</v>
      </c>
    </row>
    <row r="199" spans="1:19" x14ac:dyDescent="0.3">
      <c r="A199" t="s">
        <v>922</v>
      </c>
      <c r="B199" t="s">
        <v>923</v>
      </c>
      <c r="C199">
        <v>2016</v>
      </c>
      <c r="D199" s="8">
        <f>FLOOR(Table1[[#This Row],[Year]],10)</f>
        <v>2010</v>
      </c>
      <c r="E199" t="s">
        <v>17</v>
      </c>
      <c r="F199">
        <v>140</v>
      </c>
      <c r="G199" t="str">
        <f>IF(Table1[[#This Row],[Runtime_minutes]]&lt;90,"Short",IF(Table1[[#This Row],[Runtime_minutes]]&lt;=120,"Medium","Long"))</f>
        <v>Long</v>
      </c>
      <c r="H199" t="s">
        <v>72</v>
      </c>
      <c r="I199" t="s">
        <v>3993</v>
      </c>
      <c r="K199">
        <v>7.8</v>
      </c>
      <c r="M199" t="s">
        <v>491</v>
      </c>
      <c r="N199" t="s">
        <v>196</v>
      </c>
      <c r="O199" t="s">
        <v>925</v>
      </c>
      <c r="P199">
        <v>11655</v>
      </c>
      <c r="Q199" s="3">
        <v>243.84</v>
      </c>
      <c r="R199" s="3">
        <f>IF(Table1[[#This Row],[Gross_millions]]=" ",0,Table1[[#This Row],[Gross_millions]])</f>
        <v>243.84</v>
      </c>
      <c r="S199" t="str">
        <f>IF(Table1[[#This Row],[Gross_millions_Clean]]&gt;200,"Blockbuster",IF(Table1[[#This Row],[Gross_millions_Clean]]&gt;100,"Hit","Average"))</f>
        <v>Blockbuster</v>
      </c>
    </row>
    <row r="200" spans="1:19" x14ac:dyDescent="0.3">
      <c r="A200" t="s">
        <v>926</v>
      </c>
      <c r="B200" t="s">
        <v>927</v>
      </c>
      <c r="C200">
        <v>2015</v>
      </c>
      <c r="D200" s="8">
        <f>FLOOR(Table1[[#This Row],[Year]],10)</f>
        <v>2010</v>
      </c>
      <c r="E200" t="s">
        <v>169</v>
      </c>
      <c r="F200">
        <v>116</v>
      </c>
      <c r="G200" t="str">
        <f>IF(Table1[[#This Row],[Runtime_minutes]]&lt;90,"Short",IF(Table1[[#This Row],[Runtime_minutes]]&lt;=120,"Medium","Long"))</f>
        <v>Medium</v>
      </c>
      <c r="H200" t="s">
        <v>606</v>
      </c>
      <c r="I200" t="s">
        <v>3984</v>
      </c>
      <c r="J200" t="s">
        <v>3976</v>
      </c>
      <c r="K200">
        <v>7.8</v>
      </c>
      <c r="L200">
        <v>69</v>
      </c>
      <c r="M200" t="s">
        <v>929</v>
      </c>
      <c r="N200" t="s">
        <v>191</v>
      </c>
      <c r="O200" t="s">
        <v>930</v>
      </c>
      <c r="P200">
        <v>145850</v>
      </c>
      <c r="Q200" s="3">
        <v>939.39</v>
      </c>
      <c r="R200" s="3">
        <f>IF(Table1[[#This Row],[Gross_millions]]=" ",0,Table1[[#This Row],[Gross_millions]])</f>
        <v>939.39</v>
      </c>
      <c r="S200" t="str">
        <f>IF(Table1[[#This Row],[Gross_millions_Clean]]&gt;200,"Blockbuster",IF(Table1[[#This Row],[Gross_millions_Clean]]&gt;100,"Hit","Average"))</f>
        <v>Blockbuster</v>
      </c>
    </row>
    <row r="201" spans="1:19" x14ac:dyDescent="0.3">
      <c r="A201" t="s">
        <v>931</v>
      </c>
      <c r="B201" t="s">
        <v>932</v>
      </c>
      <c r="C201">
        <v>2012</v>
      </c>
      <c r="D201" s="8">
        <f>FLOOR(Table1[[#This Row],[Year]],10)</f>
        <v>2010</v>
      </c>
      <c r="E201" t="s">
        <v>24</v>
      </c>
      <c r="F201">
        <v>104</v>
      </c>
      <c r="G201" t="str">
        <f>IF(Table1[[#This Row],[Runtime_minutes]]&lt;90,"Short",IF(Table1[[#This Row],[Runtime_minutes]]&lt;=120,"Medium","Long"))</f>
        <v>Medium</v>
      </c>
      <c r="H201" t="s">
        <v>767</v>
      </c>
      <c r="I201" t="s">
        <v>3991</v>
      </c>
      <c r="K201">
        <v>7.8</v>
      </c>
      <c r="M201" t="s">
        <v>933</v>
      </c>
      <c r="N201" t="s">
        <v>103</v>
      </c>
      <c r="O201" t="s">
        <v>934</v>
      </c>
      <c r="P201">
        <v>61819</v>
      </c>
      <c r="Q201" s="3">
        <v>78.05</v>
      </c>
      <c r="R201" s="3">
        <f>IF(Table1[[#This Row],[Gross_millions]]=" ",0,Table1[[#This Row],[Gross_millions]])</f>
        <v>78.05</v>
      </c>
      <c r="S201" t="str">
        <f>IF(Table1[[#This Row],[Gross_millions_Clean]]&gt;200,"Blockbuster",IF(Table1[[#This Row],[Gross_millions_Clean]]&gt;100,"Hit","Average"))</f>
        <v>Average</v>
      </c>
    </row>
    <row r="202" spans="1:19" x14ac:dyDescent="0.3">
      <c r="A202" t="s">
        <v>935</v>
      </c>
      <c r="B202" t="s">
        <v>936</v>
      </c>
      <c r="C202">
        <v>2016</v>
      </c>
      <c r="D202" s="8">
        <f>FLOOR(Table1[[#This Row],[Year]],10)</f>
        <v>2010</v>
      </c>
      <c r="E202" t="s">
        <v>24</v>
      </c>
      <c r="F202">
        <v>144</v>
      </c>
      <c r="G202" t="str">
        <f>IF(Table1[[#This Row],[Runtime_minutes]]&lt;90,"Short",IF(Table1[[#This Row],[Runtime_minutes]]&lt;=120,"Medium","Long"))</f>
        <v>Long</v>
      </c>
      <c r="H202" t="s">
        <v>48</v>
      </c>
      <c r="I202" t="s">
        <v>3993</v>
      </c>
      <c r="J202" t="s">
        <v>3976</v>
      </c>
      <c r="K202">
        <v>7.8</v>
      </c>
      <c r="L202">
        <v>68</v>
      </c>
      <c r="M202" t="s">
        <v>566</v>
      </c>
      <c r="N202" t="s">
        <v>80</v>
      </c>
      <c r="O202" t="s">
        <v>938</v>
      </c>
      <c r="P202">
        <v>149299</v>
      </c>
      <c r="Q202" s="3"/>
      <c r="R202" s="3">
        <f>IF(Table1[[#This Row],[Gross_millions]]=" ",0,Table1[[#This Row],[Gross_millions]])</f>
        <v>0</v>
      </c>
      <c r="S202" t="str">
        <f>IF(Table1[[#This Row],[Gross_millions_Clean]]&gt;200,"Blockbuster",IF(Table1[[#This Row],[Gross_millions_Clean]]&gt;100,"Hit","Average"))</f>
        <v>Average</v>
      </c>
    </row>
    <row r="203" spans="1:19" x14ac:dyDescent="0.3">
      <c r="A203" t="s">
        <v>939</v>
      </c>
      <c r="B203" t="s">
        <v>940</v>
      </c>
      <c r="C203">
        <v>2007</v>
      </c>
      <c r="D203" s="8">
        <f>FLOOR(Table1[[#This Row],[Year]],10)</f>
        <v>2000</v>
      </c>
      <c r="E203" t="s">
        <v>24</v>
      </c>
      <c r="F203">
        <v>141</v>
      </c>
      <c r="G203" t="str">
        <f>IF(Table1[[#This Row],[Runtime_minutes]]&lt;90,"Short",IF(Table1[[#This Row],[Runtime_minutes]]&lt;=120,"Medium","Long"))</f>
        <v>Long</v>
      </c>
      <c r="H203" t="s">
        <v>868</v>
      </c>
      <c r="I203" t="s">
        <v>3989</v>
      </c>
      <c r="K203">
        <v>7.8</v>
      </c>
      <c r="M203" t="s">
        <v>355</v>
      </c>
      <c r="N203" t="s">
        <v>251</v>
      </c>
      <c r="O203" t="s">
        <v>942</v>
      </c>
      <c r="P203">
        <v>355238</v>
      </c>
      <c r="Q203" s="3">
        <v>297.95</v>
      </c>
      <c r="R203" s="3">
        <f>IF(Table1[[#This Row],[Gross_millions]]=" ",0,Table1[[#This Row],[Gross_millions]])</f>
        <v>297.95</v>
      </c>
      <c r="S203" t="str">
        <f>IF(Table1[[#This Row],[Gross_millions_Clean]]&gt;200,"Blockbuster",IF(Table1[[#This Row],[Gross_millions_Clean]]&gt;100,"Hit","Average"))</f>
        <v>Blockbuster</v>
      </c>
    </row>
    <row r="204" spans="1:19" x14ac:dyDescent="0.3">
      <c r="A204" t="s">
        <v>943</v>
      </c>
      <c r="B204" t="s">
        <v>944</v>
      </c>
      <c r="C204">
        <v>2016</v>
      </c>
      <c r="D204" s="8">
        <f>FLOOR(Table1[[#This Row],[Year]],10)</f>
        <v>2010</v>
      </c>
      <c r="E204" t="s">
        <v>24</v>
      </c>
      <c r="F204">
        <v>112</v>
      </c>
      <c r="G204" t="str">
        <f>IF(Table1[[#This Row],[Runtime_minutes]]&lt;90,"Short",IF(Table1[[#This Row],[Runtime_minutes]]&lt;=120,"Medium","Long"))</f>
        <v>Medium</v>
      </c>
      <c r="H204" t="s">
        <v>129</v>
      </c>
      <c r="K204">
        <v>7.8</v>
      </c>
      <c r="M204" t="s">
        <v>130</v>
      </c>
      <c r="N204" t="s">
        <v>27</v>
      </c>
      <c r="O204" t="s">
        <v>945</v>
      </c>
      <c r="P204">
        <v>1011433</v>
      </c>
      <c r="Q204" s="3"/>
      <c r="R204" s="3">
        <f>IF(Table1[[#This Row],[Gross_millions]]=" ",0,Table1[[#This Row],[Gross_millions]])</f>
        <v>0</v>
      </c>
      <c r="S204" t="str">
        <f>IF(Table1[[#This Row],[Gross_millions_Clean]]&gt;200,"Blockbuster",IF(Table1[[#This Row],[Gross_millions_Clean]]&gt;100,"Hit","Average"))</f>
        <v>Average</v>
      </c>
    </row>
    <row r="205" spans="1:19" x14ac:dyDescent="0.3">
      <c r="A205" t="s">
        <v>946</v>
      </c>
      <c r="B205" t="s">
        <v>947</v>
      </c>
      <c r="C205">
        <v>1977</v>
      </c>
      <c r="D205" s="8">
        <f>FLOOR(Table1[[#This Row],[Year]],10)</f>
        <v>1970</v>
      </c>
      <c r="E205" t="s">
        <v>24</v>
      </c>
      <c r="F205">
        <v>108</v>
      </c>
      <c r="G205" t="str">
        <f>IF(Table1[[#This Row],[Runtime_minutes]]&lt;90,"Short",IF(Table1[[#This Row],[Runtime_minutes]]&lt;=120,"Medium","Long"))</f>
        <v>Medium</v>
      </c>
      <c r="H205" t="s">
        <v>157</v>
      </c>
      <c r="I205" t="s">
        <v>3989</v>
      </c>
      <c r="K205">
        <v>7.8</v>
      </c>
      <c r="L205">
        <v>67</v>
      </c>
      <c r="M205" t="s">
        <v>629</v>
      </c>
      <c r="N205" t="s">
        <v>57</v>
      </c>
      <c r="O205" t="s">
        <v>949</v>
      </c>
      <c r="P205">
        <v>57557</v>
      </c>
      <c r="Q205" s="3">
        <v>159.65</v>
      </c>
      <c r="R205" s="3">
        <f>IF(Table1[[#This Row],[Gross_millions]]=" ",0,Table1[[#This Row],[Gross_millions]])</f>
        <v>159.65</v>
      </c>
      <c r="S205" t="str">
        <f>IF(Table1[[#This Row],[Gross_millions_Clean]]&gt;200,"Blockbuster",IF(Table1[[#This Row],[Gross_millions_Clean]]&gt;100,"Hit","Average"))</f>
        <v>Hit</v>
      </c>
    </row>
    <row r="206" spans="1:19" x14ac:dyDescent="0.3">
      <c r="A206" t="s">
        <v>950</v>
      </c>
      <c r="B206" t="s">
        <v>951</v>
      </c>
      <c r="C206">
        <v>1964</v>
      </c>
      <c r="D206" s="8">
        <f>FLOOR(Table1[[#This Row],[Year]],10)</f>
        <v>1960</v>
      </c>
      <c r="E206" t="s">
        <v>54</v>
      </c>
      <c r="F206">
        <v>135</v>
      </c>
      <c r="G206" t="str">
        <f>IF(Table1[[#This Row],[Runtime_minutes]]&lt;90,"Short",IF(Table1[[#This Row],[Runtime_minutes]]&lt;=120,"Medium","Long"))</f>
        <v>Long</v>
      </c>
      <c r="H206" t="s">
        <v>1044</v>
      </c>
      <c r="I206" t="s">
        <v>3982</v>
      </c>
      <c r="K206">
        <v>7.8</v>
      </c>
      <c r="L206">
        <v>72</v>
      </c>
      <c r="M206" t="s">
        <v>952</v>
      </c>
      <c r="N206" t="s">
        <v>251</v>
      </c>
      <c r="O206" t="s">
        <v>953</v>
      </c>
      <c r="P206">
        <v>294597</v>
      </c>
      <c r="Q206" s="3">
        <v>187.49</v>
      </c>
      <c r="R206" s="3">
        <f>IF(Table1[[#This Row],[Gross_millions]]=" ",0,Table1[[#This Row],[Gross_millions]])</f>
        <v>187.49</v>
      </c>
      <c r="S206" t="str">
        <f>IF(Table1[[#This Row],[Gross_millions_Clean]]&gt;200,"Blockbuster",IF(Table1[[#This Row],[Gross_millions_Clean]]&gt;100,"Hit","Average"))</f>
        <v>Hit</v>
      </c>
    </row>
    <row r="207" spans="1:19" x14ac:dyDescent="0.3">
      <c r="A207" t="s">
        <v>954</v>
      </c>
      <c r="B207" t="s">
        <v>955</v>
      </c>
      <c r="C207">
        <v>2001</v>
      </c>
      <c r="D207" s="8">
        <f>FLOOR(Table1[[#This Row],[Year]],10)</f>
        <v>2000</v>
      </c>
      <c r="E207" t="s">
        <v>17</v>
      </c>
      <c r="F207">
        <v>127</v>
      </c>
      <c r="G207" t="str">
        <f>IF(Table1[[#This Row],[Runtime_minutes]]&lt;90,"Short",IF(Table1[[#This Row],[Runtime_minutes]]&lt;=120,"Medium","Long"))</f>
        <v>Long</v>
      </c>
      <c r="H207" t="s">
        <v>157</v>
      </c>
      <c r="I207" t="s">
        <v>3984</v>
      </c>
      <c r="J207" t="s">
        <v>3976</v>
      </c>
      <c r="K207">
        <v>7.8</v>
      </c>
      <c r="M207" t="s">
        <v>957</v>
      </c>
      <c r="N207" t="s">
        <v>50</v>
      </c>
      <c r="O207" t="s">
        <v>958</v>
      </c>
      <c r="P207">
        <v>1224943</v>
      </c>
      <c r="Q207" s="3"/>
      <c r="R207" s="3">
        <f>IF(Table1[[#This Row],[Gross_millions]]=" ",0,Table1[[#This Row],[Gross_millions]])</f>
        <v>0</v>
      </c>
      <c r="S207" t="str">
        <f>IF(Table1[[#This Row],[Gross_millions_Clean]]&gt;200,"Blockbuster",IF(Table1[[#This Row],[Gross_millions_Clean]]&gt;100,"Hit","Average"))</f>
        <v>Average</v>
      </c>
    </row>
    <row r="208" spans="1:19" x14ac:dyDescent="0.3">
      <c r="A208" t="s">
        <v>959</v>
      </c>
      <c r="B208" t="s">
        <v>960</v>
      </c>
      <c r="C208">
        <v>2000</v>
      </c>
      <c r="D208" s="8">
        <f>FLOOR(Table1[[#This Row],[Year]],10)</f>
        <v>2000</v>
      </c>
      <c r="E208" t="s">
        <v>24</v>
      </c>
      <c r="F208">
        <v>127</v>
      </c>
      <c r="G208" t="str">
        <f>IF(Table1[[#This Row],[Runtime_minutes]]&lt;90,"Short",IF(Table1[[#This Row],[Runtime_minutes]]&lt;=120,"Medium","Long"))</f>
        <v>Long</v>
      </c>
      <c r="H208" t="s">
        <v>767</v>
      </c>
      <c r="I208" t="s">
        <v>3979</v>
      </c>
      <c r="K208">
        <v>7.8</v>
      </c>
      <c r="L208">
        <v>79</v>
      </c>
      <c r="M208" t="s">
        <v>962</v>
      </c>
      <c r="N208" t="s">
        <v>159</v>
      </c>
      <c r="O208" t="s">
        <v>963</v>
      </c>
      <c r="P208">
        <v>75401</v>
      </c>
      <c r="Q208" s="3">
        <v>121.92</v>
      </c>
      <c r="R208" s="3">
        <f>IF(Table1[[#This Row],[Gross_millions]]=" ",0,Table1[[#This Row],[Gross_millions]])</f>
        <v>121.92</v>
      </c>
      <c r="S208" t="str">
        <f>IF(Table1[[#This Row],[Gross_millions_Clean]]&gt;200,"Blockbuster",IF(Table1[[#This Row],[Gross_millions_Clean]]&gt;100,"Hit","Average"))</f>
        <v>Hit</v>
      </c>
    </row>
    <row r="209" spans="1:19" x14ac:dyDescent="0.3">
      <c r="A209" t="s">
        <v>964</v>
      </c>
      <c r="B209" t="s">
        <v>965</v>
      </c>
      <c r="C209">
        <v>1982</v>
      </c>
      <c r="D209" s="8">
        <f>FLOOR(Table1[[#This Row],[Year]],10)</f>
        <v>1980</v>
      </c>
      <c r="E209" t="s">
        <v>17</v>
      </c>
      <c r="F209">
        <v>92</v>
      </c>
      <c r="G209" t="str">
        <f>IF(Table1[[#This Row],[Runtime_minutes]]&lt;90,"Short",IF(Table1[[#This Row],[Runtime_minutes]]&lt;=120,"Medium","Long"))</f>
        <v>Medium</v>
      </c>
      <c r="H209" t="s">
        <v>277</v>
      </c>
      <c r="K209">
        <v>7.8</v>
      </c>
      <c r="L209">
        <v>70</v>
      </c>
      <c r="M209" t="s">
        <v>278</v>
      </c>
      <c r="N209" t="s">
        <v>251</v>
      </c>
      <c r="O209" t="s">
        <v>966</v>
      </c>
      <c r="P209">
        <v>77786</v>
      </c>
      <c r="Q209" s="3"/>
      <c r="R209" s="3">
        <f>IF(Table1[[#This Row],[Gross_millions]]=" ",0,Table1[[#This Row],[Gross_millions]])</f>
        <v>0</v>
      </c>
      <c r="S209" t="str">
        <f>IF(Table1[[#This Row],[Gross_millions_Clean]]&gt;200,"Blockbuster",IF(Table1[[#This Row],[Gross_millions_Clean]]&gt;100,"Hit","Average"))</f>
        <v>Average</v>
      </c>
    </row>
    <row r="210" spans="1:19" x14ac:dyDescent="0.3">
      <c r="A210" t="s">
        <v>967</v>
      </c>
      <c r="B210" t="s">
        <v>968</v>
      </c>
      <c r="C210">
        <v>1997</v>
      </c>
      <c r="D210" s="8">
        <f>FLOOR(Table1[[#This Row],[Year]],10)</f>
        <v>1990</v>
      </c>
      <c r="E210" t="s">
        <v>17</v>
      </c>
      <c r="F210">
        <v>133</v>
      </c>
      <c r="G210" t="str">
        <f>IF(Table1[[#This Row],[Runtime_minutes]]&lt;90,"Short",IF(Table1[[#This Row],[Runtime_minutes]]&lt;=120,"Medium","Long"))</f>
        <v>Long</v>
      </c>
      <c r="H210" t="s">
        <v>129</v>
      </c>
      <c r="I210" t="s">
        <v>3976</v>
      </c>
      <c r="K210">
        <v>7.8</v>
      </c>
      <c r="M210" t="s">
        <v>970</v>
      </c>
      <c r="N210" t="s">
        <v>39</v>
      </c>
      <c r="O210" t="s">
        <v>971</v>
      </c>
      <c r="P210">
        <v>194975</v>
      </c>
      <c r="Q210" s="3">
        <v>101.17</v>
      </c>
      <c r="R210" s="3">
        <f>IF(Table1[[#This Row],[Gross_millions]]=" ",0,Table1[[#This Row],[Gross_millions]])</f>
        <v>101.17</v>
      </c>
      <c r="S210" t="str">
        <f>IF(Table1[[#This Row],[Gross_millions_Clean]]&gt;200,"Blockbuster",IF(Table1[[#This Row],[Gross_millions_Clean]]&gt;100,"Hit","Average"))</f>
        <v>Hit</v>
      </c>
    </row>
    <row r="211" spans="1:19" x14ac:dyDescent="0.3">
      <c r="A211" t="s">
        <v>972</v>
      </c>
      <c r="B211" t="s">
        <v>973</v>
      </c>
      <c r="C211">
        <v>2006</v>
      </c>
      <c r="D211" s="8">
        <f>FLOOR(Table1[[#This Row],[Year]],10)</f>
        <v>2000</v>
      </c>
      <c r="E211" t="s">
        <v>54</v>
      </c>
      <c r="F211">
        <v>112</v>
      </c>
      <c r="G211" t="str">
        <f>IF(Table1[[#This Row],[Runtime_minutes]]&lt;90,"Short",IF(Table1[[#This Row],[Runtime_minutes]]&lt;=120,"Medium","Long"))</f>
        <v>Medium</v>
      </c>
      <c r="H211" t="s">
        <v>277</v>
      </c>
      <c r="I211" t="s">
        <v>3982</v>
      </c>
      <c r="K211">
        <v>7.8</v>
      </c>
      <c r="L211">
        <v>77</v>
      </c>
      <c r="M211" t="s">
        <v>395</v>
      </c>
      <c r="N211" t="s">
        <v>251</v>
      </c>
      <c r="O211" t="s">
        <v>975</v>
      </c>
      <c r="P211">
        <v>151071</v>
      </c>
      <c r="Q211" s="3">
        <v>497.82</v>
      </c>
      <c r="R211" s="3">
        <f>IF(Table1[[#This Row],[Gross_millions]]=" ",0,Table1[[#This Row],[Gross_millions]])</f>
        <v>497.82</v>
      </c>
      <c r="S211" t="str">
        <f>IF(Table1[[#This Row],[Gross_millions_Clean]]&gt;200,"Blockbuster",IF(Table1[[#This Row],[Gross_millions_Clean]]&gt;100,"Hit","Average"))</f>
        <v>Blockbuster</v>
      </c>
    </row>
    <row r="212" spans="1:19" x14ac:dyDescent="0.3">
      <c r="A212" t="s">
        <v>976</v>
      </c>
      <c r="B212" t="s">
        <v>977</v>
      </c>
      <c r="C212">
        <v>2021</v>
      </c>
      <c r="D212" s="8">
        <f>FLOOR(Table1[[#This Row],[Year]],10)</f>
        <v>2020</v>
      </c>
      <c r="E212" t="s">
        <v>24</v>
      </c>
      <c r="F212">
        <v>144</v>
      </c>
      <c r="G212" t="str">
        <f>IF(Table1[[#This Row],[Runtime_minutes]]&lt;90,"Short",IF(Table1[[#This Row],[Runtime_minutes]]&lt;=120,"Medium","Long"))</f>
        <v>Long</v>
      </c>
      <c r="H212" t="s">
        <v>606</v>
      </c>
      <c r="I212" t="s">
        <v>3981</v>
      </c>
      <c r="J212" t="s">
        <v>3983</v>
      </c>
      <c r="K212">
        <v>7.8</v>
      </c>
      <c r="L212">
        <v>86</v>
      </c>
      <c r="M212" t="s">
        <v>607</v>
      </c>
      <c r="N212" t="s">
        <v>608</v>
      </c>
      <c r="O212" t="s">
        <v>979</v>
      </c>
      <c r="P212">
        <v>23423</v>
      </c>
      <c r="Q212" s="3">
        <v>779.9</v>
      </c>
      <c r="R212" s="3">
        <f>IF(Table1[[#This Row],[Gross_millions]]=" ",0,Table1[[#This Row],[Gross_millions]])</f>
        <v>779.9</v>
      </c>
      <c r="S212" t="str">
        <f>IF(Table1[[#This Row],[Gross_millions_Clean]]&gt;200,"Blockbuster",IF(Table1[[#This Row],[Gross_millions_Clean]]&gt;100,"Hit","Average"))</f>
        <v>Blockbuster</v>
      </c>
    </row>
    <row r="213" spans="1:19" x14ac:dyDescent="0.3">
      <c r="A213" t="s">
        <v>980</v>
      </c>
      <c r="B213" t="s">
        <v>981</v>
      </c>
      <c r="C213">
        <v>2001</v>
      </c>
      <c r="D213" s="8">
        <f>FLOOR(Table1[[#This Row],[Year]],10)</f>
        <v>2000</v>
      </c>
      <c r="E213" t="s">
        <v>54</v>
      </c>
      <c r="F213">
        <v>115</v>
      </c>
      <c r="G213" t="str">
        <f>IF(Table1[[#This Row],[Runtime_minutes]]&lt;90,"Short",IF(Table1[[#This Row],[Runtime_minutes]]&lt;=120,"Medium","Long"))</f>
        <v>Medium</v>
      </c>
      <c r="H213" t="s">
        <v>210</v>
      </c>
      <c r="I213" t="s">
        <v>3986</v>
      </c>
      <c r="K213">
        <v>7.8</v>
      </c>
      <c r="M213" t="s">
        <v>983</v>
      </c>
      <c r="N213" t="s">
        <v>27</v>
      </c>
      <c r="O213" t="s">
        <v>984</v>
      </c>
      <c r="P213">
        <v>2075699</v>
      </c>
      <c r="Q213" s="3">
        <v>168.77</v>
      </c>
      <c r="R213" s="3">
        <f>IF(Table1[[#This Row],[Gross_millions]]=" ",0,Table1[[#This Row],[Gross_millions]])</f>
        <v>168.77</v>
      </c>
      <c r="S213" t="str">
        <f>IF(Table1[[#This Row],[Gross_millions_Clean]]&gt;200,"Blockbuster",IF(Table1[[#This Row],[Gross_millions_Clean]]&gt;100,"Hit","Average"))</f>
        <v>Hit</v>
      </c>
    </row>
    <row r="214" spans="1:19" x14ac:dyDescent="0.3">
      <c r="A214" t="s">
        <v>985</v>
      </c>
      <c r="B214" t="s">
        <v>986</v>
      </c>
      <c r="C214">
        <v>2014</v>
      </c>
      <c r="D214" s="8">
        <f>FLOOR(Table1[[#This Row],[Year]],10)</f>
        <v>2010</v>
      </c>
      <c r="E214" t="s">
        <v>54</v>
      </c>
      <c r="F214">
        <v>130</v>
      </c>
      <c r="G214" t="str">
        <f>IF(Table1[[#This Row],[Runtime_minutes]]&lt;90,"Short",IF(Table1[[#This Row],[Runtime_minutes]]&lt;=120,"Medium","Long"))</f>
        <v>Long</v>
      </c>
      <c r="H214" t="s">
        <v>230</v>
      </c>
      <c r="I214" t="s">
        <v>3983</v>
      </c>
      <c r="K214">
        <v>7.8</v>
      </c>
      <c r="L214">
        <v>69</v>
      </c>
      <c r="M214" t="s">
        <v>124</v>
      </c>
      <c r="N214" t="s">
        <v>147</v>
      </c>
      <c r="O214" t="s">
        <v>988</v>
      </c>
      <c r="P214">
        <v>525838</v>
      </c>
      <c r="Q214" s="3">
        <v>359.71</v>
      </c>
      <c r="R214" s="3">
        <f>IF(Table1[[#This Row],[Gross_millions]]=" ",0,Table1[[#This Row],[Gross_millions]])</f>
        <v>359.71</v>
      </c>
      <c r="S214" t="str">
        <f>IF(Table1[[#This Row],[Gross_millions_Clean]]&gt;200,"Blockbuster",IF(Table1[[#This Row],[Gross_millions_Clean]]&gt;100,"Hit","Average"))</f>
        <v>Blockbuster</v>
      </c>
    </row>
    <row r="215" spans="1:19" x14ac:dyDescent="0.3">
      <c r="A215" t="s">
        <v>989</v>
      </c>
      <c r="B215" t="s">
        <v>990</v>
      </c>
      <c r="C215">
        <v>2001</v>
      </c>
      <c r="D215" s="8">
        <f>FLOOR(Table1[[#This Row],[Year]],10)</f>
        <v>2000</v>
      </c>
      <c r="E215" t="s">
        <v>169</v>
      </c>
      <c r="F215">
        <v>118</v>
      </c>
      <c r="G215" t="str">
        <f>IF(Table1[[#This Row],[Runtime_minutes]]&lt;90,"Short",IF(Table1[[#This Row],[Runtime_minutes]]&lt;=120,"Medium","Long"))</f>
        <v>Medium</v>
      </c>
      <c r="H215" t="s">
        <v>868</v>
      </c>
      <c r="K215">
        <v>7.8</v>
      </c>
      <c r="L215">
        <v>88</v>
      </c>
      <c r="M215" t="s">
        <v>102</v>
      </c>
      <c r="N215" t="s">
        <v>86</v>
      </c>
      <c r="O215" t="s">
        <v>991</v>
      </c>
      <c r="P215">
        <v>36275</v>
      </c>
      <c r="Q215" s="3">
        <v>410.67</v>
      </c>
      <c r="R215" s="3">
        <f>IF(Table1[[#This Row],[Gross_millions]]=" ",0,Table1[[#This Row],[Gross_millions]])</f>
        <v>410.67</v>
      </c>
      <c r="S215" t="str">
        <f>IF(Table1[[#This Row],[Gross_millions_Clean]]&gt;200,"Blockbuster",IF(Table1[[#This Row],[Gross_millions_Clean]]&gt;100,"Hit","Average"))</f>
        <v>Blockbuster</v>
      </c>
    </row>
    <row r="216" spans="1:19" x14ac:dyDescent="0.3">
      <c r="A216" t="s">
        <v>992</v>
      </c>
      <c r="B216" t="s">
        <v>993</v>
      </c>
      <c r="C216">
        <v>2011</v>
      </c>
      <c r="D216" s="8">
        <f>FLOOR(Table1[[#This Row],[Year]],10)</f>
        <v>2010</v>
      </c>
      <c r="E216" t="s">
        <v>54</v>
      </c>
      <c r="F216">
        <v>112</v>
      </c>
      <c r="G216" t="str">
        <f>IF(Table1[[#This Row],[Runtime_minutes]]&lt;90,"Short",IF(Table1[[#This Row],[Runtime_minutes]]&lt;=120,"Medium","Long"))</f>
        <v>Medium</v>
      </c>
      <c r="H216" t="s">
        <v>78</v>
      </c>
      <c r="I216" t="s">
        <v>3983</v>
      </c>
      <c r="K216">
        <v>7.8</v>
      </c>
      <c r="M216" t="s">
        <v>995</v>
      </c>
      <c r="N216" t="s">
        <v>191</v>
      </c>
      <c r="O216" t="s">
        <v>996</v>
      </c>
      <c r="P216">
        <v>11830</v>
      </c>
      <c r="Q216" s="3">
        <v>418.09</v>
      </c>
      <c r="R216" s="3">
        <f>IF(Table1[[#This Row],[Gross_millions]]=" ",0,Table1[[#This Row],[Gross_millions]])</f>
        <v>418.09</v>
      </c>
      <c r="S216" t="str">
        <f>IF(Table1[[#This Row],[Gross_millions_Clean]]&gt;200,"Blockbuster",IF(Table1[[#This Row],[Gross_millions_Clean]]&gt;100,"Hit","Average"))</f>
        <v>Blockbuster</v>
      </c>
    </row>
    <row r="217" spans="1:19" x14ac:dyDescent="0.3">
      <c r="A217" t="s">
        <v>997</v>
      </c>
      <c r="B217" t="s">
        <v>998</v>
      </c>
      <c r="C217">
        <v>2013</v>
      </c>
      <c r="D217" s="8">
        <f>FLOOR(Table1[[#This Row],[Year]],10)</f>
        <v>2010</v>
      </c>
      <c r="E217" t="s">
        <v>24</v>
      </c>
      <c r="F217">
        <v>118</v>
      </c>
      <c r="G217" t="str">
        <f>IF(Table1[[#This Row],[Runtime_minutes]]&lt;90,"Short",IF(Table1[[#This Row],[Runtime_minutes]]&lt;=120,"Medium","Long"))</f>
        <v>Medium</v>
      </c>
      <c r="H217" t="s">
        <v>453</v>
      </c>
      <c r="K217">
        <v>7.8</v>
      </c>
      <c r="L217">
        <v>92</v>
      </c>
      <c r="M217" t="s">
        <v>999</v>
      </c>
      <c r="N217" t="s">
        <v>131</v>
      </c>
      <c r="O217" t="s">
        <v>1000</v>
      </c>
      <c r="P217">
        <v>100116</v>
      </c>
      <c r="Q217" s="3">
        <v>794.83</v>
      </c>
      <c r="R217" s="3">
        <f>IF(Table1[[#This Row],[Gross_millions]]=" ",0,Table1[[#This Row],[Gross_millions]])</f>
        <v>794.83</v>
      </c>
      <c r="S217" t="str">
        <f>IF(Table1[[#This Row],[Gross_millions_Clean]]&gt;200,"Blockbuster",IF(Table1[[#This Row],[Gross_millions_Clean]]&gt;100,"Hit","Average"))</f>
        <v>Blockbuster</v>
      </c>
    </row>
    <row r="218" spans="1:19" x14ac:dyDescent="0.3">
      <c r="A218" t="s">
        <v>1001</v>
      </c>
      <c r="B218" t="s">
        <v>1002</v>
      </c>
      <c r="C218">
        <v>2023</v>
      </c>
      <c r="D218" s="8">
        <f>FLOOR(Table1[[#This Row],[Year]],10)</f>
        <v>2020</v>
      </c>
      <c r="E218" t="s">
        <v>24</v>
      </c>
      <c r="F218">
        <v>110</v>
      </c>
      <c r="G218" t="str">
        <f>IF(Table1[[#This Row],[Runtime_minutes]]&lt;90,"Short",IF(Table1[[#This Row],[Runtime_minutes]]&lt;=120,"Medium","Long"))</f>
        <v>Medium</v>
      </c>
      <c r="H218" t="s">
        <v>868</v>
      </c>
      <c r="I218" t="s">
        <v>3988</v>
      </c>
      <c r="K218">
        <v>7.8</v>
      </c>
      <c r="L218">
        <v>65</v>
      </c>
      <c r="M218" t="s">
        <v>355</v>
      </c>
      <c r="N218" t="s">
        <v>368</v>
      </c>
      <c r="O218" t="s">
        <v>1004</v>
      </c>
      <c r="P218">
        <v>56513</v>
      </c>
      <c r="Q218" s="3"/>
      <c r="R218" s="3">
        <f>IF(Table1[[#This Row],[Gross_millions]]=" ",0,Table1[[#This Row],[Gross_millions]])</f>
        <v>0</v>
      </c>
      <c r="S218" t="str">
        <f>IF(Table1[[#This Row],[Gross_millions_Clean]]&gt;200,"Blockbuster",IF(Table1[[#This Row],[Gross_millions_Clean]]&gt;100,"Hit","Average"))</f>
        <v>Average</v>
      </c>
    </row>
    <row r="219" spans="1:19" x14ac:dyDescent="0.3">
      <c r="A219" t="s">
        <v>1005</v>
      </c>
      <c r="B219" t="s">
        <v>1006</v>
      </c>
      <c r="C219">
        <v>2005</v>
      </c>
      <c r="D219" s="8">
        <f>FLOOR(Table1[[#This Row],[Year]],10)</f>
        <v>2000</v>
      </c>
      <c r="E219" t="s">
        <v>54</v>
      </c>
      <c r="F219">
        <v>130</v>
      </c>
      <c r="G219" t="str">
        <f>IF(Table1[[#This Row],[Runtime_minutes]]&lt;90,"Short",IF(Table1[[#This Row],[Runtime_minutes]]&lt;=120,"Medium","Long"))</f>
        <v>Long</v>
      </c>
      <c r="H219" t="s">
        <v>375</v>
      </c>
      <c r="I219" t="s">
        <v>3985</v>
      </c>
      <c r="K219">
        <v>7.7</v>
      </c>
      <c r="L219">
        <v>87</v>
      </c>
      <c r="M219" t="s">
        <v>422</v>
      </c>
      <c r="N219" t="s">
        <v>326</v>
      </c>
      <c r="O219" t="s">
        <v>1008</v>
      </c>
      <c r="P219">
        <v>22320</v>
      </c>
      <c r="Q219" s="3">
        <v>59.64</v>
      </c>
      <c r="R219" s="3">
        <f>IF(Table1[[#This Row],[Gross_millions]]=" ",0,Table1[[#This Row],[Gross_millions]])</f>
        <v>59.64</v>
      </c>
      <c r="S219" t="str">
        <f>IF(Table1[[#This Row],[Gross_millions_Clean]]&gt;200,"Blockbuster",IF(Table1[[#This Row],[Gross_millions_Clean]]&gt;100,"Hit","Average"))</f>
        <v>Average</v>
      </c>
    </row>
    <row r="220" spans="1:19" x14ac:dyDescent="0.3">
      <c r="A220" t="s">
        <v>1009</v>
      </c>
      <c r="B220" t="s">
        <v>1010</v>
      </c>
      <c r="C220">
        <v>2013</v>
      </c>
      <c r="D220" s="8">
        <f>FLOOR(Table1[[#This Row],[Year]],10)</f>
        <v>2010</v>
      </c>
      <c r="E220" t="s">
        <v>54</v>
      </c>
      <c r="F220">
        <v>108</v>
      </c>
      <c r="G220" t="str">
        <f>IF(Table1[[#This Row],[Runtime_minutes]]&lt;90,"Short",IF(Table1[[#This Row],[Runtime_minutes]]&lt;=120,"Medium","Long"))</f>
        <v>Medium</v>
      </c>
      <c r="H220" t="s">
        <v>48</v>
      </c>
      <c r="I220" t="s">
        <v>3976</v>
      </c>
      <c r="J220" t="s">
        <v>3986</v>
      </c>
      <c r="K220">
        <v>7.7</v>
      </c>
      <c r="M220" t="s">
        <v>67</v>
      </c>
      <c r="N220" t="s">
        <v>251</v>
      </c>
      <c r="O220" t="s">
        <v>1012</v>
      </c>
      <c r="P220">
        <v>1373213</v>
      </c>
      <c r="Q220" s="3">
        <v>197.06</v>
      </c>
      <c r="R220" s="3">
        <f>IF(Table1[[#This Row],[Gross_millions]]=" ",0,Table1[[#This Row],[Gross_millions]])</f>
        <v>197.06</v>
      </c>
      <c r="S220" t="str">
        <f>IF(Table1[[#This Row],[Gross_millions_Clean]]&gt;200,"Blockbuster",IF(Table1[[#This Row],[Gross_millions_Clean]]&gt;100,"Hit","Average"))</f>
        <v>Hit</v>
      </c>
    </row>
    <row r="221" spans="1:19" x14ac:dyDescent="0.3">
      <c r="A221" t="s">
        <v>1013</v>
      </c>
      <c r="B221" t="s">
        <v>1014</v>
      </c>
      <c r="C221">
        <v>1996</v>
      </c>
      <c r="D221" s="8">
        <f>FLOOR(Table1[[#This Row],[Year]],10)</f>
        <v>1990</v>
      </c>
      <c r="E221" t="s">
        <v>17</v>
      </c>
      <c r="F221">
        <v>112</v>
      </c>
      <c r="G221" t="str">
        <f>IF(Table1[[#This Row],[Runtime_minutes]]&lt;90,"Short",IF(Table1[[#This Row],[Runtime_minutes]]&lt;=120,"Medium","Long"))</f>
        <v>Medium</v>
      </c>
      <c r="H221" t="s">
        <v>129</v>
      </c>
      <c r="I221" t="s">
        <v>3990</v>
      </c>
      <c r="J221" t="s">
        <v>3977</v>
      </c>
      <c r="K221">
        <v>7.7</v>
      </c>
      <c r="L221">
        <v>82</v>
      </c>
      <c r="M221" t="s">
        <v>634</v>
      </c>
      <c r="N221" t="s">
        <v>57</v>
      </c>
      <c r="O221" t="s">
        <v>1016</v>
      </c>
      <c r="P221">
        <v>25201</v>
      </c>
      <c r="Q221" s="3"/>
      <c r="R221" s="3">
        <f>IF(Table1[[#This Row],[Gross_millions]]=" ",0,Table1[[#This Row],[Gross_millions]])</f>
        <v>0</v>
      </c>
      <c r="S221" t="str">
        <f>IF(Table1[[#This Row],[Gross_millions_Clean]]&gt;200,"Blockbuster",IF(Table1[[#This Row],[Gross_millions_Clean]]&gt;100,"Hit","Average"))</f>
        <v>Average</v>
      </c>
    </row>
    <row r="222" spans="1:19" x14ac:dyDescent="0.3">
      <c r="A222" t="s">
        <v>1017</v>
      </c>
      <c r="B222" t="s">
        <v>1018</v>
      </c>
      <c r="C222">
        <v>1969</v>
      </c>
      <c r="D222" s="8">
        <f>FLOOR(Table1[[#This Row],[Year]],10)</f>
        <v>1960</v>
      </c>
      <c r="E222" t="s">
        <v>24</v>
      </c>
      <c r="F222">
        <v>136</v>
      </c>
      <c r="G222" t="str">
        <f>IF(Table1[[#This Row],[Runtime_minutes]]&lt;90,"Short",IF(Table1[[#This Row],[Runtime_minutes]]&lt;=120,"Medium","Long"))</f>
        <v>Long</v>
      </c>
      <c r="H222" t="s">
        <v>55</v>
      </c>
      <c r="K222">
        <v>7.7</v>
      </c>
      <c r="M222" t="s">
        <v>898</v>
      </c>
      <c r="N222" t="s">
        <v>80</v>
      </c>
      <c r="O222" t="s">
        <v>1019</v>
      </c>
      <c r="P222">
        <v>50532</v>
      </c>
      <c r="Q222" s="3"/>
      <c r="R222" s="3">
        <f>IF(Table1[[#This Row],[Gross_millions]]=" ",0,Table1[[#This Row],[Gross_millions]])</f>
        <v>0</v>
      </c>
      <c r="S222" t="str">
        <f>IF(Table1[[#This Row],[Gross_millions_Clean]]&gt;200,"Blockbuster",IF(Table1[[#This Row],[Gross_millions_Clean]]&gt;100,"Hit","Average"))</f>
        <v>Average</v>
      </c>
    </row>
    <row r="223" spans="1:19" x14ac:dyDescent="0.3">
      <c r="A223" t="s">
        <v>1020</v>
      </c>
      <c r="B223" t="s">
        <v>1021</v>
      </c>
      <c r="C223">
        <v>1985</v>
      </c>
      <c r="D223" s="8">
        <f>FLOOR(Table1[[#This Row],[Year]],10)</f>
        <v>1980</v>
      </c>
      <c r="E223" t="s">
        <v>54</v>
      </c>
      <c r="F223">
        <v>124</v>
      </c>
      <c r="G223" t="str">
        <f>IF(Table1[[#This Row],[Runtime_minutes]]&lt;90,"Short",IF(Table1[[#This Row],[Runtime_minutes]]&lt;=120,"Medium","Long"))</f>
        <v>Long</v>
      </c>
      <c r="H223" t="s">
        <v>48</v>
      </c>
      <c r="I223" t="s">
        <v>3989</v>
      </c>
      <c r="J223" t="s">
        <v>3981</v>
      </c>
      <c r="K223">
        <v>7.7</v>
      </c>
      <c r="M223" t="s">
        <v>67</v>
      </c>
      <c r="N223" t="s">
        <v>33</v>
      </c>
      <c r="O223" t="s">
        <v>1023</v>
      </c>
      <c r="P223">
        <v>46580</v>
      </c>
      <c r="Q223" s="3">
        <v>5.2</v>
      </c>
      <c r="R223" s="3">
        <f>IF(Table1[[#This Row],[Gross_millions]]=" ",0,Table1[[#This Row],[Gross_millions]])</f>
        <v>5.2</v>
      </c>
      <c r="S223" t="str">
        <f>IF(Table1[[#This Row],[Gross_millions_Clean]]&gt;200,"Blockbuster",IF(Table1[[#This Row],[Gross_millions_Clean]]&gt;100,"Hit","Average"))</f>
        <v>Average</v>
      </c>
    </row>
    <row r="224" spans="1:19" x14ac:dyDescent="0.3">
      <c r="A224" t="s">
        <v>1024</v>
      </c>
      <c r="B224" t="s">
        <v>1025</v>
      </c>
      <c r="C224">
        <v>1994</v>
      </c>
      <c r="D224" s="8">
        <f>FLOOR(Table1[[#This Row],[Year]],10)</f>
        <v>1990</v>
      </c>
      <c r="E224" t="s">
        <v>54</v>
      </c>
      <c r="F224">
        <v>121</v>
      </c>
      <c r="G224" t="str">
        <f>IF(Table1[[#This Row],[Runtime_minutes]]&lt;90,"Short",IF(Table1[[#This Row],[Runtime_minutes]]&lt;=120,"Medium","Long"))</f>
        <v>Long</v>
      </c>
      <c r="H224" t="s">
        <v>72</v>
      </c>
      <c r="I224" t="s">
        <v>3989</v>
      </c>
      <c r="J224" t="s">
        <v>3976</v>
      </c>
      <c r="K224">
        <v>7.7</v>
      </c>
      <c r="L224">
        <v>86</v>
      </c>
      <c r="M224" t="s">
        <v>491</v>
      </c>
      <c r="N224" t="s">
        <v>251</v>
      </c>
      <c r="O224" t="s">
        <v>1027</v>
      </c>
      <c r="P224">
        <v>102403</v>
      </c>
      <c r="Q224" s="3">
        <v>210.2</v>
      </c>
      <c r="R224" s="3">
        <f>IF(Table1[[#This Row],[Gross_millions]]=" ",0,Table1[[#This Row],[Gross_millions]])</f>
        <v>210.2</v>
      </c>
      <c r="S224" t="str">
        <f>IF(Table1[[#This Row],[Gross_millions_Clean]]&gt;200,"Blockbuster",IF(Table1[[#This Row],[Gross_millions_Clean]]&gt;100,"Hit","Average"))</f>
        <v>Blockbuster</v>
      </c>
    </row>
    <row r="225" spans="1:19" x14ac:dyDescent="0.3">
      <c r="A225" t="s">
        <v>1028</v>
      </c>
      <c r="B225" t="s">
        <v>1029</v>
      </c>
      <c r="C225">
        <v>2001</v>
      </c>
      <c r="D225" s="8">
        <f>FLOOR(Table1[[#This Row],[Year]],10)</f>
        <v>2000</v>
      </c>
      <c r="E225" t="s">
        <v>24</v>
      </c>
      <c r="F225">
        <v>114</v>
      </c>
      <c r="G225" t="str">
        <f>IF(Table1[[#This Row],[Runtime_minutes]]&lt;90,"Short",IF(Table1[[#This Row],[Runtime_minutes]]&lt;=120,"Medium","Long"))</f>
        <v>Medium</v>
      </c>
      <c r="H225" t="s">
        <v>453</v>
      </c>
      <c r="K225">
        <v>7.7</v>
      </c>
      <c r="L225">
        <v>77</v>
      </c>
      <c r="M225" t="s">
        <v>269</v>
      </c>
      <c r="N225" t="s">
        <v>251</v>
      </c>
      <c r="O225" t="s">
        <v>1030</v>
      </c>
      <c r="P225">
        <v>237442</v>
      </c>
      <c r="Q225" s="3">
        <v>182.23</v>
      </c>
      <c r="R225" s="3">
        <f>IF(Table1[[#This Row],[Gross_millions]]=" ",0,Table1[[#This Row],[Gross_millions]])</f>
        <v>182.23</v>
      </c>
      <c r="S225" t="str">
        <f>IF(Table1[[#This Row],[Gross_millions_Clean]]&gt;200,"Blockbuster",IF(Table1[[#This Row],[Gross_millions_Clean]]&gt;100,"Hit","Average"))</f>
        <v>Hit</v>
      </c>
    </row>
    <row r="226" spans="1:19" x14ac:dyDescent="0.3">
      <c r="A226" t="s">
        <v>1031</v>
      </c>
      <c r="B226" t="s">
        <v>1032</v>
      </c>
      <c r="C226">
        <v>1984</v>
      </c>
      <c r="D226" s="8">
        <f>FLOOR(Table1[[#This Row],[Year]],10)</f>
        <v>1980</v>
      </c>
      <c r="E226" t="s">
        <v>54</v>
      </c>
      <c r="F226">
        <v>128</v>
      </c>
      <c r="G226" t="str">
        <f>IF(Table1[[#This Row],[Runtime_minutes]]&lt;90,"Short",IF(Table1[[#This Row],[Runtime_minutes]]&lt;=120,"Medium","Long"))</f>
        <v>Long</v>
      </c>
      <c r="H226" t="s">
        <v>606</v>
      </c>
      <c r="I226" t="s">
        <v>3991</v>
      </c>
      <c r="K226">
        <v>7.7</v>
      </c>
      <c r="L226">
        <v>76</v>
      </c>
      <c r="M226" t="s">
        <v>1034</v>
      </c>
      <c r="N226" t="s">
        <v>20</v>
      </c>
      <c r="O226" t="s">
        <v>1035</v>
      </c>
      <c r="P226">
        <v>142338</v>
      </c>
      <c r="Q226" s="3"/>
      <c r="R226" s="3">
        <f>IF(Table1[[#This Row],[Gross_millions]]=" ",0,Table1[[#This Row],[Gross_millions]])</f>
        <v>0</v>
      </c>
      <c r="S226" t="str">
        <f>IF(Table1[[#This Row],[Gross_millions_Clean]]&gt;200,"Blockbuster",IF(Table1[[#This Row],[Gross_millions_Clean]]&gt;100,"Hit","Average"))</f>
        <v>Average</v>
      </c>
    </row>
    <row r="227" spans="1:19" x14ac:dyDescent="0.3">
      <c r="A227" t="s">
        <v>1036</v>
      </c>
      <c r="B227" t="s">
        <v>1037</v>
      </c>
      <c r="C227">
        <v>2003</v>
      </c>
      <c r="D227" s="8">
        <f>FLOOR(Table1[[#This Row],[Year]],10)</f>
        <v>2000</v>
      </c>
      <c r="E227" t="s">
        <v>24</v>
      </c>
      <c r="F227">
        <v>151</v>
      </c>
      <c r="G227" t="str">
        <f>IF(Table1[[#This Row],[Runtime_minutes]]&lt;90,"Short",IF(Table1[[#This Row],[Runtime_minutes]]&lt;=120,"Medium","Long"))</f>
        <v>Long</v>
      </c>
      <c r="H227" t="s">
        <v>48</v>
      </c>
      <c r="K227">
        <v>7.7</v>
      </c>
      <c r="L227">
        <v>69</v>
      </c>
      <c r="M227" t="s">
        <v>566</v>
      </c>
      <c r="N227" t="s">
        <v>39</v>
      </c>
      <c r="O227" t="s">
        <v>1038</v>
      </c>
      <c r="P227">
        <v>220517</v>
      </c>
      <c r="Q227" s="3">
        <v>345.98</v>
      </c>
      <c r="R227" s="3">
        <f>IF(Table1[[#This Row],[Gross_millions]]=" ",0,Table1[[#This Row],[Gross_millions]])</f>
        <v>345.98</v>
      </c>
      <c r="S227" t="str">
        <f>IF(Table1[[#This Row],[Gross_millions_Clean]]&gt;200,"Blockbuster",IF(Table1[[#This Row],[Gross_millions_Clean]]&gt;100,"Hit","Average"))</f>
        <v>Blockbuster</v>
      </c>
    </row>
    <row r="228" spans="1:19" x14ac:dyDescent="0.3">
      <c r="A228" t="s">
        <v>1039</v>
      </c>
      <c r="B228" t="s">
        <v>1040</v>
      </c>
      <c r="C228">
        <v>2020</v>
      </c>
      <c r="D228" s="8">
        <f>FLOOR(Table1[[#This Row],[Year]],10)</f>
        <v>2020</v>
      </c>
      <c r="E228" t="s">
        <v>24</v>
      </c>
      <c r="F228">
        <v>100</v>
      </c>
      <c r="G228" t="str">
        <f>IF(Table1[[#This Row],[Runtime_minutes]]&lt;90,"Short",IF(Table1[[#This Row],[Runtime_minutes]]&lt;=120,"Medium","Long"))</f>
        <v>Medium</v>
      </c>
      <c r="H228" t="s">
        <v>235</v>
      </c>
      <c r="K228">
        <v>7.7</v>
      </c>
      <c r="L228">
        <v>88</v>
      </c>
      <c r="M228" t="s">
        <v>201</v>
      </c>
      <c r="N228" t="s">
        <v>57</v>
      </c>
      <c r="O228" t="s">
        <v>1041</v>
      </c>
      <c r="P228">
        <v>43434</v>
      </c>
      <c r="Q228" s="3">
        <v>229.99</v>
      </c>
      <c r="R228" s="3">
        <f>IF(Table1[[#This Row],[Gross_millions]]=" ",0,Table1[[#This Row],[Gross_millions]])</f>
        <v>229.99</v>
      </c>
      <c r="S228" t="str">
        <f>IF(Table1[[#This Row],[Gross_millions_Clean]]&gt;200,"Blockbuster",IF(Table1[[#This Row],[Gross_millions_Clean]]&gt;100,"Hit","Average"))</f>
        <v>Blockbuster</v>
      </c>
    </row>
    <row r="229" spans="1:19" x14ac:dyDescent="0.3">
      <c r="A229" t="s">
        <v>1042</v>
      </c>
      <c r="B229" t="s">
        <v>1043</v>
      </c>
      <c r="C229">
        <v>2013</v>
      </c>
      <c r="D229" s="8">
        <f>FLOOR(Table1[[#This Row],[Year]],10)</f>
        <v>2010</v>
      </c>
      <c r="E229" t="s">
        <v>54</v>
      </c>
      <c r="F229">
        <v>98</v>
      </c>
      <c r="G229" t="str">
        <f>IF(Table1[[#This Row],[Runtime_minutes]]&lt;90,"Short",IF(Table1[[#This Row],[Runtime_minutes]]&lt;=120,"Medium","Long"))</f>
        <v>Medium</v>
      </c>
      <c r="H229" t="s">
        <v>1044</v>
      </c>
      <c r="K229">
        <v>7.7</v>
      </c>
      <c r="L229">
        <v>88</v>
      </c>
      <c r="M229" t="s">
        <v>226</v>
      </c>
      <c r="N229" t="s">
        <v>165</v>
      </c>
      <c r="O229" t="s">
        <v>1045</v>
      </c>
      <c r="P229">
        <v>779119</v>
      </c>
      <c r="Q229" s="3">
        <v>218.64</v>
      </c>
      <c r="R229" s="3">
        <f>IF(Table1[[#This Row],[Gross_millions]]=" ",0,Table1[[#This Row],[Gross_millions]])</f>
        <v>218.64</v>
      </c>
      <c r="S229" t="str">
        <f>IF(Table1[[#This Row],[Gross_millions_Clean]]&gt;200,"Blockbuster",IF(Table1[[#This Row],[Gross_millions_Clean]]&gt;100,"Hit","Average"))</f>
        <v>Blockbuster</v>
      </c>
    </row>
    <row r="230" spans="1:19" x14ac:dyDescent="0.3">
      <c r="A230" t="s">
        <v>1046</v>
      </c>
      <c r="B230" t="s">
        <v>1047</v>
      </c>
      <c r="C230">
        <v>2015</v>
      </c>
      <c r="D230" s="8">
        <f>FLOOR(Table1[[#This Row],[Year]],10)</f>
        <v>2010</v>
      </c>
      <c r="E230" t="s">
        <v>17</v>
      </c>
      <c r="F230">
        <v>110</v>
      </c>
      <c r="G230" t="str">
        <f>IF(Table1[[#This Row],[Runtime_minutes]]&lt;90,"Short",IF(Table1[[#This Row],[Runtime_minutes]]&lt;=120,"Medium","Long"))</f>
        <v>Medium</v>
      </c>
      <c r="H230" t="s">
        <v>277</v>
      </c>
      <c r="I230" t="s">
        <v>3990</v>
      </c>
      <c r="K230">
        <v>7.7</v>
      </c>
      <c r="L230">
        <v>64</v>
      </c>
      <c r="M230" t="s">
        <v>278</v>
      </c>
      <c r="N230" t="s">
        <v>86</v>
      </c>
      <c r="O230" t="s">
        <v>1048</v>
      </c>
      <c r="P230">
        <v>166514</v>
      </c>
      <c r="Q230" s="3"/>
      <c r="R230" s="3">
        <f>IF(Table1[[#This Row],[Gross_millions]]=" ",0,Table1[[#This Row],[Gross_millions]])</f>
        <v>0</v>
      </c>
      <c r="S230" t="str">
        <f>IF(Table1[[#This Row],[Gross_millions_Clean]]&gt;200,"Blockbuster",IF(Table1[[#This Row],[Gross_millions_Clean]]&gt;100,"Hit","Average"))</f>
        <v>Average</v>
      </c>
    </row>
    <row r="231" spans="1:19" x14ac:dyDescent="0.3">
      <c r="A231" t="s">
        <v>1049</v>
      </c>
      <c r="B231" t="s">
        <v>1050</v>
      </c>
      <c r="C231">
        <v>2003</v>
      </c>
      <c r="D231" s="8">
        <f>FLOOR(Table1[[#This Row],[Year]],10)</f>
        <v>2000</v>
      </c>
      <c r="E231" t="s">
        <v>17</v>
      </c>
      <c r="F231">
        <v>123</v>
      </c>
      <c r="G231" t="str">
        <f>IF(Table1[[#This Row],[Runtime_minutes]]&lt;90,"Short",IF(Table1[[#This Row],[Runtime_minutes]]&lt;=120,"Medium","Long"))</f>
        <v>Long</v>
      </c>
      <c r="H231" t="s">
        <v>767</v>
      </c>
      <c r="I231" t="s">
        <v>3983</v>
      </c>
      <c r="K231">
        <v>7.7</v>
      </c>
      <c r="L231">
        <v>83</v>
      </c>
      <c r="M231" t="s">
        <v>1051</v>
      </c>
      <c r="N231" t="s">
        <v>368</v>
      </c>
      <c r="O231" t="s">
        <v>1052</v>
      </c>
      <c r="P231">
        <v>6448</v>
      </c>
      <c r="Q231" s="3">
        <v>296.25</v>
      </c>
      <c r="R231" s="3">
        <f>IF(Table1[[#This Row],[Gross_millions]]=" ",0,Table1[[#This Row],[Gross_millions]])</f>
        <v>296.25</v>
      </c>
      <c r="S231" t="str">
        <f>IF(Table1[[#This Row],[Gross_millions_Clean]]&gt;200,"Blockbuster",IF(Table1[[#This Row],[Gross_millions_Clean]]&gt;100,"Hit","Average"))</f>
        <v>Blockbuster</v>
      </c>
    </row>
    <row r="232" spans="1:19" x14ac:dyDescent="0.3">
      <c r="A232" t="s">
        <v>1053</v>
      </c>
      <c r="B232" t="s">
        <v>1054</v>
      </c>
      <c r="C232">
        <v>1983</v>
      </c>
      <c r="D232" s="8">
        <f>FLOOR(Table1[[#This Row],[Year]],10)</f>
        <v>1980</v>
      </c>
      <c r="E232" t="s">
        <v>17</v>
      </c>
      <c r="F232">
        <v>157</v>
      </c>
      <c r="G232" t="str">
        <f>IF(Table1[[#This Row],[Runtime_minutes]]&lt;90,"Short",IF(Table1[[#This Row],[Runtime_minutes]]&lt;=120,"Medium","Long"))</f>
        <v>Long</v>
      </c>
      <c r="H232" t="s">
        <v>55</v>
      </c>
      <c r="I232" t="s">
        <v>3992</v>
      </c>
      <c r="J232" t="s">
        <v>3978</v>
      </c>
      <c r="K232">
        <v>7.7</v>
      </c>
      <c r="L232">
        <v>90</v>
      </c>
      <c r="M232" t="s">
        <v>1056</v>
      </c>
      <c r="N232" t="s">
        <v>524</v>
      </c>
      <c r="O232" t="s">
        <v>1057</v>
      </c>
      <c r="P232">
        <v>15120</v>
      </c>
      <c r="Q232" s="3"/>
      <c r="R232" s="3">
        <f>IF(Table1[[#This Row],[Gross_millions]]=" ",0,Table1[[#This Row],[Gross_millions]])</f>
        <v>0</v>
      </c>
      <c r="S232" t="str">
        <f>IF(Table1[[#This Row],[Gross_millions_Clean]]&gt;200,"Blockbuster",IF(Table1[[#This Row],[Gross_millions_Clean]]&gt;100,"Hit","Average"))</f>
        <v>Average</v>
      </c>
    </row>
    <row r="233" spans="1:19" x14ac:dyDescent="0.3">
      <c r="A233" t="s">
        <v>1058</v>
      </c>
      <c r="B233" t="s">
        <v>1059</v>
      </c>
      <c r="C233">
        <v>2023</v>
      </c>
      <c r="D233" s="8">
        <f>FLOOR(Table1[[#This Row],[Year]],10)</f>
        <v>2020</v>
      </c>
      <c r="E233" t="s">
        <v>285</v>
      </c>
      <c r="F233">
        <v>150</v>
      </c>
      <c r="G233" t="str">
        <f>IF(Table1[[#This Row],[Runtime_minutes]]&lt;90,"Short",IF(Table1[[#This Row],[Runtime_minutes]]&lt;=120,"Medium","Long"))</f>
        <v>Long</v>
      </c>
      <c r="H233" t="s">
        <v>48</v>
      </c>
      <c r="K233">
        <v>7.7</v>
      </c>
      <c r="M233" t="s">
        <v>566</v>
      </c>
      <c r="N233" t="s">
        <v>518</v>
      </c>
      <c r="O233" t="s">
        <v>1060</v>
      </c>
      <c r="P233">
        <v>31337</v>
      </c>
      <c r="Q233" s="3">
        <v>170.25</v>
      </c>
      <c r="R233" s="3">
        <f>IF(Table1[[#This Row],[Gross_millions]]=" ",0,Table1[[#This Row],[Gross_millions]])</f>
        <v>170.25</v>
      </c>
      <c r="S233" t="str">
        <f>IF(Table1[[#This Row],[Gross_millions_Clean]]&gt;200,"Blockbuster",IF(Table1[[#This Row],[Gross_millions_Clean]]&gt;100,"Hit","Average"))</f>
        <v>Hit</v>
      </c>
    </row>
    <row r="234" spans="1:19" x14ac:dyDescent="0.3">
      <c r="A234" t="s">
        <v>1061</v>
      </c>
      <c r="B234" t="s">
        <v>1062</v>
      </c>
      <c r="C234">
        <v>2015</v>
      </c>
      <c r="D234" s="8">
        <f>FLOOR(Table1[[#This Row],[Year]],10)</f>
        <v>2010</v>
      </c>
      <c r="E234" t="s">
        <v>17</v>
      </c>
      <c r="F234">
        <v>115</v>
      </c>
      <c r="G234" t="str">
        <f>IF(Table1[[#This Row],[Runtime_minutes]]&lt;90,"Short",IF(Table1[[#This Row],[Runtime_minutes]]&lt;=120,"Medium","Long"))</f>
        <v>Medium</v>
      </c>
      <c r="H234" t="s">
        <v>37</v>
      </c>
      <c r="K234">
        <v>7.7</v>
      </c>
      <c r="L234">
        <v>87</v>
      </c>
      <c r="M234" t="s">
        <v>1063</v>
      </c>
      <c r="N234" t="s">
        <v>27</v>
      </c>
      <c r="O234" t="s">
        <v>1064</v>
      </c>
      <c r="P234">
        <v>356541</v>
      </c>
      <c r="Q234" s="3"/>
      <c r="R234" s="3">
        <f>IF(Table1[[#This Row],[Gross_millions]]=" ",0,Table1[[#This Row],[Gross_millions]])</f>
        <v>0</v>
      </c>
      <c r="S234" t="str">
        <f>IF(Table1[[#This Row],[Gross_millions_Clean]]&gt;200,"Blockbuster",IF(Table1[[#This Row],[Gross_millions_Clean]]&gt;100,"Hit","Average"))</f>
        <v>Average</v>
      </c>
    </row>
    <row r="235" spans="1:19" x14ac:dyDescent="0.3">
      <c r="A235" t="s">
        <v>1065</v>
      </c>
      <c r="B235" t="s">
        <v>1066</v>
      </c>
      <c r="C235">
        <v>2000</v>
      </c>
      <c r="D235" s="8">
        <f>FLOOR(Table1[[#This Row],[Year]],10)</f>
        <v>2000</v>
      </c>
      <c r="E235" t="s">
        <v>285</v>
      </c>
      <c r="F235">
        <v>117</v>
      </c>
      <c r="G235" t="str">
        <f>IF(Table1[[#This Row],[Runtime_minutes]]&lt;90,"Short",IF(Table1[[#This Row],[Runtime_minutes]]&lt;=120,"Medium","Long"))</f>
        <v>Medium</v>
      </c>
      <c r="H235" t="s">
        <v>72</v>
      </c>
      <c r="K235">
        <v>7.7</v>
      </c>
      <c r="L235">
        <v>65</v>
      </c>
      <c r="M235" t="s">
        <v>1067</v>
      </c>
      <c r="N235" t="s">
        <v>57</v>
      </c>
      <c r="O235" t="s">
        <v>1068</v>
      </c>
      <c r="P235">
        <v>1649172</v>
      </c>
      <c r="Q235" s="3"/>
      <c r="R235" s="3">
        <f>IF(Table1[[#This Row],[Gross_millions]]=" ",0,Table1[[#This Row],[Gross_millions]])</f>
        <v>0</v>
      </c>
      <c r="S235" t="str">
        <f>IF(Table1[[#This Row],[Gross_millions_Clean]]&gt;200,"Blockbuster",IF(Table1[[#This Row],[Gross_millions_Clean]]&gt;100,"Hit","Average"))</f>
        <v>Average</v>
      </c>
    </row>
    <row r="236" spans="1:19" x14ac:dyDescent="0.3">
      <c r="A236" t="s">
        <v>1069</v>
      </c>
      <c r="B236" t="s">
        <v>1070</v>
      </c>
      <c r="C236">
        <v>2008</v>
      </c>
      <c r="D236" s="8">
        <f>FLOOR(Table1[[#This Row],[Year]],10)</f>
        <v>2000</v>
      </c>
      <c r="E236" t="s">
        <v>293</v>
      </c>
      <c r="F236">
        <v>124</v>
      </c>
      <c r="G236" t="str">
        <f>IF(Table1[[#This Row],[Runtime_minutes]]&lt;90,"Short",IF(Table1[[#This Row],[Runtime_minutes]]&lt;=120,"Medium","Long"))</f>
        <v>Long</v>
      </c>
      <c r="H236" t="s">
        <v>453</v>
      </c>
      <c r="I236" t="s">
        <v>3982</v>
      </c>
      <c r="J236" t="s">
        <v>3979</v>
      </c>
      <c r="K236">
        <v>7.7</v>
      </c>
      <c r="L236">
        <v>81</v>
      </c>
      <c r="M236" t="s">
        <v>1072</v>
      </c>
      <c r="N236" t="s">
        <v>113</v>
      </c>
      <c r="O236" t="s">
        <v>1073</v>
      </c>
      <c r="P236">
        <v>748548</v>
      </c>
      <c r="Q236" s="3"/>
      <c r="R236" s="3">
        <f>IF(Table1[[#This Row],[Gross_millions]]=" ",0,Table1[[#This Row],[Gross_millions]])</f>
        <v>0</v>
      </c>
      <c r="S236" t="str">
        <f>IF(Table1[[#This Row],[Gross_millions_Clean]]&gt;200,"Blockbuster",IF(Table1[[#This Row],[Gross_millions_Clean]]&gt;100,"Hit","Average"))</f>
        <v>Average</v>
      </c>
    </row>
    <row r="237" spans="1:19" x14ac:dyDescent="0.3">
      <c r="A237" t="s">
        <v>1074</v>
      </c>
      <c r="B237" t="s">
        <v>1075</v>
      </c>
      <c r="C237">
        <v>1989</v>
      </c>
      <c r="D237" s="8">
        <f>FLOOR(Table1[[#This Row],[Year]],10)</f>
        <v>1980</v>
      </c>
      <c r="E237" t="s">
        <v>17</v>
      </c>
      <c r="F237">
        <v>118</v>
      </c>
      <c r="G237" t="str">
        <f>IF(Table1[[#This Row],[Runtime_minutes]]&lt;90,"Short",IF(Table1[[#This Row],[Runtime_minutes]]&lt;=120,"Medium","Long"))</f>
        <v>Medium</v>
      </c>
      <c r="H237" t="s">
        <v>230</v>
      </c>
      <c r="I237" t="s">
        <v>3982</v>
      </c>
      <c r="K237">
        <v>7.7</v>
      </c>
      <c r="L237">
        <v>92</v>
      </c>
      <c r="M237" t="s">
        <v>1077</v>
      </c>
      <c r="N237" t="s">
        <v>131</v>
      </c>
      <c r="O237" t="s">
        <v>1078</v>
      </c>
      <c r="P237">
        <v>8188</v>
      </c>
      <c r="Q237" s="3">
        <v>157.47999999999999</v>
      </c>
      <c r="R237" s="3">
        <f>IF(Table1[[#This Row],[Gross_millions]]=" ",0,Table1[[#This Row],[Gross_millions]])</f>
        <v>157.47999999999999</v>
      </c>
      <c r="S237" t="str">
        <f>IF(Table1[[#This Row],[Gross_millions_Clean]]&gt;200,"Blockbuster",IF(Table1[[#This Row],[Gross_millions_Clean]]&gt;100,"Hit","Average"))</f>
        <v>Hit</v>
      </c>
    </row>
    <row r="238" spans="1:19" x14ac:dyDescent="0.3">
      <c r="A238" t="s">
        <v>1079</v>
      </c>
      <c r="B238" t="s">
        <v>1080</v>
      </c>
      <c r="C238">
        <v>2009</v>
      </c>
      <c r="D238" s="8">
        <f>FLOOR(Table1[[#This Row],[Year]],10)</f>
        <v>2000</v>
      </c>
      <c r="E238" t="s">
        <v>285</v>
      </c>
      <c r="F238">
        <v>107</v>
      </c>
      <c r="G238" t="str">
        <f>IF(Table1[[#This Row],[Runtime_minutes]]&lt;90,"Short",IF(Table1[[#This Row],[Runtime_minutes]]&lt;=120,"Medium","Long"))</f>
        <v>Medium</v>
      </c>
      <c r="H238" t="s">
        <v>453</v>
      </c>
      <c r="I238" t="s">
        <v>3984</v>
      </c>
      <c r="K238">
        <v>7.7</v>
      </c>
      <c r="M238" t="s">
        <v>1082</v>
      </c>
      <c r="N238" t="s">
        <v>63</v>
      </c>
      <c r="O238" t="s">
        <v>1083</v>
      </c>
      <c r="P238">
        <v>36237</v>
      </c>
      <c r="Q238" s="3">
        <v>181.15</v>
      </c>
      <c r="R238" s="3">
        <f>IF(Table1[[#This Row],[Gross_millions]]=" ",0,Table1[[#This Row],[Gross_millions]])</f>
        <v>181.15</v>
      </c>
      <c r="S238" t="str">
        <f>IF(Table1[[#This Row],[Gross_millions_Clean]]&gt;200,"Blockbuster",IF(Table1[[#This Row],[Gross_millions_Clean]]&gt;100,"Hit","Average"))</f>
        <v>Hit</v>
      </c>
    </row>
    <row r="239" spans="1:19" x14ac:dyDescent="0.3">
      <c r="A239" t="s">
        <v>1084</v>
      </c>
      <c r="B239" t="s">
        <v>1085</v>
      </c>
      <c r="C239">
        <v>2018</v>
      </c>
      <c r="D239" s="8">
        <f>FLOOR(Table1[[#This Row],[Year]],10)</f>
        <v>2010</v>
      </c>
      <c r="E239" t="s">
        <v>169</v>
      </c>
      <c r="F239">
        <v>133</v>
      </c>
      <c r="G239" t="str">
        <f>IF(Table1[[#This Row],[Runtime_minutes]]&lt;90,"Short",IF(Table1[[#This Row],[Runtime_minutes]]&lt;=120,"Medium","Long"))</f>
        <v>Long</v>
      </c>
      <c r="H239" t="s">
        <v>157</v>
      </c>
      <c r="K239">
        <v>7.7</v>
      </c>
      <c r="M239" t="s">
        <v>1086</v>
      </c>
      <c r="N239" t="s">
        <v>147</v>
      </c>
      <c r="O239" t="s">
        <v>1087</v>
      </c>
      <c r="P239">
        <v>68364</v>
      </c>
      <c r="Q239" s="3">
        <v>191.29</v>
      </c>
      <c r="R239" s="3">
        <f>IF(Table1[[#This Row],[Gross_millions]]=" ",0,Table1[[#This Row],[Gross_millions]])</f>
        <v>191.29</v>
      </c>
      <c r="S239" t="str">
        <f>IF(Table1[[#This Row],[Gross_millions_Clean]]&gt;200,"Blockbuster",IF(Table1[[#This Row],[Gross_millions_Clean]]&gt;100,"Hit","Average"))</f>
        <v>Hit</v>
      </c>
    </row>
    <row r="240" spans="1:19" x14ac:dyDescent="0.3">
      <c r="A240" t="s">
        <v>1088</v>
      </c>
      <c r="B240" t="s">
        <v>1089</v>
      </c>
      <c r="C240">
        <v>2005</v>
      </c>
      <c r="D240" s="8">
        <f>FLOOR(Table1[[#This Row],[Year]],10)</f>
        <v>2000</v>
      </c>
      <c r="E240" t="s">
        <v>17</v>
      </c>
      <c r="F240">
        <v>144</v>
      </c>
      <c r="G240" t="str">
        <f>IF(Table1[[#This Row],[Runtime_minutes]]&lt;90,"Short",IF(Table1[[#This Row],[Runtime_minutes]]&lt;=120,"Medium","Long"))</f>
        <v>Long</v>
      </c>
      <c r="H240" t="s">
        <v>129</v>
      </c>
      <c r="I240" t="s">
        <v>3991</v>
      </c>
      <c r="J240" t="s">
        <v>3979</v>
      </c>
      <c r="K240">
        <v>7.7</v>
      </c>
      <c r="L240">
        <v>65</v>
      </c>
      <c r="M240" t="s">
        <v>1091</v>
      </c>
      <c r="N240" t="s">
        <v>103</v>
      </c>
      <c r="O240" t="s">
        <v>1092</v>
      </c>
      <c r="P240">
        <v>145625</v>
      </c>
      <c r="Q240" s="3">
        <v>474.7</v>
      </c>
      <c r="R240" s="3">
        <f>IF(Table1[[#This Row],[Gross_millions]]=" ",0,Table1[[#This Row],[Gross_millions]])</f>
        <v>474.7</v>
      </c>
      <c r="S240" t="str">
        <f>IF(Table1[[#This Row],[Gross_millions_Clean]]&gt;200,"Blockbuster",IF(Table1[[#This Row],[Gross_millions_Clean]]&gt;100,"Hit","Average"))</f>
        <v>Blockbuster</v>
      </c>
    </row>
    <row r="241" spans="1:19" x14ac:dyDescent="0.3">
      <c r="A241" t="s">
        <v>1093</v>
      </c>
      <c r="B241" t="s">
        <v>1094</v>
      </c>
      <c r="C241">
        <v>1984</v>
      </c>
      <c r="D241" s="8">
        <f>FLOOR(Table1[[#This Row],[Year]],10)</f>
        <v>1980</v>
      </c>
      <c r="E241" t="s">
        <v>293</v>
      </c>
      <c r="F241">
        <v>149</v>
      </c>
      <c r="G241" t="str">
        <f>IF(Table1[[#This Row],[Runtime_minutes]]&lt;90,"Short",IF(Table1[[#This Row],[Runtime_minutes]]&lt;=120,"Medium","Long"))</f>
        <v>Long</v>
      </c>
      <c r="H241" t="s">
        <v>48</v>
      </c>
      <c r="I241" t="s">
        <v>3984</v>
      </c>
      <c r="K241">
        <v>7.7</v>
      </c>
      <c r="L241">
        <v>67</v>
      </c>
      <c r="M241" t="s">
        <v>1095</v>
      </c>
      <c r="N241" t="s">
        <v>50</v>
      </c>
      <c r="O241" t="s">
        <v>1096</v>
      </c>
      <c r="P241">
        <v>907953</v>
      </c>
      <c r="Q241" s="3">
        <v>270.91000000000003</v>
      </c>
      <c r="R241" s="3">
        <f>IF(Table1[[#This Row],[Gross_millions]]=" ",0,Table1[[#This Row],[Gross_millions]])</f>
        <v>270.91000000000003</v>
      </c>
      <c r="S241" t="str">
        <f>IF(Table1[[#This Row],[Gross_millions_Clean]]&gt;200,"Blockbuster",IF(Table1[[#This Row],[Gross_millions_Clean]]&gt;100,"Hit","Average"))</f>
        <v>Blockbuster</v>
      </c>
    </row>
    <row r="242" spans="1:19" x14ac:dyDescent="0.3">
      <c r="A242" t="s">
        <v>1097</v>
      </c>
      <c r="B242" t="s">
        <v>1098</v>
      </c>
      <c r="C242">
        <v>2024</v>
      </c>
      <c r="D242" s="8">
        <f>FLOOR(Table1[[#This Row],[Year]],10)</f>
        <v>2020</v>
      </c>
      <c r="E242" t="s">
        <v>24</v>
      </c>
      <c r="F242">
        <v>129</v>
      </c>
      <c r="G242" t="str">
        <f>IF(Table1[[#This Row],[Runtime_minutes]]&lt;90,"Short",IF(Table1[[#This Row],[Runtime_minutes]]&lt;=120,"Medium","Long"))</f>
        <v>Long</v>
      </c>
      <c r="H242" t="s">
        <v>235</v>
      </c>
      <c r="I242" t="s">
        <v>3989</v>
      </c>
      <c r="J242" t="s">
        <v>3993</v>
      </c>
      <c r="K242">
        <v>7.7</v>
      </c>
      <c r="L242">
        <v>73</v>
      </c>
      <c r="M242" t="s">
        <v>201</v>
      </c>
      <c r="N242" t="s">
        <v>39</v>
      </c>
      <c r="O242" t="s">
        <v>1100</v>
      </c>
      <c r="P242">
        <v>53427</v>
      </c>
      <c r="Q242" s="3">
        <v>578.84</v>
      </c>
      <c r="R242" s="3">
        <f>IF(Table1[[#This Row],[Gross_millions]]=" ",0,Table1[[#This Row],[Gross_millions]])</f>
        <v>578.84</v>
      </c>
      <c r="S242" t="str">
        <f>IF(Table1[[#This Row],[Gross_millions_Clean]]&gt;200,"Blockbuster",IF(Table1[[#This Row],[Gross_millions_Clean]]&gt;100,"Hit","Average"))</f>
        <v>Blockbuster</v>
      </c>
    </row>
    <row r="243" spans="1:19" x14ac:dyDescent="0.3">
      <c r="A243" t="s">
        <v>1101</v>
      </c>
      <c r="B243" t="s">
        <v>1102</v>
      </c>
      <c r="C243">
        <v>1992</v>
      </c>
      <c r="D243" s="8">
        <f>FLOOR(Table1[[#This Row],[Year]],10)</f>
        <v>1990</v>
      </c>
      <c r="E243" t="s">
        <v>24</v>
      </c>
      <c r="F243">
        <v>106</v>
      </c>
      <c r="G243" t="str">
        <f>IF(Table1[[#This Row],[Runtime_minutes]]&lt;90,"Short",IF(Table1[[#This Row],[Runtime_minutes]]&lt;=120,"Medium","Long"))</f>
        <v>Medium</v>
      </c>
      <c r="H243" t="s">
        <v>235</v>
      </c>
      <c r="I243" t="s">
        <v>3984</v>
      </c>
      <c r="J243" t="s">
        <v>3983</v>
      </c>
      <c r="K243">
        <v>7.7</v>
      </c>
      <c r="M243" t="s">
        <v>1104</v>
      </c>
      <c r="N243" t="s">
        <v>147</v>
      </c>
      <c r="O243" t="s">
        <v>1105</v>
      </c>
      <c r="P243">
        <v>48021</v>
      </c>
      <c r="Q243" s="3">
        <v>256.13</v>
      </c>
      <c r="R243" s="3">
        <f>IF(Table1[[#This Row],[Gross_millions]]=" ",0,Table1[[#This Row],[Gross_millions]])</f>
        <v>256.13</v>
      </c>
      <c r="S243" t="str">
        <f>IF(Table1[[#This Row],[Gross_millions_Clean]]&gt;200,"Blockbuster",IF(Table1[[#This Row],[Gross_millions_Clean]]&gt;100,"Hit","Average"))</f>
        <v>Blockbuster</v>
      </c>
    </row>
    <row r="244" spans="1:19" x14ac:dyDescent="0.3">
      <c r="A244" t="s">
        <v>1106</v>
      </c>
      <c r="B244" t="s">
        <v>1107</v>
      </c>
      <c r="C244">
        <v>2005</v>
      </c>
      <c r="D244" s="8">
        <f>FLOOR(Table1[[#This Row],[Year]],10)</f>
        <v>2000</v>
      </c>
      <c r="E244" t="s">
        <v>54</v>
      </c>
      <c r="F244">
        <v>153</v>
      </c>
      <c r="G244" t="str">
        <f>IF(Table1[[#This Row],[Runtime_minutes]]&lt;90,"Short",IF(Table1[[#This Row],[Runtime_minutes]]&lt;=120,"Medium","Long"))</f>
        <v>Long</v>
      </c>
      <c r="H244" t="s">
        <v>43</v>
      </c>
      <c r="I244" t="s">
        <v>3980</v>
      </c>
      <c r="K244">
        <v>7.7</v>
      </c>
      <c r="L244">
        <v>67</v>
      </c>
      <c r="M244" t="s">
        <v>295</v>
      </c>
      <c r="N244" t="s">
        <v>86</v>
      </c>
      <c r="O244" t="s">
        <v>1108</v>
      </c>
      <c r="P244">
        <v>3784</v>
      </c>
      <c r="Q244" s="3">
        <v>433.65</v>
      </c>
      <c r="R244" s="3">
        <f>IF(Table1[[#This Row],[Gross_millions]]=" ",0,Table1[[#This Row],[Gross_millions]])</f>
        <v>433.65</v>
      </c>
      <c r="S244" t="str">
        <f>IF(Table1[[#This Row],[Gross_millions_Clean]]&gt;200,"Blockbuster",IF(Table1[[#This Row],[Gross_millions_Clean]]&gt;100,"Hit","Average"))</f>
        <v>Blockbuster</v>
      </c>
    </row>
    <row r="245" spans="1:19" x14ac:dyDescent="0.3">
      <c r="A245" t="s">
        <v>1109</v>
      </c>
      <c r="B245" t="s">
        <v>457</v>
      </c>
      <c r="C245">
        <v>1984</v>
      </c>
      <c r="D245" s="8">
        <f>FLOOR(Table1[[#This Row],[Year]],10)</f>
        <v>1980</v>
      </c>
      <c r="E245" t="s">
        <v>24</v>
      </c>
      <c r="F245">
        <v>137</v>
      </c>
      <c r="G245" t="str">
        <f>IF(Table1[[#This Row],[Runtime_minutes]]&lt;90,"Short",IF(Table1[[#This Row],[Runtime_minutes]]&lt;=120,"Medium","Long"))</f>
        <v>Long</v>
      </c>
      <c r="H245" t="s">
        <v>767</v>
      </c>
      <c r="K245">
        <v>7.7</v>
      </c>
      <c r="L245">
        <v>74</v>
      </c>
      <c r="M245" t="s">
        <v>1110</v>
      </c>
      <c r="N245" t="s">
        <v>718</v>
      </c>
      <c r="O245" t="s">
        <v>1111</v>
      </c>
      <c r="P245">
        <v>21750</v>
      </c>
      <c r="Q245" s="3"/>
      <c r="R245" s="3">
        <f>IF(Table1[[#This Row],[Gross_millions]]=" ",0,Table1[[#This Row],[Gross_millions]])</f>
        <v>0</v>
      </c>
      <c r="S245" t="str">
        <f>IF(Table1[[#This Row],[Gross_millions_Clean]]&gt;200,"Blockbuster",IF(Table1[[#This Row],[Gross_millions_Clean]]&gt;100,"Hit","Average"))</f>
        <v>Average</v>
      </c>
    </row>
    <row r="246" spans="1:19" x14ac:dyDescent="0.3">
      <c r="A246" t="s">
        <v>1112</v>
      </c>
      <c r="B246" t="s">
        <v>1113</v>
      </c>
      <c r="C246">
        <v>2012</v>
      </c>
      <c r="D246" s="8">
        <f>FLOOR(Table1[[#This Row],[Year]],10)</f>
        <v>2010</v>
      </c>
      <c r="E246" t="s">
        <v>24</v>
      </c>
      <c r="F246">
        <v>137</v>
      </c>
      <c r="G246" t="str">
        <f>IF(Table1[[#This Row],[Runtime_minutes]]&lt;90,"Short",IF(Table1[[#This Row],[Runtime_minutes]]&lt;=120,"Medium","Long"))</f>
        <v>Long</v>
      </c>
      <c r="H246" t="s">
        <v>37</v>
      </c>
      <c r="I246" t="s">
        <v>3981</v>
      </c>
      <c r="K246">
        <v>7.7</v>
      </c>
      <c r="L246">
        <v>77</v>
      </c>
      <c r="M246" t="s">
        <v>561</v>
      </c>
      <c r="N246" t="s">
        <v>39</v>
      </c>
      <c r="O246" t="s">
        <v>1115</v>
      </c>
      <c r="P246">
        <v>129266</v>
      </c>
      <c r="Q246" s="3"/>
      <c r="R246" s="3">
        <f>IF(Table1[[#This Row],[Gross_millions]]=" ",0,Table1[[#This Row],[Gross_millions]])</f>
        <v>0</v>
      </c>
      <c r="S246" t="str">
        <f>IF(Table1[[#This Row],[Gross_millions_Clean]]&gt;200,"Blockbuster",IF(Table1[[#This Row],[Gross_millions_Clean]]&gt;100,"Hit","Average"))</f>
        <v>Average</v>
      </c>
    </row>
    <row r="247" spans="1:19" x14ac:dyDescent="0.3">
      <c r="A247" t="s">
        <v>1116</v>
      </c>
      <c r="B247" t="s">
        <v>1117</v>
      </c>
      <c r="C247">
        <v>1984</v>
      </c>
      <c r="D247" s="8">
        <f>FLOOR(Table1[[#This Row],[Year]],10)</f>
        <v>1980</v>
      </c>
      <c r="E247" t="s">
        <v>24</v>
      </c>
      <c r="F247">
        <v>151</v>
      </c>
      <c r="G247" t="str">
        <f>IF(Table1[[#This Row],[Runtime_minutes]]&lt;90,"Short",IF(Table1[[#This Row],[Runtime_minutes]]&lt;=120,"Medium","Long"))</f>
        <v>Long</v>
      </c>
      <c r="H247" t="s">
        <v>37</v>
      </c>
      <c r="I247" t="s">
        <v>3993</v>
      </c>
      <c r="J247" t="s">
        <v>3982</v>
      </c>
      <c r="K247">
        <v>7.7</v>
      </c>
      <c r="M247" t="s">
        <v>1119</v>
      </c>
      <c r="N247" t="s">
        <v>50</v>
      </c>
      <c r="O247" t="s">
        <v>1120</v>
      </c>
      <c r="P247">
        <v>880921</v>
      </c>
      <c r="Q247" s="3"/>
      <c r="R247" s="3">
        <f>IF(Table1[[#This Row],[Gross_millions]]=" ",0,Table1[[#This Row],[Gross_millions]])</f>
        <v>0</v>
      </c>
      <c r="S247" t="str">
        <f>IF(Table1[[#This Row],[Gross_millions_Clean]]&gt;200,"Blockbuster",IF(Table1[[#This Row],[Gross_millions_Clean]]&gt;100,"Hit","Average"))</f>
        <v>Average</v>
      </c>
    </row>
    <row r="248" spans="1:19" x14ac:dyDescent="0.3">
      <c r="A248" t="s">
        <v>1121</v>
      </c>
      <c r="B248" t="s">
        <v>1122</v>
      </c>
      <c r="C248">
        <v>1993</v>
      </c>
      <c r="D248" s="8">
        <f>FLOOR(Table1[[#This Row],[Year]],10)</f>
        <v>1990</v>
      </c>
      <c r="E248" t="s">
        <v>17</v>
      </c>
      <c r="F248">
        <v>114</v>
      </c>
      <c r="G248" t="str">
        <f>IF(Table1[[#This Row],[Runtime_minutes]]&lt;90,"Short",IF(Table1[[#This Row],[Runtime_minutes]]&lt;=120,"Medium","Long"))</f>
        <v>Medium</v>
      </c>
      <c r="H248" t="s">
        <v>129</v>
      </c>
      <c r="K248">
        <v>7.7</v>
      </c>
      <c r="M248" t="s">
        <v>130</v>
      </c>
      <c r="N248" t="s">
        <v>74</v>
      </c>
      <c r="O248" t="s">
        <v>1123</v>
      </c>
      <c r="P248">
        <v>692883</v>
      </c>
      <c r="Q248" s="3">
        <v>68.34</v>
      </c>
      <c r="R248" s="3">
        <f>IF(Table1[[#This Row],[Gross_millions]]=" ",0,Table1[[#This Row],[Gross_millions]])</f>
        <v>68.34</v>
      </c>
      <c r="S248" t="str">
        <f>IF(Table1[[#This Row],[Gross_millions_Clean]]&gt;200,"Blockbuster",IF(Table1[[#This Row],[Gross_millions_Clean]]&gt;100,"Hit","Average"))</f>
        <v>Average</v>
      </c>
    </row>
    <row r="249" spans="1:19" x14ac:dyDescent="0.3">
      <c r="A249" t="s">
        <v>1124</v>
      </c>
      <c r="B249" t="s">
        <v>1125</v>
      </c>
      <c r="C249">
        <v>2017</v>
      </c>
      <c r="D249" s="8">
        <f>FLOOR(Table1[[#This Row],[Year]],10)</f>
        <v>2010</v>
      </c>
      <c r="E249" t="s">
        <v>17</v>
      </c>
      <c r="F249">
        <v>137</v>
      </c>
      <c r="G249" t="str">
        <f>IF(Table1[[#This Row],[Runtime_minutes]]&lt;90,"Short",IF(Table1[[#This Row],[Runtime_minutes]]&lt;=120,"Medium","Long"))</f>
        <v>Long</v>
      </c>
      <c r="H249" t="s">
        <v>277</v>
      </c>
      <c r="K249">
        <v>7.7</v>
      </c>
      <c r="M249" t="s">
        <v>1126</v>
      </c>
      <c r="N249" t="s">
        <v>191</v>
      </c>
      <c r="O249" t="s">
        <v>1127</v>
      </c>
      <c r="P249">
        <v>3754</v>
      </c>
      <c r="Q249" s="3">
        <v>886.53</v>
      </c>
      <c r="R249" s="3">
        <f>IF(Table1[[#This Row],[Gross_millions]]=" ",0,Table1[[#This Row],[Gross_millions]])</f>
        <v>886.53</v>
      </c>
      <c r="S249" t="str">
        <f>IF(Table1[[#This Row],[Gross_millions_Clean]]&gt;200,"Blockbuster",IF(Table1[[#This Row],[Gross_millions_Clean]]&gt;100,"Hit","Average"))</f>
        <v>Blockbuster</v>
      </c>
    </row>
    <row r="250" spans="1:19" x14ac:dyDescent="0.3">
      <c r="A250" t="s">
        <v>1128</v>
      </c>
      <c r="B250" t="s">
        <v>1129</v>
      </c>
      <c r="C250">
        <v>2013</v>
      </c>
      <c r="D250" s="8">
        <f>FLOOR(Table1[[#This Row],[Year]],10)</f>
        <v>2010</v>
      </c>
      <c r="E250" t="s">
        <v>169</v>
      </c>
      <c r="F250">
        <v>75</v>
      </c>
      <c r="G250" t="str">
        <f>IF(Table1[[#This Row],[Runtime_minutes]]&lt;90,"Short",IF(Table1[[#This Row],[Runtime_minutes]]&lt;=120,"Medium","Long"))</f>
        <v>Short</v>
      </c>
      <c r="H250" t="s">
        <v>157</v>
      </c>
      <c r="I250" t="s">
        <v>3982</v>
      </c>
      <c r="K250">
        <v>7.6</v>
      </c>
      <c r="L250">
        <v>76</v>
      </c>
      <c r="M250" t="s">
        <v>158</v>
      </c>
      <c r="N250" t="s">
        <v>33</v>
      </c>
      <c r="O250" t="s">
        <v>1131</v>
      </c>
      <c r="P250">
        <v>405271</v>
      </c>
      <c r="Q250" s="3"/>
      <c r="R250" s="3">
        <f>IF(Table1[[#This Row],[Gross_millions]]=" ",0,Table1[[#This Row],[Gross_millions]])</f>
        <v>0</v>
      </c>
      <c r="S250" t="str">
        <f>IF(Table1[[#This Row],[Gross_millions_Clean]]&gt;200,"Blockbuster",IF(Table1[[#This Row],[Gross_millions_Clean]]&gt;100,"Hit","Average"))</f>
        <v>Average</v>
      </c>
    </row>
    <row r="251" spans="1:19" x14ac:dyDescent="0.3">
      <c r="A251" t="s">
        <v>1132</v>
      </c>
      <c r="B251" t="s">
        <v>1133</v>
      </c>
      <c r="C251">
        <v>2019</v>
      </c>
      <c r="D251" s="8">
        <f>FLOOR(Table1[[#This Row],[Year]],10)</f>
        <v>2010</v>
      </c>
      <c r="E251" t="s">
        <v>24</v>
      </c>
      <c r="F251">
        <v>109</v>
      </c>
      <c r="G251" t="str">
        <f>IF(Table1[[#This Row],[Runtime_minutes]]&lt;90,"Short",IF(Table1[[#This Row],[Runtime_minutes]]&lt;=120,"Medium","Long"))</f>
        <v>Medium</v>
      </c>
      <c r="H251" t="s">
        <v>37</v>
      </c>
      <c r="I251" t="s">
        <v>3988</v>
      </c>
      <c r="K251">
        <v>7.6</v>
      </c>
      <c r="M251" t="s">
        <v>38</v>
      </c>
      <c r="N251" t="s">
        <v>718</v>
      </c>
      <c r="O251" t="s">
        <v>1135</v>
      </c>
      <c r="P251">
        <v>11415</v>
      </c>
      <c r="Q251" s="3"/>
      <c r="R251" s="3">
        <f>IF(Table1[[#This Row],[Gross_millions]]=" ",0,Table1[[#This Row],[Gross_millions]])</f>
        <v>0</v>
      </c>
      <c r="S251" t="str">
        <f>IF(Table1[[#This Row],[Gross_millions_Clean]]&gt;200,"Blockbuster",IF(Table1[[#This Row],[Gross_millions_Clean]]&gt;100,"Hit","Average"))</f>
        <v>Average</v>
      </c>
    </row>
    <row r="252" spans="1:19" x14ac:dyDescent="0.3">
      <c r="A252" t="s">
        <v>1136</v>
      </c>
      <c r="B252" t="s">
        <v>1137</v>
      </c>
      <c r="C252">
        <v>2017</v>
      </c>
      <c r="D252" s="8">
        <f>FLOOR(Table1[[#This Row],[Year]],10)</f>
        <v>2010</v>
      </c>
      <c r="E252" t="s">
        <v>17</v>
      </c>
      <c r="F252">
        <v>109</v>
      </c>
      <c r="G252" t="str">
        <f>IF(Table1[[#This Row],[Runtime_minutes]]&lt;90,"Short",IF(Table1[[#This Row],[Runtime_minutes]]&lt;=120,"Medium","Long"))</f>
        <v>Medium</v>
      </c>
      <c r="H252" t="s">
        <v>129</v>
      </c>
      <c r="I252" t="s">
        <v>3992</v>
      </c>
      <c r="K252">
        <v>7.6</v>
      </c>
      <c r="M252" t="s">
        <v>634</v>
      </c>
      <c r="N252" t="s">
        <v>236</v>
      </c>
      <c r="O252" t="s">
        <v>1139</v>
      </c>
      <c r="P252">
        <v>33500</v>
      </c>
      <c r="Q252" s="3">
        <v>646.29999999999995</v>
      </c>
      <c r="R252" s="3">
        <f>IF(Table1[[#This Row],[Gross_millions]]=" ",0,Table1[[#This Row],[Gross_millions]])</f>
        <v>646.29999999999995</v>
      </c>
      <c r="S252" t="str">
        <f>IF(Table1[[#This Row],[Gross_millions_Clean]]&gt;200,"Blockbuster",IF(Table1[[#This Row],[Gross_millions_Clean]]&gt;100,"Hit","Average"))</f>
        <v>Blockbuster</v>
      </c>
    </row>
    <row r="253" spans="1:19" x14ac:dyDescent="0.3">
      <c r="A253" t="s">
        <v>1140</v>
      </c>
      <c r="B253" t="s">
        <v>1141</v>
      </c>
      <c r="C253">
        <v>2000</v>
      </c>
      <c r="D253" s="8">
        <f>FLOOR(Table1[[#This Row],[Year]],10)</f>
        <v>2000</v>
      </c>
      <c r="E253" t="s">
        <v>54</v>
      </c>
      <c r="F253">
        <v>113</v>
      </c>
      <c r="G253" t="str">
        <f>IF(Table1[[#This Row],[Runtime_minutes]]&lt;90,"Short",IF(Table1[[#This Row],[Runtime_minutes]]&lt;=120,"Medium","Long"))</f>
        <v>Medium</v>
      </c>
      <c r="H253" t="s">
        <v>767</v>
      </c>
      <c r="I253" t="s">
        <v>3978</v>
      </c>
      <c r="J253" t="s">
        <v>3976</v>
      </c>
      <c r="K253">
        <v>7.6</v>
      </c>
      <c r="L253">
        <v>81</v>
      </c>
      <c r="M253" t="s">
        <v>1143</v>
      </c>
      <c r="N253" t="s">
        <v>608</v>
      </c>
      <c r="O253" t="s">
        <v>1144</v>
      </c>
      <c r="P253">
        <v>123504</v>
      </c>
      <c r="Q253" s="3">
        <v>167.38</v>
      </c>
      <c r="R253" s="3">
        <f>IF(Table1[[#This Row],[Gross_millions]]=" ",0,Table1[[#This Row],[Gross_millions]])</f>
        <v>167.38</v>
      </c>
      <c r="S253" t="str">
        <f>IF(Table1[[#This Row],[Gross_millions_Clean]]&gt;200,"Blockbuster",IF(Table1[[#This Row],[Gross_millions_Clean]]&gt;100,"Hit","Average"))</f>
        <v>Hit</v>
      </c>
    </row>
    <row r="254" spans="1:19" x14ac:dyDescent="0.3">
      <c r="A254" t="s">
        <v>1145</v>
      </c>
      <c r="B254" t="s">
        <v>1146</v>
      </c>
      <c r="C254">
        <v>2024</v>
      </c>
      <c r="D254" s="8">
        <f>FLOOR(Table1[[#This Row],[Year]],10)</f>
        <v>2020</v>
      </c>
      <c r="E254" t="s">
        <v>54</v>
      </c>
      <c r="F254">
        <v>133</v>
      </c>
      <c r="G254" t="str">
        <f>IF(Table1[[#This Row],[Runtime_minutes]]&lt;90,"Short",IF(Table1[[#This Row],[Runtime_minutes]]&lt;=120,"Medium","Long"))</f>
        <v>Long</v>
      </c>
      <c r="H254" t="s">
        <v>210</v>
      </c>
      <c r="K254">
        <v>7.6</v>
      </c>
      <c r="L254">
        <v>70</v>
      </c>
      <c r="M254" t="s">
        <v>574</v>
      </c>
      <c r="N254" t="s">
        <v>86</v>
      </c>
      <c r="O254" t="s">
        <v>1147</v>
      </c>
      <c r="P254">
        <v>38524</v>
      </c>
      <c r="Q254" s="3">
        <v>699.85</v>
      </c>
      <c r="R254" s="3">
        <f>IF(Table1[[#This Row],[Gross_millions]]=" ",0,Table1[[#This Row],[Gross_millions]])</f>
        <v>699.85</v>
      </c>
      <c r="S254" t="str">
        <f>IF(Table1[[#This Row],[Gross_millions_Clean]]&gt;200,"Blockbuster",IF(Table1[[#This Row],[Gross_millions_Clean]]&gt;100,"Hit","Average"))</f>
        <v>Blockbuster</v>
      </c>
    </row>
    <row r="255" spans="1:19" x14ac:dyDescent="0.3">
      <c r="A255" t="s">
        <v>1148</v>
      </c>
      <c r="B255" t="s">
        <v>1149</v>
      </c>
      <c r="C255">
        <v>2004</v>
      </c>
      <c r="D255" s="8">
        <f>FLOOR(Table1[[#This Row],[Year]],10)</f>
        <v>2000</v>
      </c>
      <c r="E255" t="s">
        <v>24</v>
      </c>
      <c r="F255">
        <v>95</v>
      </c>
      <c r="G255" t="str">
        <f>IF(Table1[[#This Row],[Runtime_minutes]]&lt;90,"Short",IF(Table1[[#This Row],[Runtime_minutes]]&lt;=120,"Medium","Long"))</f>
        <v>Medium</v>
      </c>
      <c r="H255" t="s">
        <v>868</v>
      </c>
      <c r="K255">
        <v>7.6</v>
      </c>
      <c r="L255">
        <v>71</v>
      </c>
      <c r="M255" t="s">
        <v>1150</v>
      </c>
      <c r="N255" t="s">
        <v>159</v>
      </c>
      <c r="O255" t="s">
        <v>1151</v>
      </c>
      <c r="P255">
        <v>226598</v>
      </c>
      <c r="Q255" s="3">
        <v>197.19</v>
      </c>
      <c r="R255" s="3">
        <f>IF(Table1[[#This Row],[Gross_millions]]=" ",0,Table1[[#This Row],[Gross_millions]])</f>
        <v>197.19</v>
      </c>
      <c r="S255" t="str">
        <f>IF(Table1[[#This Row],[Gross_millions_Clean]]&gt;200,"Blockbuster",IF(Table1[[#This Row],[Gross_millions_Clean]]&gt;100,"Hit","Average"))</f>
        <v>Hit</v>
      </c>
    </row>
    <row r="256" spans="1:19" x14ac:dyDescent="0.3">
      <c r="A256" t="s">
        <v>1152</v>
      </c>
      <c r="B256" t="s">
        <v>1153</v>
      </c>
      <c r="C256">
        <v>1957</v>
      </c>
      <c r="D256" s="8">
        <f>FLOOR(Table1[[#This Row],[Year]],10)</f>
        <v>1950</v>
      </c>
      <c r="E256" t="s">
        <v>17</v>
      </c>
      <c r="F256">
        <v>109</v>
      </c>
      <c r="G256" t="str">
        <f>IF(Table1[[#This Row],[Runtime_minutes]]&lt;90,"Short",IF(Table1[[#This Row],[Runtime_minutes]]&lt;=120,"Medium","Long"))</f>
        <v>Medium</v>
      </c>
      <c r="H256" t="s">
        <v>72</v>
      </c>
      <c r="I256" t="s">
        <v>3981</v>
      </c>
      <c r="K256">
        <v>7.6</v>
      </c>
      <c r="L256">
        <v>70</v>
      </c>
      <c r="M256" t="s">
        <v>1155</v>
      </c>
      <c r="N256" t="s">
        <v>80</v>
      </c>
      <c r="O256" t="s">
        <v>1156</v>
      </c>
      <c r="P256">
        <v>39815</v>
      </c>
      <c r="Q256" s="3">
        <v>23.66</v>
      </c>
      <c r="R256" s="3">
        <f>IF(Table1[[#This Row],[Gross_millions]]=" ",0,Table1[[#This Row],[Gross_millions]])</f>
        <v>23.66</v>
      </c>
      <c r="S256" t="str">
        <f>IF(Table1[[#This Row],[Gross_millions_Clean]]&gt;200,"Blockbuster",IF(Table1[[#This Row],[Gross_millions_Clean]]&gt;100,"Hit","Average"))</f>
        <v>Average</v>
      </c>
    </row>
    <row r="257" spans="1:19" x14ac:dyDescent="0.3">
      <c r="A257" t="s">
        <v>1157</v>
      </c>
      <c r="B257" t="s">
        <v>1158</v>
      </c>
      <c r="C257">
        <v>1984</v>
      </c>
      <c r="D257" s="8">
        <f>FLOOR(Table1[[#This Row],[Year]],10)</f>
        <v>1980</v>
      </c>
      <c r="E257" t="s">
        <v>17</v>
      </c>
      <c r="F257">
        <v>161</v>
      </c>
      <c r="G257" t="str">
        <f>IF(Table1[[#This Row],[Runtime_minutes]]&lt;90,"Short",IF(Table1[[#This Row],[Runtime_minutes]]&lt;=120,"Medium","Long"))</f>
        <v>Long</v>
      </c>
      <c r="H257" t="s">
        <v>230</v>
      </c>
      <c r="I257" t="s">
        <v>3978</v>
      </c>
      <c r="J257" t="s">
        <v>3976</v>
      </c>
      <c r="K257">
        <v>7.6</v>
      </c>
      <c r="L257">
        <v>81</v>
      </c>
      <c r="M257" t="s">
        <v>124</v>
      </c>
      <c r="N257" t="s">
        <v>92</v>
      </c>
      <c r="O257" t="s">
        <v>1160</v>
      </c>
      <c r="P257">
        <v>22029</v>
      </c>
      <c r="Q257" s="3"/>
      <c r="R257" s="3">
        <f>IF(Table1[[#This Row],[Gross_millions]]=" ",0,Table1[[#This Row],[Gross_millions]])</f>
        <v>0</v>
      </c>
      <c r="S257" t="str">
        <f>IF(Table1[[#This Row],[Gross_millions_Clean]]&gt;200,"Blockbuster",IF(Table1[[#This Row],[Gross_millions_Clean]]&gt;100,"Hit","Average"))</f>
        <v>Average</v>
      </c>
    </row>
    <row r="258" spans="1:19" x14ac:dyDescent="0.3">
      <c r="A258" t="s">
        <v>1161</v>
      </c>
      <c r="B258" t="s">
        <v>1162</v>
      </c>
      <c r="C258">
        <v>1966</v>
      </c>
      <c r="D258" s="8">
        <f>FLOOR(Table1[[#This Row],[Year]],10)</f>
        <v>1960</v>
      </c>
      <c r="E258" t="s">
        <v>24</v>
      </c>
      <c r="F258">
        <v>101</v>
      </c>
      <c r="G258" t="str">
        <f>IF(Table1[[#This Row],[Runtime_minutes]]&lt;90,"Short",IF(Table1[[#This Row],[Runtime_minutes]]&lt;=120,"Medium","Long"))</f>
        <v>Medium</v>
      </c>
      <c r="H258" t="s">
        <v>453</v>
      </c>
      <c r="I258" t="s">
        <v>3980</v>
      </c>
      <c r="K258">
        <v>7.6</v>
      </c>
      <c r="L258">
        <v>66</v>
      </c>
      <c r="M258" t="s">
        <v>269</v>
      </c>
      <c r="N258" t="s">
        <v>718</v>
      </c>
      <c r="O258" t="s">
        <v>1164</v>
      </c>
      <c r="P258">
        <v>323724</v>
      </c>
      <c r="Q258" s="3">
        <v>126.06</v>
      </c>
      <c r="R258" s="3">
        <f>IF(Table1[[#This Row],[Gross_millions]]=" ",0,Table1[[#This Row],[Gross_millions]])</f>
        <v>126.06</v>
      </c>
      <c r="S258" t="str">
        <f>IF(Table1[[#This Row],[Gross_millions_Clean]]&gt;200,"Blockbuster",IF(Table1[[#This Row],[Gross_millions_Clean]]&gt;100,"Hit","Average"))</f>
        <v>Hit</v>
      </c>
    </row>
    <row r="259" spans="1:19" x14ac:dyDescent="0.3">
      <c r="A259" t="s">
        <v>1165</v>
      </c>
      <c r="B259" t="s">
        <v>272</v>
      </c>
      <c r="C259">
        <v>1940</v>
      </c>
      <c r="D259" s="8">
        <f>FLOOR(Table1[[#This Row],[Year]],10)</f>
        <v>1940</v>
      </c>
      <c r="E259" t="s">
        <v>24</v>
      </c>
      <c r="F259">
        <v>115</v>
      </c>
      <c r="G259" t="str">
        <f>IF(Table1[[#This Row],[Runtime_minutes]]&lt;90,"Short",IF(Table1[[#This Row],[Runtime_minutes]]&lt;=120,"Medium","Long"))</f>
        <v>Medium</v>
      </c>
      <c r="H259" t="s">
        <v>453</v>
      </c>
      <c r="K259">
        <v>7.6</v>
      </c>
      <c r="L259">
        <v>84</v>
      </c>
      <c r="M259" t="s">
        <v>1166</v>
      </c>
      <c r="N259" t="s">
        <v>315</v>
      </c>
      <c r="O259" t="s">
        <v>1167</v>
      </c>
      <c r="P259">
        <v>19114</v>
      </c>
      <c r="Q259" s="3">
        <v>139.52000000000001</v>
      </c>
      <c r="R259" s="3">
        <f>IF(Table1[[#This Row],[Gross_millions]]=" ",0,Table1[[#This Row],[Gross_millions]])</f>
        <v>139.52000000000001</v>
      </c>
      <c r="S259" t="str">
        <f>IF(Table1[[#This Row],[Gross_millions_Clean]]&gt;200,"Blockbuster",IF(Table1[[#This Row],[Gross_millions_Clean]]&gt;100,"Hit","Average"))</f>
        <v>Hit</v>
      </c>
    </row>
    <row r="260" spans="1:19" x14ac:dyDescent="0.3">
      <c r="A260" t="s">
        <v>1168</v>
      </c>
      <c r="B260" t="s">
        <v>1169</v>
      </c>
      <c r="C260">
        <v>2012</v>
      </c>
      <c r="D260" s="8">
        <f>FLOOR(Table1[[#This Row],[Year]],10)</f>
        <v>2010</v>
      </c>
      <c r="E260" t="s">
        <v>17</v>
      </c>
      <c r="F260">
        <v>127</v>
      </c>
      <c r="G260" t="str">
        <f>IF(Table1[[#This Row],[Runtime_minutes]]&lt;90,"Short",IF(Table1[[#This Row],[Runtime_minutes]]&lt;=120,"Medium","Long"))</f>
        <v>Long</v>
      </c>
      <c r="H260" t="s">
        <v>1044</v>
      </c>
      <c r="I260" t="s">
        <v>3991</v>
      </c>
      <c r="K260">
        <v>7.6</v>
      </c>
      <c r="L260">
        <v>63</v>
      </c>
      <c r="M260" t="s">
        <v>1171</v>
      </c>
      <c r="N260" t="s">
        <v>33</v>
      </c>
      <c r="O260" t="s">
        <v>1172</v>
      </c>
      <c r="P260">
        <v>155244</v>
      </c>
      <c r="Q260" s="3"/>
      <c r="R260" s="3">
        <f>IF(Table1[[#This Row],[Gross_millions]]=" ",0,Table1[[#This Row],[Gross_millions]])</f>
        <v>0</v>
      </c>
      <c r="S260" t="str">
        <f>IF(Table1[[#This Row],[Gross_millions_Clean]]&gt;200,"Blockbuster",IF(Table1[[#This Row],[Gross_millions_Clean]]&gt;100,"Hit","Average"))</f>
        <v>Average</v>
      </c>
    </row>
    <row r="261" spans="1:19" x14ac:dyDescent="0.3">
      <c r="A261" t="s">
        <v>1173</v>
      </c>
      <c r="B261" t="s">
        <v>1174</v>
      </c>
      <c r="C261">
        <v>2003</v>
      </c>
      <c r="D261" s="8">
        <f>FLOOR(Table1[[#This Row],[Year]],10)</f>
        <v>2000</v>
      </c>
      <c r="E261" t="s">
        <v>17</v>
      </c>
      <c r="F261">
        <v>116</v>
      </c>
      <c r="G261" t="str">
        <f>IF(Table1[[#This Row],[Runtime_minutes]]&lt;90,"Short",IF(Table1[[#This Row],[Runtime_minutes]]&lt;=120,"Medium","Long"))</f>
        <v>Medium</v>
      </c>
      <c r="H261" t="s">
        <v>606</v>
      </c>
      <c r="I261" t="s">
        <v>3979</v>
      </c>
      <c r="J261" t="s">
        <v>3978</v>
      </c>
      <c r="K261">
        <v>7.6</v>
      </c>
      <c r="L261">
        <v>66</v>
      </c>
      <c r="M261" t="s">
        <v>1176</v>
      </c>
      <c r="N261" t="s">
        <v>27</v>
      </c>
      <c r="O261" t="s">
        <v>1177</v>
      </c>
      <c r="P261">
        <v>159290</v>
      </c>
      <c r="Q261" s="3">
        <v>263.02</v>
      </c>
      <c r="R261" s="3">
        <f>IF(Table1[[#This Row],[Gross_millions]]=" ",0,Table1[[#This Row],[Gross_millions]])</f>
        <v>263.02</v>
      </c>
      <c r="S261" t="str">
        <f>IF(Table1[[#This Row],[Gross_millions_Clean]]&gt;200,"Blockbuster",IF(Table1[[#This Row],[Gross_millions_Clean]]&gt;100,"Hit","Average"))</f>
        <v>Blockbuster</v>
      </c>
    </row>
    <row r="262" spans="1:19" x14ac:dyDescent="0.3">
      <c r="A262" t="s">
        <v>1178</v>
      </c>
      <c r="B262" t="s">
        <v>1179</v>
      </c>
      <c r="C262">
        <v>2005</v>
      </c>
      <c r="D262" s="8">
        <f>FLOOR(Table1[[#This Row],[Year]],10)</f>
        <v>2000</v>
      </c>
      <c r="E262" t="s">
        <v>285</v>
      </c>
      <c r="F262">
        <v>159</v>
      </c>
      <c r="G262" t="str">
        <f>IF(Table1[[#This Row],[Runtime_minutes]]&lt;90,"Short",IF(Table1[[#This Row],[Runtime_minutes]]&lt;=120,"Medium","Long"))</f>
        <v>Long</v>
      </c>
      <c r="H262" t="s">
        <v>78</v>
      </c>
      <c r="I262" t="s">
        <v>3993</v>
      </c>
      <c r="K262">
        <v>7.6</v>
      </c>
      <c r="M262" t="s">
        <v>1181</v>
      </c>
      <c r="N262" t="s">
        <v>608</v>
      </c>
      <c r="O262" t="s">
        <v>1182</v>
      </c>
      <c r="P262">
        <v>70166</v>
      </c>
      <c r="Q262" s="3">
        <v>318.3</v>
      </c>
      <c r="R262" s="3">
        <f>IF(Table1[[#This Row],[Gross_millions]]=" ",0,Table1[[#This Row],[Gross_millions]])</f>
        <v>318.3</v>
      </c>
      <c r="S262" t="str">
        <f>IF(Table1[[#This Row],[Gross_millions_Clean]]&gt;200,"Blockbuster",IF(Table1[[#This Row],[Gross_millions_Clean]]&gt;100,"Hit","Average"))</f>
        <v>Blockbuster</v>
      </c>
    </row>
    <row r="263" spans="1:19" x14ac:dyDescent="0.3">
      <c r="A263" t="s">
        <v>1183</v>
      </c>
      <c r="B263" t="s">
        <v>1184</v>
      </c>
      <c r="C263">
        <v>1989</v>
      </c>
      <c r="D263" s="8">
        <f>FLOOR(Table1[[#This Row],[Year]],10)</f>
        <v>1980</v>
      </c>
      <c r="E263" t="s">
        <v>17</v>
      </c>
      <c r="F263">
        <v>149</v>
      </c>
      <c r="G263" t="str">
        <f>IF(Table1[[#This Row],[Runtime_minutes]]&lt;90,"Short",IF(Table1[[#This Row],[Runtime_minutes]]&lt;=120,"Medium","Long"))</f>
        <v>Long</v>
      </c>
      <c r="H263" t="s">
        <v>210</v>
      </c>
      <c r="I263" t="s">
        <v>3983</v>
      </c>
      <c r="K263">
        <v>7.6</v>
      </c>
      <c r="M263" t="s">
        <v>728</v>
      </c>
      <c r="N263" t="s">
        <v>593</v>
      </c>
      <c r="O263" t="s">
        <v>1186</v>
      </c>
      <c r="P263">
        <v>28261</v>
      </c>
      <c r="Q263" s="3">
        <v>128.47999999999999</v>
      </c>
      <c r="R263" s="3">
        <f>IF(Table1[[#This Row],[Gross_millions]]=" ",0,Table1[[#This Row],[Gross_millions]])</f>
        <v>128.47999999999999</v>
      </c>
      <c r="S263" t="str">
        <f>IF(Table1[[#This Row],[Gross_millions_Clean]]&gt;200,"Blockbuster",IF(Table1[[#This Row],[Gross_millions_Clean]]&gt;100,"Hit","Average"))</f>
        <v>Hit</v>
      </c>
    </row>
    <row r="264" spans="1:19" x14ac:dyDescent="0.3">
      <c r="A264" t="s">
        <v>1187</v>
      </c>
      <c r="B264" t="s">
        <v>1188</v>
      </c>
      <c r="C264">
        <v>1983</v>
      </c>
      <c r="D264" s="8">
        <f>FLOOR(Table1[[#This Row],[Year]],10)</f>
        <v>1980</v>
      </c>
      <c r="E264" t="s">
        <v>24</v>
      </c>
      <c r="F264">
        <v>104</v>
      </c>
      <c r="G264" t="str">
        <f>IF(Table1[[#This Row],[Runtime_minutes]]&lt;90,"Short",IF(Table1[[#This Row],[Runtime_minutes]]&lt;=120,"Medium","Long"))</f>
        <v>Medium</v>
      </c>
      <c r="H264" t="s">
        <v>129</v>
      </c>
      <c r="K264">
        <v>7.6</v>
      </c>
      <c r="L264">
        <v>78</v>
      </c>
      <c r="M264" t="s">
        <v>130</v>
      </c>
      <c r="N264" t="s">
        <v>125</v>
      </c>
      <c r="O264" t="s">
        <v>1189</v>
      </c>
      <c r="P264">
        <v>47296</v>
      </c>
      <c r="Q264" s="3">
        <v>196.91</v>
      </c>
      <c r="R264" s="3">
        <f>IF(Table1[[#This Row],[Gross_millions]]=" ",0,Table1[[#This Row],[Gross_millions]])</f>
        <v>196.91</v>
      </c>
      <c r="S264" t="str">
        <f>IF(Table1[[#This Row],[Gross_millions_Clean]]&gt;200,"Blockbuster",IF(Table1[[#This Row],[Gross_millions_Clean]]&gt;100,"Hit","Average"))</f>
        <v>Hit</v>
      </c>
    </row>
    <row r="265" spans="1:19" x14ac:dyDescent="0.3">
      <c r="A265" t="s">
        <v>1190</v>
      </c>
      <c r="B265" t="s">
        <v>1191</v>
      </c>
      <c r="C265">
        <v>2002</v>
      </c>
      <c r="D265" s="8">
        <f>FLOOR(Table1[[#This Row],[Year]],10)</f>
        <v>2000</v>
      </c>
      <c r="E265" t="s">
        <v>24</v>
      </c>
      <c r="F265">
        <v>88</v>
      </c>
      <c r="G265" t="str">
        <f>IF(Table1[[#This Row],[Runtime_minutes]]&lt;90,"Short",IF(Table1[[#This Row],[Runtime_minutes]]&lt;=120,"Medium","Long"))</f>
        <v>Short</v>
      </c>
      <c r="H265" t="s">
        <v>453</v>
      </c>
      <c r="I265" t="s">
        <v>3985</v>
      </c>
      <c r="K265">
        <v>7.6</v>
      </c>
      <c r="L265">
        <v>88</v>
      </c>
      <c r="M265" t="s">
        <v>435</v>
      </c>
      <c r="N265" t="s">
        <v>137</v>
      </c>
      <c r="O265" t="s">
        <v>1193</v>
      </c>
      <c r="P265">
        <v>53276</v>
      </c>
      <c r="Q265" s="3">
        <v>358.22</v>
      </c>
      <c r="R265" s="3">
        <f>IF(Table1[[#This Row],[Gross_millions]]=" ",0,Table1[[#This Row],[Gross_millions]])</f>
        <v>358.22</v>
      </c>
      <c r="S265" t="str">
        <f>IF(Table1[[#This Row],[Gross_millions_Clean]]&gt;200,"Blockbuster",IF(Table1[[#This Row],[Gross_millions_Clean]]&gt;100,"Hit","Average"))</f>
        <v>Blockbuster</v>
      </c>
    </row>
    <row r="266" spans="1:19" x14ac:dyDescent="0.3">
      <c r="A266" t="s">
        <v>1194</v>
      </c>
      <c r="B266" t="s">
        <v>1195</v>
      </c>
      <c r="C266">
        <v>2014</v>
      </c>
      <c r="D266" s="8">
        <f>FLOOR(Table1[[#This Row],[Year]],10)</f>
        <v>2010</v>
      </c>
      <c r="E266" t="s">
        <v>169</v>
      </c>
      <c r="F266">
        <v>125</v>
      </c>
      <c r="G266" t="str">
        <f>IF(Table1[[#This Row],[Runtime_minutes]]&lt;90,"Short",IF(Table1[[#This Row],[Runtime_minutes]]&lt;=120,"Medium","Long"))</f>
        <v>Long</v>
      </c>
      <c r="H266" t="s">
        <v>210</v>
      </c>
      <c r="K266">
        <v>7.6</v>
      </c>
      <c r="L266">
        <v>85</v>
      </c>
      <c r="M266" t="s">
        <v>1196</v>
      </c>
      <c r="N266" t="s">
        <v>86</v>
      </c>
      <c r="O266" t="s">
        <v>1197</v>
      </c>
      <c r="P266">
        <v>67739</v>
      </c>
      <c r="Q266" s="3">
        <v>738.99</v>
      </c>
      <c r="R266" s="3">
        <f>IF(Table1[[#This Row],[Gross_millions]]=" ",0,Table1[[#This Row],[Gross_millions]])</f>
        <v>738.99</v>
      </c>
      <c r="S266" t="str">
        <f>IF(Table1[[#This Row],[Gross_millions_Clean]]&gt;200,"Blockbuster",IF(Table1[[#This Row],[Gross_millions_Clean]]&gt;100,"Hit","Average"))</f>
        <v>Blockbuster</v>
      </c>
    </row>
    <row r="267" spans="1:19" x14ac:dyDescent="0.3">
      <c r="A267" t="s">
        <v>1198</v>
      </c>
      <c r="B267" t="s">
        <v>1199</v>
      </c>
      <c r="C267">
        <v>2018</v>
      </c>
      <c r="D267" s="8">
        <f>FLOOR(Table1[[#This Row],[Year]],10)</f>
        <v>2010</v>
      </c>
      <c r="E267" t="s">
        <v>17</v>
      </c>
      <c r="F267">
        <v>152</v>
      </c>
      <c r="G267" t="str">
        <f>IF(Table1[[#This Row],[Runtime_minutes]]&lt;90,"Short",IF(Table1[[#This Row],[Runtime_minutes]]&lt;=120,"Medium","Long"))</f>
        <v>Long</v>
      </c>
      <c r="H267" t="s">
        <v>277</v>
      </c>
      <c r="K267">
        <v>7.6</v>
      </c>
      <c r="L267">
        <v>72</v>
      </c>
      <c r="M267" t="s">
        <v>278</v>
      </c>
      <c r="N267" t="s">
        <v>125</v>
      </c>
      <c r="O267" t="s">
        <v>1200</v>
      </c>
      <c r="P267">
        <v>40022</v>
      </c>
      <c r="Q267" s="3">
        <v>793.27</v>
      </c>
      <c r="R267" s="3">
        <f>IF(Table1[[#This Row],[Gross_millions]]=" ",0,Table1[[#This Row],[Gross_millions]])</f>
        <v>793.27</v>
      </c>
      <c r="S267" t="str">
        <f>IF(Table1[[#This Row],[Gross_millions_Clean]]&gt;200,"Blockbuster",IF(Table1[[#This Row],[Gross_millions_Clean]]&gt;100,"Hit","Average"))</f>
        <v>Blockbuster</v>
      </c>
    </row>
    <row r="268" spans="1:19" x14ac:dyDescent="0.3">
      <c r="A268" t="s">
        <v>1201</v>
      </c>
      <c r="B268" t="s">
        <v>1202</v>
      </c>
      <c r="C268">
        <v>2011</v>
      </c>
      <c r="D268" s="8">
        <f>FLOOR(Table1[[#This Row],[Year]],10)</f>
        <v>2010</v>
      </c>
      <c r="E268" t="s">
        <v>54</v>
      </c>
      <c r="F268">
        <v>132</v>
      </c>
      <c r="G268" t="str">
        <f>IF(Table1[[#This Row],[Runtime_minutes]]&lt;90,"Short",IF(Table1[[#This Row],[Runtime_minutes]]&lt;=120,"Medium","Long"))</f>
        <v>Long</v>
      </c>
      <c r="H268" t="s">
        <v>1044</v>
      </c>
      <c r="K268">
        <v>7.6</v>
      </c>
      <c r="L268">
        <v>76</v>
      </c>
      <c r="M268" t="s">
        <v>1203</v>
      </c>
      <c r="N268" t="s">
        <v>483</v>
      </c>
      <c r="O268" t="s">
        <v>1204</v>
      </c>
      <c r="P268">
        <v>30389</v>
      </c>
      <c r="Q268" s="3"/>
      <c r="R268" s="3">
        <f>IF(Table1[[#This Row],[Gross_millions]]=" ",0,Table1[[#This Row],[Gross_millions]])</f>
        <v>0</v>
      </c>
      <c r="S268" t="str">
        <f>IF(Table1[[#This Row],[Gross_millions_Clean]]&gt;200,"Blockbuster",IF(Table1[[#This Row],[Gross_millions_Clean]]&gt;100,"Hit","Average"))</f>
        <v>Average</v>
      </c>
    </row>
    <row r="269" spans="1:19" x14ac:dyDescent="0.3">
      <c r="A269" t="s">
        <v>1205</v>
      </c>
      <c r="B269" t="s">
        <v>1206</v>
      </c>
      <c r="C269">
        <v>2006</v>
      </c>
      <c r="D269" s="8">
        <f>FLOOR(Table1[[#This Row],[Year]],10)</f>
        <v>2000</v>
      </c>
      <c r="E269" t="s">
        <v>17</v>
      </c>
      <c r="F269">
        <v>154</v>
      </c>
      <c r="G269" t="str">
        <f>IF(Table1[[#This Row],[Runtime_minutes]]&lt;90,"Short",IF(Table1[[#This Row],[Runtime_minutes]]&lt;=120,"Medium","Long"))</f>
        <v>Long</v>
      </c>
      <c r="H269" t="s">
        <v>55</v>
      </c>
      <c r="I269" t="s">
        <v>3985</v>
      </c>
      <c r="K269">
        <v>7.6</v>
      </c>
      <c r="M269" t="s">
        <v>1207</v>
      </c>
      <c r="N269" t="s">
        <v>236</v>
      </c>
      <c r="O269" t="s">
        <v>1208</v>
      </c>
      <c r="P269">
        <v>41989</v>
      </c>
      <c r="Q269" s="3">
        <v>446.79</v>
      </c>
      <c r="R269" s="3">
        <f>IF(Table1[[#This Row],[Gross_millions]]=" ",0,Table1[[#This Row],[Gross_millions]])</f>
        <v>446.79</v>
      </c>
      <c r="S269" t="str">
        <f>IF(Table1[[#This Row],[Gross_millions_Clean]]&gt;200,"Blockbuster",IF(Table1[[#This Row],[Gross_millions_Clean]]&gt;100,"Hit","Average"))</f>
        <v>Blockbuster</v>
      </c>
    </row>
    <row r="270" spans="1:19" x14ac:dyDescent="0.3">
      <c r="A270" t="s">
        <v>1209</v>
      </c>
      <c r="B270" t="s">
        <v>1210</v>
      </c>
      <c r="C270">
        <v>2006</v>
      </c>
      <c r="D270" s="8">
        <f>FLOOR(Table1[[#This Row],[Year]],10)</f>
        <v>2000</v>
      </c>
      <c r="E270" t="s">
        <v>24</v>
      </c>
      <c r="F270">
        <v>105</v>
      </c>
      <c r="G270" t="str">
        <f>IF(Table1[[#This Row],[Runtime_minutes]]&lt;90,"Short",IF(Table1[[#This Row],[Runtime_minutes]]&lt;=120,"Medium","Long"))</f>
        <v>Medium</v>
      </c>
      <c r="H270" t="s">
        <v>129</v>
      </c>
      <c r="K270">
        <v>7.6</v>
      </c>
      <c r="M270" t="s">
        <v>1211</v>
      </c>
      <c r="N270" t="s">
        <v>518</v>
      </c>
      <c r="O270" t="s">
        <v>1212</v>
      </c>
      <c r="P270">
        <v>38467</v>
      </c>
      <c r="Q270" s="3">
        <v>118.55</v>
      </c>
      <c r="R270" s="3">
        <f>IF(Table1[[#This Row],[Gross_millions]]=" ",0,Table1[[#This Row],[Gross_millions]])</f>
        <v>118.55</v>
      </c>
      <c r="S270" t="str">
        <f>IF(Table1[[#This Row],[Gross_millions_Clean]]&gt;200,"Blockbuster",IF(Table1[[#This Row],[Gross_millions_Clean]]&gt;100,"Hit","Average"))</f>
        <v>Hit</v>
      </c>
    </row>
    <row r="271" spans="1:19" x14ac:dyDescent="0.3">
      <c r="A271" t="s">
        <v>1213</v>
      </c>
      <c r="B271" t="s">
        <v>1214</v>
      </c>
      <c r="C271">
        <v>2017</v>
      </c>
      <c r="D271" s="8">
        <f>FLOOR(Table1[[#This Row],[Year]],10)</f>
        <v>2010</v>
      </c>
      <c r="E271" t="s">
        <v>54</v>
      </c>
      <c r="F271">
        <v>80</v>
      </c>
      <c r="G271" t="str">
        <f>IF(Table1[[#This Row],[Runtime_minutes]]&lt;90,"Short",IF(Table1[[#This Row],[Runtime_minutes]]&lt;=120,"Medium","Long"))</f>
        <v>Short</v>
      </c>
      <c r="H271" t="s">
        <v>230</v>
      </c>
      <c r="K271">
        <v>7.6</v>
      </c>
      <c r="M271" t="s">
        <v>570</v>
      </c>
      <c r="N271" t="s">
        <v>326</v>
      </c>
      <c r="O271" t="s">
        <v>1215</v>
      </c>
      <c r="P271">
        <v>9732</v>
      </c>
      <c r="Q271" s="3"/>
      <c r="R271" s="3">
        <f>IF(Table1[[#This Row],[Gross_millions]]=" ",0,Table1[[#This Row],[Gross_millions]])</f>
        <v>0</v>
      </c>
      <c r="S271" t="str">
        <f>IF(Table1[[#This Row],[Gross_millions_Clean]]&gt;200,"Blockbuster",IF(Table1[[#This Row],[Gross_millions_Clean]]&gt;100,"Hit","Average"))</f>
        <v>Average</v>
      </c>
    </row>
    <row r="272" spans="1:19" x14ac:dyDescent="0.3">
      <c r="A272" t="s">
        <v>1216</v>
      </c>
      <c r="B272" t="s">
        <v>1217</v>
      </c>
      <c r="C272">
        <v>1995</v>
      </c>
      <c r="D272" s="8">
        <f>FLOOR(Table1[[#This Row],[Year]],10)</f>
        <v>1990</v>
      </c>
      <c r="E272" t="s">
        <v>169</v>
      </c>
      <c r="F272">
        <v>148</v>
      </c>
      <c r="G272" t="str">
        <f>IF(Table1[[#This Row],[Runtime_minutes]]&lt;90,"Short",IF(Table1[[#This Row],[Runtime_minutes]]&lt;=120,"Medium","Long"))</f>
        <v>Long</v>
      </c>
      <c r="H272" t="s">
        <v>129</v>
      </c>
      <c r="I272" t="s">
        <v>3984</v>
      </c>
      <c r="K272">
        <v>7.6</v>
      </c>
      <c r="M272" t="s">
        <v>634</v>
      </c>
      <c r="N272" t="s">
        <v>593</v>
      </c>
      <c r="O272" t="s">
        <v>1219</v>
      </c>
      <c r="P272">
        <v>342746</v>
      </c>
      <c r="Q272" s="3">
        <v>171.87</v>
      </c>
      <c r="R272" s="3">
        <f>IF(Table1[[#This Row],[Gross_millions]]=" ",0,Table1[[#This Row],[Gross_millions]])</f>
        <v>171.87</v>
      </c>
      <c r="S272" t="str">
        <f>IF(Table1[[#This Row],[Gross_millions_Clean]]&gt;200,"Blockbuster",IF(Table1[[#This Row],[Gross_millions_Clean]]&gt;100,"Hit","Average"))</f>
        <v>Hit</v>
      </c>
    </row>
    <row r="273" spans="1:19" x14ac:dyDescent="0.3">
      <c r="A273" t="s">
        <v>1220</v>
      </c>
      <c r="B273" t="s">
        <v>1221</v>
      </c>
      <c r="C273">
        <v>1984</v>
      </c>
      <c r="D273" s="8">
        <f>FLOOR(Table1[[#This Row],[Year]],10)</f>
        <v>1980</v>
      </c>
      <c r="E273" t="s">
        <v>17</v>
      </c>
      <c r="F273">
        <v>133</v>
      </c>
      <c r="G273" t="str">
        <f>IF(Table1[[#This Row],[Runtime_minutes]]&lt;90,"Short",IF(Table1[[#This Row],[Runtime_minutes]]&lt;=120,"Medium","Long"))</f>
        <v>Long</v>
      </c>
      <c r="H273" t="s">
        <v>37</v>
      </c>
      <c r="K273">
        <v>7.6</v>
      </c>
      <c r="M273" t="s">
        <v>1222</v>
      </c>
      <c r="N273" t="s">
        <v>221</v>
      </c>
      <c r="O273" t="s">
        <v>1223</v>
      </c>
      <c r="P273">
        <v>17698</v>
      </c>
      <c r="Q273" s="3"/>
      <c r="R273" s="3">
        <f>IF(Table1[[#This Row],[Gross_millions]]=" ",0,Table1[[#This Row],[Gross_millions]])</f>
        <v>0</v>
      </c>
      <c r="S273" t="str">
        <f>IF(Table1[[#This Row],[Gross_millions_Clean]]&gt;200,"Blockbuster",IF(Table1[[#This Row],[Gross_millions_Clean]]&gt;100,"Hit","Average"))</f>
        <v>Average</v>
      </c>
    </row>
    <row r="274" spans="1:19" x14ac:dyDescent="0.3">
      <c r="A274" t="s">
        <v>1224</v>
      </c>
      <c r="B274" t="s">
        <v>1225</v>
      </c>
      <c r="C274">
        <v>1967</v>
      </c>
      <c r="D274" s="8">
        <f>FLOOR(Table1[[#This Row],[Year]],10)</f>
        <v>1960</v>
      </c>
      <c r="E274" t="s">
        <v>17</v>
      </c>
      <c r="F274">
        <v>146</v>
      </c>
      <c r="G274" t="str">
        <f>IF(Table1[[#This Row],[Runtime_minutes]]&lt;90,"Short",IF(Table1[[#This Row],[Runtime_minutes]]&lt;=120,"Medium","Long"))</f>
        <v>Long</v>
      </c>
      <c r="H274" t="s">
        <v>453</v>
      </c>
      <c r="K274">
        <v>7.6</v>
      </c>
      <c r="M274" t="s">
        <v>1226</v>
      </c>
      <c r="N274" t="s">
        <v>119</v>
      </c>
      <c r="O274" t="s">
        <v>1227</v>
      </c>
      <c r="P274">
        <v>47388</v>
      </c>
      <c r="Q274" s="3"/>
      <c r="R274" s="3">
        <f>IF(Table1[[#This Row],[Gross_millions]]=" ",0,Table1[[#This Row],[Gross_millions]])</f>
        <v>0</v>
      </c>
      <c r="S274" t="str">
        <f>IF(Table1[[#This Row],[Gross_millions_Clean]]&gt;200,"Blockbuster",IF(Table1[[#This Row],[Gross_millions_Clean]]&gt;100,"Hit","Average"))</f>
        <v>Average</v>
      </c>
    </row>
    <row r="275" spans="1:19" x14ac:dyDescent="0.3">
      <c r="A275" t="s">
        <v>1228</v>
      </c>
      <c r="B275" t="s">
        <v>1229</v>
      </c>
      <c r="C275">
        <v>2005</v>
      </c>
      <c r="D275" s="8">
        <f>FLOOR(Table1[[#This Row],[Year]],10)</f>
        <v>2000</v>
      </c>
      <c r="E275" t="s">
        <v>17</v>
      </c>
      <c r="F275">
        <v>114</v>
      </c>
      <c r="G275" t="str">
        <f>IF(Table1[[#This Row],[Runtime_minutes]]&lt;90,"Short",IF(Table1[[#This Row],[Runtime_minutes]]&lt;=120,"Medium","Long"))</f>
        <v>Medium</v>
      </c>
      <c r="H275" t="s">
        <v>48</v>
      </c>
      <c r="I275" t="s">
        <v>3990</v>
      </c>
      <c r="K275">
        <v>7.6</v>
      </c>
      <c r="L275">
        <v>73</v>
      </c>
      <c r="M275" t="s">
        <v>1231</v>
      </c>
      <c r="N275" t="s">
        <v>137</v>
      </c>
      <c r="O275" t="s">
        <v>1232</v>
      </c>
      <c r="P275">
        <v>55639</v>
      </c>
      <c r="Q275" s="3"/>
      <c r="R275" s="3">
        <f>IF(Table1[[#This Row],[Gross_millions]]=" ",0,Table1[[#This Row],[Gross_millions]])</f>
        <v>0</v>
      </c>
      <c r="S275" t="str">
        <f>IF(Table1[[#This Row],[Gross_millions_Clean]]&gt;200,"Blockbuster",IF(Table1[[#This Row],[Gross_millions_Clean]]&gt;100,"Hit","Average"))</f>
        <v>Average</v>
      </c>
    </row>
    <row r="276" spans="1:19" x14ac:dyDescent="0.3">
      <c r="A276" t="s">
        <v>1233</v>
      </c>
      <c r="B276" t="s">
        <v>1234</v>
      </c>
      <c r="C276">
        <v>2018</v>
      </c>
      <c r="D276" s="8">
        <f>FLOOR(Table1[[#This Row],[Year]],10)</f>
        <v>2010</v>
      </c>
      <c r="E276" t="s">
        <v>293</v>
      </c>
      <c r="F276">
        <v>136</v>
      </c>
      <c r="G276" t="str">
        <f>IF(Table1[[#This Row],[Runtime_minutes]]&lt;90,"Short",IF(Table1[[#This Row],[Runtime_minutes]]&lt;=120,"Medium","Long"))</f>
        <v>Long</v>
      </c>
      <c r="H276" t="s">
        <v>157</v>
      </c>
      <c r="I276" t="s">
        <v>3979</v>
      </c>
      <c r="J276" t="s">
        <v>3984</v>
      </c>
      <c r="K276">
        <v>7.6</v>
      </c>
      <c r="L276">
        <v>65</v>
      </c>
      <c r="M276" t="s">
        <v>158</v>
      </c>
      <c r="N276" t="s">
        <v>159</v>
      </c>
      <c r="O276" t="s">
        <v>1236</v>
      </c>
      <c r="P276">
        <v>24968</v>
      </c>
      <c r="Q276" s="3">
        <v>796.22</v>
      </c>
      <c r="R276" s="3">
        <f>IF(Table1[[#This Row],[Gross_millions]]=" ",0,Table1[[#This Row],[Gross_millions]])</f>
        <v>796.22</v>
      </c>
      <c r="S276" t="str">
        <f>IF(Table1[[#This Row],[Gross_millions_Clean]]&gt;200,"Blockbuster",IF(Table1[[#This Row],[Gross_millions_Clean]]&gt;100,"Hit","Average"))</f>
        <v>Blockbuster</v>
      </c>
    </row>
    <row r="277" spans="1:19" x14ac:dyDescent="0.3">
      <c r="A277" t="s">
        <v>1237</v>
      </c>
      <c r="B277" t="s">
        <v>1238</v>
      </c>
      <c r="C277">
        <v>1984</v>
      </c>
      <c r="D277" s="8">
        <f>FLOOR(Table1[[#This Row],[Year]],10)</f>
        <v>1980</v>
      </c>
      <c r="E277" t="s">
        <v>54</v>
      </c>
      <c r="F277">
        <v>115</v>
      </c>
      <c r="G277" t="str">
        <f>IF(Table1[[#This Row],[Runtime_minutes]]&lt;90,"Short",IF(Table1[[#This Row],[Runtime_minutes]]&lt;=120,"Medium","Long"))</f>
        <v>Medium</v>
      </c>
      <c r="H277" t="s">
        <v>1044</v>
      </c>
      <c r="I277" t="s">
        <v>3983</v>
      </c>
      <c r="K277">
        <v>7.5</v>
      </c>
      <c r="L277">
        <v>72</v>
      </c>
      <c r="M277" t="s">
        <v>1239</v>
      </c>
      <c r="N277" t="s">
        <v>159</v>
      </c>
      <c r="O277" t="s">
        <v>1240</v>
      </c>
      <c r="P277">
        <v>1302</v>
      </c>
      <c r="Q277" s="3"/>
      <c r="R277" s="3">
        <f>IF(Table1[[#This Row],[Gross_millions]]=" ",0,Table1[[#This Row],[Gross_millions]])</f>
        <v>0</v>
      </c>
      <c r="S277" t="str">
        <f>IF(Table1[[#This Row],[Gross_millions_Clean]]&gt;200,"Blockbuster",IF(Table1[[#This Row],[Gross_millions_Clean]]&gt;100,"Hit","Average"))</f>
        <v>Average</v>
      </c>
    </row>
    <row r="278" spans="1:19" x14ac:dyDescent="0.3">
      <c r="A278" t="s">
        <v>1241</v>
      </c>
      <c r="B278" t="s">
        <v>1242</v>
      </c>
      <c r="C278">
        <v>2022</v>
      </c>
      <c r="D278" s="8">
        <f>FLOOR(Table1[[#This Row],[Year]],10)</f>
        <v>2020</v>
      </c>
      <c r="E278" t="s">
        <v>169</v>
      </c>
      <c r="F278">
        <v>113</v>
      </c>
      <c r="G278" t="str">
        <f>IF(Table1[[#This Row],[Runtime_minutes]]&lt;90,"Short",IF(Table1[[#This Row],[Runtime_minutes]]&lt;=120,"Medium","Long"))</f>
        <v>Medium</v>
      </c>
      <c r="H278" t="s">
        <v>78</v>
      </c>
      <c r="K278">
        <v>7.5</v>
      </c>
      <c r="L278">
        <v>61</v>
      </c>
      <c r="M278" t="s">
        <v>305</v>
      </c>
      <c r="N278" t="s">
        <v>196</v>
      </c>
      <c r="O278" t="s">
        <v>1243</v>
      </c>
      <c r="P278">
        <v>98971</v>
      </c>
      <c r="Q278" s="3">
        <v>496</v>
      </c>
      <c r="R278" s="3">
        <f>IF(Table1[[#This Row],[Gross_millions]]=" ",0,Table1[[#This Row],[Gross_millions]])</f>
        <v>496</v>
      </c>
      <c r="S278" t="str">
        <f>IF(Table1[[#This Row],[Gross_millions_Clean]]&gt;200,"Blockbuster",IF(Table1[[#This Row],[Gross_millions_Clean]]&gt;100,"Hit","Average"))</f>
        <v>Blockbuster</v>
      </c>
    </row>
    <row r="279" spans="1:19" x14ac:dyDescent="0.3">
      <c r="A279" t="s">
        <v>1244</v>
      </c>
      <c r="B279" t="s">
        <v>1245</v>
      </c>
      <c r="C279">
        <v>2021</v>
      </c>
      <c r="D279" s="8">
        <f>FLOOR(Table1[[#This Row],[Year]],10)</f>
        <v>2020</v>
      </c>
      <c r="E279" t="s">
        <v>54</v>
      </c>
      <c r="F279">
        <v>117</v>
      </c>
      <c r="G279" t="str">
        <f>IF(Table1[[#This Row],[Runtime_minutes]]&lt;90,"Short",IF(Table1[[#This Row],[Runtime_minutes]]&lt;=120,"Medium","Long"))</f>
        <v>Medium</v>
      </c>
      <c r="H279" t="s">
        <v>78</v>
      </c>
      <c r="K279">
        <v>7.5</v>
      </c>
      <c r="L279">
        <v>72</v>
      </c>
      <c r="M279" t="s">
        <v>1246</v>
      </c>
      <c r="N279" t="s">
        <v>315</v>
      </c>
      <c r="O279" t="s">
        <v>1247</v>
      </c>
      <c r="P279">
        <v>31096</v>
      </c>
      <c r="Q279" s="3"/>
      <c r="R279" s="3">
        <f>IF(Table1[[#This Row],[Gross_millions]]=" ",0,Table1[[#This Row],[Gross_millions]])</f>
        <v>0</v>
      </c>
      <c r="S279" t="str">
        <f>IF(Table1[[#This Row],[Gross_millions_Clean]]&gt;200,"Blockbuster",IF(Table1[[#This Row],[Gross_millions_Clean]]&gt;100,"Hit","Average"))</f>
        <v>Average</v>
      </c>
    </row>
    <row r="280" spans="1:19" x14ac:dyDescent="0.3">
      <c r="A280" t="s">
        <v>1248</v>
      </c>
      <c r="B280" t="s">
        <v>1249</v>
      </c>
      <c r="C280">
        <v>1996</v>
      </c>
      <c r="D280" s="8">
        <f>FLOOR(Table1[[#This Row],[Year]],10)</f>
        <v>1990</v>
      </c>
      <c r="E280" t="s">
        <v>17</v>
      </c>
      <c r="F280">
        <v>124</v>
      </c>
      <c r="G280" t="str">
        <f>IF(Table1[[#This Row],[Runtime_minutes]]&lt;90,"Short",IF(Table1[[#This Row],[Runtime_minutes]]&lt;=120,"Medium","Long"))</f>
        <v>Long</v>
      </c>
      <c r="H280" t="s">
        <v>129</v>
      </c>
      <c r="K280">
        <v>7.5</v>
      </c>
      <c r="L280">
        <v>64</v>
      </c>
      <c r="M280" t="s">
        <v>130</v>
      </c>
      <c r="N280" t="s">
        <v>86</v>
      </c>
      <c r="O280" t="s">
        <v>1250</v>
      </c>
      <c r="P280">
        <v>6516</v>
      </c>
      <c r="Q280" s="3"/>
      <c r="R280" s="3">
        <f>IF(Table1[[#This Row],[Gross_millions]]=" ",0,Table1[[#This Row],[Gross_millions]])</f>
        <v>0</v>
      </c>
      <c r="S280" t="str">
        <f>IF(Table1[[#This Row],[Gross_millions_Clean]]&gt;200,"Blockbuster",IF(Table1[[#This Row],[Gross_millions_Clean]]&gt;100,"Hit","Average"))</f>
        <v>Average</v>
      </c>
    </row>
    <row r="281" spans="1:19" x14ac:dyDescent="0.3">
      <c r="A281" t="s">
        <v>1251</v>
      </c>
      <c r="B281" t="s">
        <v>1252</v>
      </c>
      <c r="C281">
        <v>2024</v>
      </c>
      <c r="D281" s="8">
        <f>FLOOR(Table1[[#This Row],[Year]],10)</f>
        <v>2020</v>
      </c>
      <c r="E281" t="s">
        <v>24</v>
      </c>
      <c r="F281">
        <v>156</v>
      </c>
      <c r="G281" t="str">
        <f>IF(Table1[[#This Row],[Runtime_minutes]]&lt;90,"Short",IF(Table1[[#This Row],[Runtime_minutes]]&lt;=120,"Medium","Long"))</f>
        <v>Long</v>
      </c>
      <c r="H281" t="s">
        <v>1044</v>
      </c>
      <c r="K281">
        <v>7.5</v>
      </c>
      <c r="L281">
        <v>81</v>
      </c>
      <c r="M281" t="s">
        <v>1253</v>
      </c>
      <c r="N281" t="s">
        <v>236</v>
      </c>
      <c r="O281" t="s">
        <v>1254</v>
      </c>
      <c r="P281">
        <v>123389</v>
      </c>
      <c r="Q281" s="3">
        <v>346.51</v>
      </c>
      <c r="R281" s="3">
        <f>IF(Table1[[#This Row],[Gross_millions]]=" ",0,Table1[[#This Row],[Gross_millions]])</f>
        <v>346.51</v>
      </c>
      <c r="S281" t="str">
        <f>IF(Table1[[#This Row],[Gross_millions_Clean]]&gt;200,"Blockbuster",IF(Table1[[#This Row],[Gross_millions_Clean]]&gt;100,"Hit","Average"))</f>
        <v>Blockbuster</v>
      </c>
    </row>
    <row r="282" spans="1:19" x14ac:dyDescent="0.3">
      <c r="A282" t="s">
        <v>1255</v>
      </c>
      <c r="B282" t="s">
        <v>1256</v>
      </c>
      <c r="C282">
        <v>2011</v>
      </c>
      <c r="D282" s="8">
        <f>FLOOR(Table1[[#This Row],[Year]],10)</f>
        <v>2010</v>
      </c>
      <c r="E282" t="s">
        <v>54</v>
      </c>
      <c r="F282">
        <v>109</v>
      </c>
      <c r="G282" t="str">
        <f>IF(Table1[[#This Row],[Runtime_minutes]]&lt;90,"Short",IF(Table1[[#This Row],[Runtime_minutes]]&lt;=120,"Medium","Long"))</f>
        <v>Medium</v>
      </c>
      <c r="H282" t="s">
        <v>72</v>
      </c>
      <c r="I282" t="s">
        <v>3978</v>
      </c>
      <c r="K282">
        <v>7.5</v>
      </c>
      <c r="L282">
        <v>86</v>
      </c>
      <c r="M282" t="s">
        <v>1155</v>
      </c>
      <c r="N282" t="s">
        <v>57</v>
      </c>
      <c r="O282" t="s">
        <v>1258</v>
      </c>
      <c r="P282">
        <v>9123</v>
      </c>
      <c r="Q282" s="3">
        <v>217.68</v>
      </c>
      <c r="R282" s="3">
        <f>IF(Table1[[#This Row],[Gross_millions]]=" ",0,Table1[[#This Row],[Gross_millions]])</f>
        <v>217.68</v>
      </c>
      <c r="S282" t="str">
        <f>IF(Table1[[#This Row],[Gross_millions_Clean]]&gt;200,"Blockbuster",IF(Table1[[#This Row],[Gross_millions_Clean]]&gt;100,"Hit","Average"))</f>
        <v>Blockbuster</v>
      </c>
    </row>
    <row r="283" spans="1:19" x14ac:dyDescent="0.3">
      <c r="A283" t="s">
        <v>1259</v>
      </c>
      <c r="B283" t="s">
        <v>1260</v>
      </c>
      <c r="C283">
        <v>2022</v>
      </c>
      <c r="D283" s="8">
        <f>FLOOR(Table1[[#This Row],[Year]],10)</f>
        <v>2020</v>
      </c>
      <c r="E283" t="s">
        <v>285</v>
      </c>
      <c r="F283">
        <v>111</v>
      </c>
      <c r="G283" t="str">
        <f>IF(Table1[[#This Row],[Runtime_minutes]]&lt;90,"Short",IF(Table1[[#This Row],[Runtime_minutes]]&lt;=120,"Medium","Long"))</f>
        <v>Medium</v>
      </c>
      <c r="H283" t="s">
        <v>230</v>
      </c>
      <c r="I283" t="s">
        <v>3980</v>
      </c>
      <c r="J283" t="s">
        <v>3990</v>
      </c>
      <c r="K283">
        <v>7.5</v>
      </c>
      <c r="L283">
        <v>90</v>
      </c>
      <c r="M283" t="s">
        <v>1262</v>
      </c>
      <c r="N283" t="s">
        <v>718</v>
      </c>
      <c r="O283" t="s">
        <v>1263</v>
      </c>
      <c r="P283">
        <v>34226</v>
      </c>
      <c r="Q283" s="3">
        <v>179.08</v>
      </c>
      <c r="R283" s="3">
        <f>IF(Table1[[#This Row],[Gross_millions]]=" ",0,Table1[[#This Row],[Gross_millions]])</f>
        <v>179.08</v>
      </c>
      <c r="S283" t="str">
        <f>IF(Table1[[#This Row],[Gross_millions_Clean]]&gt;200,"Blockbuster",IF(Table1[[#This Row],[Gross_millions_Clean]]&gt;100,"Hit","Average"))</f>
        <v>Hit</v>
      </c>
    </row>
    <row r="284" spans="1:19" x14ac:dyDescent="0.3">
      <c r="A284" t="s">
        <v>1264</v>
      </c>
      <c r="B284" t="s">
        <v>1265</v>
      </c>
      <c r="C284">
        <v>2013</v>
      </c>
      <c r="D284" s="8">
        <f>FLOOR(Table1[[#This Row],[Year]],10)</f>
        <v>2010</v>
      </c>
      <c r="E284" t="s">
        <v>24</v>
      </c>
      <c r="F284">
        <v>137</v>
      </c>
      <c r="G284" t="str">
        <f>IF(Table1[[#This Row],[Runtime_minutes]]&lt;90,"Short",IF(Table1[[#This Row],[Runtime_minutes]]&lt;=120,"Medium","Long"))</f>
        <v>Long</v>
      </c>
      <c r="H284" t="s">
        <v>55</v>
      </c>
      <c r="I284" t="s">
        <v>3992</v>
      </c>
      <c r="K284">
        <v>7.5</v>
      </c>
      <c r="M284" t="s">
        <v>1267</v>
      </c>
      <c r="N284" t="s">
        <v>33</v>
      </c>
      <c r="O284" t="s">
        <v>1268</v>
      </c>
      <c r="P284">
        <v>39261</v>
      </c>
      <c r="Q284" s="3">
        <v>336.96</v>
      </c>
      <c r="R284" s="3">
        <f>IF(Table1[[#This Row],[Gross_millions]]=" ",0,Table1[[#This Row],[Gross_millions]])</f>
        <v>336.96</v>
      </c>
      <c r="S284" t="str">
        <f>IF(Table1[[#This Row],[Gross_millions_Clean]]&gt;200,"Blockbuster",IF(Table1[[#This Row],[Gross_millions_Clean]]&gt;100,"Hit","Average"))</f>
        <v>Blockbuster</v>
      </c>
    </row>
    <row r="285" spans="1:19" x14ac:dyDescent="0.3">
      <c r="A285" t="s">
        <v>1269</v>
      </c>
      <c r="B285" t="s">
        <v>1270</v>
      </c>
      <c r="C285">
        <v>2004</v>
      </c>
      <c r="D285" s="8">
        <f>FLOOR(Table1[[#This Row],[Year]],10)</f>
        <v>2000</v>
      </c>
      <c r="E285" t="s">
        <v>17</v>
      </c>
      <c r="F285">
        <v>92</v>
      </c>
      <c r="G285" t="str">
        <f>IF(Table1[[#This Row],[Runtime_minutes]]&lt;90,"Short",IF(Table1[[#This Row],[Runtime_minutes]]&lt;=120,"Medium","Long"))</f>
        <v>Medium</v>
      </c>
      <c r="H285" t="s">
        <v>129</v>
      </c>
      <c r="I285" t="s">
        <v>3987</v>
      </c>
      <c r="K285">
        <v>7.5</v>
      </c>
      <c r="M285" t="s">
        <v>130</v>
      </c>
      <c r="N285" t="s">
        <v>196</v>
      </c>
      <c r="O285" t="s">
        <v>1272</v>
      </c>
      <c r="P285">
        <v>157664</v>
      </c>
      <c r="Q285" s="3"/>
      <c r="R285" s="3">
        <f>IF(Table1[[#This Row],[Gross_millions]]=" ",0,Table1[[#This Row],[Gross_millions]])</f>
        <v>0</v>
      </c>
      <c r="S285" t="str">
        <f>IF(Table1[[#This Row],[Gross_millions_Clean]]&gt;200,"Blockbuster",IF(Table1[[#This Row],[Gross_millions_Clean]]&gt;100,"Hit","Average"))</f>
        <v>Average</v>
      </c>
    </row>
    <row r="286" spans="1:19" x14ac:dyDescent="0.3">
      <c r="A286" t="s">
        <v>1273</v>
      </c>
      <c r="B286" t="s">
        <v>1274</v>
      </c>
      <c r="C286">
        <v>2013</v>
      </c>
      <c r="D286" s="8">
        <f>FLOOR(Table1[[#This Row],[Year]],10)</f>
        <v>2010</v>
      </c>
      <c r="E286" t="s">
        <v>17</v>
      </c>
      <c r="F286">
        <v>84</v>
      </c>
      <c r="G286" t="str">
        <f>IF(Table1[[#This Row],[Runtime_minutes]]&lt;90,"Short",IF(Table1[[#This Row],[Runtime_minutes]]&lt;=120,"Medium","Long"))</f>
        <v>Short</v>
      </c>
      <c r="H286" t="s">
        <v>78</v>
      </c>
      <c r="I286" t="s">
        <v>3977</v>
      </c>
      <c r="K286">
        <v>7.5</v>
      </c>
      <c r="M286" t="s">
        <v>305</v>
      </c>
      <c r="N286" t="s">
        <v>221</v>
      </c>
      <c r="O286" t="s">
        <v>1276</v>
      </c>
      <c r="P286">
        <v>106057</v>
      </c>
      <c r="Q286" s="3">
        <v>134.93</v>
      </c>
      <c r="R286" s="3">
        <f>IF(Table1[[#This Row],[Gross_millions]]=" ",0,Table1[[#This Row],[Gross_millions]])</f>
        <v>134.93</v>
      </c>
      <c r="S286" t="str">
        <f>IF(Table1[[#This Row],[Gross_millions_Clean]]&gt;200,"Blockbuster",IF(Table1[[#This Row],[Gross_millions_Clean]]&gt;100,"Hit","Average"))</f>
        <v>Hit</v>
      </c>
    </row>
    <row r="287" spans="1:19" x14ac:dyDescent="0.3">
      <c r="A287" t="s">
        <v>1277</v>
      </c>
      <c r="B287" t="s">
        <v>1278</v>
      </c>
      <c r="C287">
        <v>2013</v>
      </c>
      <c r="D287" s="8">
        <f>FLOOR(Table1[[#This Row],[Year]],10)</f>
        <v>2010</v>
      </c>
      <c r="E287" t="s">
        <v>54</v>
      </c>
      <c r="F287">
        <v>121</v>
      </c>
      <c r="G287" t="str">
        <f>IF(Table1[[#This Row],[Runtime_minutes]]&lt;90,"Short",IF(Table1[[#This Row],[Runtime_minutes]]&lt;=120,"Medium","Long"))</f>
        <v>Long</v>
      </c>
      <c r="H287" t="s">
        <v>55</v>
      </c>
      <c r="I287" t="s">
        <v>3985</v>
      </c>
      <c r="J287" t="s">
        <v>3983</v>
      </c>
      <c r="K287">
        <v>7.5</v>
      </c>
      <c r="M287" t="s">
        <v>852</v>
      </c>
      <c r="N287" t="s">
        <v>315</v>
      </c>
      <c r="O287" t="s">
        <v>1280</v>
      </c>
      <c r="P287">
        <v>123423</v>
      </c>
      <c r="Q287" s="3"/>
      <c r="R287" s="3">
        <f>IF(Table1[[#This Row],[Gross_millions]]=" ",0,Table1[[#This Row],[Gross_millions]])</f>
        <v>0</v>
      </c>
      <c r="S287" t="str">
        <f>IF(Table1[[#This Row],[Gross_millions_Clean]]&gt;200,"Blockbuster",IF(Table1[[#This Row],[Gross_millions_Clean]]&gt;100,"Hit","Average"))</f>
        <v>Average</v>
      </c>
    </row>
    <row r="288" spans="1:19" x14ac:dyDescent="0.3">
      <c r="A288" t="s">
        <v>1281</v>
      </c>
      <c r="B288" t="s">
        <v>1282</v>
      </c>
      <c r="C288">
        <v>2002</v>
      </c>
      <c r="D288" s="8">
        <f>FLOOR(Table1[[#This Row],[Year]],10)</f>
        <v>2000</v>
      </c>
      <c r="E288" t="s">
        <v>169</v>
      </c>
      <c r="F288">
        <v>97</v>
      </c>
      <c r="G288" t="str">
        <f>IF(Table1[[#This Row],[Runtime_minutes]]&lt;90,"Short",IF(Table1[[#This Row],[Runtime_minutes]]&lt;=120,"Medium","Long"))</f>
        <v>Medium</v>
      </c>
      <c r="H288" t="s">
        <v>1044</v>
      </c>
      <c r="I288" t="s">
        <v>3978</v>
      </c>
      <c r="J288" t="s">
        <v>3991</v>
      </c>
      <c r="K288">
        <v>7.5</v>
      </c>
      <c r="L288">
        <v>78</v>
      </c>
      <c r="M288" t="s">
        <v>164</v>
      </c>
      <c r="N288" t="s">
        <v>27</v>
      </c>
      <c r="O288" t="s">
        <v>1284</v>
      </c>
      <c r="P288">
        <v>601329</v>
      </c>
      <c r="Q288" s="3"/>
      <c r="R288" s="3">
        <f>IF(Table1[[#This Row],[Gross_millions]]=" ",0,Table1[[#This Row],[Gross_millions]])</f>
        <v>0</v>
      </c>
      <c r="S288" t="str">
        <f>IF(Table1[[#This Row],[Gross_millions_Clean]]&gt;200,"Blockbuster",IF(Table1[[#This Row],[Gross_millions_Clean]]&gt;100,"Hit","Average"))</f>
        <v>Average</v>
      </c>
    </row>
    <row r="289" spans="1:19" x14ac:dyDescent="0.3">
      <c r="A289" t="s">
        <v>1285</v>
      </c>
      <c r="B289" t="s">
        <v>1286</v>
      </c>
      <c r="C289">
        <v>2021</v>
      </c>
      <c r="D289" s="8">
        <f>FLOOR(Table1[[#This Row],[Year]],10)</f>
        <v>2020</v>
      </c>
      <c r="E289" t="s">
        <v>17</v>
      </c>
      <c r="F289">
        <v>94</v>
      </c>
      <c r="G289" t="str">
        <f>IF(Table1[[#This Row],[Runtime_minutes]]&lt;90,"Short",IF(Table1[[#This Row],[Runtime_minutes]]&lt;=120,"Medium","Long"))</f>
        <v>Medium</v>
      </c>
      <c r="H289" t="s">
        <v>230</v>
      </c>
      <c r="I289" t="s">
        <v>3979</v>
      </c>
      <c r="K289">
        <v>7.5</v>
      </c>
      <c r="L289">
        <v>68</v>
      </c>
      <c r="M289" t="s">
        <v>1288</v>
      </c>
      <c r="N289" t="s">
        <v>113</v>
      </c>
      <c r="O289" t="s">
        <v>1289</v>
      </c>
      <c r="P289">
        <v>202216</v>
      </c>
      <c r="Q289" s="3">
        <v>193.82</v>
      </c>
      <c r="R289" s="3">
        <f>IF(Table1[[#This Row],[Gross_millions]]=" ",0,Table1[[#This Row],[Gross_millions]])</f>
        <v>193.82</v>
      </c>
      <c r="S289" t="str">
        <f>IF(Table1[[#This Row],[Gross_millions_Clean]]&gt;200,"Blockbuster",IF(Table1[[#This Row],[Gross_millions_Clean]]&gt;100,"Hit","Average"))</f>
        <v>Hit</v>
      </c>
    </row>
    <row r="290" spans="1:19" x14ac:dyDescent="0.3">
      <c r="A290" t="s">
        <v>1290</v>
      </c>
      <c r="B290" t="s">
        <v>1291</v>
      </c>
      <c r="C290">
        <v>2008</v>
      </c>
      <c r="D290" s="8">
        <f>FLOOR(Table1[[#This Row],[Year]],10)</f>
        <v>2000</v>
      </c>
      <c r="E290" t="s">
        <v>54</v>
      </c>
      <c r="F290">
        <v>117</v>
      </c>
      <c r="G290" t="str">
        <f>IF(Table1[[#This Row],[Runtime_minutes]]&lt;90,"Short",IF(Table1[[#This Row],[Runtime_minutes]]&lt;=120,"Medium","Long"))</f>
        <v>Medium</v>
      </c>
      <c r="H290" t="s">
        <v>78</v>
      </c>
      <c r="K290">
        <v>7.5</v>
      </c>
      <c r="L290">
        <v>61</v>
      </c>
      <c r="M290" t="s">
        <v>412</v>
      </c>
      <c r="N290" t="s">
        <v>125</v>
      </c>
      <c r="O290" t="s">
        <v>1292</v>
      </c>
      <c r="P290">
        <v>196857</v>
      </c>
      <c r="Q290" s="3">
        <v>252.52</v>
      </c>
      <c r="R290" s="3">
        <f>IF(Table1[[#This Row],[Gross_millions]]=" ",0,Table1[[#This Row],[Gross_millions]])</f>
        <v>252.52</v>
      </c>
      <c r="S290" t="str">
        <f>IF(Table1[[#This Row],[Gross_millions_Clean]]&gt;200,"Blockbuster",IF(Table1[[#This Row],[Gross_millions_Clean]]&gt;100,"Hit","Average"))</f>
        <v>Blockbuster</v>
      </c>
    </row>
    <row r="291" spans="1:19" x14ac:dyDescent="0.3">
      <c r="A291" t="s">
        <v>1293</v>
      </c>
      <c r="B291" t="s">
        <v>1294</v>
      </c>
      <c r="C291">
        <v>2003</v>
      </c>
      <c r="D291" s="8">
        <f>FLOOR(Table1[[#This Row],[Year]],10)</f>
        <v>2000</v>
      </c>
      <c r="E291" t="s">
        <v>24</v>
      </c>
      <c r="F291">
        <v>123</v>
      </c>
      <c r="G291" t="str">
        <f>IF(Table1[[#This Row],[Runtime_minutes]]&lt;90,"Short",IF(Table1[[#This Row],[Runtime_minutes]]&lt;=120,"Medium","Long"))</f>
        <v>Long</v>
      </c>
      <c r="H291" t="s">
        <v>277</v>
      </c>
      <c r="I291" t="s">
        <v>3977</v>
      </c>
      <c r="K291">
        <v>7.5</v>
      </c>
      <c r="M291" t="s">
        <v>395</v>
      </c>
      <c r="N291" t="s">
        <v>165</v>
      </c>
      <c r="O291" t="s">
        <v>1296</v>
      </c>
      <c r="P291">
        <v>16306</v>
      </c>
      <c r="Q291" s="3">
        <v>50.49</v>
      </c>
      <c r="R291" s="3">
        <f>IF(Table1[[#This Row],[Gross_millions]]=" ",0,Table1[[#This Row],[Gross_millions]])</f>
        <v>50.49</v>
      </c>
      <c r="S291" t="str">
        <f>IF(Table1[[#This Row],[Gross_millions_Clean]]&gt;200,"Blockbuster",IF(Table1[[#This Row],[Gross_millions_Clean]]&gt;100,"Hit","Average"))</f>
        <v>Average</v>
      </c>
    </row>
    <row r="292" spans="1:19" x14ac:dyDescent="0.3">
      <c r="A292" t="s">
        <v>1297</v>
      </c>
      <c r="B292" t="s">
        <v>1298</v>
      </c>
      <c r="C292">
        <v>2001</v>
      </c>
      <c r="D292" s="8">
        <f>FLOOR(Table1[[#This Row],[Year]],10)</f>
        <v>2000</v>
      </c>
      <c r="E292" t="s">
        <v>17</v>
      </c>
      <c r="F292">
        <v>80</v>
      </c>
      <c r="G292" t="str">
        <f>IF(Table1[[#This Row],[Runtime_minutes]]&lt;90,"Short",IF(Table1[[#This Row],[Runtime_minutes]]&lt;=120,"Medium","Long"))</f>
        <v>Short</v>
      </c>
      <c r="H292" t="s">
        <v>767</v>
      </c>
      <c r="I292" t="s">
        <v>3992</v>
      </c>
      <c r="K292">
        <v>7.5</v>
      </c>
      <c r="L292">
        <v>69</v>
      </c>
      <c r="M292" t="s">
        <v>320</v>
      </c>
      <c r="N292" t="s">
        <v>368</v>
      </c>
      <c r="O292" t="s">
        <v>1300</v>
      </c>
      <c r="P292">
        <v>11978</v>
      </c>
      <c r="Q292" s="3">
        <v>138.91</v>
      </c>
      <c r="R292" s="3">
        <f>IF(Table1[[#This Row],[Gross_millions]]=" ",0,Table1[[#This Row],[Gross_millions]])</f>
        <v>138.91</v>
      </c>
      <c r="S292" t="str">
        <f>IF(Table1[[#This Row],[Gross_millions_Clean]]&gt;200,"Blockbuster",IF(Table1[[#This Row],[Gross_millions_Clean]]&gt;100,"Hit","Average"))</f>
        <v>Hit</v>
      </c>
    </row>
    <row r="293" spans="1:19" x14ac:dyDescent="0.3">
      <c r="A293" t="s">
        <v>1301</v>
      </c>
      <c r="B293" t="s">
        <v>1302</v>
      </c>
      <c r="C293">
        <v>2023</v>
      </c>
      <c r="D293" s="8">
        <f>FLOOR(Table1[[#This Row],[Year]],10)</f>
        <v>2020</v>
      </c>
      <c r="E293" t="s">
        <v>24</v>
      </c>
      <c r="F293">
        <v>113</v>
      </c>
      <c r="G293" t="str">
        <f>IF(Table1[[#This Row],[Runtime_minutes]]&lt;90,"Short",IF(Table1[[#This Row],[Runtime_minutes]]&lt;=120,"Medium","Long"))</f>
        <v>Medium</v>
      </c>
      <c r="H293" t="s">
        <v>48</v>
      </c>
      <c r="I293" t="s">
        <v>3977</v>
      </c>
      <c r="K293">
        <v>7.5</v>
      </c>
      <c r="L293">
        <v>63</v>
      </c>
      <c r="M293" t="s">
        <v>566</v>
      </c>
      <c r="N293" t="s">
        <v>131</v>
      </c>
      <c r="O293" t="s">
        <v>1304</v>
      </c>
      <c r="P293">
        <v>427394</v>
      </c>
      <c r="Q293" s="3">
        <v>294.93</v>
      </c>
      <c r="R293" s="3">
        <f>IF(Table1[[#This Row],[Gross_millions]]=" ",0,Table1[[#This Row],[Gross_millions]])</f>
        <v>294.93</v>
      </c>
      <c r="S293" t="str">
        <f>IF(Table1[[#This Row],[Gross_millions_Clean]]&gt;200,"Blockbuster",IF(Table1[[#This Row],[Gross_millions_Clean]]&gt;100,"Hit","Average"))</f>
        <v>Blockbuster</v>
      </c>
    </row>
    <row r="294" spans="1:19" x14ac:dyDescent="0.3">
      <c r="A294" t="s">
        <v>1305</v>
      </c>
      <c r="B294" t="s">
        <v>1306</v>
      </c>
      <c r="C294">
        <v>2007</v>
      </c>
      <c r="D294" s="8">
        <f>FLOOR(Table1[[#This Row],[Year]],10)</f>
        <v>2000</v>
      </c>
      <c r="E294" t="s">
        <v>17</v>
      </c>
      <c r="F294">
        <v>89</v>
      </c>
      <c r="G294" t="str">
        <f>IF(Table1[[#This Row],[Runtime_minutes]]&lt;90,"Short",IF(Table1[[#This Row],[Runtime_minutes]]&lt;=120,"Medium","Long"))</f>
        <v>Short</v>
      </c>
      <c r="H294" t="s">
        <v>868</v>
      </c>
      <c r="I294" t="s">
        <v>3991</v>
      </c>
      <c r="K294">
        <v>7.5</v>
      </c>
      <c r="L294">
        <v>69</v>
      </c>
      <c r="M294" t="s">
        <v>1307</v>
      </c>
      <c r="N294" t="s">
        <v>315</v>
      </c>
      <c r="O294" t="s">
        <v>1308</v>
      </c>
      <c r="P294">
        <v>67755</v>
      </c>
      <c r="Q294" s="3"/>
      <c r="R294" s="3">
        <f>IF(Table1[[#This Row],[Gross_millions]]=" ",0,Table1[[#This Row],[Gross_millions]])</f>
        <v>0</v>
      </c>
      <c r="S294" t="str">
        <f>IF(Table1[[#This Row],[Gross_millions_Clean]]&gt;200,"Blockbuster",IF(Table1[[#This Row],[Gross_millions_Clean]]&gt;100,"Hit","Average"))</f>
        <v>Average</v>
      </c>
    </row>
    <row r="295" spans="1:19" x14ac:dyDescent="0.3">
      <c r="A295" t="s">
        <v>1309</v>
      </c>
      <c r="B295" t="s">
        <v>1310</v>
      </c>
      <c r="C295">
        <v>2010</v>
      </c>
      <c r="D295" s="8">
        <f>FLOOR(Table1[[#This Row],[Year]],10)</f>
        <v>2010</v>
      </c>
      <c r="E295" t="s">
        <v>54</v>
      </c>
      <c r="F295">
        <v>101</v>
      </c>
      <c r="G295" t="str">
        <f>IF(Table1[[#This Row],[Runtime_minutes]]&lt;90,"Short",IF(Table1[[#This Row],[Runtime_minutes]]&lt;=120,"Medium","Long"))</f>
        <v>Medium</v>
      </c>
      <c r="H295" t="s">
        <v>48</v>
      </c>
      <c r="K295">
        <v>7.5</v>
      </c>
      <c r="L295">
        <v>71</v>
      </c>
      <c r="M295" t="s">
        <v>67</v>
      </c>
      <c r="N295" t="s">
        <v>196</v>
      </c>
      <c r="O295" t="s">
        <v>1311</v>
      </c>
      <c r="P295">
        <v>44768</v>
      </c>
      <c r="Q295" s="3">
        <v>419.28</v>
      </c>
      <c r="R295" s="3">
        <f>IF(Table1[[#This Row],[Gross_millions]]=" ",0,Table1[[#This Row],[Gross_millions]])</f>
        <v>419.28</v>
      </c>
      <c r="S295" t="str">
        <f>IF(Table1[[#This Row],[Gross_millions_Clean]]&gt;200,"Blockbuster",IF(Table1[[#This Row],[Gross_millions_Clean]]&gt;100,"Hit","Average"))</f>
        <v>Blockbuster</v>
      </c>
    </row>
    <row r="296" spans="1:19" x14ac:dyDescent="0.3">
      <c r="A296" t="s">
        <v>1312</v>
      </c>
      <c r="B296" t="s">
        <v>1313</v>
      </c>
      <c r="C296">
        <v>2006</v>
      </c>
      <c r="D296" s="8">
        <f>FLOOR(Table1[[#This Row],[Year]],10)</f>
        <v>2000</v>
      </c>
      <c r="E296" t="s">
        <v>17</v>
      </c>
      <c r="F296">
        <v>128</v>
      </c>
      <c r="G296" t="str">
        <f>IF(Table1[[#This Row],[Runtime_minutes]]&lt;90,"Short",IF(Table1[[#This Row],[Runtime_minutes]]&lt;=120,"Medium","Long"))</f>
        <v>Long</v>
      </c>
      <c r="H296" t="s">
        <v>235</v>
      </c>
      <c r="I296" t="s">
        <v>3983</v>
      </c>
      <c r="K296">
        <v>7.5</v>
      </c>
      <c r="M296" t="s">
        <v>1314</v>
      </c>
      <c r="N296" t="s">
        <v>718</v>
      </c>
      <c r="O296" t="s">
        <v>1315</v>
      </c>
      <c r="P296">
        <v>185616</v>
      </c>
      <c r="Q296" s="3">
        <v>97.71</v>
      </c>
      <c r="R296" s="3">
        <f>IF(Table1[[#This Row],[Gross_millions]]=" ",0,Table1[[#This Row],[Gross_millions]])</f>
        <v>97.71</v>
      </c>
      <c r="S296" t="str">
        <f>IF(Table1[[#This Row],[Gross_millions_Clean]]&gt;200,"Blockbuster",IF(Table1[[#This Row],[Gross_millions_Clean]]&gt;100,"Hit","Average"))</f>
        <v>Average</v>
      </c>
    </row>
    <row r="297" spans="1:19" x14ac:dyDescent="0.3">
      <c r="A297" t="s">
        <v>1316</v>
      </c>
      <c r="B297" t="s">
        <v>1317</v>
      </c>
      <c r="C297">
        <v>1993</v>
      </c>
      <c r="D297" s="8">
        <f>FLOOR(Table1[[#This Row],[Year]],10)</f>
        <v>1990</v>
      </c>
      <c r="E297" t="s">
        <v>24</v>
      </c>
      <c r="F297">
        <v>136</v>
      </c>
      <c r="G297" t="str">
        <f>IF(Table1[[#This Row],[Runtime_minutes]]&lt;90,"Short",IF(Table1[[#This Row],[Runtime_minutes]]&lt;=120,"Medium","Long"))</f>
        <v>Long</v>
      </c>
      <c r="H297" t="s">
        <v>375</v>
      </c>
      <c r="I297" t="s">
        <v>3980</v>
      </c>
      <c r="K297">
        <v>7.5</v>
      </c>
      <c r="L297">
        <v>87</v>
      </c>
      <c r="M297" t="s">
        <v>1319</v>
      </c>
      <c r="N297" t="s">
        <v>718</v>
      </c>
      <c r="O297" t="s">
        <v>1320</v>
      </c>
      <c r="P297">
        <v>424309</v>
      </c>
      <c r="Q297" s="3"/>
      <c r="R297" s="3">
        <f>IF(Table1[[#This Row],[Gross_millions]]=" ",0,Table1[[#This Row],[Gross_millions]])</f>
        <v>0</v>
      </c>
      <c r="S297" t="str">
        <f>IF(Table1[[#This Row],[Gross_millions_Clean]]&gt;200,"Blockbuster",IF(Table1[[#This Row],[Gross_millions_Clean]]&gt;100,"Hit","Average"))</f>
        <v>Average</v>
      </c>
    </row>
    <row r="298" spans="1:19" x14ac:dyDescent="0.3">
      <c r="A298" t="s">
        <v>1321</v>
      </c>
      <c r="B298" t="s">
        <v>1322</v>
      </c>
      <c r="C298">
        <v>2003</v>
      </c>
      <c r="D298" s="8">
        <f>FLOOR(Table1[[#This Row],[Year]],10)</f>
        <v>2000</v>
      </c>
      <c r="E298" t="s">
        <v>24</v>
      </c>
      <c r="F298">
        <v>107</v>
      </c>
      <c r="G298" t="str">
        <f>IF(Table1[[#This Row],[Runtime_minutes]]&lt;90,"Short",IF(Table1[[#This Row],[Runtime_minutes]]&lt;=120,"Medium","Long"))</f>
        <v>Medium</v>
      </c>
      <c r="H298" t="s">
        <v>210</v>
      </c>
      <c r="K298">
        <v>7.5</v>
      </c>
      <c r="L298">
        <v>72</v>
      </c>
      <c r="M298" t="s">
        <v>1323</v>
      </c>
      <c r="N298" t="s">
        <v>147</v>
      </c>
      <c r="O298" t="s">
        <v>1324</v>
      </c>
      <c r="P298">
        <v>93801</v>
      </c>
      <c r="Q298" s="3">
        <v>409.04</v>
      </c>
      <c r="R298" s="3">
        <f>IF(Table1[[#This Row],[Gross_millions]]=" ",0,Table1[[#This Row],[Gross_millions]])</f>
        <v>409.04</v>
      </c>
      <c r="S298" t="str">
        <f>IF(Table1[[#This Row],[Gross_millions_Clean]]&gt;200,"Blockbuster",IF(Table1[[#This Row],[Gross_millions_Clean]]&gt;100,"Hit","Average"))</f>
        <v>Blockbuster</v>
      </c>
    </row>
    <row r="299" spans="1:19" x14ac:dyDescent="0.3">
      <c r="A299" t="s">
        <v>1325</v>
      </c>
      <c r="B299" t="s">
        <v>1326</v>
      </c>
      <c r="C299">
        <v>2001</v>
      </c>
      <c r="D299" s="8">
        <f>FLOOR(Table1[[#This Row],[Year]],10)</f>
        <v>2000</v>
      </c>
      <c r="E299" t="s">
        <v>169</v>
      </c>
      <c r="F299">
        <v>112</v>
      </c>
      <c r="G299" t="str">
        <f>IF(Table1[[#This Row],[Runtime_minutes]]&lt;90,"Short",IF(Table1[[#This Row],[Runtime_minutes]]&lt;=120,"Medium","Long"))</f>
        <v>Medium</v>
      </c>
      <c r="H299" t="s">
        <v>37</v>
      </c>
      <c r="I299" t="s">
        <v>3980</v>
      </c>
      <c r="K299">
        <v>7.5</v>
      </c>
      <c r="L299">
        <v>68</v>
      </c>
      <c r="M299" t="s">
        <v>1328</v>
      </c>
      <c r="N299" t="s">
        <v>326</v>
      </c>
      <c r="O299" t="s">
        <v>1329</v>
      </c>
      <c r="P299">
        <v>1000</v>
      </c>
      <c r="Q299" s="3">
        <v>466.22</v>
      </c>
      <c r="R299" s="3">
        <f>IF(Table1[[#This Row],[Gross_millions]]=" ",0,Table1[[#This Row],[Gross_millions]])</f>
        <v>466.22</v>
      </c>
      <c r="S299" t="str">
        <f>IF(Table1[[#This Row],[Gross_millions_Clean]]&gt;200,"Blockbuster",IF(Table1[[#This Row],[Gross_millions_Clean]]&gt;100,"Hit","Average"))</f>
        <v>Blockbuster</v>
      </c>
    </row>
    <row r="300" spans="1:19" x14ac:dyDescent="0.3">
      <c r="A300" t="s">
        <v>1330</v>
      </c>
      <c r="B300" t="s">
        <v>1331</v>
      </c>
      <c r="C300">
        <v>2017</v>
      </c>
      <c r="D300" s="8">
        <f>FLOOR(Table1[[#This Row],[Year]],10)</f>
        <v>2010</v>
      </c>
      <c r="E300" t="s">
        <v>54</v>
      </c>
      <c r="F300">
        <v>89</v>
      </c>
      <c r="G300" t="str">
        <f>IF(Table1[[#This Row],[Runtime_minutes]]&lt;90,"Short",IF(Table1[[#This Row],[Runtime_minutes]]&lt;=120,"Medium","Long"))</f>
        <v>Short</v>
      </c>
      <c r="H300" t="s">
        <v>48</v>
      </c>
      <c r="I300" t="s">
        <v>3978</v>
      </c>
      <c r="K300">
        <v>7.5</v>
      </c>
      <c r="L300">
        <v>71</v>
      </c>
      <c r="M300" t="s">
        <v>1333</v>
      </c>
      <c r="N300" t="s">
        <v>483</v>
      </c>
      <c r="O300" t="s">
        <v>1334</v>
      </c>
      <c r="P300">
        <v>32071</v>
      </c>
      <c r="Q300" s="3">
        <v>268.63</v>
      </c>
      <c r="R300" s="3">
        <f>IF(Table1[[#This Row],[Gross_millions]]=" ",0,Table1[[#This Row],[Gross_millions]])</f>
        <v>268.63</v>
      </c>
      <c r="S300" t="str">
        <f>IF(Table1[[#This Row],[Gross_millions_Clean]]&gt;200,"Blockbuster",IF(Table1[[#This Row],[Gross_millions_Clean]]&gt;100,"Hit","Average"))</f>
        <v>Blockbuster</v>
      </c>
    </row>
    <row r="301" spans="1:19" x14ac:dyDescent="0.3">
      <c r="A301" t="s">
        <v>1335</v>
      </c>
      <c r="B301" t="s">
        <v>498</v>
      </c>
      <c r="C301">
        <v>1969</v>
      </c>
      <c r="D301" s="8">
        <f>FLOOR(Table1[[#This Row],[Year]],10)</f>
        <v>1960</v>
      </c>
      <c r="E301" t="s">
        <v>17</v>
      </c>
      <c r="F301">
        <v>126</v>
      </c>
      <c r="G301" t="str">
        <f>IF(Table1[[#This Row],[Runtime_minutes]]&lt;90,"Short",IF(Table1[[#This Row],[Runtime_minutes]]&lt;=120,"Medium","Long"))</f>
        <v>Long</v>
      </c>
      <c r="H301" t="s">
        <v>55</v>
      </c>
      <c r="I301" t="s">
        <v>3991</v>
      </c>
      <c r="K301">
        <v>7.5</v>
      </c>
      <c r="M301" t="s">
        <v>852</v>
      </c>
      <c r="N301" t="s">
        <v>196</v>
      </c>
      <c r="O301" t="s">
        <v>1337</v>
      </c>
      <c r="P301">
        <v>58413</v>
      </c>
      <c r="Q301" s="3">
        <v>124.6</v>
      </c>
      <c r="R301" s="3">
        <f>IF(Table1[[#This Row],[Gross_millions]]=" ",0,Table1[[#This Row],[Gross_millions]])</f>
        <v>124.6</v>
      </c>
      <c r="S301" t="str">
        <f>IF(Table1[[#This Row],[Gross_millions_Clean]]&gt;200,"Blockbuster",IF(Table1[[#This Row],[Gross_millions_Clean]]&gt;100,"Hit","Average"))</f>
        <v>Hit</v>
      </c>
    </row>
    <row r="302" spans="1:19" x14ac:dyDescent="0.3">
      <c r="A302" t="s">
        <v>1338</v>
      </c>
      <c r="B302" t="s">
        <v>1339</v>
      </c>
      <c r="C302">
        <v>2003</v>
      </c>
      <c r="D302" s="8">
        <f>FLOOR(Table1[[#This Row],[Year]],10)</f>
        <v>2000</v>
      </c>
      <c r="E302" t="s">
        <v>169</v>
      </c>
      <c r="F302">
        <v>88</v>
      </c>
      <c r="G302" t="str">
        <f>IF(Table1[[#This Row],[Runtime_minutes]]&lt;90,"Short",IF(Table1[[#This Row],[Runtime_minutes]]&lt;=120,"Medium","Long"))</f>
        <v>Short</v>
      </c>
      <c r="H302" t="s">
        <v>606</v>
      </c>
      <c r="K302">
        <v>7.5</v>
      </c>
      <c r="L302">
        <v>70</v>
      </c>
      <c r="M302" t="s">
        <v>220</v>
      </c>
      <c r="N302" t="s">
        <v>125</v>
      </c>
      <c r="O302" t="s">
        <v>1340</v>
      </c>
      <c r="P302">
        <v>194599</v>
      </c>
      <c r="Q302" s="3">
        <v>249.78</v>
      </c>
      <c r="R302" s="3">
        <f>IF(Table1[[#This Row],[Gross_millions]]=" ",0,Table1[[#This Row],[Gross_millions]])</f>
        <v>249.78</v>
      </c>
      <c r="S302" t="str">
        <f>IF(Table1[[#This Row],[Gross_millions_Clean]]&gt;200,"Blockbuster",IF(Table1[[#This Row],[Gross_millions_Clean]]&gt;100,"Hit","Average"))</f>
        <v>Blockbuster</v>
      </c>
    </row>
    <row r="303" spans="1:19" x14ac:dyDescent="0.3">
      <c r="A303" t="s">
        <v>1341</v>
      </c>
      <c r="B303" t="s">
        <v>1342</v>
      </c>
      <c r="C303">
        <v>2015</v>
      </c>
      <c r="D303" s="8">
        <f>FLOOR(Table1[[#This Row],[Year]],10)</f>
        <v>2010</v>
      </c>
      <c r="E303" t="s">
        <v>293</v>
      </c>
      <c r="F303">
        <v>93</v>
      </c>
      <c r="G303" t="str">
        <f>IF(Table1[[#This Row],[Runtime_minutes]]&lt;90,"Short",IF(Table1[[#This Row],[Runtime_minutes]]&lt;=120,"Medium","Long"))</f>
        <v>Medium</v>
      </c>
      <c r="H303" t="s">
        <v>375</v>
      </c>
      <c r="I303" t="s">
        <v>3981</v>
      </c>
      <c r="K303">
        <v>7.4</v>
      </c>
      <c r="L303">
        <v>60</v>
      </c>
      <c r="M303" t="s">
        <v>1344</v>
      </c>
      <c r="N303" t="s">
        <v>68</v>
      </c>
      <c r="O303" t="s">
        <v>1345</v>
      </c>
      <c r="P303">
        <v>439503</v>
      </c>
      <c r="Q303" s="3">
        <v>70.08</v>
      </c>
      <c r="R303" s="3">
        <f>IF(Table1[[#This Row],[Gross_millions]]=" ",0,Table1[[#This Row],[Gross_millions]])</f>
        <v>70.08</v>
      </c>
      <c r="S303" t="str">
        <f>IF(Table1[[#This Row],[Gross_millions_Clean]]&gt;200,"Blockbuster",IF(Table1[[#This Row],[Gross_millions_Clean]]&gt;100,"Hit","Average"))</f>
        <v>Average</v>
      </c>
    </row>
    <row r="304" spans="1:19" x14ac:dyDescent="0.3">
      <c r="A304" t="s">
        <v>1346</v>
      </c>
      <c r="B304" t="s">
        <v>1347</v>
      </c>
      <c r="C304">
        <v>2024</v>
      </c>
      <c r="D304" s="8">
        <f>FLOOR(Table1[[#This Row],[Year]],10)</f>
        <v>2020</v>
      </c>
      <c r="E304" t="s">
        <v>54</v>
      </c>
      <c r="F304">
        <v>97</v>
      </c>
      <c r="G304" t="str">
        <f>IF(Table1[[#This Row],[Runtime_minutes]]&lt;90,"Short",IF(Table1[[#This Row],[Runtime_minutes]]&lt;=120,"Medium","Long"))</f>
        <v>Medium</v>
      </c>
      <c r="H304" t="s">
        <v>157</v>
      </c>
      <c r="K304">
        <v>7.4</v>
      </c>
      <c r="L304">
        <v>84</v>
      </c>
      <c r="M304" t="s">
        <v>597</v>
      </c>
      <c r="N304" t="s">
        <v>251</v>
      </c>
      <c r="O304" t="s">
        <v>1348</v>
      </c>
      <c r="P304">
        <v>110515</v>
      </c>
      <c r="Q304" s="3">
        <v>236.36</v>
      </c>
      <c r="R304" s="3">
        <f>IF(Table1[[#This Row],[Gross_millions]]=" ",0,Table1[[#This Row],[Gross_millions]])</f>
        <v>236.36</v>
      </c>
      <c r="S304" t="str">
        <f>IF(Table1[[#This Row],[Gross_millions_Clean]]&gt;200,"Blockbuster",IF(Table1[[#This Row],[Gross_millions_Clean]]&gt;100,"Hit","Average"))</f>
        <v>Blockbuster</v>
      </c>
    </row>
    <row r="305" spans="1:19" x14ac:dyDescent="0.3">
      <c r="A305" t="s">
        <v>1349</v>
      </c>
      <c r="B305" t="s">
        <v>804</v>
      </c>
      <c r="C305">
        <v>1972</v>
      </c>
      <c r="D305" s="8">
        <f>FLOOR(Table1[[#This Row],[Year]],10)</f>
        <v>1970</v>
      </c>
      <c r="E305" t="s">
        <v>17</v>
      </c>
      <c r="F305">
        <v>124</v>
      </c>
      <c r="G305" t="str">
        <f>IF(Table1[[#This Row],[Runtime_minutes]]&lt;90,"Short",IF(Table1[[#This Row],[Runtime_minutes]]&lt;=120,"Medium","Long"))</f>
        <v>Long</v>
      </c>
      <c r="H305" t="s">
        <v>235</v>
      </c>
      <c r="K305">
        <v>7.4</v>
      </c>
      <c r="M305" t="s">
        <v>1350</v>
      </c>
      <c r="N305" t="s">
        <v>524</v>
      </c>
      <c r="O305" t="s">
        <v>1351</v>
      </c>
      <c r="P305">
        <v>2701</v>
      </c>
      <c r="Q305" s="3">
        <v>214.08</v>
      </c>
      <c r="R305" s="3">
        <f>IF(Table1[[#This Row],[Gross_millions]]=" ",0,Table1[[#This Row],[Gross_millions]])</f>
        <v>214.08</v>
      </c>
      <c r="S305" t="str">
        <f>IF(Table1[[#This Row],[Gross_millions_Clean]]&gt;200,"Blockbuster",IF(Table1[[#This Row],[Gross_millions_Clean]]&gt;100,"Hit","Average"))</f>
        <v>Blockbuster</v>
      </c>
    </row>
    <row r="306" spans="1:19" x14ac:dyDescent="0.3">
      <c r="A306" t="s">
        <v>1352</v>
      </c>
      <c r="B306" t="s">
        <v>1353</v>
      </c>
      <c r="C306">
        <v>2024</v>
      </c>
      <c r="D306" s="8">
        <f>FLOOR(Table1[[#This Row],[Year]],10)</f>
        <v>2020</v>
      </c>
      <c r="E306" t="s">
        <v>24</v>
      </c>
      <c r="F306">
        <v>115</v>
      </c>
      <c r="G306" t="str">
        <f>IF(Table1[[#This Row],[Runtime_minutes]]&lt;90,"Short",IF(Table1[[#This Row],[Runtime_minutes]]&lt;=120,"Medium","Long"))</f>
        <v>Medium</v>
      </c>
      <c r="H306" t="s">
        <v>277</v>
      </c>
      <c r="I306" t="s">
        <v>3987</v>
      </c>
      <c r="K306">
        <v>7.4</v>
      </c>
      <c r="L306">
        <v>63</v>
      </c>
      <c r="M306" t="s">
        <v>278</v>
      </c>
      <c r="N306" t="s">
        <v>165</v>
      </c>
      <c r="O306" t="s">
        <v>1355</v>
      </c>
      <c r="P306">
        <v>958796</v>
      </c>
      <c r="Q306" s="3">
        <v>441.1</v>
      </c>
      <c r="R306" s="3">
        <f>IF(Table1[[#This Row],[Gross_millions]]=" ",0,Table1[[#This Row],[Gross_millions]])</f>
        <v>441.1</v>
      </c>
      <c r="S306" t="str">
        <f>IF(Table1[[#This Row],[Gross_millions_Clean]]&gt;200,"Blockbuster",IF(Table1[[#This Row],[Gross_millions_Clean]]&gt;100,"Hit","Average"))</f>
        <v>Blockbuster</v>
      </c>
    </row>
    <row r="307" spans="1:19" x14ac:dyDescent="0.3">
      <c r="A307" t="s">
        <v>1356</v>
      </c>
      <c r="B307" t="s">
        <v>1357</v>
      </c>
      <c r="C307">
        <v>2003</v>
      </c>
      <c r="D307" s="8">
        <f>FLOOR(Table1[[#This Row],[Year]],10)</f>
        <v>2000</v>
      </c>
      <c r="E307" t="s">
        <v>54</v>
      </c>
      <c r="F307">
        <v>112</v>
      </c>
      <c r="G307" t="str">
        <f>IF(Table1[[#This Row],[Runtime_minutes]]&lt;90,"Short",IF(Table1[[#This Row],[Runtime_minutes]]&lt;=120,"Medium","Long"))</f>
        <v>Medium</v>
      </c>
      <c r="H307" t="s">
        <v>129</v>
      </c>
      <c r="I307" t="s">
        <v>3987</v>
      </c>
      <c r="J307" t="s">
        <v>3986</v>
      </c>
      <c r="K307">
        <v>7.4</v>
      </c>
      <c r="M307" t="s">
        <v>130</v>
      </c>
      <c r="N307" t="s">
        <v>315</v>
      </c>
      <c r="O307" t="s">
        <v>1359</v>
      </c>
      <c r="P307">
        <v>116587</v>
      </c>
      <c r="Q307" s="3">
        <v>22.84</v>
      </c>
      <c r="R307" s="3">
        <f>IF(Table1[[#This Row],[Gross_millions]]=" ",0,Table1[[#This Row],[Gross_millions]])</f>
        <v>22.84</v>
      </c>
      <c r="S307" t="str">
        <f>IF(Table1[[#This Row],[Gross_millions_Clean]]&gt;200,"Blockbuster",IF(Table1[[#This Row],[Gross_millions_Clean]]&gt;100,"Hit","Average"))</f>
        <v>Average</v>
      </c>
    </row>
    <row r="308" spans="1:19" x14ac:dyDescent="0.3">
      <c r="A308" t="s">
        <v>1360</v>
      </c>
      <c r="B308" t="s">
        <v>1361</v>
      </c>
      <c r="C308">
        <v>2024</v>
      </c>
      <c r="D308" s="8">
        <f>FLOOR(Table1[[#This Row],[Year]],10)</f>
        <v>2020</v>
      </c>
      <c r="E308" t="s">
        <v>54</v>
      </c>
      <c r="F308">
        <v>95</v>
      </c>
      <c r="G308" t="str">
        <f>IF(Table1[[#This Row],[Runtime_minutes]]&lt;90,"Short",IF(Table1[[#This Row],[Runtime_minutes]]&lt;=120,"Medium","Long"))</f>
        <v>Medium</v>
      </c>
      <c r="H308" t="s">
        <v>43</v>
      </c>
      <c r="I308" t="s">
        <v>3993</v>
      </c>
      <c r="J308" t="s">
        <v>3991</v>
      </c>
      <c r="K308">
        <v>7.4</v>
      </c>
      <c r="L308">
        <v>65</v>
      </c>
      <c r="M308" t="s">
        <v>1363</v>
      </c>
      <c r="N308" t="s">
        <v>74</v>
      </c>
      <c r="O308" t="s">
        <v>1364</v>
      </c>
      <c r="P308">
        <v>41752</v>
      </c>
      <c r="Q308" s="3">
        <v>467.18</v>
      </c>
      <c r="R308" s="3">
        <f>IF(Table1[[#This Row],[Gross_millions]]=" ",0,Table1[[#This Row],[Gross_millions]])</f>
        <v>467.18</v>
      </c>
      <c r="S308" t="str">
        <f>IF(Table1[[#This Row],[Gross_millions_Clean]]&gt;200,"Blockbuster",IF(Table1[[#This Row],[Gross_millions_Clean]]&gt;100,"Hit","Average"))</f>
        <v>Blockbuster</v>
      </c>
    </row>
    <row r="309" spans="1:19" x14ac:dyDescent="0.3">
      <c r="A309" t="s">
        <v>1365</v>
      </c>
      <c r="B309" t="s">
        <v>1366</v>
      </c>
      <c r="C309">
        <v>2002</v>
      </c>
      <c r="D309" s="8">
        <f>FLOOR(Table1[[#This Row],[Year]],10)</f>
        <v>2000</v>
      </c>
      <c r="E309" t="s">
        <v>54</v>
      </c>
      <c r="F309">
        <v>94</v>
      </c>
      <c r="G309" t="str">
        <f>IF(Table1[[#This Row],[Runtime_minutes]]&lt;90,"Short",IF(Table1[[#This Row],[Runtime_minutes]]&lt;=120,"Medium","Long"))</f>
        <v>Medium</v>
      </c>
      <c r="H309" t="s">
        <v>55</v>
      </c>
      <c r="I309" t="s">
        <v>3989</v>
      </c>
      <c r="K309">
        <v>7.4</v>
      </c>
      <c r="L309">
        <v>69</v>
      </c>
      <c r="M309" t="s">
        <v>898</v>
      </c>
      <c r="N309" t="s">
        <v>103</v>
      </c>
      <c r="O309" t="s">
        <v>1367</v>
      </c>
      <c r="P309">
        <v>28156</v>
      </c>
      <c r="Q309" s="3"/>
      <c r="R309" s="3">
        <f>IF(Table1[[#This Row],[Gross_millions]]=" ",0,Table1[[#This Row],[Gross_millions]])</f>
        <v>0</v>
      </c>
      <c r="S309" t="str">
        <f>IF(Table1[[#This Row],[Gross_millions_Clean]]&gt;200,"Blockbuster",IF(Table1[[#This Row],[Gross_millions_Clean]]&gt;100,"Hit","Average"))</f>
        <v>Average</v>
      </c>
    </row>
    <row r="310" spans="1:19" x14ac:dyDescent="0.3">
      <c r="A310" t="s">
        <v>1368</v>
      </c>
      <c r="B310" t="s">
        <v>1369</v>
      </c>
      <c r="C310">
        <v>2022</v>
      </c>
      <c r="D310" s="8">
        <f>FLOOR(Table1[[#This Row],[Year]],10)</f>
        <v>2020</v>
      </c>
      <c r="E310" t="s">
        <v>293</v>
      </c>
      <c r="F310">
        <v>93</v>
      </c>
      <c r="G310" t="str">
        <f>IF(Table1[[#This Row],[Runtime_minutes]]&lt;90,"Short",IF(Table1[[#This Row],[Runtime_minutes]]&lt;=120,"Medium","Long"))</f>
        <v>Medium</v>
      </c>
      <c r="H310" t="s">
        <v>767</v>
      </c>
      <c r="K310">
        <v>7.4</v>
      </c>
      <c r="L310">
        <v>80</v>
      </c>
      <c r="M310" t="s">
        <v>320</v>
      </c>
      <c r="N310" t="s">
        <v>27</v>
      </c>
      <c r="O310" t="s">
        <v>1370</v>
      </c>
      <c r="P310">
        <v>24129</v>
      </c>
      <c r="Q310" s="3">
        <v>30.77</v>
      </c>
      <c r="R310" s="3">
        <f>IF(Table1[[#This Row],[Gross_millions]]=" ",0,Table1[[#This Row],[Gross_millions]])</f>
        <v>30.77</v>
      </c>
      <c r="S310" t="str">
        <f>IF(Table1[[#This Row],[Gross_millions_Clean]]&gt;200,"Blockbuster",IF(Table1[[#This Row],[Gross_millions_Clean]]&gt;100,"Hit","Average"))</f>
        <v>Average</v>
      </c>
    </row>
    <row r="311" spans="1:19" x14ac:dyDescent="0.3">
      <c r="A311" t="s">
        <v>1371</v>
      </c>
      <c r="B311" t="s">
        <v>1372</v>
      </c>
      <c r="C311">
        <v>2019</v>
      </c>
      <c r="D311" s="8">
        <f>FLOOR(Table1[[#This Row],[Year]],10)</f>
        <v>2010</v>
      </c>
      <c r="E311" t="s">
        <v>17</v>
      </c>
      <c r="F311">
        <v>149</v>
      </c>
      <c r="G311" t="str">
        <f>IF(Table1[[#This Row],[Runtime_minutes]]&lt;90,"Short",IF(Table1[[#This Row],[Runtime_minutes]]&lt;=120,"Medium","Long"))</f>
        <v>Long</v>
      </c>
      <c r="H311" t="s">
        <v>210</v>
      </c>
      <c r="I311" t="s">
        <v>3982</v>
      </c>
      <c r="K311">
        <v>7.4</v>
      </c>
      <c r="M311" t="s">
        <v>19</v>
      </c>
      <c r="N311" t="s">
        <v>74</v>
      </c>
      <c r="O311" t="s">
        <v>1374</v>
      </c>
      <c r="P311">
        <v>55084</v>
      </c>
      <c r="Q311" s="3">
        <v>485.13</v>
      </c>
      <c r="R311" s="3">
        <f>IF(Table1[[#This Row],[Gross_millions]]=" ",0,Table1[[#This Row],[Gross_millions]])</f>
        <v>485.13</v>
      </c>
      <c r="S311" t="str">
        <f>IF(Table1[[#This Row],[Gross_millions_Clean]]&gt;200,"Blockbuster",IF(Table1[[#This Row],[Gross_millions_Clean]]&gt;100,"Hit","Average"))</f>
        <v>Blockbuster</v>
      </c>
    </row>
    <row r="312" spans="1:19" x14ac:dyDescent="0.3">
      <c r="A312" t="s">
        <v>1375</v>
      </c>
      <c r="B312" t="s">
        <v>1376</v>
      </c>
      <c r="C312">
        <v>2005</v>
      </c>
      <c r="D312" s="8">
        <f>FLOOR(Table1[[#This Row],[Year]],10)</f>
        <v>2000</v>
      </c>
      <c r="E312" t="s">
        <v>54</v>
      </c>
      <c r="F312">
        <v>114</v>
      </c>
      <c r="G312" t="str">
        <f>IF(Table1[[#This Row],[Runtime_minutes]]&lt;90,"Short",IF(Table1[[#This Row],[Runtime_minutes]]&lt;=120,"Medium","Long"))</f>
        <v>Medium</v>
      </c>
      <c r="H312" t="s">
        <v>1044</v>
      </c>
      <c r="I312" t="s">
        <v>3991</v>
      </c>
      <c r="K312">
        <v>7.4</v>
      </c>
      <c r="M312" t="s">
        <v>1377</v>
      </c>
      <c r="N312" t="s">
        <v>165</v>
      </c>
      <c r="O312" t="s">
        <v>1378</v>
      </c>
      <c r="P312">
        <v>38060</v>
      </c>
      <c r="Q312" s="3">
        <v>303.01</v>
      </c>
      <c r="R312" s="3">
        <f>IF(Table1[[#This Row],[Gross_millions]]=" ",0,Table1[[#This Row],[Gross_millions]])</f>
        <v>303.01</v>
      </c>
      <c r="S312" t="str">
        <f>IF(Table1[[#This Row],[Gross_millions_Clean]]&gt;200,"Blockbuster",IF(Table1[[#This Row],[Gross_millions_Clean]]&gt;100,"Hit","Average"))</f>
        <v>Blockbuster</v>
      </c>
    </row>
    <row r="313" spans="1:19" x14ac:dyDescent="0.3">
      <c r="A313" t="s">
        <v>1379</v>
      </c>
      <c r="B313" t="s">
        <v>1380</v>
      </c>
      <c r="C313">
        <v>2018</v>
      </c>
      <c r="D313" s="8">
        <f>FLOOR(Table1[[#This Row],[Year]],10)</f>
        <v>2010</v>
      </c>
      <c r="E313" t="s">
        <v>169</v>
      </c>
      <c r="F313">
        <v>149</v>
      </c>
      <c r="G313" t="str">
        <f>IF(Table1[[#This Row],[Runtime_minutes]]&lt;90,"Short",IF(Table1[[#This Row],[Runtime_minutes]]&lt;=120,"Medium","Long"))</f>
        <v>Long</v>
      </c>
      <c r="H313" t="s">
        <v>210</v>
      </c>
      <c r="I313" t="s">
        <v>3977</v>
      </c>
      <c r="J313" t="s">
        <v>3992</v>
      </c>
      <c r="K313">
        <v>7.4</v>
      </c>
      <c r="L313">
        <v>75</v>
      </c>
      <c r="M313" t="s">
        <v>1382</v>
      </c>
      <c r="N313" t="s">
        <v>593</v>
      </c>
      <c r="O313" t="s">
        <v>1383</v>
      </c>
      <c r="P313">
        <v>195552</v>
      </c>
      <c r="Q313" s="3">
        <v>303.56</v>
      </c>
      <c r="R313" s="3">
        <f>IF(Table1[[#This Row],[Gross_millions]]=" ",0,Table1[[#This Row],[Gross_millions]])</f>
        <v>303.56</v>
      </c>
      <c r="S313" t="str">
        <f>IF(Table1[[#This Row],[Gross_millions_Clean]]&gt;200,"Blockbuster",IF(Table1[[#This Row],[Gross_millions_Clean]]&gt;100,"Hit","Average"))</f>
        <v>Blockbuster</v>
      </c>
    </row>
    <row r="314" spans="1:19" x14ac:dyDescent="0.3">
      <c r="A314" t="s">
        <v>1384</v>
      </c>
      <c r="B314" t="s">
        <v>1385</v>
      </c>
      <c r="C314">
        <v>2009</v>
      </c>
      <c r="D314" s="8">
        <f>FLOOR(Table1[[#This Row],[Year]],10)</f>
        <v>2000</v>
      </c>
      <c r="E314" t="s">
        <v>17</v>
      </c>
      <c r="F314">
        <v>135</v>
      </c>
      <c r="G314" t="str">
        <f>IF(Table1[[#This Row],[Runtime_minutes]]&lt;90,"Short",IF(Table1[[#This Row],[Runtime_minutes]]&lt;=120,"Medium","Long"))</f>
        <v>Long</v>
      </c>
      <c r="H314" t="s">
        <v>78</v>
      </c>
      <c r="I314" t="s">
        <v>3986</v>
      </c>
      <c r="J314" t="s">
        <v>3991</v>
      </c>
      <c r="K314">
        <v>7.4</v>
      </c>
      <c r="M314" t="s">
        <v>412</v>
      </c>
      <c r="N314" t="s">
        <v>593</v>
      </c>
      <c r="O314" t="s">
        <v>1387</v>
      </c>
      <c r="P314">
        <v>13029</v>
      </c>
      <c r="Q314" s="3">
        <v>236.54</v>
      </c>
      <c r="R314" s="3">
        <f>IF(Table1[[#This Row],[Gross_millions]]=" ",0,Table1[[#This Row],[Gross_millions]])</f>
        <v>236.54</v>
      </c>
      <c r="S314" t="str">
        <f>IF(Table1[[#This Row],[Gross_millions_Clean]]&gt;200,"Blockbuster",IF(Table1[[#This Row],[Gross_millions_Clean]]&gt;100,"Hit","Average"))</f>
        <v>Blockbuster</v>
      </c>
    </row>
    <row r="315" spans="1:19" x14ac:dyDescent="0.3">
      <c r="A315" t="s">
        <v>1388</v>
      </c>
      <c r="B315" t="s">
        <v>1389</v>
      </c>
      <c r="C315">
        <v>2001</v>
      </c>
      <c r="D315" s="8">
        <f>FLOOR(Table1[[#This Row],[Year]],10)</f>
        <v>2000</v>
      </c>
      <c r="E315" t="s">
        <v>54</v>
      </c>
      <c r="F315">
        <v>77</v>
      </c>
      <c r="G315" t="str">
        <f>IF(Table1[[#This Row],[Runtime_minutes]]&lt;90,"Short",IF(Table1[[#This Row],[Runtime_minutes]]&lt;=120,"Medium","Long"))</f>
        <v>Short</v>
      </c>
      <c r="H315" t="s">
        <v>129</v>
      </c>
      <c r="I315" t="s">
        <v>3977</v>
      </c>
      <c r="K315">
        <v>7.4</v>
      </c>
      <c r="L315">
        <v>72</v>
      </c>
      <c r="M315" t="s">
        <v>1391</v>
      </c>
      <c r="N315" t="s">
        <v>718</v>
      </c>
      <c r="O315" t="s">
        <v>1392</v>
      </c>
      <c r="P315">
        <v>225899</v>
      </c>
      <c r="Q315" s="3"/>
      <c r="R315" s="3">
        <f>IF(Table1[[#This Row],[Gross_millions]]=" ",0,Table1[[#This Row],[Gross_millions]])</f>
        <v>0</v>
      </c>
      <c r="S315" t="str">
        <f>IF(Table1[[#This Row],[Gross_millions_Clean]]&gt;200,"Blockbuster",IF(Table1[[#This Row],[Gross_millions_Clean]]&gt;100,"Hit","Average"))</f>
        <v>Average</v>
      </c>
    </row>
    <row r="316" spans="1:19" x14ac:dyDescent="0.3">
      <c r="A316" t="s">
        <v>1393</v>
      </c>
      <c r="B316" t="s">
        <v>1394</v>
      </c>
      <c r="C316">
        <v>2013</v>
      </c>
      <c r="D316" s="8">
        <f>FLOOR(Table1[[#This Row],[Year]],10)</f>
        <v>2010</v>
      </c>
      <c r="E316" t="s">
        <v>17</v>
      </c>
      <c r="F316">
        <v>126</v>
      </c>
      <c r="G316" t="str">
        <f>IF(Table1[[#This Row],[Runtime_minutes]]&lt;90,"Short",IF(Table1[[#This Row],[Runtime_minutes]]&lt;=120,"Medium","Long"))</f>
        <v>Long</v>
      </c>
      <c r="H316" t="s">
        <v>37</v>
      </c>
      <c r="K316">
        <v>7.4</v>
      </c>
      <c r="M316" t="s">
        <v>38</v>
      </c>
      <c r="N316" t="s">
        <v>39</v>
      </c>
      <c r="O316" t="s">
        <v>1395</v>
      </c>
      <c r="P316">
        <v>10848</v>
      </c>
      <c r="Q316" s="3"/>
      <c r="R316" s="3">
        <f>IF(Table1[[#This Row],[Gross_millions]]=" ",0,Table1[[#This Row],[Gross_millions]])</f>
        <v>0</v>
      </c>
      <c r="S316" t="str">
        <f>IF(Table1[[#This Row],[Gross_millions_Clean]]&gt;200,"Blockbuster",IF(Table1[[#This Row],[Gross_millions_Clean]]&gt;100,"Hit","Average"))</f>
        <v>Average</v>
      </c>
    </row>
    <row r="317" spans="1:19" x14ac:dyDescent="0.3">
      <c r="A317" t="s">
        <v>1396</v>
      </c>
      <c r="B317" t="s">
        <v>1397</v>
      </c>
      <c r="C317">
        <v>2005</v>
      </c>
      <c r="D317" s="8">
        <f>FLOOR(Table1[[#This Row],[Year]],10)</f>
        <v>2000</v>
      </c>
      <c r="E317" t="s">
        <v>285</v>
      </c>
      <c r="F317">
        <v>129</v>
      </c>
      <c r="G317" t="str">
        <f>IF(Table1[[#This Row],[Runtime_minutes]]&lt;90,"Short",IF(Table1[[#This Row],[Runtime_minutes]]&lt;=120,"Medium","Long"))</f>
        <v>Long</v>
      </c>
      <c r="H317" t="s">
        <v>48</v>
      </c>
      <c r="K317">
        <v>7.4</v>
      </c>
      <c r="M317" t="s">
        <v>1398</v>
      </c>
      <c r="N317" t="s">
        <v>159</v>
      </c>
      <c r="O317" t="s">
        <v>1399</v>
      </c>
      <c r="P317">
        <v>112688</v>
      </c>
      <c r="Q317" s="3">
        <v>314.23</v>
      </c>
      <c r="R317" s="3">
        <f>IF(Table1[[#This Row],[Gross_millions]]=" ",0,Table1[[#This Row],[Gross_millions]])</f>
        <v>314.23</v>
      </c>
      <c r="S317" t="str">
        <f>IF(Table1[[#This Row],[Gross_millions_Clean]]&gt;200,"Blockbuster",IF(Table1[[#This Row],[Gross_millions_Clean]]&gt;100,"Hit","Average"))</f>
        <v>Blockbuster</v>
      </c>
    </row>
    <row r="318" spans="1:19" x14ac:dyDescent="0.3">
      <c r="A318" t="s">
        <v>1400</v>
      </c>
      <c r="B318" t="s">
        <v>1401</v>
      </c>
      <c r="C318">
        <v>2022</v>
      </c>
      <c r="D318" s="8">
        <f>FLOOR(Table1[[#This Row],[Year]],10)</f>
        <v>2020</v>
      </c>
      <c r="E318" t="s">
        <v>24</v>
      </c>
      <c r="F318">
        <v>97</v>
      </c>
      <c r="G318" t="str">
        <f>IF(Table1[[#This Row],[Runtime_minutes]]&lt;90,"Short",IF(Table1[[#This Row],[Runtime_minutes]]&lt;=120,"Medium","Long"))</f>
        <v>Medium</v>
      </c>
      <c r="H318" t="s">
        <v>129</v>
      </c>
      <c r="I318" t="s">
        <v>3989</v>
      </c>
      <c r="K318">
        <v>7.4</v>
      </c>
      <c r="L318">
        <v>61</v>
      </c>
      <c r="M318" t="s">
        <v>634</v>
      </c>
      <c r="N318" t="s">
        <v>119</v>
      </c>
      <c r="O318" t="s">
        <v>1402</v>
      </c>
      <c r="P318">
        <v>119836</v>
      </c>
      <c r="Q318" s="3">
        <v>439.7</v>
      </c>
      <c r="R318" s="3">
        <f>IF(Table1[[#This Row],[Gross_millions]]=" ",0,Table1[[#This Row],[Gross_millions]])</f>
        <v>439.7</v>
      </c>
      <c r="S318" t="str">
        <f>IF(Table1[[#This Row],[Gross_millions_Clean]]&gt;200,"Blockbuster",IF(Table1[[#This Row],[Gross_millions_Clean]]&gt;100,"Hit","Average"))</f>
        <v>Blockbuster</v>
      </c>
    </row>
    <row r="319" spans="1:19" x14ac:dyDescent="0.3">
      <c r="A319" t="s">
        <v>1403</v>
      </c>
      <c r="B319" t="s">
        <v>1404</v>
      </c>
      <c r="C319">
        <v>2002</v>
      </c>
      <c r="D319" s="8">
        <f>FLOOR(Table1[[#This Row],[Year]],10)</f>
        <v>2000</v>
      </c>
      <c r="E319" t="s">
        <v>24</v>
      </c>
      <c r="F319">
        <v>101</v>
      </c>
      <c r="G319" t="str">
        <f>IF(Table1[[#This Row],[Runtime_minutes]]&lt;90,"Short",IF(Table1[[#This Row],[Runtime_minutes]]&lt;=120,"Medium","Long"))</f>
        <v>Medium</v>
      </c>
      <c r="H319" t="s">
        <v>230</v>
      </c>
      <c r="I319" t="s">
        <v>3976</v>
      </c>
      <c r="K319">
        <v>7.4</v>
      </c>
      <c r="L319">
        <v>82</v>
      </c>
      <c r="M319" t="s">
        <v>231</v>
      </c>
      <c r="N319" t="s">
        <v>80</v>
      </c>
      <c r="O319" t="s">
        <v>1406</v>
      </c>
      <c r="P319">
        <v>36573</v>
      </c>
      <c r="Q319" s="3">
        <v>25.84</v>
      </c>
      <c r="R319" s="3">
        <f>IF(Table1[[#This Row],[Gross_millions]]=" ",0,Table1[[#This Row],[Gross_millions]])</f>
        <v>25.84</v>
      </c>
      <c r="S319" t="str">
        <f>IF(Table1[[#This Row],[Gross_millions_Clean]]&gt;200,"Blockbuster",IF(Table1[[#This Row],[Gross_millions_Clean]]&gt;100,"Hit","Average"))</f>
        <v>Average</v>
      </c>
    </row>
    <row r="320" spans="1:19" x14ac:dyDescent="0.3">
      <c r="A320" t="s">
        <v>1407</v>
      </c>
      <c r="B320" t="s">
        <v>1408</v>
      </c>
      <c r="C320">
        <v>2005</v>
      </c>
      <c r="D320" s="8">
        <f>FLOOR(Table1[[#This Row],[Year]],10)</f>
        <v>2000</v>
      </c>
      <c r="E320" t="s">
        <v>17</v>
      </c>
      <c r="F320">
        <v>111</v>
      </c>
      <c r="G320" t="str">
        <f>IF(Table1[[#This Row],[Runtime_minutes]]&lt;90,"Short",IF(Table1[[#This Row],[Runtime_minutes]]&lt;=120,"Medium","Long"))</f>
        <v>Medium</v>
      </c>
      <c r="H320" t="s">
        <v>606</v>
      </c>
      <c r="K320">
        <v>7.4</v>
      </c>
      <c r="L320">
        <v>75</v>
      </c>
      <c r="M320" t="s">
        <v>250</v>
      </c>
      <c r="N320" t="s">
        <v>63</v>
      </c>
      <c r="O320" t="s">
        <v>1409</v>
      </c>
      <c r="P320">
        <v>70181</v>
      </c>
      <c r="Q320" s="3">
        <v>430.88</v>
      </c>
      <c r="R320" s="3">
        <f>IF(Table1[[#This Row],[Gross_millions]]=" ",0,Table1[[#This Row],[Gross_millions]])</f>
        <v>430.88</v>
      </c>
      <c r="S320" t="str">
        <f>IF(Table1[[#This Row],[Gross_millions_Clean]]&gt;200,"Blockbuster",IF(Table1[[#This Row],[Gross_millions_Clean]]&gt;100,"Hit","Average"))</f>
        <v>Blockbuster</v>
      </c>
    </row>
    <row r="321" spans="1:19" x14ac:dyDescent="0.3">
      <c r="A321" t="s">
        <v>1410</v>
      </c>
      <c r="B321" t="s">
        <v>1411</v>
      </c>
      <c r="C321">
        <v>2000</v>
      </c>
      <c r="D321" s="8">
        <f>FLOOR(Table1[[#This Row],[Year]],10)</f>
        <v>2000</v>
      </c>
      <c r="E321" t="s">
        <v>17</v>
      </c>
      <c r="F321">
        <v>103</v>
      </c>
      <c r="G321" t="str">
        <f>IF(Table1[[#This Row],[Runtime_minutes]]&lt;90,"Short",IF(Table1[[#This Row],[Runtime_minutes]]&lt;=120,"Medium","Long"))</f>
        <v>Medium</v>
      </c>
      <c r="H321" t="s">
        <v>868</v>
      </c>
      <c r="K321">
        <v>7.4</v>
      </c>
      <c r="M321" t="s">
        <v>1412</v>
      </c>
      <c r="N321" t="s">
        <v>86</v>
      </c>
      <c r="O321" t="s">
        <v>1413</v>
      </c>
      <c r="P321">
        <v>244349</v>
      </c>
      <c r="Q321" s="3">
        <v>170.37</v>
      </c>
      <c r="R321" s="3">
        <f>IF(Table1[[#This Row],[Gross_millions]]=" ",0,Table1[[#This Row],[Gross_millions]])</f>
        <v>170.37</v>
      </c>
      <c r="S321" t="str">
        <f>IF(Table1[[#This Row],[Gross_millions_Clean]]&gt;200,"Blockbuster",IF(Table1[[#This Row],[Gross_millions_Clean]]&gt;100,"Hit","Average"))</f>
        <v>Hit</v>
      </c>
    </row>
    <row r="322" spans="1:19" x14ac:dyDescent="0.3">
      <c r="A322" t="s">
        <v>1414</v>
      </c>
      <c r="B322" t="s">
        <v>1415</v>
      </c>
      <c r="C322">
        <v>2010</v>
      </c>
      <c r="D322" s="8">
        <f>FLOOR(Table1[[#This Row],[Year]],10)</f>
        <v>2010</v>
      </c>
      <c r="E322" t="s">
        <v>17</v>
      </c>
      <c r="F322">
        <v>129</v>
      </c>
      <c r="G322" t="str">
        <f>IF(Table1[[#This Row],[Runtime_minutes]]&lt;90,"Short",IF(Table1[[#This Row],[Runtime_minutes]]&lt;=120,"Medium","Long"))</f>
        <v>Long</v>
      </c>
      <c r="H322" t="s">
        <v>868</v>
      </c>
      <c r="K322">
        <v>7.4</v>
      </c>
      <c r="L322">
        <v>69</v>
      </c>
      <c r="M322" t="s">
        <v>1416</v>
      </c>
      <c r="N322" t="s">
        <v>524</v>
      </c>
      <c r="O322" t="s">
        <v>1417</v>
      </c>
      <c r="P322">
        <v>316332</v>
      </c>
      <c r="Q322" s="3">
        <v>33.07</v>
      </c>
      <c r="R322" s="3">
        <f>IF(Table1[[#This Row],[Gross_millions]]=" ",0,Table1[[#This Row],[Gross_millions]])</f>
        <v>33.07</v>
      </c>
      <c r="S322" t="str">
        <f>IF(Table1[[#This Row],[Gross_millions_Clean]]&gt;200,"Blockbuster",IF(Table1[[#This Row],[Gross_millions_Clean]]&gt;100,"Hit","Average"))</f>
        <v>Average</v>
      </c>
    </row>
    <row r="323" spans="1:19" x14ac:dyDescent="0.3">
      <c r="A323" t="s">
        <v>1418</v>
      </c>
      <c r="B323" t="s">
        <v>1419</v>
      </c>
      <c r="C323">
        <v>2005</v>
      </c>
      <c r="D323" s="8">
        <f>FLOOR(Table1[[#This Row],[Year]],10)</f>
        <v>2000</v>
      </c>
      <c r="E323" t="s">
        <v>54</v>
      </c>
      <c r="F323">
        <v>134</v>
      </c>
      <c r="G323" t="str">
        <f>IF(Table1[[#This Row],[Runtime_minutes]]&lt;90,"Short",IF(Table1[[#This Row],[Runtime_minutes]]&lt;=120,"Medium","Long"))</f>
        <v>Long</v>
      </c>
      <c r="H323" t="s">
        <v>37</v>
      </c>
      <c r="I323" t="s">
        <v>3985</v>
      </c>
      <c r="K323">
        <v>7.4</v>
      </c>
      <c r="L323">
        <v>72</v>
      </c>
      <c r="M323" t="s">
        <v>1420</v>
      </c>
      <c r="N323" t="s">
        <v>92</v>
      </c>
      <c r="O323" t="s">
        <v>1421</v>
      </c>
      <c r="P323">
        <v>14718</v>
      </c>
      <c r="Q323" s="3">
        <v>243.36</v>
      </c>
      <c r="R323" s="3">
        <f>IF(Table1[[#This Row],[Gross_millions]]=" ",0,Table1[[#This Row],[Gross_millions]])</f>
        <v>243.36</v>
      </c>
      <c r="S323" t="str">
        <f>IF(Table1[[#This Row],[Gross_millions_Clean]]&gt;200,"Blockbuster",IF(Table1[[#This Row],[Gross_millions_Clean]]&gt;100,"Hit","Average"))</f>
        <v>Blockbuster</v>
      </c>
    </row>
    <row r="324" spans="1:19" x14ac:dyDescent="0.3">
      <c r="A324" t="s">
        <v>1422</v>
      </c>
      <c r="B324" t="s">
        <v>1423</v>
      </c>
      <c r="C324">
        <v>2005</v>
      </c>
      <c r="D324" s="8">
        <f>FLOOR(Table1[[#This Row],[Year]],10)</f>
        <v>2000</v>
      </c>
      <c r="E324" t="s">
        <v>24</v>
      </c>
      <c r="F324">
        <v>126</v>
      </c>
      <c r="G324" t="str">
        <f>IF(Table1[[#This Row],[Runtime_minutes]]&lt;90,"Short",IF(Table1[[#This Row],[Runtime_minutes]]&lt;=120,"Medium","Long"))</f>
        <v>Long</v>
      </c>
      <c r="H324" t="s">
        <v>1044</v>
      </c>
      <c r="I324" t="s">
        <v>3987</v>
      </c>
      <c r="K324">
        <v>7.4</v>
      </c>
      <c r="L324">
        <v>66</v>
      </c>
      <c r="M324" t="s">
        <v>164</v>
      </c>
      <c r="N324" t="s">
        <v>39</v>
      </c>
      <c r="O324" t="s">
        <v>1425</v>
      </c>
      <c r="P324">
        <v>1221153</v>
      </c>
      <c r="Q324" s="3">
        <v>24.24</v>
      </c>
      <c r="R324" s="3">
        <f>IF(Table1[[#This Row],[Gross_millions]]=" ",0,Table1[[#This Row],[Gross_millions]])</f>
        <v>24.24</v>
      </c>
      <c r="S324" t="str">
        <f>IF(Table1[[#This Row],[Gross_millions_Clean]]&gt;200,"Blockbuster",IF(Table1[[#This Row],[Gross_millions_Clean]]&gt;100,"Hit","Average"))</f>
        <v>Average</v>
      </c>
    </row>
    <row r="325" spans="1:19" x14ac:dyDescent="0.3">
      <c r="A325" t="s">
        <v>1426</v>
      </c>
      <c r="B325" t="s">
        <v>1427</v>
      </c>
      <c r="C325">
        <v>2014</v>
      </c>
      <c r="D325" s="8">
        <f>FLOOR(Table1[[#This Row],[Year]],10)</f>
        <v>2010</v>
      </c>
      <c r="E325" t="s">
        <v>24</v>
      </c>
      <c r="F325">
        <v>108</v>
      </c>
      <c r="G325" t="str">
        <f>IF(Table1[[#This Row],[Runtime_minutes]]&lt;90,"Short",IF(Table1[[#This Row],[Runtime_minutes]]&lt;=120,"Medium","Long"))</f>
        <v>Medium</v>
      </c>
      <c r="H325" t="s">
        <v>210</v>
      </c>
      <c r="I325" t="s">
        <v>3984</v>
      </c>
      <c r="K325">
        <v>7.4</v>
      </c>
      <c r="L325">
        <v>75</v>
      </c>
      <c r="M325" t="s">
        <v>1196</v>
      </c>
      <c r="N325" t="s">
        <v>86</v>
      </c>
      <c r="O325" t="s">
        <v>1428</v>
      </c>
      <c r="P325">
        <v>81176</v>
      </c>
      <c r="Q325" s="3">
        <v>469.66</v>
      </c>
      <c r="R325" s="3">
        <f>IF(Table1[[#This Row],[Gross_millions]]=" ",0,Table1[[#This Row],[Gross_millions]])</f>
        <v>469.66</v>
      </c>
      <c r="S325" t="str">
        <f>IF(Table1[[#This Row],[Gross_millions_Clean]]&gt;200,"Blockbuster",IF(Table1[[#This Row],[Gross_millions_Clean]]&gt;100,"Hit","Average"))</f>
        <v>Blockbuster</v>
      </c>
    </row>
    <row r="326" spans="1:19" x14ac:dyDescent="0.3">
      <c r="A326" t="s">
        <v>1429</v>
      </c>
      <c r="B326" t="s">
        <v>1430</v>
      </c>
      <c r="C326">
        <v>2024</v>
      </c>
      <c r="D326" s="8">
        <f>FLOOR(Table1[[#This Row],[Year]],10)</f>
        <v>2020</v>
      </c>
      <c r="E326" t="s">
        <v>54</v>
      </c>
      <c r="F326">
        <v>147</v>
      </c>
      <c r="G326" t="str">
        <f>IF(Table1[[#This Row],[Runtime_minutes]]&lt;90,"Short",IF(Table1[[#This Row],[Runtime_minutes]]&lt;=120,"Medium","Long"))</f>
        <v>Long</v>
      </c>
      <c r="H326" t="s">
        <v>72</v>
      </c>
      <c r="K326">
        <v>7.4</v>
      </c>
      <c r="L326">
        <v>76</v>
      </c>
      <c r="M326" t="s">
        <v>1431</v>
      </c>
      <c r="N326" t="s">
        <v>80</v>
      </c>
      <c r="O326" t="s">
        <v>1432</v>
      </c>
      <c r="P326">
        <v>46598</v>
      </c>
      <c r="Q326" s="3">
        <v>182.83</v>
      </c>
      <c r="R326" s="3">
        <f>IF(Table1[[#This Row],[Gross_millions]]=" ",0,Table1[[#This Row],[Gross_millions]])</f>
        <v>182.83</v>
      </c>
      <c r="S326" t="str">
        <f>IF(Table1[[#This Row],[Gross_millions_Clean]]&gt;200,"Blockbuster",IF(Table1[[#This Row],[Gross_millions_Clean]]&gt;100,"Hit","Average"))</f>
        <v>Hit</v>
      </c>
    </row>
    <row r="327" spans="1:19" x14ac:dyDescent="0.3">
      <c r="A327" t="s">
        <v>1433</v>
      </c>
      <c r="B327" t="s">
        <v>1434</v>
      </c>
      <c r="C327">
        <v>2006</v>
      </c>
      <c r="D327" s="8">
        <f>FLOOR(Table1[[#This Row],[Year]],10)</f>
        <v>2000</v>
      </c>
      <c r="E327" t="s">
        <v>17</v>
      </c>
      <c r="F327">
        <v>70</v>
      </c>
      <c r="G327" t="str">
        <f>IF(Table1[[#This Row],[Runtime_minutes]]&lt;90,"Short",IF(Table1[[#This Row],[Runtime_minutes]]&lt;=120,"Medium","Long"))</f>
        <v>Short</v>
      </c>
      <c r="H327" t="s">
        <v>210</v>
      </c>
      <c r="I327" t="s">
        <v>3990</v>
      </c>
      <c r="K327">
        <v>7.4</v>
      </c>
      <c r="L327">
        <v>85</v>
      </c>
      <c r="M327" t="s">
        <v>1436</v>
      </c>
      <c r="N327" t="s">
        <v>80</v>
      </c>
      <c r="O327" t="s">
        <v>1437</v>
      </c>
      <c r="P327">
        <v>80186</v>
      </c>
      <c r="Q327" s="3">
        <v>273.49</v>
      </c>
      <c r="R327" s="3">
        <f>IF(Table1[[#This Row],[Gross_millions]]=" ",0,Table1[[#This Row],[Gross_millions]])</f>
        <v>273.49</v>
      </c>
      <c r="S327" t="str">
        <f>IF(Table1[[#This Row],[Gross_millions_Clean]]&gt;200,"Blockbuster",IF(Table1[[#This Row],[Gross_millions_Clean]]&gt;100,"Hit","Average"))</f>
        <v>Blockbuster</v>
      </c>
    </row>
    <row r="328" spans="1:19" x14ac:dyDescent="0.3">
      <c r="A328" t="s">
        <v>1438</v>
      </c>
      <c r="B328" t="s">
        <v>1439</v>
      </c>
      <c r="C328">
        <v>2023</v>
      </c>
      <c r="D328" s="8">
        <f>FLOOR(Table1[[#This Row],[Year]],10)</f>
        <v>2020</v>
      </c>
      <c r="E328" t="s">
        <v>17</v>
      </c>
      <c r="F328">
        <v>164</v>
      </c>
      <c r="G328" t="str">
        <f>IF(Table1[[#This Row],[Runtime_minutes]]&lt;90,"Short",IF(Table1[[#This Row],[Runtime_minutes]]&lt;=120,"Medium","Long"))</f>
        <v>Long</v>
      </c>
      <c r="H328" t="s">
        <v>43</v>
      </c>
      <c r="I328" t="s">
        <v>3984</v>
      </c>
      <c r="K328">
        <v>7.4</v>
      </c>
      <c r="L328">
        <v>81</v>
      </c>
      <c r="M328" t="s">
        <v>136</v>
      </c>
      <c r="N328" t="s">
        <v>33</v>
      </c>
      <c r="O328" t="s">
        <v>1441</v>
      </c>
      <c r="P328">
        <v>126914</v>
      </c>
      <c r="Q328" s="3"/>
      <c r="R328" s="3">
        <f>IF(Table1[[#This Row],[Gross_millions]]=" ",0,Table1[[#This Row],[Gross_millions]])</f>
        <v>0</v>
      </c>
      <c r="S328" t="str">
        <f>IF(Table1[[#This Row],[Gross_millions_Clean]]&gt;200,"Blockbuster",IF(Table1[[#This Row],[Gross_millions_Clean]]&gt;100,"Hit","Average"))</f>
        <v>Average</v>
      </c>
    </row>
    <row r="329" spans="1:19" x14ac:dyDescent="0.3">
      <c r="A329" t="s">
        <v>1442</v>
      </c>
      <c r="B329" t="s">
        <v>1443</v>
      </c>
      <c r="C329">
        <v>2023</v>
      </c>
      <c r="D329" s="8">
        <f>FLOOR(Table1[[#This Row],[Year]],10)</f>
        <v>2020</v>
      </c>
      <c r="E329" t="s">
        <v>54</v>
      </c>
      <c r="F329">
        <v>114</v>
      </c>
      <c r="G329" t="str">
        <f>IF(Table1[[#This Row],[Runtime_minutes]]&lt;90,"Short",IF(Table1[[#This Row],[Runtime_minutes]]&lt;=120,"Medium","Long"))</f>
        <v>Medium</v>
      </c>
      <c r="H329" t="s">
        <v>72</v>
      </c>
      <c r="I329" t="s">
        <v>3986</v>
      </c>
      <c r="K329">
        <v>7.4</v>
      </c>
      <c r="L329">
        <v>74</v>
      </c>
      <c r="M329" t="s">
        <v>73</v>
      </c>
      <c r="N329" t="s">
        <v>39</v>
      </c>
      <c r="O329" t="s">
        <v>1444</v>
      </c>
      <c r="P329">
        <v>36289</v>
      </c>
      <c r="Q329" s="3"/>
      <c r="R329" s="3">
        <f>IF(Table1[[#This Row],[Gross_millions]]=" ",0,Table1[[#This Row],[Gross_millions]])</f>
        <v>0</v>
      </c>
      <c r="S329" t="str">
        <f>IF(Table1[[#This Row],[Gross_millions_Clean]]&gt;200,"Blockbuster",IF(Table1[[#This Row],[Gross_millions_Clean]]&gt;100,"Hit","Average"))</f>
        <v>Average</v>
      </c>
    </row>
    <row r="330" spans="1:19" x14ac:dyDescent="0.3">
      <c r="A330" t="s">
        <v>1445</v>
      </c>
      <c r="B330" t="s">
        <v>1446</v>
      </c>
      <c r="C330">
        <v>2003</v>
      </c>
      <c r="D330" s="8">
        <f>FLOOR(Table1[[#This Row],[Year]],10)</f>
        <v>2000</v>
      </c>
      <c r="E330" t="s">
        <v>17</v>
      </c>
      <c r="F330">
        <v>130</v>
      </c>
      <c r="G330" t="str">
        <f>IF(Table1[[#This Row],[Runtime_minutes]]&lt;90,"Short",IF(Table1[[#This Row],[Runtime_minutes]]&lt;=120,"Medium","Long"))</f>
        <v>Long</v>
      </c>
      <c r="H330" t="s">
        <v>230</v>
      </c>
      <c r="K330">
        <v>7.4</v>
      </c>
      <c r="M330" t="s">
        <v>231</v>
      </c>
      <c r="N330" t="s">
        <v>92</v>
      </c>
      <c r="O330" t="s">
        <v>1447</v>
      </c>
      <c r="P330">
        <v>137779</v>
      </c>
      <c r="Q330" s="3">
        <v>217.85</v>
      </c>
      <c r="R330" s="3">
        <f>IF(Table1[[#This Row],[Gross_millions]]=" ",0,Table1[[#This Row],[Gross_millions]])</f>
        <v>217.85</v>
      </c>
      <c r="S330" t="str">
        <f>IF(Table1[[#This Row],[Gross_millions_Clean]]&gt;200,"Blockbuster",IF(Table1[[#This Row],[Gross_millions_Clean]]&gt;100,"Hit","Average"))</f>
        <v>Blockbuster</v>
      </c>
    </row>
    <row r="331" spans="1:19" x14ac:dyDescent="0.3">
      <c r="A331" t="s">
        <v>1448</v>
      </c>
      <c r="B331" t="s">
        <v>1449</v>
      </c>
      <c r="C331">
        <v>2014</v>
      </c>
      <c r="D331" s="8">
        <f>FLOOR(Table1[[#This Row],[Year]],10)</f>
        <v>2010</v>
      </c>
      <c r="E331" t="s">
        <v>54</v>
      </c>
      <c r="F331">
        <v>119</v>
      </c>
      <c r="G331" t="str">
        <f>IF(Table1[[#This Row],[Runtime_minutes]]&lt;90,"Short",IF(Table1[[#This Row],[Runtime_minutes]]&lt;=120,"Medium","Long"))</f>
        <v>Medium</v>
      </c>
      <c r="H331" t="s">
        <v>43</v>
      </c>
      <c r="K331">
        <v>7.4</v>
      </c>
      <c r="M331" t="s">
        <v>1450</v>
      </c>
      <c r="N331" t="s">
        <v>131</v>
      </c>
      <c r="O331" t="s">
        <v>1451</v>
      </c>
      <c r="P331">
        <v>11113</v>
      </c>
      <c r="Q331" s="3"/>
      <c r="R331" s="3">
        <f>IF(Table1[[#This Row],[Gross_millions]]=" ",0,Table1[[#This Row],[Gross_millions]])</f>
        <v>0</v>
      </c>
      <c r="S331" t="str">
        <f>IF(Table1[[#This Row],[Gross_millions_Clean]]&gt;200,"Blockbuster",IF(Table1[[#This Row],[Gross_millions_Clean]]&gt;100,"Hit","Average"))</f>
        <v>Average</v>
      </c>
    </row>
    <row r="332" spans="1:19" x14ac:dyDescent="0.3">
      <c r="A332" t="s">
        <v>1452</v>
      </c>
      <c r="B332" t="s">
        <v>1453</v>
      </c>
      <c r="C332">
        <v>2019</v>
      </c>
      <c r="D332" s="8">
        <f>FLOOR(Table1[[#This Row],[Year]],10)</f>
        <v>2010</v>
      </c>
      <c r="E332" t="s">
        <v>54</v>
      </c>
      <c r="F332">
        <v>108</v>
      </c>
      <c r="G332" t="str">
        <f>IF(Table1[[#This Row],[Runtime_minutes]]&lt;90,"Short",IF(Table1[[#This Row],[Runtime_minutes]]&lt;=120,"Medium","Long"))</f>
        <v>Medium</v>
      </c>
      <c r="H332" t="s">
        <v>453</v>
      </c>
      <c r="I332" t="s">
        <v>3980</v>
      </c>
      <c r="K332">
        <v>7.4</v>
      </c>
      <c r="L332">
        <v>73</v>
      </c>
      <c r="M332" t="s">
        <v>269</v>
      </c>
      <c r="N332" t="s">
        <v>27</v>
      </c>
      <c r="O332" t="s">
        <v>1454</v>
      </c>
      <c r="P332">
        <v>257514</v>
      </c>
      <c r="Q332" s="3"/>
      <c r="R332" s="3">
        <f>IF(Table1[[#This Row],[Gross_millions]]=" ",0,Table1[[#This Row],[Gross_millions]])</f>
        <v>0</v>
      </c>
      <c r="S332" t="str">
        <f>IF(Table1[[#This Row],[Gross_millions_Clean]]&gt;200,"Blockbuster",IF(Table1[[#This Row],[Gross_millions_Clean]]&gt;100,"Hit","Average"))</f>
        <v>Average</v>
      </c>
    </row>
    <row r="333" spans="1:19" x14ac:dyDescent="0.3">
      <c r="A333" t="s">
        <v>1455</v>
      </c>
      <c r="B333" t="s">
        <v>1456</v>
      </c>
      <c r="C333">
        <v>1981</v>
      </c>
      <c r="D333" s="8">
        <f>FLOOR(Table1[[#This Row],[Year]],10)</f>
        <v>1980</v>
      </c>
      <c r="E333" t="s">
        <v>54</v>
      </c>
      <c r="F333">
        <v>120</v>
      </c>
      <c r="G333" t="str">
        <f>IF(Table1[[#This Row],[Runtime_minutes]]&lt;90,"Short",IF(Table1[[#This Row],[Runtime_minutes]]&lt;=120,"Medium","Long"))</f>
        <v>Medium</v>
      </c>
      <c r="H333" t="s">
        <v>606</v>
      </c>
      <c r="I333" t="s">
        <v>3991</v>
      </c>
      <c r="J333" t="s">
        <v>3990</v>
      </c>
      <c r="K333">
        <v>7.4</v>
      </c>
      <c r="L333">
        <v>80</v>
      </c>
      <c r="M333" t="s">
        <v>220</v>
      </c>
      <c r="N333" t="s">
        <v>236</v>
      </c>
      <c r="O333" t="s">
        <v>1458</v>
      </c>
      <c r="P333">
        <v>22556</v>
      </c>
      <c r="Q333" s="3">
        <v>270.63</v>
      </c>
      <c r="R333" s="3">
        <f>IF(Table1[[#This Row],[Gross_millions]]=" ",0,Table1[[#This Row],[Gross_millions]])</f>
        <v>270.63</v>
      </c>
      <c r="S333" t="str">
        <f>IF(Table1[[#This Row],[Gross_millions_Clean]]&gt;200,"Blockbuster",IF(Table1[[#This Row],[Gross_millions_Clean]]&gt;100,"Hit","Average"))</f>
        <v>Blockbuster</v>
      </c>
    </row>
    <row r="334" spans="1:19" x14ac:dyDescent="0.3">
      <c r="A334" t="s">
        <v>1459</v>
      </c>
      <c r="B334" t="s">
        <v>1460</v>
      </c>
      <c r="C334">
        <v>2008</v>
      </c>
      <c r="D334" s="8">
        <f>FLOOR(Table1[[#This Row],[Year]],10)</f>
        <v>2000</v>
      </c>
      <c r="E334" t="s">
        <v>17</v>
      </c>
      <c r="F334">
        <v>142</v>
      </c>
      <c r="G334" t="str">
        <f>IF(Table1[[#This Row],[Runtime_minutes]]&lt;90,"Short",IF(Table1[[#This Row],[Runtime_minutes]]&lt;=120,"Medium","Long"))</f>
        <v>Long</v>
      </c>
      <c r="H334" t="s">
        <v>48</v>
      </c>
      <c r="K334">
        <v>7.4</v>
      </c>
      <c r="L334">
        <v>62</v>
      </c>
      <c r="M334" t="s">
        <v>1461</v>
      </c>
      <c r="N334" t="s">
        <v>20</v>
      </c>
      <c r="O334" t="s">
        <v>1462</v>
      </c>
      <c r="P334">
        <v>175831</v>
      </c>
      <c r="Q334" s="3">
        <v>367.09</v>
      </c>
      <c r="R334" s="3">
        <f>IF(Table1[[#This Row],[Gross_millions]]=" ",0,Table1[[#This Row],[Gross_millions]])</f>
        <v>367.09</v>
      </c>
      <c r="S334" t="str">
        <f>IF(Table1[[#This Row],[Gross_millions_Clean]]&gt;200,"Blockbuster",IF(Table1[[#This Row],[Gross_millions_Clean]]&gt;100,"Hit","Average"))</f>
        <v>Blockbuster</v>
      </c>
    </row>
    <row r="335" spans="1:19" x14ac:dyDescent="0.3">
      <c r="A335" t="s">
        <v>1463</v>
      </c>
      <c r="B335" t="s">
        <v>1464</v>
      </c>
      <c r="C335">
        <v>1991</v>
      </c>
      <c r="D335" s="8">
        <f>FLOOR(Table1[[#This Row],[Year]],10)</f>
        <v>1990</v>
      </c>
      <c r="E335" t="s">
        <v>24</v>
      </c>
      <c r="F335">
        <v>135</v>
      </c>
      <c r="G335" t="str">
        <f>IF(Table1[[#This Row],[Runtime_minutes]]&lt;90,"Short",IF(Table1[[#This Row],[Runtime_minutes]]&lt;=120,"Medium","Long"))</f>
        <v>Long</v>
      </c>
      <c r="H335" t="s">
        <v>129</v>
      </c>
      <c r="I335" t="s">
        <v>3976</v>
      </c>
      <c r="K335">
        <v>7.4</v>
      </c>
      <c r="L335">
        <v>72</v>
      </c>
      <c r="M335" t="s">
        <v>634</v>
      </c>
      <c r="N335" t="s">
        <v>159</v>
      </c>
      <c r="O335" t="s">
        <v>1465</v>
      </c>
      <c r="P335">
        <v>153663</v>
      </c>
      <c r="Q335" s="3">
        <v>246.13</v>
      </c>
      <c r="R335" s="3">
        <f>IF(Table1[[#This Row],[Gross_millions]]=" ",0,Table1[[#This Row],[Gross_millions]])</f>
        <v>246.13</v>
      </c>
      <c r="S335" t="str">
        <f>IF(Table1[[#This Row],[Gross_millions_Clean]]&gt;200,"Blockbuster",IF(Table1[[#This Row],[Gross_millions_Clean]]&gt;100,"Hit","Average"))</f>
        <v>Blockbuster</v>
      </c>
    </row>
    <row r="336" spans="1:19" x14ac:dyDescent="0.3">
      <c r="A336" t="s">
        <v>1466</v>
      </c>
      <c r="B336" t="s">
        <v>1467</v>
      </c>
      <c r="C336">
        <v>2008</v>
      </c>
      <c r="D336" s="8">
        <f>FLOOR(Table1[[#This Row],[Year]],10)</f>
        <v>2000</v>
      </c>
      <c r="E336" t="s">
        <v>17</v>
      </c>
      <c r="F336">
        <v>143</v>
      </c>
      <c r="G336" t="str">
        <f>IF(Table1[[#This Row],[Runtime_minutes]]&lt;90,"Short",IF(Table1[[#This Row],[Runtime_minutes]]&lt;=120,"Medium","Long"))</f>
        <v>Long</v>
      </c>
      <c r="H336" t="s">
        <v>129</v>
      </c>
      <c r="K336">
        <v>7.4</v>
      </c>
      <c r="M336" t="s">
        <v>1468</v>
      </c>
      <c r="N336" t="s">
        <v>50</v>
      </c>
      <c r="O336" t="s">
        <v>1469</v>
      </c>
      <c r="P336">
        <v>101434</v>
      </c>
      <c r="Q336" s="3">
        <v>16.37</v>
      </c>
      <c r="R336" s="3">
        <f>IF(Table1[[#This Row],[Gross_millions]]=" ",0,Table1[[#This Row],[Gross_millions]])</f>
        <v>16.37</v>
      </c>
      <c r="S336" t="str">
        <f>IF(Table1[[#This Row],[Gross_millions_Clean]]&gt;200,"Blockbuster",IF(Table1[[#This Row],[Gross_millions_Clean]]&gt;100,"Hit","Average"))</f>
        <v>Average</v>
      </c>
    </row>
    <row r="337" spans="1:19" x14ac:dyDescent="0.3">
      <c r="A337" t="s">
        <v>1470</v>
      </c>
      <c r="B337" t="s">
        <v>1471</v>
      </c>
      <c r="C337">
        <v>2001</v>
      </c>
      <c r="D337" s="8">
        <f>FLOOR(Table1[[#This Row],[Year]],10)</f>
        <v>2000</v>
      </c>
      <c r="E337" t="s">
        <v>17</v>
      </c>
      <c r="F337">
        <v>128</v>
      </c>
      <c r="G337" t="str">
        <f>IF(Table1[[#This Row],[Runtime_minutes]]&lt;90,"Short",IF(Table1[[#This Row],[Runtime_minutes]]&lt;=120,"Medium","Long"))</f>
        <v>Long</v>
      </c>
      <c r="H337" t="s">
        <v>78</v>
      </c>
      <c r="K337">
        <v>7.4</v>
      </c>
      <c r="M337" t="s">
        <v>305</v>
      </c>
      <c r="N337" t="s">
        <v>165</v>
      </c>
      <c r="O337" t="s">
        <v>1472</v>
      </c>
      <c r="P337">
        <v>78015</v>
      </c>
      <c r="Q337" s="3"/>
      <c r="R337" s="3">
        <f>IF(Table1[[#This Row],[Gross_millions]]=" ",0,Table1[[#This Row],[Gross_millions]])</f>
        <v>0</v>
      </c>
      <c r="S337" t="str">
        <f>IF(Table1[[#This Row],[Gross_millions_Clean]]&gt;200,"Blockbuster",IF(Table1[[#This Row],[Gross_millions_Clean]]&gt;100,"Hit","Average"))</f>
        <v>Average</v>
      </c>
    </row>
    <row r="338" spans="1:19" x14ac:dyDescent="0.3">
      <c r="A338" t="s">
        <v>1473</v>
      </c>
      <c r="B338" t="s">
        <v>1474</v>
      </c>
      <c r="C338">
        <v>1996</v>
      </c>
      <c r="D338" s="8">
        <f>FLOOR(Table1[[#This Row],[Year]],10)</f>
        <v>1990</v>
      </c>
      <c r="E338" t="s">
        <v>54</v>
      </c>
      <c r="F338">
        <v>93</v>
      </c>
      <c r="G338" t="str">
        <f>IF(Table1[[#This Row],[Runtime_minutes]]&lt;90,"Short",IF(Table1[[#This Row],[Runtime_minutes]]&lt;=120,"Medium","Long"))</f>
        <v>Medium</v>
      </c>
      <c r="H338" t="s">
        <v>375</v>
      </c>
      <c r="I338" t="s">
        <v>3977</v>
      </c>
      <c r="K338">
        <v>7.4</v>
      </c>
      <c r="M338" t="s">
        <v>1476</v>
      </c>
      <c r="N338" t="s">
        <v>593</v>
      </c>
      <c r="O338" t="s">
        <v>1477</v>
      </c>
      <c r="P338">
        <v>103766</v>
      </c>
      <c r="Q338" s="3">
        <v>154.02000000000001</v>
      </c>
      <c r="R338" s="3">
        <f>IF(Table1[[#This Row],[Gross_millions]]=" ",0,Table1[[#This Row],[Gross_millions]])</f>
        <v>154.02000000000001</v>
      </c>
      <c r="S338" t="str">
        <f>IF(Table1[[#This Row],[Gross_millions_Clean]]&gt;200,"Blockbuster",IF(Table1[[#This Row],[Gross_millions_Clean]]&gt;100,"Hit","Average"))</f>
        <v>Hit</v>
      </c>
    </row>
    <row r="339" spans="1:19" x14ac:dyDescent="0.3">
      <c r="A339" t="s">
        <v>1478</v>
      </c>
      <c r="B339" t="s">
        <v>1479</v>
      </c>
      <c r="C339">
        <v>2002</v>
      </c>
      <c r="D339" s="8">
        <f>FLOOR(Table1[[#This Row],[Year]],10)</f>
        <v>2000</v>
      </c>
      <c r="E339" t="s">
        <v>293</v>
      </c>
      <c r="F339">
        <v>116</v>
      </c>
      <c r="G339" t="str">
        <f>IF(Table1[[#This Row],[Runtime_minutes]]&lt;90,"Short",IF(Table1[[#This Row],[Runtime_minutes]]&lt;=120,"Medium","Long"))</f>
        <v>Medium</v>
      </c>
      <c r="H339" t="s">
        <v>230</v>
      </c>
      <c r="I339" t="s">
        <v>3993</v>
      </c>
      <c r="J339" t="s">
        <v>3985</v>
      </c>
      <c r="K339">
        <v>7.4</v>
      </c>
      <c r="L339">
        <v>80</v>
      </c>
      <c r="M339" t="s">
        <v>1481</v>
      </c>
      <c r="N339" t="s">
        <v>159</v>
      </c>
      <c r="O339" t="s">
        <v>1482</v>
      </c>
      <c r="P339">
        <v>251463</v>
      </c>
      <c r="Q339" s="3">
        <v>50.39</v>
      </c>
      <c r="R339" s="3">
        <f>IF(Table1[[#This Row],[Gross_millions]]=" ",0,Table1[[#This Row],[Gross_millions]])</f>
        <v>50.39</v>
      </c>
      <c r="S339" t="str">
        <f>IF(Table1[[#This Row],[Gross_millions_Clean]]&gt;200,"Blockbuster",IF(Table1[[#This Row],[Gross_millions_Clean]]&gt;100,"Hit","Average"))</f>
        <v>Average</v>
      </c>
    </row>
    <row r="340" spans="1:19" x14ac:dyDescent="0.3">
      <c r="A340" t="s">
        <v>1483</v>
      </c>
      <c r="B340" t="s">
        <v>1484</v>
      </c>
      <c r="C340">
        <v>2020</v>
      </c>
      <c r="D340" s="8">
        <f>FLOOR(Table1[[#This Row],[Year]],10)</f>
        <v>2020</v>
      </c>
      <c r="E340" t="s">
        <v>17</v>
      </c>
      <c r="F340">
        <v>99</v>
      </c>
      <c r="G340" t="str">
        <f>IF(Table1[[#This Row],[Runtime_minutes]]&lt;90,"Short",IF(Table1[[#This Row],[Runtime_minutes]]&lt;=120,"Medium","Long"))</f>
        <v>Medium</v>
      </c>
      <c r="H340" t="s">
        <v>1044</v>
      </c>
      <c r="K340">
        <v>7.4</v>
      </c>
      <c r="M340" t="s">
        <v>1485</v>
      </c>
      <c r="N340" t="s">
        <v>608</v>
      </c>
      <c r="O340" t="s">
        <v>1486</v>
      </c>
      <c r="P340">
        <v>86310</v>
      </c>
      <c r="Q340" s="3">
        <v>68.48</v>
      </c>
      <c r="R340" s="3">
        <f>IF(Table1[[#This Row],[Gross_millions]]=" ",0,Table1[[#This Row],[Gross_millions]])</f>
        <v>68.48</v>
      </c>
      <c r="S340" t="str">
        <f>IF(Table1[[#This Row],[Gross_millions_Clean]]&gt;200,"Blockbuster",IF(Table1[[#This Row],[Gross_millions_Clean]]&gt;100,"Hit","Average"))</f>
        <v>Average</v>
      </c>
    </row>
    <row r="341" spans="1:19" x14ac:dyDescent="0.3">
      <c r="A341" t="s">
        <v>1487</v>
      </c>
      <c r="B341" t="s">
        <v>1488</v>
      </c>
      <c r="C341">
        <v>2022</v>
      </c>
      <c r="D341" s="8">
        <f>FLOOR(Table1[[#This Row],[Year]],10)</f>
        <v>2020</v>
      </c>
      <c r="E341" t="s">
        <v>17</v>
      </c>
      <c r="F341">
        <v>145</v>
      </c>
      <c r="G341" t="str">
        <f>IF(Table1[[#This Row],[Runtime_minutes]]&lt;90,"Short",IF(Table1[[#This Row],[Runtime_minutes]]&lt;=120,"Medium","Long"))</f>
        <v>Long</v>
      </c>
      <c r="H341" t="s">
        <v>230</v>
      </c>
      <c r="I341" t="s">
        <v>3984</v>
      </c>
      <c r="K341">
        <v>7.4</v>
      </c>
      <c r="L341">
        <v>76</v>
      </c>
      <c r="M341" t="s">
        <v>1490</v>
      </c>
      <c r="N341" t="s">
        <v>74</v>
      </c>
      <c r="O341" t="s">
        <v>1491</v>
      </c>
      <c r="P341">
        <v>48645</v>
      </c>
      <c r="Q341" s="3">
        <v>360.08</v>
      </c>
      <c r="R341" s="3">
        <f>IF(Table1[[#This Row],[Gross_millions]]=" ",0,Table1[[#This Row],[Gross_millions]])</f>
        <v>360.08</v>
      </c>
      <c r="S341" t="str">
        <f>IF(Table1[[#This Row],[Gross_millions_Clean]]&gt;200,"Blockbuster",IF(Table1[[#This Row],[Gross_millions_Clean]]&gt;100,"Hit","Average"))</f>
        <v>Blockbuster</v>
      </c>
    </row>
    <row r="342" spans="1:19" x14ac:dyDescent="0.3">
      <c r="A342" t="s">
        <v>1492</v>
      </c>
      <c r="B342" t="s">
        <v>1493</v>
      </c>
      <c r="C342">
        <v>1990</v>
      </c>
      <c r="D342" s="8">
        <f>FLOOR(Table1[[#This Row],[Year]],10)</f>
        <v>1990</v>
      </c>
      <c r="E342" t="s">
        <v>17</v>
      </c>
      <c r="F342">
        <v>128</v>
      </c>
      <c r="G342" t="str">
        <f>IF(Table1[[#This Row],[Runtime_minutes]]&lt;90,"Short",IF(Table1[[#This Row],[Runtime_minutes]]&lt;=120,"Medium","Long"))</f>
        <v>Long</v>
      </c>
      <c r="H342" t="s">
        <v>78</v>
      </c>
      <c r="K342">
        <v>7.4</v>
      </c>
      <c r="M342" t="s">
        <v>412</v>
      </c>
      <c r="N342" t="s">
        <v>236</v>
      </c>
      <c r="O342" t="s">
        <v>1494</v>
      </c>
      <c r="P342">
        <v>32799</v>
      </c>
      <c r="Q342" s="3">
        <v>6.39</v>
      </c>
      <c r="R342" s="3">
        <f>IF(Table1[[#This Row],[Gross_millions]]=" ",0,Table1[[#This Row],[Gross_millions]])</f>
        <v>6.39</v>
      </c>
      <c r="S342" t="str">
        <f>IF(Table1[[#This Row],[Gross_millions_Clean]]&gt;200,"Blockbuster",IF(Table1[[#This Row],[Gross_millions_Clean]]&gt;100,"Hit","Average"))</f>
        <v>Average</v>
      </c>
    </row>
    <row r="343" spans="1:19" x14ac:dyDescent="0.3">
      <c r="A343" t="s">
        <v>1495</v>
      </c>
      <c r="B343" t="s">
        <v>1496</v>
      </c>
      <c r="C343">
        <v>1980</v>
      </c>
      <c r="D343" s="8">
        <f>FLOOR(Table1[[#This Row],[Year]],10)</f>
        <v>1980</v>
      </c>
      <c r="E343" t="s">
        <v>17</v>
      </c>
      <c r="F343">
        <v>115</v>
      </c>
      <c r="G343" t="str">
        <f>IF(Table1[[#This Row],[Runtime_minutes]]&lt;90,"Short",IF(Table1[[#This Row],[Runtime_minutes]]&lt;=120,"Medium","Long"))</f>
        <v>Medium</v>
      </c>
      <c r="H343" t="s">
        <v>235</v>
      </c>
      <c r="K343">
        <v>7.4</v>
      </c>
      <c r="L343">
        <v>79</v>
      </c>
      <c r="M343" t="s">
        <v>1497</v>
      </c>
      <c r="N343" t="s">
        <v>50</v>
      </c>
      <c r="O343" t="s">
        <v>1498</v>
      </c>
      <c r="P343">
        <v>111907</v>
      </c>
      <c r="Q343" s="3">
        <v>168.75</v>
      </c>
      <c r="R343" s="3">
        <f>IF(Table1[[#This Row],[Gross_millions]]=" ",0,Table1[[#This Row],[Gross_millions]])</f>
        <v>168.75</v>
      </c>
      <c r="S343" t="str">
        <f>IF(Table1[[#This Row],[Gross_millions_Clean]]&gt;200,"Blockbuster",IF(Table1[[#This Row],[Gross_millions_Clean]]&gt;100,"Hit","Average"))</f>
        <v>Hit</v>
      </c>
    </row>
    <row r="344" spans="1:19" x14ac:dyDescent="0.3">
      <c r="A344" t="s">
        <v>1499</v>
      </c>
      <c r="B344" t="s">
        <v>1500</v>
      </c>
      <c r="C344">
        <v>1987</v>
      </c>
      <c r="D344" s="8">
        <f>FLOOR(Table1[[#This Row],[Year]],10)</f>
        <v>1980</v>
      </c>
      <c r="E344" t="s">
        <v>17</v>
      </c>
      <c r="F344">
        <v>139</v>
      </c>
      <c r="G344" t="str">
        <f>IF(Table1[[#This Row],[Runtime_minutes]]&lt;90,"Short",IF(Table1[[#This Row],[Runtime_minutes]]&lt;=120,"Medium","Long"))</f>
        <v>Long</v>
      </c>
      <c r="H344" t="s">
        <v>868</v>
      </c>
      <c r="I344" t="s">
        <v>3989</v>
      </c>
      <c r="J344" t="s">
        <v>3986</v>
      </c>
      <c r="K344">
        <v>7.4</v>
      </c>
      <c r="L344">
        <v>68</v>
      </c>
      <c r="M344" t="s">
        <v>1502</v>
      </c>
      <c r="N344" t="s">
        <v>326</v>
      </c>
      <c r="O344" t="s">
        <v>1503</v>
      </c>
      <c r="P344">
        <v>279881</v>
      </c>
      <c r="Q344" s="3">
        <v>289.26</v>
      </c>
      <c r="R344" s="3">
        <f>IF(Table1[[#This Row],[Gross_millions]]=" ",0,Table1[[#This Row],[Gross_millions]])</f>
        <v>289.26</v>
      </c>
      <c r="S344" t="str">
        <f>IF(Table1[[#This Row],[Gross_millions_Clean]]&gt;200,"Blockbuster",IF(Table1[[#This Row],[Gross_millions_Clean]]&gt;100,"Hit","Average"))</f>
        <v>Blockbuster</v>
      </c>
    </row>
    <row r="345" spans="1:19" x14ac:dyDescent="0.3">
      <c r="A345" t="s">
        <v>1504</v>
      </c>
      <c r="B345" t="s">
        <v>1505</v>
      </c>
      <c r="C345">
        <v>2002</v>
      </c>
      <c r="D345" s="8">
        <f>FLOOR(Table1[[#This Row],[Year]],10)</f>
        <v>2000</v>
      </c>
      <c r="E345" t="s">
        <v>169</v>
      </c>
      <c r="F345">
        <v>155</v>
      </c>
      <c r="G345" t="str">
        <f>IF(Table1[[#This Row],[Runtime_minutes]]&lt;90,"Short",IF(Table1[[#This Row],[Runtime_minutes]]&lt;=120,"Medium","Long"))</f>
        <v>Long</v>
      </c>
      <c r="H345" t="s">
        <v>78</v>
      </c>
      <c r="K345">
        <v>7.4</v>
      </c>
      <c r="L345">
        <v>81</v>
      </c>
      <c r="M345" t="s">
        <v>412</v>
      </c>
      <c r="N345" t="s">
        <v>39</v>
      </c>
      <c r="O345" t="s">
        <v>1506</v>
      </c>
      <c r="P345">
        <v>25418</v>
      </c>
      <c r="Q345" s="3"/>
      <c r="R345" s="3">
        <f>IF(Table1[[#This Row],[Gross_millions]]=" ",0,Table1[[#This Row],[Gross_millions]])</f>
        <v>0</v>
      </c>
      <c r="S345" t="str">
        <f>IF(Table1[[#This Row],[Gross_millions_Clean]]&gt;200,"Blockbuster",IF(Table1[[#This Row],[Gross_millions_Clean]]&gt;100,"Hit","Average"))</f>
        <v>Average</v>
      </c>
    </row>
    <row r="346" spans="1:19" x14ac:dyDescent="0.3">
      <c r="A346" t="s">
        <v>1507</v>
      </c>
      <c r="B346" t="s">
        <v>1508</v>
      </c>
      <c r="C346">
        <v>2022</v>
      </c>
      <c r="D346" s="8">
        <f>FLOOR(Table1[[#This Row],[Year]],10)</f>
        <v>2020</v>
      </c>
      <c r="E346" t="s">
        <v>293</v>
      </c>
      <c r="F346">
        <v>126</v>
      </c>
      <c r="G346" t="str">
        <f>IF(Table1[[#This Row],[Runtime_minutes]]&lt;90,"Short",IF(Table1[[#This Row],[Runtime_minutes]]&lt;=120,"Medium","Long"))</f>
        <v>Long</v>
      </c>
      <c r="H346" t="s">
        <v>868</v>
      </c>
      <c r="I346" t="s">
        <v>3988</v>
      </c>
      <c r="K346">
        <v>7.4</v>
      </c>
      <c r="L346">
        <v>75</v>
      </c>
      <c r="M346" t="s">
        <v>102</v>
      </c>
      <c r="N346" t="s">
        <v>125</v>
      </c>
      <c r="O346" t="s">
        <v>1509</v>
      </c>
      <c r="P346">
        <v>111379</v>
      </c>
      <c r="Q346" s="3">
        <v>311.08</v>
      </c>
      <c r="R346" s="3">
        <f>IF(Table1[[#This Row],[Gross_millions]]=" ",0,Table1[[#This Row],[Gross_millions]])</f>
        <v>311.08</v>
      </c>
      <c r="S346" t="str">
        <f>IF(Table1[[#This Row],[Gross_millions_Clean]]&gt;200,"Blockbuster",IF(Table1[[#This Row],[Gross_millions_Clean]]&gt;100,"Hit","Average"))</f>
        <v>Blockbuster</v>
      </c>
    </row>
    <row r="347" spans="1:19" x14ac:dyDescent="0.3">
      <c r="A347" t="s">
        <v>1510</v>
      </c>
      <c r="B347" t="s">
        <v>1511</v>
      </c>
      <c r="C347">
        <v>1991</v>
      </c>
      <c r="D347" s="8">
        <f>FLOOR(Table1[[#This Row],[Year]],10)</f>
        <v>1990</v>
      </c>
      <c r="E347" t="s">
        <v>17</v>
      </c>
      <c r="F347">
        <v>100</v>
      </c>
      <c r="G347" t="str">
        <f>IF(Table1[[#This Row],[Runtime_minutes]]&lt;90,"Short",IF(Table1[[#This Row],[Runtime_minutes]]&lt;=120,"Medium","Long"))</f>
        <v>Medium</v>
      </c>
      <c r="H347" t="s">
        <v>78</v>
      </c>
      <c r="K347">
        <v>7.4</v>
      </c>
      <c r="M347" t="s">
        <v>305</v>
      </c>
      <c r="N347" t="s">
        <v>39</v>
      </c>
      <c r="O347" t="s">
        <v>1512</v>
      </c>
      <c r="P347">
        <v>292914</v>
      </c>
      <c r="Q347" s="3"/>
      <c r="R347" s="3">
        <f>IF(Table1[[#This Row],[Gross_millions]]=" ",0,Table1[[#This Row],[Gross_millions]])</f>
        <v>0</v>
      </c>
      <c r="S347" t="str">
        <f>IF(Table1[[#This Row],[Gross_millions_Clean]]&gt;200,"Blockbuster",IF(Table1[[#This Row],[Gross_millions_Clean]]&gt;100,"Hit","Average"))</f>
        <v>Average</v>
      </c>
    </row>
    <row r="348" spans="1:19" x14ac:dyDescent="0.3">
      <c r="A348" t="s">
        <v>1513</v>
      </c>
      <c r="B348" t="s">
        <v>1514</v>
      </c>
      <c r="C348">
        <v>1989</v>
      </c>
      <c r="D348" s="8">
        <f>FLOOR(Table1[[#This Row],[Year]],10)</f>
        <v>1980</v>
      </c>
      <c r="E348" t="s">
        <v>17</v>
      </c>
      <c r="F348">
        <v>114</v>
      </c>
      <c r="G348" t="str">
        <f>IF(Table1[[#This Row],[Runtime_minutes]]&lt;90,"Short",IF(Table1[[#This Row],[Runtime_minutes]]&lt;=120,"Medium","Long"))</f>
        <v>Medium</v>
      </c>
      <c r="H348" t="s">
        <v>868</v>
      </c>
      <c r="I348" t="s">
        <v>3991</v>
      </c>
      <c r="K348">
        <v>7.4</v>
      </c>
      <c r="M348" t="s">
        <v>355</v>
      </c>
      <c r="N348" t="s">
        <v>92</v>
      </c>
      <c r="O348" t="s">
        <v>1515</v>
      </c>
      <c r="P348">
        <v>342049</v>
      </c>
      <c r="Q348" s="3">
        <v>164.65</v>
      </c>
      <c r="R348" s="3">
        <f>IF(Table1[[#This Row],[Gross_millions]]=" ",0,Table1[[#This Row],[Gross_millions]])</f>
        <v>164.65</v>
      </c>
      <c r="S348" t="str">
        <f>IF(Table1[[#This Row],[Gross_millions_Clean]]&gt;200,"Blockbuster",IF(Table1[[#This Row],[Gross_millions_Clean]]&gt;100,"Hit","Average"))</f>
        <v>Hit</v>
      </c>
    </row>
    <row r="349" spans="1:19" x14ac:dyDescent="0.3">
      <c r="A349" t="s">
        <v>1516</v>
      </c>
      <c r="B349" t="s">
        <v>1517</v>
      </c>
      <c r="C349">
        <v>2000</v>
      </c>
      <c r="D349" s="8">
        <f>FLOOR(Table1[[#This Row],[Year]],10)</f>
        <v>2000</v>
      </c>
      <c r="E349" t="s">
        <v>24</v>
      </c>
      <c r="F349">
        <v>127</v>
      </c>
      <c r="G349" t="str">
        <f>IF(Table1[[#This Row],[Runtime_minutes]]&lt;90,"Short",IF(Table1[[#This Row],[Runtime_minutes]]&lt;=120,"Medium","Long"))</f>
        <v>Long</v>
      </c>
      <c r="H349" t="s">
        <v>210</v>
      </c>
      <c r="K349">
        <v>7.4</v>
      </c>
      <c r="L349">
        <v>66</v>
      </c>
      <c r="M349" t="s">
        <v>1518</v>
      </c>
      <c r="N349" t="s">
        <v>57</v>
      </c>
      <c r="O349" t="s">
        <v>1519</v>
      </c>
      <c r="P349">
        <v>29004</v>
      </c>
      <c r="Q349" s="3">
        <v>272.04000000000002</v>
      </c>
      <c r="R349" s="3">
        <f>IF(Table1[[#This Row],[Gross_millions]]=" ",0,Table1[[#This Row],[Gross_millions]])</f>
        <v>272.04000000000002</v>
      </c>
      <c r="S349" t="str">
        <f>IF(Table1[[#This Row],[Gross_millions_Clean]]&gt;200,"Blockbuster",IF(Table1[[#This Row],[Gross_millions_Clean]]&gt;100,"Hit","Average"))</f>
        <v>Blockbuster</v>
      </c>
    </row>
    <row r="350" spans="1:19" x14ac:dyDescent="0.3">
      <c r="A350" t="s">
        <v>1520</v>
      </c>
      <c r="B350" t="s">
        <v>1521</v>
      </c>
      <c r="C350">
        <v>2009</v>
      </c>
      <c r="D350" s="8">
        <f>FLOOR(Table1[[#This Row],[Year]],10)</f>
        <v>2000</v>
      </c>
      <c r="E350" t="s">
        <v>17</v>
      </c>
      <c r="F350">
        <v>135</v>
      </c>
      <c r="G350" t="str">
        <f>IF(Table1[[#This Row],[Runtime_minutes]]&lt;90,"Short",IF(Table1[[#This Row],[Runtime_minutes]]&lt;=120,"Medium","Long"))</f>
        <v>Long</v>
      </c>
      <c r="H350" t="s">
        <v>767</v>
      </c>
      <c r="I350" t="s">
        <v>3989</v>
      </c>
      <c r="K350">
        <v>7.4</v>
      </c>
      <c r="M350" t="s">
        <v>962</v>
      </c>
      <c r="N350" t="s">
        <v>159</v>
      </c>
      <c r="O350" t="s">
        <v>1522</v>
      </c>
      <c r="P350">
        <v>958297</v>
      </c>
      <c r="Q350" s="3">
        <v>393.93</v>
      </c>
      <c r="R350" s="3">
        <f>IF(Table1[[#This Row],[Gross_millions]]=" ",0,Table1[[#This Row],[Gross_millions]])</f>
        <v>393.93</v>
      </c>
      <c r="S350" t="str">
        <f>IF(Table1[[#This Row],[Gross_millions_Clean]]&gt;200,"Blockbuster",IF(Table1[[#This Row],[Gross_millions_Clean]]&gt;100,"Hit","Average"))</f>
        <v>Blockbuster</v>
      </c>
    </row>
    <row r="351" spans="1:19" x14ac:dyDescent="0.3">
      <c r="A351" t="s">
        <v>1523</v>
      </c>
      <c r="B351" t="s">
        <v>1524</v>
      </c>
      <c r="C351">
        <v>2003</v>
      </c>
      <c r="D351" s="8">
        <f>FLOOR(Table1[[#This Row],[Year]],10)</f>
        <v>2000</v>
      </c>
      <c r="E351" t="s">
        <v>17</v>
      </c>
      <c r="F351">
        <v>116</v>
      </c>
      <c r="G351" t="str">
        <f>IF(Table1[[#This Row],[Runtime_minutes]]&lt;90,"Short",IF(Table1[[#This Row],[Runtime_minutes]]&lt;=120,"Medium","Long"))</f>
        <v>Medium</v>
      </c>
      <c r="H351" t="s">
        <v>55</v>
      </c>
      <c r="I351" t="s">
        <v>3989</v>
      </c>
      <c r="J351" t="s">
        <v>3979</v>
      </c>
      <c r="K351">
        <v>7.4</v>
      </c>
      <c r="L351">
        <v>79</v>
      </c>
      <c r="M351" t="s">
        <v>852</v>
      </c>
      <c r="N351" t="s">
        <v>92</v>
      </c>
      <c r="O351" t="s">
        <v>1526</v>
      </c>
      <c r="P351">
        <v>69362</v>
      </c>
      <c r="Q351" s="3">
        <v>392.36</v>
      </c>
      <c r="R351" s="3">
        <f>IF(Table1[[#This Row],[Gross_millions]]=" ",0,Table1[[#This Row],[Gross_millions]])</f>
        <v>392.36</v>
      </c>
      <c r="S351" t="str">
        <f>IF(Table1[[#This Row],[Gross_millions_Clean]]&gt;200,"Blockbuster",IF(Table1[[#This Row],[Gross_millions_Clean]]&gt;100,"Hit","Average"))</f>
        <v>Blockbuster</v>
      </c>
    </row>
    <row r="352" spans="1:19" x14ac:dyDescent="0.3">
      <c r="A352" t="s">
        <v>1527</v>
      </c>
      <c r="B352" t="s">
        <v>1528</v>
      </c>
      <c r="C352">
        <v>1949</v>
      </c>
      <c r="D352" s="8">
        <f>FLOOR(Table1[[#This Row],[Year]],10)</f>
        <v>1940</v>
      </c>
      <c r="E352" t="s">
        <v>17</v>
      </c>
      <c r="F352">
        <v>121</v>
      </c>
      <c r="G352" t="str">
        <f>IF(Table1[[#This Row],[Runtime_minutes]]&lt;90,"Short",IF(Table1[[#This Row],[Runtime_minutes]]&lt;=120,"Medium","Long"))</f>
        <v>Long</v>
      </c>
      <c r="H352" t="s">
        <v>375</v>
      </c>
      <c r="I352" t="s">
        <v>3979</v>
      </c>
      <c r="J352" t="s">
        <v>3986</v>
      </c>
      <c r="K352">
        <v>7.4</v>
      </c>
      <c r="M352" t="s">
        <v>1530</v>
      </c>
      <c r="N352" t="s">
        <v>27</v>
      </c>
      <c r="O352" t="s">
        <v>1531</v>
      </c>
      <c r="P352">
        <v>25839</v>
      </c>
      <c r="Q352" s="3"/>
      <c r="R352" s="3">
        <f>IF(Table1[[#This Row],[Gross_millions]]=" ",0,Table1[[#This Row],[Gross_millions]])</f>
        <v>0</v>
      </c>
      <c r="S352" t="str">
        <f>IF(Table1[[#This Row],[Gross_millions_Clean]]&gt;200,"Blockbuster",IF(Table1[[#This Row],[Gross_millions_Clean]]&gt;100,"Hit","Average"))</f>
        <v>Average</v>
      </c>
    </row>
    <row r="353" spans="1:19" x14ac:dyDescent="0.3">
      <c r="A353" t="s">
        <v>1532</v>
      </c>
      <c r="B353" t="s">
        <v>1533</v>
      </c>
      <c r="C353">
        <v>1942</v>
      </c>
      <c r="D353" s="8">
        <f>FLOOR(Table1[[#This Row],[Year]],10)</f>
        <v>1940</v>
      </c>
      <c r="E353" t="s">
        <v>293</v>
      </c>
      <c r="F353">
        <v>124</v>
      </c>
      <c r="G353" t="str">
        <f>IF(Table1[[#This Row],[Runtime_minutes]]&lt;90,"Short",IF(Table1[[#This Row],[Runtime_minutes]]&lt;=120,"Medium","Long"))</f>
        <v>Long</v>
      </c>
      <c r="H353" t="s">
        <v>453</v>
      </c>
      <c r="I353" t="s">
        <v>3984</v>
      </c>
      <c r="K353">
        <v>7.4</v>
      </c>
      <c r="L353">
        <v>79</v>
      </c>
      <c r="M353" t="s">
        <v>435</v>
      </c>
      <c r="N353" t="s">
        <v>196</v>
      </c>
      <c r="O353" t="s">
        <v>1534</v>
      </c>
      <c r="P353">
        <v>4899</v>
      </c>
      <c r="Q353" s="3"/>
      <c r="R353" s="3">
        <f>IF(Table1[[#This Row],[Gross_millions]]=" ",0,Table1[[#This Row],[Gross_millions]])</f>
        <v>0</v>
      </c>
      <c r="S353" t="str">
        <f>IF(Table1[[#This Row],[Gross_millions_Clean]]&gt;200,"Blockbuster",IF(Table1[[#This Row],[Gross_millions_Clean]]&gt;100,"Hit","Average"))</f>
        <v>Average</v>
      </c>
    </row>
    <row r="354" spans="1:19" x14ac:dyDescent="0.3">
      <c r="A354" t="s">
        <v>1535</v>
      </c>
      <c r="B354" t="s">
        <v>1536</v>
      </c>
      <c r="C354">
        <v>2007</v>
      </c>
      <c r="D354" s="8">
        <f>FLOOR(Table1[[#This Row],[Year]],10)</f>
        <v>2000</v>
      </c>
      <c r="E354" t="s">
        <v>17</v>
      </c>
      <c r="F354">
        <v>139</v>
      </c>
      <c r="G354" t="str">
        <f>IF(Table1[[#This Row],[Runtime_minutes]]&lt;90,"Short",IF(Table1[[#This Row],[Runtime_minutes]]&lt;=120,"Medium","Long"))</f>
        <v>Long</v>
      </c>
      <c r="H354" t="s">
        <v>767</v>
      </c>
      <c r="I354" t="s">
        <v>3979</v>
      </c>
      <c r="K354">
        <v>7.3</v>
      </c>
      <c r="M354" t="s">
        <v>85</v>
      </c>
      <c r="N354" t="s">
        <v>86</v>
      </c>
      <c r="O354" t="s">
        <v>1537</v>
      </c>
      <c r="P354">
        <v>79568</v>
      </c>
      <c r="Q354" s="3">
        <v>79.400000000000006</v>
      </c>
      <c r="R354" s="3">
        <f>IF(Table1[[#This Row],[Gross_millions]]=" ",0,Table1[[#This Row],[Gross_millions]])</f>
        <v>79.400000000000006</v>
      </c>
      <c r="S354" t="str">
        <f>IF(Table1[[#This Row],[Gross_millions_Clean]]&gt;200,"Blockbuster",IF(Table1[[#This Row],[Gross_millions_Clean]]&gt;100,"Hit","Average"))</f>
        <v>Average</v>
      </c>
    </row>
    <row r="355" spans="1:19" x14ac:dyDescent="0.3">
      <c r="A355" t="s">
        <v>1538</v>
      </c>
      <c r="B355" t="s">
        <v>1539</v>
      </c>
      <c r="C355">
        <v>2015</v>
      </c>
      <c r="D355" s="8">
        <f>FLOOR(Table1[[#This Row],[Year]],10)</f>
        <v>2010</v>
      </c>
      <c r="E355" t="s">
        <v>24</v>
      </c>
      <c r="F355">
        <v>95</v>
      </c>
      <c r="G355" t="str">
        <f>IF(Table1[[#This Row],[Runtime_minutes]]&lt;90,"Short",IF(Table1[[#This Row],[Runtime_minutes]]&lt;=120,"Medium","Long"))</f>
        <v>Medium</v>
      </c>
      <c r="H355" t="s">
        <v>37</v>
      </c>
      <c r="K355">
        <v>7.3</v>
      </c>
      <c r="L355">
        <v>71</v>
      </c>
      <c r="M355" t="s">
        <v>1540</v>
      </c>
      <c r="N355" t="s">
        <v>191</v>
      </c>
      <c r="O355" t="s">
        <v>1541</v>
      </c>
      <c r="P355">
        <v>171400</v>
      </c>
      <c r="Q355" s="3">
        <v>257.45999999999998</v>
      </c>
      <c r="R355" s="3">
        <f>IF(Table1[[#This Row],[Gross_millions]]=" ",0,Table1[[#This Row],[Gross_millions]])</f>
        <v>257.45999999999998</v>
      </c>
      <c r="S355" t="str">
        <f>IF(Table1[[#This Row],[Gross_millions_Clean]]&gt;200,"Blockbuster",IF(Table1[[#This Row],[Gross_millions_Clean]]&gt;100,"Hit","Average"))</f>
        <v>Blockbuster</v>
      </c>
    </row>
    <row r="356" spans="1:19" x14ac:dyDescent="0.3">
      <c r="A356" t="s">
        <v>1542</v>
      </c>
      <c r="B356" t="s">
        <v>1543</v>
      </c>
      <c r="C356">
        <v>2014</v>
      </c>
      <c r="D356" s="8">
        <f>FLOOR(Table1[[#This Row],[Year]],10)</f>
        <v>2010</v>
      </c>
      <c r="E356" t="s">
        <v>54</v>
      </c>
      <c r="F356">
        <v>131</v>
      </c>
      <c r="G356" t="str">
        <f>IF(Table1[[#This Row],[Runtime_minutes]]&lt;90,"Short",IF(Table1[[#This Row],[Runtime_minutes]]&lt;=120,"Medium","Long"))</f>
        <v>Long</v>
      </c>
      <c r="H356" t="s">
        <v>37</v>
      </c>
      <c r="I356" t="s">
        <v>3991</v>
      </c>
      <c r="J356" t="s">
        <v>3979</v>
      </c>
      <c r="K356">
        <v>7.3</v>
      </c>
      <c r="L356">
        <v>69</v>
      </c>
      <c r="M356" t="s">
        <v>38</v>
      </c>
      <c r="N356" t="s">
        <v>608</v>
      </c>
      <c r="O356" t="s">
        <v>1545</v>
      </c>
      <c r="P356">
        <v>215372</v>
      </c>
      <c r="Q356" s="3">
        <v>375.78</v>
      </c>
      <c r="R356" s="3">
        <f>IF(Table1[[#This Row],[Gross_millions]]=" ",0,Table1[[#This Row],[Gross_millions]])</f>
        <v>375.78</v>
      </c>
      <c r="S356" t="str">
        <f>IF(Table1[[#This Row],[Gross_millions_Clean]]&gt;200,"Blockbuster",IF(Table1[[#This Row],[Gross_millions_Clean]]&gt;100,"Hit","Average"))</f>
        <v>Blockbuster</v>
      </c>
    </row>
    <row r="357" spans="1:19" x14ac:dyDescent="0.3">
      <c r="A357" t="s">
        <v>1546</v>
      </c>
      <c r="B357" t="s">
        <v>1547</v>
      </c>
      <c r="C357">
        <v>2000</v>
      </c>
      <c r="D357" s="8">
        <f>FLOOR(Table1[[#This Row],[Year]],10)</f>
        <v>2000</v>
      </c>
      <c r="E357" t="s">
        <v>17</v>
      </c>
      <c r="F357">
        <v>156</v>
      </c>
      <c r="G357" t="str">
        <f>IF(Table1[[#This Row],[Runtime_minutes]]&lt;90,"Short",IF(Table1[[#This Row],[Runtime_minutes]]&lt;=120,"Medium","Long"))</f>
        <v>Long</v>
      </c>
      <c r="H357" t="s">
        <v>235</v>
      </c>
      <c r="I357" t="s">
        <v>3990</v>
      </c>
      <c r="K357">
        <v>7.3</v>
      </c>
      <c r="L357">
        <v>80</v>
      </c>
      <c r="M357" t="s">
        <v>338</v>
      </c>
      <c r="N357" t="s">
        <v>27</v>
      </c>
      <c r="O357" t="s">
        <v>1549</v>
      </c>
      <c r="P357">
        <v>34928</v>
      </c>
      <c r="Q357" s="3">
        <v>94.93</v>
      </c>
      <c r="R357" s="3">
        <f>IF(Table1[[#This Row],[Gross_millions]]=" ",0,Table1[[#This Row],[Gross_millions]])</f>
        <v>94.93</v>
      </c>
      <c r="S357" t="str">
        <f>IF(Table1[[#This Row],[Gross_millions_Clean]]&gt;200,"Blockbuster",IF(Table1[[#This Row],[Gross_millions_Clean]]&gt;100,"Hit","Average"))</f>
        <v>Average</v>
      </c>
    </row>
    <row r="358" spans="1:19" x14ac:dyDescent="0.3">
      <c r="A358" t="s">
        <v>1550</v>
      </c>
      <c r="B358" t="s">
        <v>1551</v>
      </c>
      <c r="C358">
        <v>2004</v>
      </c>
      <c r="D358" s="8">
        <f>FLOOR(Table1[[#This Row],[Year]],10)</f>
        <v>2000</v>
      </c>
      <c r="E358" t="s">
        <v>54</v>
      </c>
      <c r="F358">
        <v>132</v>
      </c>
      <c r="G358" t="str">
        <f>IF(Table1[[#This Row],[Runtime_minutes]]&lt;90,"Short",IF(Table1[[#This Row],[Runtime_minutes]]&lt;=120,"Medium","Long"))</f>
        <v>Long</v>
      </c>
      <c r="H358" t="s">
        <v>235</v>
      </c>
      <c r="K358">
        <v>7.3</v>
      </c>
      <c r="L358">
        <v>83</v>
      </c>
      <c r="M358" t="s">
        <v>1552</v>
      </c>
      <c r="N358" t="s">
        <v>315</v>
      </c>
      <c r="O358" t="s">
        <v>1553</v>
      </c>
      <c r="P358">
        <v>302903</v>
      </c>
      <c r="Q358" s="3">
        <v>437.64</v>
      </c>
      <c r="R358" s="3">
        <f>IF(Table1[[#This Row],[Gross_millions]]=" ",0,Table1[[#This Row],[Gross_millions]])</f>
        <v>437.64</v>
      </c>
      <c r="S358" t="str">
        <f>IF(Table1[[#This Row],[Gross_millions_Clean]]&gt;200,"Blockbuster",IF(Table1[[#This Row],[Gross_millions_Clean]]&gt;100,"Hit","Average"))</f>
        <v>Blockbuster</v>
      </c>
    </row>
    <row r="359" spans="1:19" x14ac:dyDescent="0.3">
      <c r="A359" t="s">
        <v>1554</v>
      </c>
      <c r="B359" t="s">
        <v>1555</v>
      </c>
      <c r="C359">
        <v>2016</v>
      </c>
      <c r="D359" s="8">
        <f>FLOOR(Table1[[#This Row],[Year]],10)</f>
        <v>2010</v>
      </c>
      <c r="E359" t="s">
        <v>54</v>
      </c>
      <c r="F359">
        <v>111</v>
      </c>
      <c r="G359" t="str">
        <f>IF(Table1[[#This Row],[Runtime_minutes]]&lt;90,"Short",IF(Table1[[#This Row],[Runtime_minutes]]&lt;=120,"Medium","Long"))</f>
        <v>Medium</v>
      </c>
      <c r="H359" t="s">
        <v>72</v>
      </c>
      <c r="K359">
        <v>7.3</v>
      </c>
      <c r="M359" t="s">
        <v>1556</v>
      </c>
      <c r="N359" t="s">
        <v>153</v>
      </c>
      <c r="O359" t="s">
        <v>1557</v>
      </c>
      <c r="P359">
        <v>40565</v>
      </c>
      <c r="Q359" s="3">
        <v>206.1</v>
      </c>
      <c r="R359" s="3">
        <f>IF(Table1[[#This Row],[Gross_millions]]=" ",0,Table1[[#This Row],[Gross_millions]])</f>
        <v>206.1</v>
      </c>
      <c r="S359" t="str">
        <f>IF(Table1[[#This Row],[Gross_millions_Clean]]&gt;200,"Blockbuster",IF(Table1[[#This Row],[Gross_millions_Clean]]&gt;100,"Hit","Average"))</f>
        <v>Blockbuster</v>
      </c>
    </row>
    <row r="360" spans="1:19" x14ac:dyDescent="0.3">
      <c r="A360" t="s">
        <v>1558</v>
      </c>
      <c r="B360" t="s">
        <v>1559</v>
      </c>
      <c r="C360">
        <v>2022</v>
      </c>
      <c r="D360" s="8">
        <f>FLOOR(Table1[[#This Row],[Year]],10)</f>
        <v>2020</v>
      </c>
      <c r="E360" t="s">
        <v>24</v>
      </c>
      <c r="F360">
        <v>134</v>
      </c>
      <c r="G360" t="str">
        <f>IF(Table1[[#This Row],[Runtime_minutes]]&lt;90,"Short",IF(Table1[[#This Row],[Runtime_minutes]]&lt;=120,"Medium","Long"))</f>
        <v>Long</v>
      </c>
      <c r="H360" t="s">
        <v>375</v>
      </c>
      <c r="I360" t="s">
        <v>3979</v>
      </c>
      <c r="K360">
        <v>7.3</v>
      </c>
      <c r="L360">
        <v>75</v>
      </c>
      <c r="M360" t="s">
        <v>422</v>
      </c>
      <c r="N360" t="s">
        <v>368</v>
      </c>
      <c r="O360" t="s">
        <v>1561</v>
      </c>
      <c r="P360">
        <v>22874</v>
      </c>
      <c r="Q360" s="3"/>
      <c r="R360" s="3">
        <f>IF(Table1[[#This Row],[Gross_millions]]=" ",0,Table1[[#This Row],[Gross_millions]])</f>
        <v>0</v>
      </c>
      <c r="S360" t="str">
        <f>IF(Table1[[#This Row],[Gross_millions_Clean]]&gt;200,"Blockbuster",IF(Table1[[#This Row],[Gross_millions_Clean]]&gt;100,"Hit","Average"))</f>
        <v>Average</v>
      </c>
    </row>
    <row r="361" spans="1:19" x14ac:dyDescent="0.3">
      <c r="A361" t="s">
        <v>1562</v>
      </c>
      <c r="B361" t="s">
        <v>1563</v>
      </c>
      <c r="C361">
        <v>2000</v>
      </c>
      <c r="D361" s="8">
        <f>FLOOR(Table1[[#This Row],[Year]],10)</f>
        <v>2000</v>
      </c>
      <c r="E361" t="s">
        <v>169</v>
      </c>
      <c r="F361">
        <v>122</v>
      </c>
      <c r="G361" t="str">
        <f>IF(Table1[[#This Row],[Runtime_minutes]]&lt;90,"Short",IF(Table1[[#This Row],[Runtime_minutes]]&lt;=120,"Medium","Long"))</f>
        <v>Long</v>
      </c>
      <c r="H361" t="s">
        <v>375</v>
      </c>
      <c r="K361">
        <v>7.3</v>
      </c>
      <c r="L361">
        <v>59</v>
      </c>
      <c r="M361" t="s">
        <v>381</v>
      </c>
      <c r="N361" t="s">
        <v>86</v>
      </c>
      <c r="O361" t="s">
        <v>1564</v>
      </c>
      <c r="P361">
        <v>174106</v>
      </c>
      <c r="Q361" s="3">
        <v>124.01</v>
      </c>
      <c r="R361" s="3">
        <f>IF(Table1[[#This Row],[Gross_millions]]=" ",0,Table1[[#This Row],[Gross_millions]])</f>
        <v>124.01</v>
      </c>
      <c r="S361" t="str">
        <f>IF(Table1[[#This Row],[Gross_millions_Clean]]&gt;200,"Blockbuster",IF(Table1[[#This Row],[Gross_millions_Clean]]&gt;100,"Hit","Average"))</f>
        <v>Hit</v>
      </c>
    </row>
    <row r="362" spans="1:19" x14ac:dyDescent="0.3">
      <c r="A362" t="s">
        <v>1565</v>
      </c>
      <c r="B362" t="s">
        <v>1566</v>
      </c>
      <c r="C362">
        <v>2005</v>
      </c>
      <c r="D362" s="8">
        <f>FLOOR(Table1[[#This Row],[Year]],10)</f>
        <v>2000</v>
      </c>
      <c r="E362" t="s">
        <v>54</v>
      </c>
      <c r="F362">
        <v>126</v>
      </c>
      <c r="G362" t="str">
        <f>IF(Table1[[#This Row],[Runtime_minutes]]&lt;90,"Short",IF(Table1[[#This Row],[Runtime_minutes]]&lt;=120,"Medium","Long"))</f>
        <v>Long</v>
      </c>
      <c r="H362" t="s">
        <v>72</v>
      </c>
      <c r="I362" t="s">
        <v>3992</v>
      </c>
      <c r="K362">
        <v>7.3</v>
      </c>
      <c r="L362">
        <v>87</v>
      </c>
      <c r="M362" t="s">
        <v>491</v>
      </c>
      <c r="N362" t="s">
        <v>191</v>
      </c>
      <c r="O362" t="s">
        <v>1568</v>
      </c>
      <c r="P362">
        <v>255832</v>
      </c>
      <c r="Q362" s="3">
        <v>190.34</v>
      </c>
      <c r="R362" s="3">
        <f>IF(Table1[[#This Row],[Gross_millions]]=" ",0,Table1[[#This Row],[Gross_millions]])</f>
        <v>190.34</v>
      </c>
      <c r="S362" t="str">
        <f>IF(Table1[[#This Row],[Gross_millions_Clean]]&gt;200,"Blockbuster",IF(Table1[[#This Row],[Gross_millions_Clean]]&gt;100,"Hit","Average"))</f>
        <v>Hit</v>
      </c>
    </row>
    <row r="363" spans="1:19" x14ac:dyDescent="0.3">
      <c r="A363" t="s">
        <v>1569</v>
      </c>
      <c r="B363" t="s">
        <v>1570</v>
      </c>
      <c r="C363">
        <v>2014</v>
      </c>
      <c r="D363" s="8">
        <f>FLOOR(Table1[[#This Row],[Year]],10)</f>
        <v>2010</v>
      </c>
      <c r="E363" t="s">
        <v>24</v>
      </c>
      <c r="F363">
        <v>128</v>
      </c>
      <c r="G363" t="str">
        <f>IF(Table1[[#This Row],[Runtime_minutes]]&lt;90,"Short",IF(Table1[[#This Row],[Runtime_minutes]]&lt;=120,"Medium","Long"))</f>
        <v>Long</v>
      </c>
      <c r="H363" t="s">
        <v>235</v>
      </c>
      <c r="I363" t="s">
        <v>3986</v>
      </c>
      <c r="K363">
        <v>7.3</v>
      </c>
      <c r="L363">
        <v>64</v>
      </c>
      <c r="M363" t="s">
        <v>201</v>
      </c>
      <c r="N363" t="s">
        <v>103</v>
      </c>
      <c r="O363" t="s">
        <v>1572</v>
      </c>
      <c r="P363">
        <v>1309054</v>
      </c>
      <c r="Q363" s="3">
        <v>350.03</v>
      </c>
      <c r="R363" s="3">
        <f>IF(Table1[[#This Row],[Gross_millions]]=" ",0,Table1[[#This Row],[Gross_millions]])</f>
        <v>350.03</v>
      </c>
      <c r="S363" t="str">
        <f>IF(Table1[[#This Row],[Gross_millions_Clean]]&gt;200,"Blockbuster",IF(Table1[[#This Row],[Gross_millions_Clean]]&gt;100,"Hit","Average"))</f>
        <v>Blockbuster</v>
      </c>
    </row>
    <row r="364" spans="1:19" x14ac:dyDescent="0.3">
      <c r="A364" t="s">
        <v>1573</v>
      </c>
      <c r="B364" t="s">
        <v>1574</v>
      </c>
      <c r="C364">
        <v>2015</v>
      </c>
      <c r="D364" s="8">
        <f>FLOOR(Table1[[#This Row],[Year]],10)</f>
        <v>2010</v>
      </c>
      <c r="E364" t="s">
        <v>17</v>
      </c>
      <c r="F364">
        <v>130</v>
      </c>
      <c r="G364" t="str">
        <f>IF(Table1[[#This Row],[Runtime_minutes]]&lt;90,"Short",IF(Table1[[#This Row],[Runtime_minutes]]&lt;=120,"Medium","Long"))</f>
        <v>Long</v>
      </c>
      <c r="H364" t="s">
        <v>210</v>
      </c>
      <c r="I364" t="s">
        <v>3981</v>
      </c>
      <c r="K364">
        <v>7.3</v>
      </c>
      <c r="M364" t="s">
        <v>19</v>
      </c>
      <c r="N364" t="s">
        <v>608</v>
      </c>
      <c r="O364" t="s">
        <v>1576</v>
      </c>
      <c r="P364">
        <v>40846</v>
      </c>
      <c r="Q364" s="3"/>
      <c r="R364" s="3">
        <f>IF(Table1[[#This Row],[Gross_millions]]=" ",0,Table1[[#This Row],[Gross_millions]])</f>
        <v>0</v>
      </c>
      <c r="S364" t="str">
        <f>IF(Table1[[#This Row],[Gross_millions_Clean]]&gt;200,"Blockbuster",IF(Table1[[#This Row],[Gross_millions_Clean]]&gt;100,"Hit","Average"))</f>
        <v>Average</v>
      </c>
    </row>
    <row r="365" spans="1:19" x14ac:dyDescent="0.3">
      <c r="A365" t="s">
        <v>1577</v>
      </c>
      <c r="B365" t="s">
        <v>1578</v>
      </c>
      <c r="C365">
        <v>2019</v>
      </c>
      <c r="D365" s="8">
        <f>FLOOR(Table1[[#This Row],[Year]],10)</f>
        <v>2010</v>
      </c>
      <c r="E365" t="s">
        <v>17</v>
      </c>
      <c r="F365">
        <v>120</v>
      </c>
      <c r="G365" t="str">
        <f>IF(Table1[[#This Row],[Runtime_minutes]]&lt;90,"Short",IF(Table1[[#This Row],[Runtime_minutes]]&lt;=120,"Medium","Long"))</f>
        <v>Medium</v>
      </c>
      <c r="H365" t="s">
        <v>453</v>
      </c>
      <c r="I365" t="s">
        <v>3982</v>
      </c>
      <c r="K365">
        <v>7.3</v>
      </c>
      <c r="L365">
        <v>71</v>
      </c>
      <c r="M365" t="s">
        <v>435</v>
      </c>
      <c r="N365" t="s">
        <v>92</v>
      </c>
      <c r="O365" t="s">
        <v>1579</v>
      </c>
      <c r="P365">
        <v>1347</v>
      </c>
      <c r="Q365" s="3">
        <v>385.4</v>
      </c>
      <c r="R365" s="3">
        <f>IF(Table1[[#This Row],[Gross_millions]]=" ",0,Table1[[#This Row],[Gross_millions]])</f>
        <v>385.4</v>
      </c>
      <c r="S365" t="str">
        <f>IF(Table1[[#This Row],[Gross_millions_Clean]]&gt;200,"Blockbuster",IF(Table1[[#This Row],[Gross_millions_Clean]]&gt;100,"Hit","Average"))</f>
        <v>Blockbuster</v>
      </c>
    </row>
    <row r="366" spans="1:19" x14ac:dyDescent="0.3">
      <c r="A366" t="s">
        <v>1580</v>
      </c>
      <c r="B366" t="s">
        <v>1581</v>
      </c>
      <c r="C366">
        <v>2010</v>
      </c>
      <c r="D366" s="8">
        <f>FLOOR(Table1[[#This Row],[Year]],10)</f>
        <v>2010</v>
      </c>
      <c r="E366" t="s">
        <v>54</v>
      </c>
      <c r="F366">
        <v>120</v>
      </c>
      <c r="G366" t="str">
        <f>IF(Table1[[#This Row],[Runtime_minutes]]&lt;90,"Short",IF(Table1[[#This Row],[Runtime_minutes]]&lt;=120,"Medium","Long"))</f>
        <v>Medium</v>
      </c>
      <c r="H366" t="s">
        <v>78</v>
      </c>
      <c r="I366" t="s">
        <v>3986</v>
      </c>
      <c r="J366" t="s">
        <v>3976</v>
      </c>
      <c r="K366">
        <v>7.3</v>
      </c>
      <c r="L366">
        <v>62</v>
      </c>
      <c r="M366" t="s">
        <v>305</v>
      </c>
      <c r="N366" t="s">
        <v>251</v>
      </c>
      <c r="O366" t="s">
        <v>1583</v>
      </c>
      <c r="P366">
        <v>10186</v>
      </c>
      <c r="Q366" s="3">
        <v>195.21</v>
      </c>
      <c r="R366" s="3">
        <f>IF(Table1[[#This Row],[Gross_millions]]=" ",0,Table1[[#This Row],[Gross_millions]])</f>
        <v>195.21</v>
      </c>
      <c r="S366" t="str">
        <f>IF(Table1[[#This Row],[Gross_millions_Clean]]&gt;200,"Blockbuster",IF(Table1[[#This Row],[Gross_millions_Clean]]&gt;100,"Hit","Average"))</f>
        <v>Hit</v>
      </c>
    </row>
    <row r="367" spans="1:19" x14ac:dyDescent="0.3">
      <c r="A367" t="s">
        <v>1584</v>
      </c>
      <c r="B367" t="s">
        <v>1585</v>
      </c>
      <c r="C367">
        <v>2021</v>
      </c>
      <c r="D367" s="8">
        <f>FLOOR(Table1[[#This Row],[Year]],10)</f>
        <v>2020</v>
      </c>
      <c r="E367" t="s">
        <v>24</v>
      </c>
      <c r="F367">
        <v>114</v>
      </c>
      <c r="G367" t="str">
        <f>IF(Table1[[#This Row],[Runtime_minutes]]&lt;90,"Short",IF(Table1[[#This Row],[Runtime_minutes]]&lt;=120,"Medium","Long"))</f>
        <v>Medium</v>
      </c>
      <c r="H367" t="s">
        <v>235</v>
      </c>
      <c r="I367" t="s">
        <v>3978</v>
      </c>
      <c r="K367">
        <v>7.3</v>
      </c>
      <c r="L367">
        <v>77</v>
      </c>
      <c r="M367" t="s">
        <v>1587</v>
      </c>
      <c r="N367" t="s">
        <v>113</v>
      </c>
      <c r="O367" t="s">
        <v>1588</v>
      </c>
      <c r="P367">
        <v>29367</v>
      </c>
      <c r="Q367" s="3">
        <v>81.069999999999993</v>
      </c>
      <c r="R367" s="3">
        <f>IF(Table1[[#This Row],[Gross_millions]]=" ",0,Table1[[#This Row],[Gross_millions]])</f>
        <v>81.069999999999993</v>
      </c>
      <c r="S367" t="str">
        <f>IF(Table1[[#This Row],[Gross_millions_Clean]]&gt;200,"Blockbuster",IF(Table1[[#This Row],[Gross_millions_Clean]]&gt;100,"Hit","Average"))</f>
        <v>Average</v>
      </c>
    </row>
    <row r="368" spans="1:19" x14ac:dyDescent="0.3">
      <c r="A368" t="s">
        <v>1589</v>
      </c>
      <c r="B368" t="s">
        <v>1590</v>
      </c>
      <c r="C368">
        <v>2002</v>
      </c>
      <c r="D368" s="8">
        <f>FLOOR(Table1[[#This Row],[Year]],10)</f>
        <v>2000</v>
      </c>
      <c r="E368" t="s">
        <v>17</v>
      </c>
      <c r="F368">
        <v>136</v>
      </c>
      <c r="G368" t="str">
        <f>IF(Table1[[#This Row],[Runtime_minutes]]&lt;90,"Short",IF(Table1[[#This Row],[Runtime_minutes]]&lt;=120,"Medium","Long"))</f>
        <v>Long</v>
      </c>
      <c r="H368" t="s">
        <v>48</v>
      </c>
      <c r="I368" t="s">
        <v>3977</v>
      </c>
      <c r="J368" t="s">
        <v>3991</v>
      </c>
      <c r="K368">
        <v>7.3</v>
      </c>
      <c r="M368" t="s">
        <v>566</v>
      </c>
      <c r="N368" t="s">
        <v>315</v>
      </c>
      <c r="O368" t="s">
        <v>1592</v>
      </c>
      <c r="P368">
        <v>41839</v>
      </c>
      <c r="Q368" s="3">
        <v>423.87</v>
      </c>
      <c r="R368" s="3">
        <f>IF(Table1[[#This Row],[Gross_millions]]=" ",0,Table1[[#This Row],[Gross_millions]])</f>
        <v>423.87</v>
      </c>
      <c r="S368" t="str">
        <f>IF(Table1[[#This Row],[Gross_millions_Clean]]&gt;200,"Blockbuster",IF(Table1[[#This Row],[Gross_millions_Clean]]&gt;100,"Hit","Average"))</f>
        <v>Blockbuster</v>
      </c>
    </row>
    <row r="369" spans="1:19" x14ac:dyDescent="0.3">
      <c r="A369" t="s">
        <v>1593</v>
      </c>
      <c r="B369" t="s">
        <v>1594</v>
      </c>
      <c r="C369">
        <v>2012</v>
      </c>
      <c r="D369" s="8">
        <f>FLOOR(Table1[[#This Row],[Year]],10)</f>
        <v>2010</v>
      </c>
      <c r="E369" t="s">
        <v>17</v>
      </c>
      <c r="F369">
        <v>108</v>
      </c>
      <c r="G369" t="str">
        <f>IF(Table1[[#This Row],[Runtime_minutes]]&lt;90,"Short",IF(Table1[[#This Row],[Runtime_minutes]]&lt;=120,"Medium","Long"))</f>
        <v>Medium</v>
      </c>
      <c r="H369" t="s">
        <v>277</v>
      </c>
      <c r="I369" t="s">
        <v>3984</v>
      </c>
      <c r="K369">
        <v>7.3</v>
      </c>
      <c r="L369">
        <v>86</v>
      </c>
      <c r="M369" t="s">
        <v>278</v>
      </c>
      <c r="N369" t="s">
        <v>153</v>
      </c>
      <c r="O369" t="s">
        <v>1596</v>
      </c>
      <c r="P369">
        <v>732967</v>
      </c>
      <c r="Q369" s="3"/>
      <c r="R369" s="3">
        <f>IF(Table1[[#This Row],[Gross_millions]]=" ",0,Table1[[#This Row],[Gross_millions]])</f>
        <v>0</v>
      </c>
      <c r="S369" t="str">
        <f>IF(Table1[[#This Row],[Gross_millions_Clean]]&gt;200,"Blockbuster",IF(Table1[[#This Row],[Gross_millions_Clean]]&gt;100,"Hit","Average"))</f>
        <v>Average</v>
      </c>
    </row>
    <row r="370" spans="1:19" x14ac:dyDescent="0.3">
      <c r="A370" t="s">
        <v>1597</v>
      </c>
      <c r="B370" t="s">
        <v>1598</v>
      </c>
      <c r="C370">
        <v>2005</v>
      </c>
      <c r="D370" s="8">
        <f>FLOOR(Table1[[#This Row],[Year]],10)</f>
        <v>2000</v>
      </c>
      <c r="E370" t="s">
        <v>17</v>
      </c>
      <c r="F370">
        <v>137</v>
      </c>
      <c r="G370" t="str">
        <f>IF(Table1[[#This Row],[Runtime_minutes]]&lt;90,"Short",IF(Table1[[#This Row],[Runtime_minutes]]&lt;=120,"Medium","Long"))</f>
        <v>Long</v>
      </c>
      <c r="H370" t="s">
        <v>1044</v>
      </c>
      <c r="I370" t="s">
        <v>3983</v>
      </c>
      <c r="K370">
        <v>7.3</v>
      </c>
      <c r="L370">
        <v>65</v>
      </c>
      <c r="M370" t="s">
        <v>164</v>
      </c>
      <c r="N370" t="s">
        <v>547</v>
      </c>
      <c r="O370" t="s">
        <v>1599</v>
      </c>
      <c r="P370">
        <v>126880</v>
      </c>
      <c r="Q370" s="3"/>
      <c r="R370" s="3">
        <f>IF(Table1[[#This Row],[Gross_millions]]=" ",0,Table1[[#This Row],[Gross_millions]])</f>
        <v>0</v>
      </c>
      <c r="S370" t="str">
        <f>IF(Table1[[#This Row],[Gross_millions_Clean]]&gt;200,"Blockbuster",IF(Table1[[#This Row],[Gross_millions_Clean]]&gt;100,"Hit","Average"))</f>
        <v>Average</v>
      </c>
    </row>
    <row r="371" spans="1:19" x14ac:dyDescent="0.3">
      <c r="A371" t="s">
        <v>1600</v>
      </c>
      <c r="B371" t="s">
        <v>1601</v>
      </c>
      <c r="C371">
        <v>2006</v>
      </c>
      <c r="D371" s="8">
        <f>FLOOR(Table1[[#This Row],[Year]],10)</f>
        <v>2000</v>
      </c>
      <c r="E371" t="s">
        <v>54</v>
      </c>
      <c r="F371">
        <v>109</v>
      </c>
      <c r="G371" t="str">
        <f>IF(Table1[[#This Row],[Runtime_minutes]]&lt;90,"Short",IF(Table1[[#This Row],[Runtime_minutes]]&lt;=120,"Medium","Long"))</f>
        <v>Medium</v>
      </c>
      <c r="H371" t="s">
        <v>210</v>
      </c>
      <c r="K371">
        <v>7.3</v>
      </c>
      <c r="L371">
        <v>59</v>
      </c>
      <c r="M371" t="s">
        <v>1602</v>
      </c>
      <c r="N371" t="s">
        <v>524</v>
      </c>
      <c r="O371" t="s">
        <v>1603</v>
      </c>
      <c r="P371">
        <v>383626</v>
      </c>
      <c r="Q371" s="3">
        <v>53.03</v>
      </c>
      <c r="R371" s="3">
        <f>IF(Table1[[#This Row],[Gross_millions]]=" ",0,Table1[[#This Row],[Gross_millions]])</f>
        <v>53.03</v>
      </c>
      <c r="S371" t="str">
        <f>IF(Table1[[#This Row],[Gross_millions_Clean]]&gt;200,"Blockbuster",IF(Table1[[#This Row],[Gross_millions_Clean]]&gt;100,"Hit","Average"))</f>
        <v>Average</v>
      </c>
    </row>
    <row r="372" spans="1:19" x14ac:dyDescent="0.3">
      <c r="A372" t="s">
        <v>1604</v>
      </c>
      <c r="B372" t="s">
        <v>1605</v>
      </c>
      <c r="C372">
        <v>2004</v>
      </c>
      <c r="D372" s="8">
        <f>FLOOR(Table1[[#This Row],[Year]],10)</f>
        <v>2000</v>
      </c>
      <c r="E372" t="s">
        <v>54</v>
      </c>
      <c r="F372">
        <v>123</v>
      </c>
      <c r="G372" t="str">
        <f>IF(Table1[[#This Row],[Runtime_minutes]]&lt;90,"Short",IF(Table1[[#This Row],[Runtime_minutes]]&lt;=120,"Medium","Long"))</f>
        <v>Long</v>
      </c>
      <c r="H372" t="s">
        <v>868</v>
      </c>
      <c r="I372" t="s">
        <v>3985</v>
      </c>
      <c r="K372">
        <v>7.3</v>
      </c>
      <c r="L372">
        <v>67</v>
      </c>
      <c r="M372" t="s">
        <v>1607</v>
      </c>
      <c r="N372" t="s">
        <v>147</v>
      </c>
      <c r="O372" t="s">
        <v>1608</v>
      </c>
      <c r="P372">
        <v>10266</v>
      </c>
      <c r="Q372" s="3"/>
      <c r="R372" s="3">
        <f>IF(Table1[[#This Row],[Gross_millions]]=" ",0,Table1[[#This Row],[Gross_millions]])</f>
        <v>0</v>
      </c>
      <c r="S372" t="str">
        <f>IF(Table1[[#This Row],[Gross_millions_Clean]]&gt;200,"Blockbuster",IF(Table1[[#This Row],[Gross_millions_Clean]]&gt;100,"Hit","Average"))</f>
        <v>Average</v>
      </c>
    </row>
    <row r="373" spans="1:19" x14ac:dyDescent="0.3">
      <c r="A373" t="s">
        <v>1609</v>
      </c>
      <c r="B373" t="s">
        <v>1610</v>
      </c>
      <c r="C373">
        <v>2002</v>
      </c>
      <c r="D373" s="8">
        <f>FLOOR(Table1[[#This Row],[Year]],10)</f>
        <v>2000</v>
      </c>
      <c r="E373" t="s">
        <v>24</v>
      </c>
      <c r="F373">
        <v>132</v>
      </c>
      <c r="G373" t="str">
        <f>IF(Table1[[#This Row],[Runtime_minutes]]&lt;90,"Short",IF(Table1[[#This Row],[Runtime_minutes]]&lt;=120,"Medium","Long"))</f>
        <v>Long</v>
      </c>
      <c r="H373" t="s">
        <v>453</v>
      </c>
      <c r="I373" t="s">
        <v>3978</v>
      </c>
      <c r="K373">
        <v>7.3</v>
      </c>
      <c r="L373">
        <v>81</v>
      </c>
      <c r="M373" t="s">
        <v>269</v>
      </c>
      <c r="N373" t="s">
        <v>57</v>
      </c>
      <c r="O373" t="s">
        <v>1611</v>
      </c>
      <c r="P373">
        <v>37634</v>
      </c>
      <c r="Q373" s="3">
        <v>477.8</v>
      </c>
      <c r="R373" s="3">
        <f>IF(Table1[[#This Row],[Gross_millions]]=" ",0,Table1[[#This Row],[Gross_millions]])</f>
        <v>477.8</v>
      </c>
      <c r="S373" t="str">
        <f>IF(Table1[[#This Row],[Gross_millions_Clean]]&gt;200,"Blockbuster",IF(Table1[[#This Row],[Gross_millions_Clean]]&gt;100,"Hit","Average"))</f>
        <v>Blockbuster</v>
      </c>
    </row>
    <row r="374" spans="1:19" x14ac:dyDescent="0.3">
      <c r="A374" t="s">
        <v>1612</v>
      </c>
      <c r="B374" t="s">
        <v>1613</v>
      </c>
      <c r="C374">
        <v>2008</v>
      </c>
      <c r="D374" s="8">
        <f>FLOOR(Table1[[#This Row],[Year]],10)</f>
        <v>2000</v>
      </c>
      <c r="E374" t="s">
        <v>285</v>
      </c>
      <c r="F374">
        <v>116</v>
      </c>
      <c r="G374" t="str">
        <f>IF(Table1[[#This Row],[Runtime_minutes]]&lt;90,"Short",IF(Table1[[#This Row],[Runtime_minutes]]&lt;=120,"Medium","Long"))</f>
        <v>Medium</v>
      </c>
      <c r="H374" t="s">
        <v>767</v>
      </c>
      <c r="I374" t="s">
        <v>3992</v>
      </c>
      <c r="K374">
        <v>7.3</v>
      </c>
      <c r="M374" t="s">
        <v>1614</v>
      </c>
      <c r="N374" t="s">
        <v>86</v>
      </c>
      <c r="O374" t="s">
        <v>1615</v>
      </c>
      <c r="P374">
        <v>226722</v>
      </c>
      <c r="Q374" s="3">
        <v>100.44</v>
      </c>
      <c r="R374" s="3">
        <f>IF(Table1[[#This Row],[Gross_millions]]=" ",0,Table1[[#This Row],[Gross_millions]])</f>
        <v>100.44</v>
      </c>
      <c r="S374" t="str">
        <f>IF(Table1[[#This Row],[Gross_millions_Clean]]&gt;200,"Blockbuster",IF(Table1[[#This Row],[Gross_millions_Clean]]&gt;100,"Hit","Average"))</f>
        <v>Hit</v>
      </c>
    </row>
    <row r="375" spans="1:19" x14ac:dyDescent="0.3">
      <c r="A375" t="s">
        <v>1616</v>
      </c>
      <c r="B375" t="s">
        <v>1617</v>
      </c>
      <c r="C375">
        <v>2004</v>
      </c>
      <c r="D375" s="8">
        <f>FLOOR(Table1[[#This Row],[Year]],10)</f>
        <v>2000</v>
      </c>
      <c r="E375" t="s">
        <v>54</v>
      </c>
      <c r="F375">
        <v>121</v>
      </c>
      <c r="G375" t="str">
        <f>IF(Table1[[#This Row],[Runtime_minutes]]&lt;90,"Short",IF(Table1[[#This Row],[Runtime_minutes]]&lt;=120,"Medium","Long"))</f>
        <v>Long</v>
      </c>
      <c r="H375" t="s">
        <v>453</v>
      </c>
      <c r="I375" t="s">
        <v>3993</v>
      </c>
      <c r="K375">
        <v>7.3</v>
      </c>
      <c r="M375" t="s">
        <v>1619</v>
      </c>
      <c r="N375" t="s">
        <v>63</v>
      </c>
      <c r="O375" t="s">
        <v>1620</v>
      </c>
      <c r="P375">
        <v>5745</v>
      </c>
      <c r="Q375" s="3">
        <v>201.39</v>
      </c>
      <c r="R375" s="3">
        <f>IF(Table1[[#This Row],[Gross_millions]]=" ",0,Table1[[#This Row],[Gross_millions]])</f>
        <v>201.39</v>
      </c>
      <c r="S375" t="str">
        <f>IF(Table1[[#This Row],[Gross_millions_Clean]]&gt;200,"Blockbuster",IF(Table1[[#This Row],[Gross_millions_Clean]]&gt;100,"Hit","Average"))</f>
        <v>Blockbuster</v>
      </c>
    </row>
    <row r="376" spans="1:19" x14ac:dyDescent="0.3">
      <c r="A376" t="s">
        <v>1621</v>
      </c>
      <c r="B376" t="s">
        <v>1622</v>
      </c>
      <c r="C376">
        <v>2024</v>
      </c>
      <c r="D376" s="8">
        <f>FLOOR(Table1[[#This Row],[Year]],10)</f>
        <v>2020</v>
      </c>
      <c r="E376" t="s">
        <v>17</v>
      </c>
      <c r="F376">
        <v>125</v>
      </c>
      <c r="G376" t="str">
        <f>IF(Table1[[#This Row],[Runtime_minutes]]&lt;90,"Short",IF(Table1[[#This Row],[Runtime_minutes]]&lt;=120,"Medium","Long"))</f>
        <v>Long</v>
      </c>
      <c r="H376" t="s">
        <v>235</v>
      </c>
      <c r="I376" t="s">
        <v>3986</v>
      </c>
      <c r="K376">
        <v>7.3</v>
      </c>
      <c r="M376" t="s">
        <v>1623</v>
      </c>
      <c r="N376" t="s">
        <v>196</v>
      </c>
      <c r="O376" t="s">
        <v>1624</v>
      </c>
      <c r="P376">
        <v>79214</v>
      </c>
      <c r="Q376" s="3">
        <v>234.44</v>
      </c>
      <c r="R376" s="3">
        <f>IF(Table1[[#This Row],[Gross_millions]]=" ",0,Table1[[#This Row],[Gross_millions]])</f>
        <v>234.44</v>
      </c>
      <c r="S376" t="str">
        <f>IF(Table1[[#This Row],[Gross_millions_Clean]]&gt;200,"Blockbuster",IF(Table1[[#This Row],[Gross_millions_Clean]]&gt;100,"Hit","Average"))</f>
        <v>Blockbuster</v>
      </c>
    </row>
    <row r="377" spans="1:19" x14ac:dyDescent="0.3">
      <c r="A377" t="s">
        <v>1625</v>
      </c>
      <c r="B377" t="s">
        <v>1626</v>
      </c>
      <c r="C377">
        <v>2010</v>
      </c>
      <c r="D377" s="8">
        <f>FLOOR(Table1[[#This Row],[Year]],10)</f>
        <v>2010</v>
      </c>
      <c r="E377" t="s">
        <v>24</v>
      </c>
      <c r="F377">
        <v>146</v>
      </c>
      <c r="G377" t="str">
        <f>IF(Table1[[#This Row],[Runtime_minutes]]&lt;90,"Short",IF(Table1[[#This Row],[Runtime_minutes]]&lt;=120,"Medium","Long"))</f>
        <v>Long</v>
      </c>
      <c r="H377" t="s">
        <v>277</v>
      </c>
      <c r="I377" t="s">
        <v>3992</v>
      </c>
      <c r="J377" t="s">
        <v>3989</v>
      </c>
      <c r="K377">
        <v>7.3</v>
      </c>
      <c r="M377" t="s">
        <v>395</v>
      </c>
      <c r="N377" t="s">
        <v>251</v>
      </c>
      <c r="O377" t="s">
        <v>1628</v>
      </c>
      <c r="P377">
        <v>118637</v>
      </c>
      <c r="Q377" s="3"/>
      <c r="R377" s="3">
        <f>IF(Table1[[#This Row],[Gross_millions]]=" ",0,Table1[[#This Row],[Gross_millions]])</f>
        <v>0</v>
      </c>
      <c r="S377" t="str">
        <f>IF(Table1[[#This Row],[Gross_millions_Clean]]&gt;200,"Blockbuster",IF(Table1[[#This Row],[Gross_millions_Clean]]&gt;100,"Hit","Average"))</f>
        <v>Average</v>
      </c>
    </row>
    <row r="378" spans="1:19" x14ac:dyDescent="0.3">
      <c r="A378" t="s">
        <v>1629</v>
      </c>
      <c r="B378" t="s">
        <v>1630</v>
      </c>
      <c r="C378">
        <v>2022</v>
      </c>
      <c r="D378" s="8">
        <f>FLOOR(Table1[[#This Row],[Year]],10)</f>
        <v>2020</v>
      </c>
      <c r="E378" t="s">
        <v>24</v>
      </c>
      <c r="F378">
        <v>130</v>
      </c>
      <c r="G378" t="str">
        <f>IF(Table1[[#This Row],[Runtime_minutes]]&lt;90,"Short",IF(Table1[[#This Row],[Runtime_minutes]]&lt;=120,"Medium","Long"))</f>
        <v>Long</v>
      </c>
      <c r="H378" t="s">
        <v>55</v>
      </c>
      <c r="K378">
        <v>7.3</v>
      </c>
      <c r="M378" t="s">
        <v>1631</v>
      </c>
      <c r="N378" t="s">
        <v>251</v>
      </c>
      <c r="O378" t="s">
        <v>1632</v>
      </c>
      <c r="P378">
        <v>299168</v>
      </c>
      <c r="Q378" s="3">
        <v>319.23</v>
      </c>
      <c r="R378" s="3">
        <f>IF(Table1[[#This Row],[Gross_millions]]=" ",0,Table1[[#This Row],[Gross_millions]])</f>
        <v>319.23</v>
      </c>
      <c r="S378" t="str">
        <f>IF(Table1[[#This Row],[Gross_millions_Clean]]&gt;200,"Blockbuster",IF(Table1[[#This Row],[Gross_millions_Clean]]&gt;100,"Hit","Average"))</f>
        <v>Blockbuster</v>
      </c>
    </row>
    <row r="379" spans="1:19" x14ac:dyDescent="0.3">
      <c r="A379" t="s">
        <v>1633</v>
      </c>
      <c r="B379" t="s">
        <v>1634</v>
      </c>
      <c r="C379">
        <v>2006</v>
      </c>
      <c r="D379" s="8">
        <f>FLOOR(Table1[[#This Row],[Year]],10)</f>
        <v>2000</v>
      </c>
      <c r="E379" t="s">
        <v>24</v>
      </c>
      <c r="F379">
        <v>89</v>
      </c>
      <c r="G379" t="str">
        <f>IF(Table1[[#This Row],[Runtime_minutes]]&lt;90,"Short",IF(Table1[[#This Row],[Runtime_minutes]]&lt;=120,"Medium","Long"))</f>
        <v>Short</v>
      </c>
      <c r="H379" t="s">
        <v>230</v>
      </c>
      <c r="I379" t="s">
        <v>3988</v>
      </c>
      <c r="K379">
        <v>7.3</v>
      </c>
      <c r="M379" t="s">
        <v>124</v>
      </c>
      <c r="N379" t="s">
        <v>221</v>
      </c>
      <c r="O379" t="s">
        <v>1636</v>
      </c>
      <c r="P379">
        <v>141221</v>
      </c>
      <c r="Q379" s="3">
        <v>413.99</v>
      </c>
      <c r="R379" s="3">
        <f>IF(Table1[[#This Row],[Gross_millions]]=" ",0,Table1[[#This Row],[Gross_millions]])</f>
        <v>413.99</v>
      </c>
      <c r="S379" t="str">
        <f>IF(Table1[[#This Row],[Gross_millions_Clean]]&gt;200,"Blockbuster",IF(Table1[[#This Row],[Gross_millions_Clean]]&gt;100,"Hit","Average"))</f>
        <v>Blockbuster</v>
      </c>
    </row>
    <row r="380" spans="1:19" x14ac:dyDescent="0.3">
      <c r="A380" t="s">
        <v>1637</v>
      </c>
      <c r="B380" t="s">
        <v>1638</v>
      </c>
      <c r="C380">
        <v>2006</v>
      </c>
      <c r="D380" s="8">
        <f>FLOOR(Table1[[#This Row],[Year]],10)</f>
        <v>2000</v>
      </c>
      <c r="E380" t="s">
        <v>169</v>
      </c>
      <c r="F380">
        <v>125</v>
      </c>
      <c r="G380" t="str">
        <f>IF(Table1[[#This Row],[Runtime_minutes]]&lt;90,"Short",IF(Table1[[#This Row],[Runtime_minutes]]&lt;=120,"Medium","Long"))</f>
        <v>Long</v>
      </c>
      <c r="H380" t="s">
        <v>78</v>
      </c>
      <c r="I380" t="s">
        <v>3993</v>
      </c>
      <c r="J380" t="s">
        <v>3986</v>
      </c>
      <c r="K380">
        <v>7.3</v>
      </c>
      <c r="L380">
        <v>64</v>
      </c>
      <c r="M380" t="s">
        <v>305</v>
      </c>
      <c r="N380" t="s">
        <v>593</v>
      </c>
      <c r="O380" t="s">
        <v>1640</v>
      </c>
      <c r="P380">
        <v>99796</v>
      </c>
      <c r="Q380" s="3"/>
      <c r="R380" s="3">
        <f>IF(Table1[[#This Row],[Gross_millions]]=" ",0,Table1[[#This Row],[Gross_millions]])</f>
        <v>0</v>
      </c>
      <c r="S380" t="str">
        <f>IF(Table1[[#This Row],[Gross_millions_Clean]]&gt;200,"Blockbuster",IF(Table1[[#This Row],[Gross_millions_Clean]]&gt;100,"Hit","Average"))</f>
        <v>Average</v>
      </c>
    </row>
    <row r="381" spans="1:19" x14ac:dyDescent="0.3">
      <c r="A381" t="s">
        <v>1641</v>
      </c>
      <c r="B381" t="s">
        <v>1642</v>
      </c>
      <c r="C381">
        <v>2006</v>
      </c>
      <c r="D381" s="8">
        <f>FLOOR(Table1[[#This Row],[Year]],10)</f>
        <v>2000</v>
      </c>
      <c r="E381" t="s">
        <v>24</v>
      </c>
      <c r="F381">
        <v>125</v>
      </c>
      <c r="G381" t="str">
        <f>IF(Table1[[#This Row],[Runtime_minutes]]&lt;90,"Short",IF(Table1[[#This Row],[Runtime_minutes]]&lt;=120,"Medium","Long"))</f>
        <v>Long</v>
      </c>
      <c r="H381" t="s">
        <v>277</v>
      </c>
      <c r="I381" t="s">
        <v>3983</v>
      </c>
      <c r="J381" t="s">
        <v>3980</v>
      </c>
      <c r="K381">
        <v>7.3</v>
      </c>
      <c r="M381" t="s">
        <v>1644</v>
      </c>
      <c r="N381" t="s">
        <v>165</v>
      </c>
      <c r="O381" t="s">
        <v>1645</v>
      </c>
      <c r="P381">
        <v>5587</v>
      </c>
      <c r="Q381" s="3">
        <v>21.88</v>
      </c>
      <c r="R381" s="3">
        <f>IF(Table1[[#This Row],[Gross_millions]]=" ",0,Table1[[#This Row],[Gross_millions]])</f>
        <v>21.88</v>
      </c>
      <c r="S381" t="str">
        <f>IF(Table1[[#This Row],[Gross_millions_Clean]]&gt;200,"Blockbuster",IF(Table1[[#This Row],[Gross_millions_Clean]]&gt;100,"Hit","Average"))</f>
        <v>Average</v>
      </c>
    </row>
    <row r="382" spans="1:19" x14ac:dyDescent="0.3">
      <c r="A382" t="s">
        <v>1646</v>
      </c>
      <c r="B382" t="s">
        <v>1647</v>
      </c>
      <c r="C382">
        <v>1997</v>
      </c>
      <c r="D382" s="8">
        <f>FLOOR(Table1[[#This Row],[Year]],10)</f>
        <v>1990</v>
      </c>
      <c r="E382" t="s">
        <v>285</v>
      </c>
      <c r="F382">
        <v>106</v>
      </c>
      <c r="G382" t="str">
        <f>IF(Table1[[#This Row],[Runtime_minutes]]&lt;90,"Short",IF(Table1[[#This Row],[Runtime_minutes]]&lt;=120,"Medium","Long"))</f>
        <v>Medium</v>
      </c>
      <c r="H382" t="s">
        <v>157</v>
      </c>
      <c r="K382">
        <v>7.3</v>
      </c>
      <c r="L382">
        <v>65</v>
      </c>
      <c r="M382" t="s">
        <v>1648</v>
      </c>
      <c r="N382" t="s">
        <v>165</v>
      </c>
      <c r="O382" t="s">
        <v>1649</v>
      </c>
      <c r="P382">
        <v>19055</v>
      </c>
      <c r="Q382" s="3">
        <v>206.95</v>
      </c>
      <c r="R382" s="3">
        <f>IF(Table1[[#This Row],[Gross_millions]]=" ",0,Table1[[#This Row],[Gross_millions]])</f>
        <v>206.95</v>
      </c>
      <c r="S382" t="str">
        <f>IF(Table1[[#This Row],[Gross_millions_Clean]]&gt;200,"Blockbuster",IF(Table1[[#This Row],[Gross_millions_Clean]]&gt;100,"Hit","Average"))</f>
        <v>Blockbuster</v>
      </c>
    </row>
    <row r="383" spans="1:19" x14ac:dyDescent="0.3">
      <c r="A383" t="s">
        <v>1650</v>
      </c>
      <c r="B383" t="s">
        <v>1651</v>
      </c>
      <c r="C383">
        <v>2004</v>
      </c>
      <c r="D383" s="8">
        <f>FLOOR(Table1[[#This Row],[Year]],10)</f>
        <v>2000</v>
      </c>
      <c r="E383" t="s">
        <v>17</v>
      </c>
      <c r="F383">
        <v>121</v>
      </c>
      <c r="G383" t="str">
        <f>IF(Table1[[#This Row],[Runtime_minutes]]&lt;90,"Short",IF(Table1[[#This Row],[Runtime_minutes]]&lt;=120,"Medium","Long"))</f>
        <v>Long</v>
      </c>
      <c r="H383" t="s">
        <v>1044</v>
      </c>
      <c r="I383" t="s">
        <v>3982</v>
      </c>
      <c r="K383">
        <v>7.3</v>
      </c>
      <c r="M383" t="s">
        <v>1652</v>
      </c>
      <c r="N383" t="s">
        <v>57</v>
      </c>
      <c r="O383" t="s">
        <v>1653</v>
      </c>
      <c r="P383">
        <v>53865</v>
      </c>
      <c r="Q383" s="3">
        <v>376.85</v>
      </c>
      <c r="R383" s="3">
        <f>IF(Table1[[#This Row],[Gross_millions]]=" ",0,Table1[[#This Row],[Gross_millions]])</f>
        <v>376.85</v>
      </c>
      <c r="S383" t="str">
        <f>IF(Table1[[#This Row],[Gross_millions_Clean]]&gt;200,"Blockbuster",IF(Table1[[#This Row],[Gross_millions_Clean]]&gt;100,"Hit","Average"))</f>
        <v>Blockbuster</v>
      </c>
    </row>
    <row r="384" spans="1:19" x14ac:dyDescent="0.3">
      <c r="A384" t="s">
        <v>1654</v>
      </c>
      <c r="B384" t="s">
        <v>1655</v>
      </c>
      <c r="C384">
        <v>2022</v>
      </c>
      <c r="D384" s="8">
        <f>FLOOR(Table1[[#This Row],[Year]],10)</f>
        <v>2020</v>
      </c>
      <c r="E384" t="s">
        <v>24</v>
      </c>
      <c r="F384">
        <v>119</v>
      </c>
      <c r="G384" t="str">
        <f>IF(Table1[[#This Row],[Runtime_minutes]]&lt;90,"Short",IF(Table1[[#This Row],[Runtime_minutes]]&lt;=120,"Medium","Long"))</f>
        <v>Medium</v>
      </c>
      <c r="H384" t="s">
        <v>453</v>
      </c>
      <c r="I384" t="s">
        <v>3988</v>
      </c>
      <c r="K384">
        <v>7.3</v>
      </c>
      <c r="L384">
        <v>69</v>
      </c>
      <c r="M384" t="s">
        <v>269</v>
      </c>
      <c r="N384" t="s">
        <v>547</v>
      </c>
      <c r="O384" t="s">
        <v>1657</v>
      </c>
      <c r="P384">
        <v>163163</v>
      </c>
      <c r="Q384" s="3">
        <v>123.14</v>
      </c>
      <c r="R384" s="3">
        <f>IF(Table1[[#This Row],[Gross_millions]]=" ",0,Table1[[#This Row],[Gross_millions]])</f>
        <v>123.14</v>
      </c>
      <c r="S384" t="str">
        <f>IF(Table1[[#This Row],[Gross_millions_Clean]]&gt;200,"Blockbuster",IF(Table1[[#This Row],[Gross_millions_Clean]]&gt;100,"Hit","Average"))</f>
        <v>Hit</v>
      </c>
    </row>
    <row r="385" spans="1:19" x14ac:dyDescent="0.3">
      <c r="A385" t="s">
        <v>1658</v>
      </c>
      <c r="B385" t="s">
        <v>1659</v>
      </c>
      <c r="C385">
        <v>2008</v>
      </c>
      <c r="D385" s="8">
        <f>FLOOR(Table1[[#This Row],[Year]],10)</f>
        <v>2000</v>
      </c>
      <c r="E385" t="s">
        <v>24</v>
      </c>
      <c r="F385">
        <v>129</v>
      </c>
      <c r="G385" t="str">
        <f>IF(Table1[[#This Row],[Runtime_minutes]]&lt;90,"Short",IF(Table1[[#This Row],[Runtime_minutes]]&lt;=120,"Medium","Long"))</f>
        <v>Long</v>
      </c>
      <c r="H385" t="s">
        <v>277</v>
      </c>
      <c r="K385">
        <v>7.3</v>
      </c>
      <c r="M385" t="s">
        <v>1660</v>
      </c>
      <c r="N385" t="s">
        <v>68</v>
      </c>
      <c r="O385" t="s">
        <v>1661</v>
      </c>
      <c r="P385">
        <v>117191</v>
      </c>
      <c r="Q385" s="3">
        <v>157.81</v>
      </c>
      <c r="R385" s="3">
        <f>IF(Table1[[#This Row],[Gross_millions]]=" ",0,Table1[[#This Row],[Gross_millions]])</f>
        <v>157.81</v>
      </c>
      <c r="S385" t="str">
        <f>IF(Table1[[#This Row],[Gross_millions_Clean]]&gt;200,"Blockbuster",IF(Table1[[#This Row],[Gross_millions_Clean]]&gt;100,"Hit","Average"))</f>
        <v>Hit</v>
      </c>
    </row>
    <row r="386" spans="1:19" x14ac:dyDescent="0.3">
      <c r="A386" t="s">
        <v>1662</v>
      </c>
      <c r="B386" t="s">
        <v>1663</v>
      </c>
      <c r="C386">
        <v>2016</v>
      </c>
      <c r="D386" s="8">
        <f>FLOOR(Table1[[#This Row],[Year]],10)</f>
        <v>2010</v>
      </c>
      <c r="E386" t="s">
        <v>54</v>
      </c>
      <c r="F386">
        <v>106</v>
      </c>
      <c r="G386" t="str">
        <f>IF(Table1[[#This Row],[Runtime_minutes]]&lt;90,"Short",IF(Table1[[#This Row],[Runtime_minutes]]&lt;=120,"Medium","Long"))</f>
        <v>Medium</v>
      </c>
      <c r="H386" t="s">
        <v>210</v>
      </c>
      <c r="I386" t="s">
        <v>3981</v>
      </c>
      <c r="J386" t="s">
        <v>3985</v>
      </c>
      <c r="K386">
        <v>7.3</v>
      </c>
      <c r="L386">
        <v>70</v>
      </c>
      <c r="M386" t="s">
        <v>19</v>
      </c>
      <c r="N386" t="s">
        <v>74</v>
      </c>
      <c r="O386" t="s">
        <v>1665</v>
      </c>
      <c r="P386">
        <v>88491</v>
      </c>
      <c r="Q386" s="3">
        <v>486.65</v>
      </c>
      <c r="R386" s="3">
        <f>IF(Table1[[#This Row],[Gross_millions]]=" ",0,Table1[[#This Row],[Gross_millions]])</f>
        <v>486.65</v>
      </c>
      <c r="S386" t="str">
        <f>IF(Table1[[#This Row],[Gross_millions_Clean]]&gt;200,"Blockbuster",IF(Table1[[#This Row],[Gross_millions_Clean]]&gt;100,"Hit","Average"))</f>
        <v>Blockbuster</v>
      </c>
    </row>
    <row r="387" spans="1:19" x14ac:dyDescent="0.3">
      <c r="A387" t="s">
        <v>1666</v>
      </c>
      <c r="B387" t="s">
        <v>1667</v>
      </c>
      <c r="C387">
        <v>2008</v>
      </c>
      <c r="D387" s="8">
        <f>FLOOR(Table1[[#This Row],[Year]],10)</f>
        <v>2000</v>
      </c>
      <c r="E387" t="s">
        <v>24</v>
      </c>
      <c r="F387">
        <v>95</v>
      </c>
      <c r="G387" t="str">
        <f>IF(Table1[[#This Row],[Runtime_minutes]]&lt;90,"Short",IF(Table1[[#This Row],[Runtime_minutes]]&lt;=120,"Medium","Long"))</f>
        <v>Medium</v>
      </c>
      <c r="H387" t="s">
        <v>43</v>
      </c>
      <c r="I387" t="s">
        <v>3982</v>
      </c>
      <c r="J387" t="s">
        <v>3989</v>
      </c>
      <c r="K387">
        <v>7.3</v>
      </c>
      <c r="L387">
        <v>88</v>
      </c>
      <c r="M387" t="s">
        <v>136</v>
      </c>
      <c r="N387" t="s">
        <v>718</v>
      </c>
      <c r="O387" t="s">
        <v>1669</v>
      </c>
      <c r="P387">
        <v>153038</v>
      </c>
      <c r="Q387" s="3">
        <v>278.48</v>
      </c>
      <c r="R387" s="3">
        <f>IF(Table1[[#This Row],[Gross_millions]]=" ",0,Table1[[#This Row],[Gross_millions]])</f>
        <v>278.48</v>
      </c>
      <c r="S387" t="str">
        <f>IF(Table1[[#This Row],[Gross_millions_Clean]]&gt;200,"Blockbuster",IF(Table1[[#This Row],[Gross_millions_Clean]]&gt;100,"Hit","Average"))</f>
        <v>Blockbuster</v>
      </c>
    </row>
    <row r="388" spans="1:19" x14ac:dyDescent="0.3">
      <c r="A388" t="s">
        <v>1670</v>
      </c>
      <c r="B388" t="s">
        <v>1671</v>
      </c>
      <c r="C388">
        <v>2000</v>
      </c>
      <c r="D388" s="8">
        <f>FLOOR(Table1[[#This Row],[Year]],10)</f>
        <v>2000</v>
      </c>
      <c r="E388" t="s">
        <v>17</v>
      </c>
      <c r="F388">
        <v>102</v>
      </c>
      <c r="G388" t="str">
        <f>IF(Table1[[#This Row],[Runtime_minutes]]&lt;90,"Short",IF(Table1[[#This Row],[Runtime_minutes]]&lt;=120,"Medium","Long"))</f>
        <v>Medium</v>
      </c>
      <c r="H388" t="s">
        <v>48</v>
      </c>
      <c r="K388">
        <v>7.3</v>
      </c>
      <c r="L388">
        <v>59</v>
      </c>
      <c r="M388" t="s">
        <v>1672</v>
      </c>
      <c r="N388" t="s">
        <v>74</v>
      </c>
      <c r="O388" t="s">
        <v>1673</v>
      </c>
      <c r="P388">
        <v>14435</v>
      </c>
      <c r="Q388" s="3"/>
      <c r="R388" s="3">
        <f>IF(Table1[[#This Row],[Gross_millions]]=" ",0,Table1[[#This Row],[Gross_millions]])</f>
        <v>0</v>
      </c>
      <c r="S388" t="str">
        <f>IF(Table1[[#This Row],[Gross_millions_Clean]]&gt;200,"Blockbuster",IF(Table1[[#This Row],[Gross_millions_Clean]]&gt;100,"Hit","Average"))</f>
        <v>Average</v>
      </c>
    </row>
    <row r="389" spans="1:19" x14ac:dyDescent="0.3">
      <c r="A389" t="s">
        <v>1674</v>
      </c>
      <c r="B389" t="s">
        <v>1675</v>
      </c>
      <c r="C389">
        <v>2013</v>
      </c>
      <c r="D389" s="8">
        <f>FLOOR(Table1[[#This Row],[Year]],10)</f>
        <v>2010</v>
      </c>
      <c r="E389" t="s">
        <v>24</v>
      </c>
      <c r="F389">
        <v>107</v>
      </c>
      <c r="G389" t="str">
        <f>IF(Table1[[#This Row],[Runtime_minutes]]&lt;90,"Short",IF(Table1[[#This Row],[Runtime_minutes]]&lt;=120,"Medium","Long"))</f>
        <v>Medium</v>
      </c>
      <c r="H389" t="s">
        <v>78</v>
      </c>
      <c r="I389" t="s">
        <v>3991</v>
      </c>
      <c r="J389" t="s">
        <v>3988</v>
      </c>
      <c r="K389">
        <v>7.2</v>
      </c>
      <c r="M389" t="s">
        <v>1677</v>
      </c>
      <c r="N389" t="s">
        <v>63</v>
      </c>
      <c r="O389" t="s">
        <v>1678</v>
      </c>
      <c r="P389">
        <v>125623</v>
      </c>
      <c r="Q389" s="3">
        <v>83.13</v>
      </c>
      <c r="R389" s="3">
        <f>IF(Table1[[#This Row],[Gross_millions]]=" ",0,Table1[[#This Row],[Gross_millions]])</f>
        <v>83.13</v>
      </c>
      <c r="S389" t="str">
        <f>IF(Table1[[#This Row],[Gross_millions_Clean]]&gt;200,"Blockbuster",IF(Table1[[#This Row],[Gross_millions_Clean]]&gt;100,"Hit","Average"))</f>
        <v>Average</v>
      </c>
    </row>
    <row r="390" spans="1:19" x14ac:dyDescent="0.3">
      <c r="A390" t="s">
        <v>1679</v>
      </c>
      <c r="B390" t="s">
        <v>1680</v>
      </c>
      <c r="C390">
        <v>2013</v>
      </c>
      <c r="D390" s="8">
        <f>FLOOR(Table1[[#This Row],[Year]],10)</f>
        <v>2010</v>
      </c>
      <c r="E390" t="s">
        <v>17</v>
      </c>
      <c r="F390">
        <v>127</v>
      </c>
      <c r="G390" t="str">
        <f>IF(Table1[[#This Row],[Runtime_minutes]]&lt;90,"Short",IF(Table1[[#This Row],[Runtime_minutes]]&lt;=120,"Medium","Long"))</f>
        <v>Long</v>
      </c>
      <c r="H390" t="s">
        <v>606</v>
      </c>
      <c r="K390">
        <v>7.2</v>
      </c>
      <c r="M390" t="s">
        <v>250</v>
      </c>
      <c r="N390" t="s">
        <v>63</v>
      </c>
      <c r="O390" t="s">
        <v>1681</v>
      </c>
      <c r="P390">
        <v>3322</v>
      </c>
      <c r="Q390" s="3">
        <v>384.56</v>
      </c>
      <c r="R390" s="3">
        <f>IF(Table1[[#This Row],[Gross_millions]]=" ",0,Table1[[#This Row],[Gross_millions]])</f>
        <v>384.56</v>
      </c>
      <c r="S390" t="str">
        <f>IF(Table1[[#This Row],[Gross_millions_Clean]]&gt;200,"Blockbuster",IF(Table1[[#This Row],[Gross_millions_Clean]]&gt;100,"Hit","Average"))</f>
        <v>Blockbuster</v>
      </c>
    </row>
    <row r="391" spans="1:19" x14ac:dyDescent="0.3">
      <c r="A391" t="s">
        <v>1682</v>
      </c>
      <c r="B391" t="s">
        <v>1683</v>
      </c>
      <c r="C391">
        <v>2021</v>
      </c>
      <c r="D391" s="8">
        <f>FLOOR(Table1[[#This Row],[Year]],10)</f>
        <v>2020</v>
      </c>
      <c r="E391" t="s">
        <v>54</v>
      </c>
      <c r="F391">
        <v>118</v>
      </c>
      <c r="G391" t="str">
        <f>IF(Table1[[#This Row],[Runtime_minutes]]&lt;90,"Short",IF(Table1[[#This Row],[Runtime_minutes]]&lt;=120,"Medium","Long"))</f>
        <v>Medium</v>
      </c>
      <c r="H391" t="s">
        <v>210</v>
      </c>
      <c r="K391">
        <v>7.2</v>
      </c>
      <c r="L391">
        <v>60</v>
      </c>
      <c r="M391" t="s">
        <v>19</v>
      </c>
      <c r="N391" t="s">
        <v>63</v>
      </c>
      <c r="O391" t="s">
        <v>1684</v>
      </c>
      <c r="P391">
        <v>222298</v>
      </c>
      <c r="Q391" s="3">
        <v>249.57</v>
      </c>
      <c r="R391" s="3">
        <f>IF(Table1[[#This Row],[Gross_millions]]=" ",0,Table1[[#This Row],[Gross_millions]])</f>
        <v>249.57</v>
      </c>
      <c r="S391" t="str">
        <f>IF(Table1[[#This Row],[Gross_millions_Clean]]&gt;200,"Blockbuster",IF(Table1[[#This Row],[Gross_millions_Clean]]&gt;100,"Hit","Average"))</f>
        <v>Blockbuster</v>
      </c>
    </row>
    <row r="392" spans="1:19" x14ac:dyDescent="0.3">
      <c r="A392" t="s">
        <v>1685</v>
      </c>
      <c r="B392" t="s">
        <v>1686</v>
      </c>
      <c r="C392">
        <v>2019</v>
      </c>
      <c r="D392" s="8">
        <f>FLOOR(Table1[[#This Row],[Year]],10)</f>
        <v>2010</v>
      </c>
      <c r="E392" t="s">
        <v>24</v>
      </c>
      <c r="F392">
        <v>139</v>
      </c>
      <c r="G392" t="str">
        <f>IF(Table1[[#This Row],[Runtime_minutes]]&lt;90,"Short",IF(Table1[[#This Row],[Runtime_minutes]]&lt;=120,"Medium","Long"))</f>
        <v>Long</v>
      </c>
      <c r="H392" t="s">
        <v>129</v>
      </c>
      <c r="I392" t="s">
        <v>3983</v>
      </c>
      <c r="K392">
        <v>7.2</v>
      </c>
      <c r="M392" t="s">
        <v>634</v>
      </c>
      <c r="N392" t="s">
        <v>113</v>
      </c>
      <c r="O392" t="s">
        <v>1688</v>
      </c>
      <c r="P392">
        <v>22712</v>
      </c>
      <c r="Q392" s="3"/>
      <c r="R392" s="3">
        <f>IF(Table1[[#This Row],[Gross_millions]]=" ",0,Table1[[#This Row],[Gross_millions]])</f>
        <v>0</v>
      </c>
      <c r="S392" t="str">
        <f>IF(Table1[[#This Row],[Gross_millions_Clean]]&gt;200,"Blockbuster",IF(Table1[[#This Row],[Gross_millions_Clean]]&gt;100,"Hit","Average"))</f>
        <v>Average</v>
      </c>
    </row>
    <row r="393" spans="1:19" x14ac:dyDescent="0.3">
      <c r="A393" t="s">
        <v>1689</v>
      </c>
      <c r="B393" t="s">
        <v>1690</v>
      </c>
      <c r="C393">
        <v>2022</v>
      </c>
      <c r="D393" s="8">
        <f>FLOOR(Table1[[#This Row],[Year]],10)</f>
        <v>2020</v>
      </c>
      <c r="E393" t="s">
        <v>17</v>
      </c>
      <c r="F393">
        <v>133</v>
      </c>
      <c r="G393" t="str">
        <f>IF(Table1[[#This Row],[Runtime_minutes]]&lt;90,"Short",IF(Table1[[#This Row],[Runtime_minutes]]&lt;=120,"Medium","Long"))</f>
        <v>Long</v>
      </c>
      <c r="H393" t="s">
        <v>48</v>
      </c>
      <c r="I393" t="s">
        <v>3985</v>
      </c>
      <c r="K393">
        <v>7.2</v>
      </c>
      <c r="L393">
        <v>57</v>
      </c>
      <c r="M393" t="s">
        <v>566</v>
      </c>
      <c r="N393" t="s">
        <v>165</v>
      </c>
      <c r="O393" t="s">
        <v>1692</v>
      </c>
      <c r="P393">
        <v>125245</v>
      </c>
      <c r="Q393" s="3"/>
      <c r="R393" s="3">
        <f>IF(Table1[[#This Row],[Gross_millions]]=" ",0,Table1[[#This Row],[Gross_millions]])</f>
        <v>0</v>
      </c>
      <c r="S393" t="str">
        <f>IF(Table1[[#This Row],[Gross_millions_Clean]]&gt;200,"Blockbuster",IF(Table1[[#This Row],[Gross_millions_Clean]]&gt;100,"Hit","Average"))</f>
        <v>Average</v>
      </c>
    </row>
    <row r="394" spans="1:19" x14ac:dyDescent="0.3">
      <c r="A394" t="s">
        <v>1693</v>
      </c>
      <c r="B394" t="s">
        <v>1694</v>
      </c>
      <c r="C394">
        <v>2014</v>
      </c>
      <c r="D394" s="8">
        <f>FLOOR(Table1[[#This Row],[Year]],10)</f>
        <v>2010</v>
      </c>
      <c r="E394" t="s">
        <v>54</v>
      </c>
      <c r="F394">
        <v>84</v>
      </c>
      <c r="G394" t="str">
        <f>IF(Table1[[#This Row],[Runtime_minutes]]&lt;90,"Short",IF(Table1[[#This Row],[Runtime_minutes]]&lt;=120,"Medium","Long"))</f>
        <v>Short</v>
      </c>
      <c r="H394" t="s">
        <v>230</v>
      </c>
      <c r="I394" t="s">
        <v>3981</v>
      </c>
      <c r="J394" t="s">
        <v>3984</v>
      </c>
      <c r="K394">
        <v>7.2</v>
      </c>
      <c r="L394">
        <v>62</v>
      </c>
      <c r="M394" t="s">
        <v>1696</v>
      </c>
      <c r="N394" t="s">
        <v>39</v>
      </c>
      <c r="O394" t="s">
        <v>1697</v>
      </c>
      <c r="P394">
        <v>12783</v>
      </c>
      <c r="Q394" s="3">
        <v>225.86</v>
      </c>
      <c r="R394" s="3">
        <f>IF(Table1[[#This Row],[Gross_millions]]=" ",0,Table1[[#This Row],[Gross_millions]])</f>
        <v>225.86</v>
      </c>
      <c r="S394" t="str">
        <f>IF(Table1[[#This Row],[Gross_millions_Clean]]&gt;200,"Blockbuster",IF(Table1[[#This Row],[Gross_millions_Clean]]&gt;100,"Hit","Average"))</f>
        <v>Blockbuster</v>
      </c>
    </row>
    <row r="395" spans="1:19" x14ac:dyDescent="0.3">
      <c r="A395" t="s">
        <v>1698</v>
      </c>
      <c r="B395" t="s">
        <v>1699</v>
      </c>
      <c r="C395">
        <v>2019</v>
      </c>
      <c r="D395" s="8">
        <f>FLOOR(Table1[[#This Row],[Year]],10)</f>
        <v>2010</v>
      </c>
      <c r="E395" t="s">
        <v>293</v>
      </c>
      <c r="F395">
        <v>97</v>
      </c>
      <c r="G395" t="str">
        <f>IF(Table1[[#This Row],[Runtime_minutes]]&lt;90,"Short",IF(Table1[[#This Row],[Runtime_minutes]]&lt;=120,"Medium","Long"))</f>
        <v>Medium</v>
      </c>
      <c r="H395" t="s">
        <v>375</v>
      </c>
      <c r="I395" t="s">
        <v>3977</v>
      </c>
      <c r="J395" t="s">
        <v>3990</v>
      </c>
      <c r="K395">
        <v>7.2</v>
      </c>
      <c r="L395">
        <v>83</v>
      </c>
      <c r="M395" t="s">
        <v>1701</v>
      </c>
      <c r="N395" t="s">
        <v>92</v>
      </c>
      <c r="O395" t="s">
        <v>1702</v>
      </c>
      <c r="P395">
        <v>192606</v>
      </c>
      <c r="Q395" s="3"/>
      <c r="R395" s="3">
        <f>IF(Table1[[#This Row],[Gross_millions]]=" ",0,Table1[[#This Row],[Gross_millions]])</f>
        <v>0</v>
      </c>
      <c r="S395" t="str">
        <f>IF(Table1[[#This Row],[Gross_millions_Clean]]&gt;200,"Blockbuster",IF(Table1[[#This Row],[Gross_millions_Clean]]&gt;100,"Hit","Average"))</f>
        <v>Average</v>
      </c>
    </row>
    <row r="396" spans="1:19" x14ac:dyDescent="0.3">
      <c r="A396" t="s">
        <v>1703</v>
      </c>
      <c r="B396" t="s">
        <v>1704</v>
      </c>
      <c r="C396">
        <v>2000</v>
      </c>
      <c r="D396" s="8">
        <f>FLOOR(Table1[[#This Row],[Year]],10)</f>
        <v>2000</v>
      </c>
      <c r="E396" t="s">
        <v>17</v>
      </c>
      <c r="F396">
        <v>117</v>
      </c>
      <c r="G396" t="str">
        <f>IF(Table1[[#This Row],[Runtime_minutes]]&lt;90,"Short",IF(Table1[[#This Row],[Runtime_minutes]]&lt;=120,"Medium","Long"))</f>
        <v>Medium</v>
      </c>
      <c r="H396" t="s">
        <v>230</v>
      </c>
      <c r="I396" t="s">
        <v>3989</v>
      </c>
      <c r="K396">
        <v>7.2</v>
      </c>
      <c r="M396" t="s">
        <v>758</v>
      </c>
      <c r="N396" t="s">
        <v>326</v>
      </c>
      <c r="O396" t="s">
        <v>1706</v>
      </c>
      <c r="P396">
        <v>15815</v>
      </c>
      <c r="Q396" s="3"/>
      <c r="R396" s="3">
        <f>IF(Table1[[#This Row],[Gross_millions]]=" ",0,Table1[[#This Row],[Gross_millions]])</f>
        <v>0</v>
      </c>
      <c r="S396" t="str">
        <f>IF(Table1[[#This Row],[Gross_millions_Clean]]&gt;200,"Blockbuster",IF(Table1[[#This Row],[Gross_millions_Clean]]&gt;100,"Hit","Average"))</f>
        <v>Average</v>
      </c>
    </row>
    <row r="397" spans="1:19" x14ac:dyDescent="0.3">
      <c r="A397" t="s">
        <v>1707</v>
      </c>
      <c r="B397" t="s">
        <v>1708</v>
      </c>
      <c r="C397">
        <v>2007</v>
      </c>
      <c r="D397" s="8">
        <f>FLOOR(Table1[[#This Row],[Year]],10)</f>
        <v>2000</v>
      </c>
      <c r="E397" t="s">
        <v>169</v>
      </c>
      <c r="F397">
        <v>88</v>
      </c>
      <c r="G397" t="str">
        <f>IF(Table1[[#This Row],[Runtime_minutes]]&lt;90,"Short",IF(Table1[[#This Row],[Runtime_minutes]]&lt;=120,"Medium","Long"))</f>
        <v>Short</v>
      </c>
      <c r="H397" t="s">
        <v>37</v>
      </c>
      <c r="K397">
        <v>7.2</v>
      </c>
      <c r="L397">
        <v>71</v>
      </c>
      <c r="M397" t="s">
        <v>1709</v>
      </c>
      <c r="N397" t="s">
        <v>137</v>
      </c>
      <c r="O397" t="s">
        <v>1710</v>
      </c>
      <c r="P397">
        <v>1247265</v>
      </c>
      <c r="Q397" s="3"/>
      <c r="R397" s="3">
        <f>IF(Table1[[#This Row],[Gross_millions]]=" ",0,Table1[[#This Row],[Gross_millions]])</f>
        <v>0</v>
      </c>
      <c r="S397" t="str">
        <f>IF(Table1[[#This Row],[Gross_millions_Clean]]&gt;200,"Blockbuster",IF(Table1[[#This Row],[Gross_millions_Clean]]&gt;100,"Hit","Average"))</f>
        <v>Average</v>
      </c>
    </row>
    <row r="398" spans="1:19" x14ac:dyDescent="0.3">
      <c r="A398" t="s">
        <v>1711</v>
      </c>
      <c r="B398" t="s">
        <v>1712</v>
      </c>
      <c r="C398">
        <v>2010</v>
      </c>
      <c r="D398" s="8">
        <f>FLOOR(Table1[[#This Row],[Year]],10)</f>
        <v>2010</v>
      </c>
      <c r="E398" t="s">
        <v>17</v>
      </c>
      <c r="F398">
        <v>98</v>
      </c>
      <c r="G398" t="str">
        <f>IF(Table1[[#This Row],[Runtime_minutes]]&lt;90,"Short",IF(Table1[[#This Row],[Runtime_minutes]]&lt;=120,"Medium","Long"))</f>
        <v>Medium</v>
      </c>
      <c r="H398" t="s">
        <v>78</v>
      </c>
      <c r="I398" t="s">
        <v>3982</v>
      </c>
      <c r="K398">
        <v>7.2</v>
      </c>
      <c r="L398">
        <v>57</v>
      </c>
      <c r="M398" t="s">
        <v>1713</v>
      </c>
      <c r="N398" t="s">
        <v>251</v>
      </c>
      <c r="O398" t="s">
        <v>1714</v>
      </c>
      <c r="P398">
        <v>45219</v>
      </c>
      <c r="Q398" s="3">
        <v>96.15</v>
      </c>
      <c r="R398" s="3">
        <f>IF(Table1[[#This Row],[Gross_millions]]=" ",0,Table1[[#This Row],[Gross_millions]])</f>
        <v>96.15</v>
      </c>
      <c r="S398" t="str">
        <f>IF(Table1[[#This Row],[Gross_millions_Clean]]&gt;200,"Blockbuster",IF(Table1[[#This Row],[Gross_millions_Clean]]&gt;100,"Hit","Average"))</f>
        <v>Average</v>
      </c>
    </row>
    <row r="399" spans="1:19" x14ac:dyDescent="0.3">
      <c r="A399" t="s">
        <v>1715</v>
      </c>
      <c r="B399" t="s">
        <v>1716</v>
      </c>
      <c r="C399">
        <v>2017</v>
      </c>
      <c r="D399" s="8">
        <f>FLOOR(Table1[[#This Row],[Year]],10)</f>
        <v>2010</v>
      </c>
      <c r="E399" t="s">
        <v>24</v>
      </c>
      <c r="F399">
        <v>130</v>
      </c>
      <c r="G399" t="str">
        <f>IF(Table1[[#This Row],[Runtime_minutes]]&lt;90,"Short",IF(Table1[[#This Row],[Runtime_minutes]]&lt;=120,"Medium","Long"))</f>
        <v>Long</v>
      </c>
      <c r="H399" t="s">
        <v>606</v>
      </c>
      <c r="I399" t="s">
        <v>3993</v>
      </c>
      <c r="K399">
        <v>7.2</v>
      </c>
      <c r="M399" t="s">
        <v>1718</v>
      </c>
      <c r="N399" t="s">
        <v>80</v>
      </c>
      <c r="O399" t="s">
        <v>1719</v>
      </c>
      <c r="P399">
        <v>490116</v>
      </c>
      <c r="Q399" s="3">
        <v>448.96</v>
      </c>
      <c r="R399" s="3">
        <f>IF(Table1[[#This Row],[Gross_millions]]=" ",0,Table1[[#This Row],[Gross_millions]])</f>
        <v>448.96</v>
      </c>
      <c r="S399" t="str">
        <f>IF(Table1[[#This Row],[Gross_millions_Clean]]&gt;200,"Blockbuster",IF(Table1[[#This Row],[Gross_millions_Clean]]&gt;100,"Hit","Average"))</f>
        <v>Blockbuster</v>
      </c>
    </row>
    <row r="400" spans="1:19" x14ac:dyDescent="0.3">
      <c r="A400" t="s">
        <v>1720</v>
      </c>
      <c r="B400" t="s">
        <v>1721</v>
      </c>
      <c r="C400">
        <v>2015</v>
      </c>
      <c r="D400" s="8">
        <f>FLOOR(Table1[[#This Row],[Year]],10)</f>
        <v>2010</v>
      </c>
      <c r="E400" t="s">
        <v>285</v>
      </c>
      <c r="F400">
        <v>123</v>
      </c>
      <c r="G400" t="str">
        <f>IF(Table1[[#This Row],[Runtime_minutes]]&lt;90,"Short",IF(Table1[[#This Row],[Runtime_minutes]]&lt;=120,"Medium","Long"))</f>
        <v>Long</v>
      </c>
      <c r="H400" t="s">
        <v>129</v>
      </c>
      <c r="I400" t="s">
        <v>3991</v>
      </c>
      <c r="K400">
        <v>7.2</v>
      </c>
      <c r="L400">
        <v>78</v>
      </c>
      <c r="M400" t="s">
        <v>1091</v>
      </c>
      <c r="N400" t="s">
        <v>103</v>
      </c>
      <c r="O400" t="s">
        <v>1723</v>
      </c>
      <c r="P400">
        <v>109802</v>
      </c>
      <c r="Q400" s="3">
        <v>252.54</v>
      </c>
      <c r="R400" s="3">
        <f>IF(Table1[[#This Row],[Gross_millions]]=" ",0,Table1[[#This Row],[Gross_millions]])</f>
        <v>252.54</v>
      </c>
      <c r="S400" t="str">
        <f>IF(Table1[[#This Row],[Gross_millions_Clean]]&gt;200,"Blockbuster",IF(Table1[[#This Row],[Gross_millions_Clean]]&gt;100,"Hit","Average"))</f>
        <v>Blockbuster</v>
      </c>
    </row>
    <row r="401" spans="1:19" x14ac:dyDescent="0.3">
      <c r="A401" t="s">
        <v>1724</v>
      </c>
      <c r="B401" t="s">
        <v>1725</v>
      </c>
      <c r="C401">
        <v>2015</v>
      </c>
      <c r="D401" s="8">
        <f>FLOOR(Table1[[#This Row],[Year]],10)</f>
        <v>2010</v>
      </c>
      <c r="E401" t="s">
        <v>54</v>
      </c>
      <c r="F401">
        <v>86</v>
      </c>
      <c r="G401" t="str">
        <f>IF(Table1[[#This Row],[Runtime_minutes]]&lt;90,"Short",IF(Table1[[#This Row],[Runtime_minutes]]&lt;=120,"Medium","Long"))</f>
        <v>Short</v>
      </c>
      <c r="H401" t="s">
        <v>230</v>
      </c>
      <c r="K401">
        <v>7.2</v>
      </c>
      <c r="M401" t="s">
        <v>1726</v>
      </c>
      <c r="N401" t="s">
        <v>119</v>
      </c>
      <c r="O401" t="s">
        <v>1727</v>
      </c>
      <c r="P401">
        <v>81759</v>
      </c>
      <c r="Q401" s="3"/>
      <c r="R401" s="3">
        <f>IF(Table1[[#This Row],[Gross_millions]]=" ",0,Table1[[#This Row],[Gross_millions]])</f>
        <v>0</v>
      </c>
      <c r="S401" t="str">
        <f>IF(Table1[[#This Row],[Gross_millions_Clean]]&gt;200,"Blockbuster",IF(Table1[[#This Row],[Gross_millions_Clean]]&gt;100,"Hit","Average"))</f>
        <v>Average</v>
      </c>
    </row>
    <row r="402" spans="1:19" x14ac:dyDescent="0.3">
      <c r="A402" t="s">
        <v>1728</v>
      </c>
      <c r="B402" t="s">
        <v>1729</v>
      </c>
      <c r="C402">
        <v>2013</v>
      </c>
      <c r="D402" s="8">
        <f>FLOOR(Table1[[#This Row],[Year]],10)</f>
        <v>2010</v>
      </c>
      <c r="E402" t="s">
        <v>17</v>
      </c>
      <c r="F402">
        <v>136</v>
      </c>
      <c r="G402" t="str">
        <f>IF(Table1[[#This Row],[Runtime_minutes]]&lt;90,"Short",IF(Table1[[#This Row],[Runtime_minutes]]&lt;=120,"Medium","Long"))</f>
        <v>Long</v>
      </c>
      <c r="H402" t="s">
        <v>72</v>
      </c>
      <c r="I402" t="s">
        <v>3984</v>
      </c>
      <c r="J402" t="s">
        <v>3990</v>
      </c>
      <c r="K402">
        <v>7.2</v>
      </c>
      <c r="L402">
        <v>75</v>
      </c>
      <c r="M402" t="s">
        <v>1155</v>
      </c>
      <c r="N402" t="s">
        <v>92</v>
      </c>
      <c r="O402" t="s">
        <v>1731</v>
      </c>
      <c r="P402">
        <v>53892</v>
      </c>
      <c r="Q402" s="3"/>
      <c r="R402" s="3">
        <f>IF(Table1[[#This Row],[Gross_millions]]=" ",0,Table1[[#This Row],[Gross_millions]])</f>
        <v>0</v>
      </c>
      <c r="S402" t="str">
        <f>IF(Table1[[#This Row],[Gross_millions_Clean]]&gt;200,"Blockbuster",IF(Table1[[#This Row],[Gross_millions_Clean]]&gt;100,"Hit","Average"))</f>
        <v>Average</v>
      </c>
    </row>
    <row r="403" spans="1:19" x14ac:dyDescent="0.3">
      <c r="A403" t="s">
        <v>1732</v>
      </c>
      <c r="B403" t="s">
        <v>1733</v>
      </c>
      <c r="C403">
        <v>2019</v>
      </c>
      <c r="D403" s="8">
        <f>FLOOR(Table1[[#This Row],[Year]],10)</f>
        <v>2010</v>
      </c>
      <c r="E403" t="s">
        <v>24</v>
      </c>
      <c r="F403">
        <v>100</v>
      </c>
      <c r="G403" t="str">
        <f>IF(Table1[[#This Row],[Runtime_minutes]]&lt;90,"Short",IF(Table1[[#This Row],[Runtime_minutes]]&lt;=120,"Medium","Long"))</f>
        <v>Medium</v>
      </c>
      <c r="H403" t="s">
        <v>48</v>
      </c>
      <c r="I403" t="s">
        <v>3989</v>
      </c>
      <c r="J403" t="s">
        <v>3986</v>
      </c>
      <c r="K403">
        <v>7.2</v>
      </c>
      <c r="L403">
        <v>71</v>
      </c>
      <c r="M403" t="s">
        <v>566</v>
      </c>
      <c r="N403" t="s">
        <v>125</v>
      </c>
      <c r="O403" t="s">
        <v>1735</v>
      </c>
      <c r="P403">
        <v>127797</v>
      </c>
      <c r="Q403" s="3"/>
      <c r="R403" s="3">
        <f>IF(Table1[[#This Row],[Gross_millions]]=" ",0,Table1[[#This Row],[Gross_millions]])</f>
        <v>0</v>
      </c>
      <c r="S403" t="str">
        <f>IF(Table1[[#This Row],[Gross_millions_Clean]]&gt;200,"Blockbuster",IF(Table1[[#This Row],[Gross_millions_Clean]]&gt;100,"Hit","Average"))</f>
        <v>Average</v>
      </c>
    </row>
    <row r="404" spans="1:19" x14ac:dyDescent="0.3">
      <c r="A404" t="s">
        <v>1736</v>
      </c>
      <c r="B404" t="s">
        <v>1737</v>
      </c>
      <c r="C404">
        <v>2014</v>
      </c>
      <c r="D404" s="8">
        <f>FLOOR(Table1[[#This Row],[Year]],10)</f>
        <v>2010</v>
      </c>
      <c r="E404" t="s">
        <v>17</v>
      </c>
      <c r="F404">
        <v>117</v>
      </c>
      <c r="G404" t="str">
        <f>IF(Table1[[#This Row],[Runtime_minutes]]&lt;90,"Short",IF(Table1[[#This Row],[Runtime_minutes]]&lt;=120,"Medium","Long"))</f>
        <v>Medium</v>
      </c>
      <c r="H404" t="s">
        <v>37</v>
      </c>
      <c r="I404" t="s">
        <v>3980</v>
      </c>
      <c r="K404">
        <v>7.2</v>
      </c>
      <c r="L404">
        <v>61</v>
      </c>
      <c r="M404" t="s">
        <v>1738</v>
      </c>
      <c r="N404" t="s">
        <v>50</v>
      </c>
      <c r="O404" t="s">
        <v>1739</v>
      </c>
      <c r="P404">
        <v>51285</v>
      </c>
      <c r="Q404" s="3">
        <v>321.63</v>
      </c>
      <c r="R404" s="3">
        <f>IF(Table1[[#This Row],[Gross_millions]]=" ",0,Table1[[#This Row],[Gross_millions]])</f>
        <v>321.63</v>
      </c>
      <c r="S404" t="str">
        <f>IF(Table1[[#This Row],[Gross_millions_Clean]]&gt;200,"Blockbuster",IF(Table1[[#This Row],[Gross_millions_Clean]]&gt;100,"Hit","Average"))</f>
        <v>Blockbuster</v>
      </c>
    </row>
    <row r="405" spans="1:19" x14ac:dyDescent="0.3">
      <c r="A405" t="s">
        <v>1740</v>
      </c>
      <c r="B405" t="s">
        <v>1741</v>
      </c>
      <c r="C405">
        <v>2013</v>
      </c>
      <c r="D405" s="8">
        <f>FLOOR(Table1[[#This Row],[Year]],10)</f>
        <v>2010</v>
      </c>
      <c r="E405" t="s">
        <v>17</v>
      </c>
      <c r="F405">
        <v>119</v>
      </c>
      <c r="G405" t="str">
        <f>IF(Table1[[#This Row],[Runtime_minutes]]&lt;90,"Short",IF(Table1[[#This Row],[Runtime_minutes]]&lt;=120,"Medium","Long"))</f>
        <v>Medium</v>
      </c>
      <c r="H405" t="s">
        <v>767</v>
      </c>
      <c r="K405">
        <v>7.2</v>
      </c>
      <c r="L405">
        <v>80</v>
      </c>
      <c r="M405" t="s">
        <v>85</v>
      </c>
      <c r="N405" t="s">
        <v>524</v>
      </c>
      <c r="O405" t="s">
        <v>1742</v>
      </c>
      <c r="P405">
        <v>27594</v>
      </c>
      <c r="Q405" s="3"/>
      <c r="R405" s="3">
        <f>IF(Table1[[#This Row],[Gross_millions]]=" ",0,Table1[[#This Row],[Gross_millions]])</f>
        <v>0</v>
      </c>
      <c r="S405" t="str">
        <f>IF(Table1[[#This Row],[Gross_millions_Clean]]&gt;200,"Blockbuster",IF(Table1[[#This Row],[Gross_millions_Clean]]&gt;100,"Hit","Average"))</f>
        <v>Average</v>
      </c>
    </row>
    <row r="406" spans="1:19" x14ac:dyDescent="0.3">
      <c r="A406" t="s">
        <v>1743</v>
      </c>
      <c r="B406" t="s">
        <v>1744</v>
      </c>
      <c r="C406">
        <v>2015</v>
      </c>
      <c r="D406" s="8">
        <f>FLOOR(Table1[[#This Row],[Year]],10)</f>
        <v>2010</v>
      </c>
      <c r="E406" t="s">
        <v>54</v>
      </c>
      <c r="F406">
        <v>88</v>
      </c>
      <c r="G406" t="str">
        <f>IF(Table1[[#This Row],[Runtime_minutes]]&lt;90,"Short",IF(Table1[[#This Row],[Runtime_minutes]]&lt;=120,"Medium","Long"))</f>
        <v>Short</v>
      </c>
      <c r="H406" t="s">
        <v>235</v>
      </c>
      <c r="I406" t="s">
        <v>3985</v>
      </c>
      <c r="J406" t="s">
        <v>3991</v>
      </c>
      <c r="K406">
        <v>7.2</v>
      </c>
      <c r="M406" t="s">
        <v>1746</v>
      </c>
      <c r="N406" t="s">
        <v>92</v>
      </c>
      <c r="O406" t="s">
        <v>1747</v>
      </c>
      <c r="P406">
        <v>58136</v>
      </c>
      <c r="Q406" s="3">
        <v>320.44</v>
      </c>
      <c r="R406" s="3">
        <f>IF(Table1[[#This Row],[Gross_millions]]=" ",0,Table1[[#This Row],[Gross_millions]])</f>
        <v>320.44</v>
      </c>
      <c r="S406" t="str">
        <f>IF(Table1[[#This Row],[Gross_millions_Clean]]&gt;200,"Blockbuster",IF(Table1[[#This Row],[Gross_millions_Clean]]&gt;100,"Hit","Average"))</f>
        <v>Blockbuster</v>
      </c>
    </row>
    <row r="407" spans="1:19" x14ac:dyDescent="0.3">
      <c r="A407" t="s">
        <v>1748</v>
      </c>
      <c r="B407" t="s">
        <v>1749</v>
      </c>
      <c r="C407">
        <v>1994</v>
      </c>
      <c r="D407" s="8">
        <f>FLOOR(Table1[[#This Row],[Year]],10)</f>
        <v>1990</v>
      </c>
      <c r="E407" t="s">
        <v>17</v>
      </c>
      <c r="F407">
        <v>102</v>
      </c>
      <c r="G407" t="str">
        <f>IF(Table1[[#This Row],[Runtime_minutes]]&lt;90,"Short",IF(Table1[[#This Row],[Runtime_minutes]]&lt;=120,"Medium","Long"))</f>
        <v>Medium</v>
      </c>
      <c r="H407" t="s">
        <v>1044</v>
      </c>
      <c r="K407">
        <v>7.2</v>
      </c>
      <c r="M407" t="s">
        <v>164</v>
      </c>
      <c r="N407" t="s">
        <v>113</v>
      </c>
      <c r="O407" t="s">
        <v>1750</v>
      </c>
      <c r="P407">
        <v>8263</v>
      </c>
      <c r="Q407" s="3"/>
      <c r="R407" s="3">
        <f>IF(Table1[[#This Row],[Gross_millions]]=" ",0,Table1[[#This Row],[Gross_millions]])</f>
        <v>0</v>
      </c>
      <c r="S407" t="str">
        <f>IF(Table1[[#This Row],[Gross_millions_Clean]]&gt;200,"Blockbuster",IF(Table1[[#This Row],[Gross_millions_Clean]]&gt;100,"Hit","Average"))</f>
        <v>Average</v>
      </c>
    </row>
    <row r="408" spans="1:19" x14ac:dyDescent="0.3">
      <c r="A408" t="s">
        <v>1751</v>
      </c>
      <c r="B408" t="s">
        <v>1752</v>
      </c>
      <c r="C408">
        <v>2009</v>
      </c>
      <c r="D408" s="8">
        <f>FLOOR(Table1[[#This Row],[Year]],10)</f>
        <v>2000</v>
      </c>
      <c r="E408" t="s">
        <v>54</v>
      </c>
      <c r="F408">
        <v>137</v>
      </c>
      <c r="G408" t="str">
        <f>IF(Table1[[#This Row],[Runtime_minutes]]&lt;90,"Short",IF(Table1[[#This Row],[Runtime_minutes]]&lt;=120,"Medium","Long"))</f>
        <v>Long</v>
      </c>
      <c r="H408" t="s">
        <v>72</v>
      </c>
      <c r="I408" t="s">
        <v>3986</v>
      </c>
      <c r="K408">
        <v>7.2</v>
      </c>
      <c r="M408" t="s">
        <v>491</v>
      </c>
      <c r="N408" t="s">
        <v>221</v>
      </c>
      <c r="O408" t="s">
        <v>1753</v>
      </c>
      <c r="P408">
        <v>16822</v>
      </c>
      <c r="Q408" s="3"/>
      <c r="R408" s="3">
        <f>IF(Table1[[#This Row],[Gross_millions]]=" ",0,Table1[[#This Row],[Gross_millions]])</f>
        <v>0</v>
      </c>
      <c r="S408" t="str">
        <f>IF(Table1[[#This Row],[Gross_millions_Clean]]&gt;200,"Blockbuster",IF(Table1[[#This Row],[Gross_millions_Clean]]&gt;100,"Hit","Average"))</f>
        <v>Average</v>
      </c>
    </row>
    <row r="409" spans="1:19" x14ac:dyDescent="0.3">
      <c r="A409" t="s">
        <v>1754</v>
      </c>
      <c r="B409" t="s">
        <v>1755</v>
      </c>
      <c r="C409">
        <v>2015</v>
      </c>
      <c r="D409" s="8">
        <f>FLOOR(Table1[[#This Row],[Year]],10)</f>
        <v>2010</v>
      </c>
      <c r="E409" t="s">
        <v>24</v>
      </c>
      <c r="F409">
        <v>124</v>
      </c>
      <c r="G409" t="str">
        <f>IF(Table1[[#This Row],[Runtime_minutes]]&lt;90,"Short",IF(Table1[[#This Row],[Runtime_minutes]]&lt;=120,"Medium","Long"))</f>
        <v>Long</v>
      </c>
      <c r="H409" t="s">
        <v>453</v>
      </c>
      <c r="I409" t="s">
        <v>3978</v>
      </c>
      <c r="J409" t="s">
        <v>3983</v>
      </c>
      <c r="K409">
        <v>7.2</v>
      </c>
      <c r="L409">
        <v>69</v>
      </c>
      <c r="M409" t="s">
        <v>435</v>
      </c>
      <c r="N409" t="s">
        <v>147</v>
      </c>
      <c r="O409" t="s">
        <v>1757</v>
      </c>
      <c r="P409">
        <v>121540</v>
      </c>
      <c r="Q409" s="3">
        <v>394.01</v>
      </c>
      <c r="R409" s="3">
        <f>IF(Table1[[#This Row],[Gross_millions]]=" ",0,Table1[[#This Row],[Gross_millions]])</f>
        <v>394.01</v>
      </c>
      <c r="S409" t="str">
        <f>IF(Table1[[#This Row],[Gross_millions_Clean]]&gt;200,"Blockbuster",IF(Table1[[#This Row],[Gross_millions_Clean]]&gt;100,"Hit","Average"))</f>
        <v>Blockbuster</v>
      </c>
    </row>
    <row r="410" spans="1:19" x14ac:dyDescent="0.3">
      <c r="A410" t="s">
        <v>1758</v>
      </c>
      <c r="B410" t="s">
        <v>1759</v>
      </c>
      <c r="C410">
        <v>2018</v>
      </c>
      <c r="D410" s="8">
        <f>FLOOR(Table1[[#This Row],[Year]],10)</f>
        <v>2010</v>
      </c>
      <c r="E410" t="s">
        <v>54</v>
      </c>
      <c r="F410">
        <v>94</v>
      </c>
      <c r="G410" t="str">
        <f>IF(Table1[[#This Row],[Runtime_minutes]]&lt;90,"Short",IF(Table1[[#This Row],[Runtime_minutes]]&lt;=120,"Medium","Long"))</f>
        <v>Medium</v>
      </c>
      <c r="H410" t="s">
        <v>48</v>
      </c>
      <c r="I410" t="s">
        <v>3991</v>
      </c>
      <c r="K410">
        <v>7.2</v>
      </c>
      <c r="L410">
        <v>75</v>
      </c>
      <c r="M410" t="s">
        <v>1760</v>
      </c>
      <c r="N410" t="s">
        <v>368</v>
      </c>
      <c r="O410" t="s">
        <v>1761</v>
      </c>
      <c r="P410">
        <v>22538</v>
      </c>
      <c r="Q410" s="3">
        <v>411.23</v>
      </c>
      <c r="R410" s="3">
        <f>IF(Table1[[#This Row],[Gross_millions]]=" ",0,Table1[[#This Row],[Gross_millions]])</f>
        <v>411.23</v>
      </c>
      <c r="S410" t="str">
        <f>IF(Table1[[#This Row],[Gross_millions_Clean]]&gt;200,"Blockbuster",IF(Table1[[#This Row],[Gross_millions_Clean]]&gt;100,"Hit","Average"))</f>
        <v>Blockbuster</v>
      </c>
    </row>
    <row r="411" spans="1:19" x14ac:dyDescent="0.3">
      <c r="A411" t="s">
        <v>1762</v>
      </c>
      <c r="B411" t="s">
        <v>1763</v>
      </c>
      <c r="C411">
        <v>2014</v>
      </c>
      <c r="D411" s="8">
        <f>FLOOR(Table1[[#This Row],[Year]],10)</f>
        <v>2010</v>
      </c>
      <c r="E411" t="s">
        <v>17</v>
      </c>
      <c r="F411">
        <v>152</v>
      </c>
      <c r="G411" t="str">
        <f>IF(Table1[[#This Row],[Runtime_minutes]]&lt;90,"Short",IF(Table1[[#This Row],[Runtime_minutes]]&lt;=120,"Medium","Long"))</f>
        <v>Long</v>
      </c>
      <c r="H411" t="s">
        <v>453</v>
      </c>
      <c r="K411">
        <v>7.2</v>
      </c>
      <c r="M411" t="s">
        <v>1764</v>
      </c>
      <c r="N411" t="s">
        <v>326</v>
      </c>
      <c r="O411" t="s">
        <v>1765</v>
      </c>
      <c r="P411">
        <v>180289</v>
      </c>
      <c r="Q411" s="3">
        <v>68.8</v>
      </c>
      <c r="R411" s="3">
        <f>IF(Table1[[#This Row],[Gross_millions]]=" ",0,Table1[[#This Row],[Gross_millions]])</f>
        <v>68.8</v>
      </c>
      <c r="S411" t="str">
        <f>IF(Table1[[#This Row],[Gross_millions_Clean]]&gt;200,"Blockbuster",IF(Table1[[#This Row],[Gross_millions_Clean]]&gt;100,"Hit","Average"))</f>
        <v>Average</v>
      </c>
    </row>
    <row r="412" spans="1:19" x14ac:dyDescent="0.3">
      <c r="A412" t="s">
        <v>1766</v>
      </c>
      <c r="B412" t="s">
        <v>1767</v>
      </c>
      <c r="C412">
        <v>2000</v>
      </c>
      <c r="D412" s="8">
        <f>FLOOR(Table1[[#This Row],[Year]],10)</f>
        <v>2000</v>
      </c>
      <c r="E412" t="s">
        <v>24</v>
      </c>
      <c r="F412">
        <v>104</v>
      </c>
      <c r="G412" t="str">
        <f>IF(Table1[[#This Row],[Runtime_minutes]]&lt;90,"Short",IF(Table1[[#This Row],[Runtime_minutes]]&lt;=120,"Medium","Long"))</f>
        <v>Medium</v>
      </c>
      <c r="H412" t="s">
        <v>129</v>
      </c>
      <c r="I412" t="s">
        <v>3976</v>
      </c>
      <c r="J412" t="s">
        <v>3986</v>
      </c>
      <c r="K412">
        <v>7.2</v>
      </c>
      <c r="M412" t="s">
        <v>634</v>
      </c>
      <c r="N412" t="s">
        <v>63</v>
      </c>
      <c r="O412" t="s">
        <v>1769</v>
      </c>
      <c r="P412">
        <v>21664</v>
      </c>
      <c r="Q412" s="3">
        <v>158.41999999999999</v>
      </c>
      <c r="R412" s="3">
        <f>IF(Table1[[#This Row],[Gross_millions]]=" ",0,Table1[[#This Row],[Gross_millions]])</f>
        <v>158.41999999999999</v>
      </c>
      <c r="S412" t="str">
        <f>IF(Table1[[#This Row],[Gross_millions_Clean]]&gt;200,"Blockbuster",IF(Table1[[#This Row],[Gross_millions_Clean]]&gt;100,"Hit","Average"))</f>
        <v>Hit</v>
      </c>
    </row>
    <row r="413" spans="1:19" x14ac:dyDescent="0.3">
      <c r="A413" t="s">
        <v>1770</v>
      </c>
      <c r="B413" t="s">
        <v>1771</v>
      </c>
      <c r="C413">
        <v>2018</v>
      </c>
      <c r="D413" s="8">
        <f>FLOOR(Table1[[#This Row],[Year]],10)</f>
        <v>2010</v>
      </c>
      <c r="E413" t="s">
        <v>24</v>
      </c>
      <c r="F413">
        <v>126</v>
      </c>
      <c r="G413" t="str">
        <f>IF(Table1[[#This Row],[Runtime_minutes]]&lt;90,"Short",IF(Table1[[#This Row],[Runtime_minutes]]&lt;=120,"Medium","Long"))</f>
        <v>Long</v>
      </c>
      <c r="H413" t="s">
        <v>48</v>
      </c>
      <c r="K413">
        <v>7.2</v>
      </c>
      <c r="M413" t="s">
        <v>1760</v>
      </c>
      <c r="N413" t="s">
        <v>50</v>
      </c>
      <c r="O413" t="s">
        <v>1772</v>
      </c>
      <c r="P413">
        <v>5982</v>
      </c>
      <c r="Q413" s="3">
        <v>29.36</v>
      </c>
      <c r="R413" s="3">
        <f>IF(Table1[[#This Row],[Gross_millions]]=" ",0,Table1[[#This Row],[Gross_millions]])</f>
        <v>29.36</v>
      </c>
      <c r="S413" t="str">
        <f>IF(Table1[[#This Row],[Gross_millions_Clean]]&gt;200,"Blockbuster",IF(Table1[[#This Row],[Gross_millions_Clean]]&gt;100,"Hit","Average"))</f>
        <v>Average</v>
      </c>
    </row>
    <row r="414" spans="1:19" x14ac:dyDescent="0.3">
      <c r="A414" t="s">
        <v>1773</v>
      </c>
      <c r="B414" t="s">
        <v>1774</v>
      </c>
      <c r="C414">
        <v>2011</v>
      </c>
      <c r="D414" s="8">
        <f>FLOOR(Table1[[#This Row],[Year]],10)</f>
        <v>2010</v>
      </c>
      <c r="E414" t="s">
        <v>169</v>
      </c>
      <c r="F414">
        <v>137</v>
      </c>
      <c r="G414" t="str">
        <f>IF(Table1[[#This Row],[Runtime_minutes]]&lt;90,"Short",IF(Table1[[#This Row],[Runtime_minutes]]&lt;=120,"Medium","Long"))</f>
        <v>Long</v>
      </c>
      <c r="H414" t="s">
        <v>235</v>
      </c>
      <c r="I414" t="s">
        <v>3992</v>
      </c>
      <c r="K414">
        <v>7.2</v>
      </c>
      <c r="L414">
        <v>60</v>
      </c>
      <c r="M414" t="s">
        <v>1776</v>
      </c>
      <c r="N414" t="s">
        <v>608</v>
      </c>
      <c r="O414" t="s">
        <v>1777</v>
      </c>
      <c r="P414">
        <v>119962</v>
      </c>
      <c r="Q414" s="3">
        <v>30.56</v>
      </c>
      <c r="R414" s="3">
        <f>IF(Table1[[#This Row],[Gross_millions]]=" ",0,Table1[[#This Row],[Gross_millions]])</f>
        <v>30.56</v>
      </c>
      <c r="S414" t="str">
        <f>IF(Table1[[#This Row],[Gross_millions_Clean]]&gt;200,"Blockbuster",IF(Table1[[#This Row],[Gross_millions_Clean]]&gt;100,"Hit","Average"))</f>
        <v>Average</v>
      </c>
    </row>
    <row r="415" spans="1:19" x14ac:dyDescent="0.3">
      <c r="A415" t="s">
        <v>1778</v>
      </c>
      <c r="B415" t="s">
        <v>1779</v>
      </c>
      <c r="C415">
        <v>2014</v>
      </c>
      <c r="D415" s="8">
        <f>FLOOR(Table1[[#This Row],[Year]],10)</f>
        <v>2010</v>
      </c>
      <c r="E415" t="s">
        <v>285</v>
      </c>
      <c r="F415">
        <v>76</v>
      </c>
      <c r="G415" t="str">
        <f>IF(Table1[[#This Row],[Runtime_minutes]]&lt;90,"Short",IF(Table1[[#This Row],[Runtime_minutes]]&lt;=120,"Medium","Long"))</f>
        <v>Short</v>
      </c>
      <c r="H415" t="s">
        <v>55</v>
      </c>
      <c r="K415">
        <v>7.2</v>
      </c>
      <c r="M415" t="s">
        <v>852</v>
      </c>
      <c r="N415" t="s">
        <v>483</v>
      </c>
      <c r="O415" t="s">
        <v>1780</v>
      </c>
      <c r="P415">
        <v>28195</v>
      </c>
      <c r="Q415" s="3">
        <v>397.7</v>
      </c>
      <c r="R415" s="3">
        <f>IF(Table1[[#This Row],[Gross_millions]]=" ",0,Table1[[#This Row],[Gross_millions]])</f>
        <v>397.7</v>
      </c>
      <c r="S415" t="str">
        <f>IF(Table1[[#This Row],[Gross_millions_Clean]]&gt;200,"Blockbuster",IF(Table1[[#This Row],[Gross_millions_Clean]]&gt;100,"Hit","Average"))</f>
        <v>Blockbuster</v>
      </c>
    </row>
    <row r="416" spans="1:19" x14ac:dyDescent="0.3">
      <c r="A416" t="s">
        <v>1781</v>
      </c>
      <c r="B416" t="s">
        <v>1782</v>
      </c>
      <c r="C416">
        <v>2009</v>
      </c>
      <c r="D416" s="8">
        <f>FLOOR(Table1[[#This Row],[Year]],10)</f>
        <v>2000</v>
      </c>
      <c r="E416" t="s">
        <v>54</v>
      </c>
      <c r="F416">
        <v>109</v>
      </c>
      <c r="G416" t="str">
        <f>IF(Table1[[#This Row],[Runtime_minutes]]&lt;90,"Short",IF(Table1[[#This Row],[Runtime_minutes]]&lt;=120,"Medium","Long"))</f>
        <v>Medium</v>
      </c>
      <c r="H416" t="s">
        <v>767</v>
      </c>
      <c r="I416" t="s">
        <v>3981</v>
      </c>
      <c r="K416">
        <v>7.2</v>
      </c>
      <c r="L416">
        <v>72</v>
      </c>
      <c r="M416" t="s">
        <v>85</v>
      </c>
      <c r="N416" t="s">
        <v>137</v>
      </c>
      <c r="O416" t="s">
        <v>1783</v>
      </c>
      <c r="P416">
        <v>6513</v>
      </c>
      <c r="Q416" s="3">
        <v>106.79</v>
      </c>
      <c r="R416" s="3">
        <f>IF(Table1[[#This Row],[Gross_millions]]=" ",0,Table1[[#This Row],[Gross_millions]])</f>
        <v>106.79</v>
      </c>
      <c r="S416" t="str">
        <f>IF(Table1[[#This Row],[Gross_millions_Clean]]&gt;200,"Blockbuster",IF(Table1[[#This Row],[Gross_millions_Clean]]&gt;100,"Hit","Average"))</f>
        <v>Hit</v>
      </c>
    </row>
    <row r="417" spans="1:19" x14ac:dyDescent="0.3">
      <c r="A417" t="s">
        <v>1784</v>
      </c>
      <c r="B417" t="s">
        <v>1785</v>
      </c>
      <c r="C417">
        <v>2012</v>
      </c>
      <c r="D417" s="8">
        <f>FLOOR(Table1[[#This Row],[Year]],10)</f>
        <v>2010</v>
      </c>
      <c r="E417" t="s">
        <v>17</v>
      </c>
      <c r="F417">
        <v>168</v>
      </c>
      <c r="G417" t="str">
        <f>IF(Table1[[#This Row],[Runtime_minutes]]&lt;90,"Short",IF(Table1[[#This Row],[Runtime_minutes]]&lt;=120,"Medium","Long"))</f>
        <v>Long</v>
      </c>
      <c r="H417" t="s">
        <v>210</v>
      </c>
      <c r="I417" t="s">
        <v>3985</v>
      </c>
      <c r="K417">
        <v>7.2</v>
      </c>
      <c r="L417">
        <v>67</v>
      </c>
      <c r="M417" t="s">
        <v>1787</v>
      </c>
      <c r="N417" t="s">
        <v>718</v>
      </c>
      <c r="O417" t="s">
        <v>1788</v>
      </c>
      <c r="P417">
        <v>7582</v>
      </c>
      <c r="Q417" s="3"/>
      <c r="R417" s="3">
        <f>IF(Table1[[#This Row],[Gross_millions]]=" ",0,Table1[[#This Row],[Gross_millions]])</f>
        <v>0</v>
      </c>
      <c r="S417" t="str">
        <f>IF(Table1[[#This Row],[Gross_millions_Clean]]&gt;200,"Blockbuster",IF(Table1[[#This Row],[Gross_millions_Clean]]&gt;100,"Hit","Average"))</f>
        <v>Average</v>
      </c>
    </row>
    <row r="418" spans="1:19" x14ac:dyDescent="0.3">
      <c r="A418" t="s">
        <v>1789</v>
      </c>
      <c r="B418" t="s">
        <v>1790</v>
      </c>
      <c r="C418">
        <v>2017</v>
      </c>
      <c r="D418" s="8">
        <f>FLOOR(Table1[[#This Row],[Year]],10)</f>
        <v>2010</v>
      </c>
      <c r="E418" t="s">
        <v>169</v>
      </c>
      <c r="F418">
        <v>97</v>
      </c>
      <c r="G418" t="str">
        <f>IF(Table1[[#This Row],[Runtime_minutes]]&lt;90,"Short",IF(Table1[[#This Row],[Runtime_minutes]]&lt;=120,"Medium","Long"))</f>
        <v>Medium</v>
      </c>
      <c r="H418" t="s">
        <v>235</v>
      </c>
      <c r="K418">
        <v>7.2</v>
      </c>
      <c r="M418" t="s">
        <v>201</v>
      </c>
      <c r="N418" t="s">
        <v>524</v>
      </c>
      <c r="O418" t="s">
        <v>1791</v>
      </c>
      <c r="P418">
        <v>14919</v>
      </c>
      <c r="Q418" s="3">
        <v>476.26</v>
      </c>
      <c r="R418" s="3">
        <f>IF(Table1[[#This Row],[Gross_millions]]=" ",0,Table1[[#This Row],[Gross_millions]])</f>
        <v>476.26</v>
      </c>
      <c r="S418" t="str">
        <f>IF(Table1[[#This Row],[Gross_millions_Clean]]&gt;200,"Blockbuster",IF(Table1[[#This Row],[Gross_millions_Clean]]&gt;100,"Hit","Average"))</f>
        <v>Blockbuster</v>
      </c>
    </row>
    <row r="419" spans="1:19" x14ac:dyDescent="0.3">
      <c r="A419" t="s">
        <v>1792</v>
      </c>
      <c r="B419" t="s">
        <v>1793</v>
      </c>
      <c r="C419">
        <v>2024</v>
      </c>
      <c r="D419" s="8">
        <f>FLOOR(Table1[[#This Row],[Year]],10)</f>
        <v>2020</v>
      </c>
      <c r="E419" t="s">
        <v>54</v>
      </c>
      <c r="F419">
        <v>120</v>
      </c>
      <c r="G419" t="str">
        <f>IF(Table1[[#This Row],[Runtime_minutes]]&lt;90,"Short",IF(Table1[[#This Row],[Runtime_minutes]]&lt;=120,"Medium","Long"))</f>
        <v>Medium</v>
      </c>
      <c r="H419" t="s">
        <v>43</v>
      </c>
      <c r="I419" t="s">
        <v>3976</v>
      </c>
      <c r="K419">
        <v>7.2</v>
      </c>
      <c r="L419">
        <v>81</v>
      </c>
      <c r="M419" t="s">
        <v>1795</v>
      </c>
      <c r="N419" t="s">
        <v>315</v>
      </c>
      <c r="O419" t="s">
        <v>1796</v>
      </c>
      <c r="P419">
        <v>357170</v>
      </c>
      <c r="Q419" s="3">
        <v>172.7</v>
      </c>
      <c r="R419" s="3">
        <f>IF(Table1[[#This Row],[Gross_millions]]=" ",0,Table1[[#This Row],[Gross_millions]])</f>
        <v>172.7</v>
      </c>
      <c r="S419" t="str">
        <f>IF(Table1[[#This Row],[Gross_millions_Clean]]&gt;200,"Blockbuster",IF(Table1[[#This Row],[Gross_millions_Clean]]&gt;100,"Hit","Average"))</f>
        <v>Hit</v>
      </c>
    </row>
    <row r="420" spans="1:19" x14ac:dyDescent="0.3">
      <c r="A420" t="s">
        <v>1797</v>
      </c>
      <c r="B420" t="s">
        <v>1798</v>
      </c>
      <c r="C420">
        <v>2019</v>
      </c>
      <c r="D420" s="8">
        <f>FLOOR(Table1[[#This Row],[Year]],10)</f>
        <v>2010</v>
      </c>
      <c r="E420" t="s">
        <v>17</v>
      </c>
      <c r="F420">
        <v>141</v>
      </c>
      <c r="G420" t="str">
        <f>IF(Table1[[#This Row],[Runtime_minutes]]&lt;90,"Short",IF(Table1[[#This Row],[Runtime_minutes]]&lt;=120,"Medium","Long"))</f>
        <v>Long</v>
      </c>
      <c r="H420" t="s">
        <v>453</v>
      </c>
      <c r="I420" t="s">
        <v>3990</v>
      </c>
      <c r="K420">
        <v>7.2</v>
      </c>
      <c r="L420">
        <v>82</v>
      </c>
      <c r="M420" t="s">
        <v>269</v>
      </c>
      <c r="N420" t="s">
        <v>131</v>
      </c>
      <c r="O420" t="s">
        <v>1800</v>
      </c>
      <c r="P420">
        <v>57668</v>
      </c>
      <c r="Q420" s="3"/>
      <c r="R420" s="3">
        <f>IF(Table1[[#This Row],[Gross_millions]]=" ",0,Table1[[#This Row],[Gross_millions]])</f>
        <v>0</v>
      </c>
      <c r="S420" t="str">
        <f>IF(Table1[[#This Row],[Gross_millions_Clean]]&gt;200,"Blockbuster",IF(Table1[[#This Row],[Gross_millions_Clean]]&gt;100,"Hit","Average"))</f>
        <v>Average</v>
      </c>
    </row>
    <row r="421" spans="1:19" x14ac:dyDescent="0.3">
      <c r="A421" t="s">
        <v>1801</v>
      </c>
      <c r="B421" t="s">
        <v>1802</v>
      </c>
      <c r="C421">
        <v>2015</v>
      </c>
      <c r="D421" s="8">
        <f>FLOOR(Table1[[#This Row],[Year]],10)</f>
        <v>2010</v>
      </c>
      <c r="E421" t="s">
        <v>54</v>
      </c>
      <c r="F421">
        <v>147</v>
      </c>
      <c r="G421" t="str">
        <f>IF(Table1[[#This Row],[Runtime_minutes]]&lt;90,"Short",IF(Table1[[#This Row],[Runtime_minutes]]&lt;=120,"Medium","Long"))</f>
        <v>Long</v>
      </c>
      <c r="H421" t="s">
        <v>78</v>
      </c>
      <c r="I421" t="s">
        <v>3980</v>
      </c>
      <c r="J421" t="s">
        <v>3991</v>
      </c>
      <c r="K421">
        <v>7.2</v>
      </c>
      <c r="L421">
        <v>70</v>
      </c>
      <c r="M421" t="s">
        <v>1804</v>
      </c>
      <c r="N421" t="s">
        <v>153</v>
      </c>
      <c r="O421" t="s">
        <v>1805</v>
      </c>
      <c r="P421">
        <v>999683</v>
      </c>
      <c r="Q421" s="3">
        <v>480.99</v>
      </c>
      <c r="R421" s="3">
        <f>IF(Table1[[#This Row],[Gross_millions]]=" ",0,Table1[[#This Row],[Gross_millions]])</f>
        <v>480.99</v>
      </c>
      <c r="S421" t="str">
        <f>IF(Table1[[#This Row],[Gross_millions_Clean]]&gt;200,"Blockbuster",IF(Table1[[#This Row],[Gross_millions_Clean]]&gt;100,"Hit","Average"))</f>
        <v>Blockbuster</v>
      </c>
    </row>
    <row r="422" spans="1:19" x14ac:dyDescent="0.3">
      <c r="A422" t="s">
        <v>1806</v>
      </c>
      <c r="B422" t="s">
        <v>1807</v>
      </c>
      <c r="C422">
        <v>1999</v>
      </c>
      <c r="D422" s="8">
        <f>FLOOR(Table1[[#This Row],[Year]],10)</f>
        <v>1990</v>
      </c>
      <c r="E422" t="s">
        <v>17</v>
      </c>
      <c r="F422">
        <v>110</v>
      </c>
      <c r="G422" t="str">
        <f>IF(Table1[[#This Row],[Runtime_minutes]]&lt;90,"Short",IF(Table1[[#This Row],[Runtime_minutes]]&lt;=120,"Medium","Long"))</f>
        <v>Medium</v>
      </c>
      <c r="H422" t="s">
        <v>55</v>
      </c>
      <c r="I422" t="s">
        <v>3985</v>
      </c>
      <c r="K422">
        <v>7.2</v>
      </c>
      <c r="L422">
        <v>65</v>
      </c>
      <c r="M422" t="s">
        <v>852</v>
      </c>
      <c r="N422" t="s">
        <v>80</v>
      </c>
      <c r="O422" t="s">
        <v>1808</v>
      </c>
      <c r="P422">
        <v>98764</v>
      </c>
      <c r="Q422" s="3"/>
      <c r="R422" s="3">
        <f>IF(Table1[[#This Row],[Gross_millions]]=" ",0,Table1[[#This Row],[Gross_millions]])</f>
        <v>0</v>
      </c>
      <c r="S422" t="str">
        <f>IF(Table1[[#This Row],[Gross_millions_Clean]]&gt;200,"Blockbuster",IF(Table1[[#This Row],[Gross_millions_Clean]]&gt;100,"Hit","Average"))</f>
        <v>Average</v>
      </c>
    </row>
    <row r="423" spans="1:19" x14ac:dyDescent="0.3">
      <c r="A423" t="s">
        <v>1809</v>
      </c>
      <c r="B423" t="s">
        <v>1810</v>
      </c>
      <c r="C423">
        <v>2009</v>
      </c>
      <c r="D423" s="8">
        <f>FLOOR(Table1[[#This Row],[Year]],10)</f>
        <v>2000</v>
      </c>
      <c r="E423" t="s">
        <v>17</v>
      </c>
      <c r="F423">
        <v>127</v>
      </c>
      <c r="G423" t="str">
        <f>IF(Table1[[#This Row],[Runtime_minutes]]&lt;90,"Short",IF(Table1[[#This Row],[Runtime_minutes]]&lt;=120,"Medium","Long"))</f>
        <v>Long</v>
      </c>
      <c r="H423" t="s">
        <v>43</v>
      </c>
      <c r="I423" t="s">
        <v>3987</v>
      </c>
      <c r="J423" t="s">
        <v>3983</v>
      </c>
      <c r="K423">
        <v>7.2</v>
      </c>
      <c r="L423">
        <v>70</v>
      </c>
      <c r="M423" t="s">
        <v>1363</v>
      </c>
      <c r="N423" t="s">
        <v>153</v>
      </c>
      <c r="O423" t="s">
        <v>1812</v>
      </c>
      <c r="P423">
        <v>55288</v>
      </c>
      <c r="Q423" s="3">
        <v>121.64</v>
      </c>
      <c r="R423" s="3">
        <f>IF(Table1[[#This Row],[Gross_millions]]=" ",0,Table1[[#This Row],[Gross_millions]])</f>
        <v>121.64</v>
      </c>
      <c r="S423" t="str">
        <f>IF(Table1[[#This Row],[Gross_millions_Clean]]&gt;200,"Blockbuster",IF(Table1[[#This Row],[Gross_millions_Clean]]&gt;100,"Hit","Average"))</f>
        <v>Hit</v>
      </c>
    </row>
    <row r="424" spans="1:19" x14ac:dyDescent="0.3">
      <c r="A424" t="s">
        <v>1813</v>
      </c>
      <c r="B424" t="s">
        <v>1814</v>
      </c>
      <c r="C424">
        <v>2008</v>
      </c>
      <c r="D424" s="8">
        <f>FLOOR(Table1[[#This Row],[Year]],10)</f>
        <v>2000</v>
      </c>
      <c r="E424" t="s">
        <v>17</v>
      </c>
      <c r="F424">
        <v>123</v>
      </c>
      <c r="G424" t="str">
        <f>IF(Table1[[#This Row],[Runtime_minutes]]&lt;90,"Short",IF(Table1[[#This Row],[Runtime_minutes]]&lt;=120,"Medium","Long"))</f>
        <v>Long</v>
      </c>
      <c r="H424" t="s">
        <v>453</v>
      </c>
      <c r="K424">
        <v>7.2</v>
      </c>
      <c r="L424">
        <v>82</v>
      </c>
      <c r="M424" t="s">
        <v>1072</v>
      </c>
      <c r="N424" t="s">
        <v>518</v>
      </c>
      <c r="O424" t="s">
        <v>1815</v>
      </c>
      <c r="P424">
        <v>11665</v>
      </c>
      <c r="Q424" s="3"/>
      <c r="R424" s="3">
        <f>IF(Table1[[#This Row],[Gross_millions]]=" ",0,Table1[[#This Row],[Gross_millions]])</f>
        <v>0</v>
      </c>
      <c r="S424" t="str">
        <f>IF(Table1[[#This Row],[Gross_millions_Clean]]&gt;200,"Blockbuster",IF(Table1[[#This Row],[Gross_millions_Clean]]&gt;100,"Hit","Average"))</f>
        <v>Average</v>
      </c>
    </row>
    <row r="425" spans="1:19" x14ac:dyDescent="0.3">
      <c r="A425" t="s">
        <v>1816</v>
      </c>
      <c r="B425" t="s">
        <v>1817</v>
      </c>
      <c r="C425">
        <v>2005</v>
      </c>
      <c r="D425" s="8">
        <f>FLOOR(Table1[[#This Row],[Year]],10)</f>
        <v>2000</v>
      </c>
      <c r="E425" t="s">
        <v>54</v>
      </c>
      <c r="F425">
        <v>95</v>
      </c>
      <c r="G425" t="str">
        <f>IF(Table1[[#This Row],[Runtime_minutes]]&lt;90,"Short",IF(Table1[[#This Row],[Runtime_minutes]]&lt;=120,"Medium","Long"))</f>
        <v>Medium</v>
      </c>
      <c r="H425" t="s">
        <v>43</v>
      </c>
      <c r="I425" t="s">
        <v>3992</v>
      </c>
      <c r="K425">
        <v>7.1</v>
      </c>
      <c r="L425">
        <v>63</v>
      </c>
      <c r="M425" t="s">
        <v>1363</v>
      </c>
      <c r="N425" t="s">
        <v>368</v>
      </c>
      <c r="O425" t="s">
        <v>1818</v>
      </c>
      <c r="P425">
        <v>47434</v>
      </c>
      <c r="Q425" s="3">
        <v>275.47000000000003</v>
      </c>
      <c r="R425" s="3">
        <f>IF(Table1[[#This Row],[Gross_millions]]=" ",0,Table1[[#This Row],[Gross_millions]])</f>
        <v>275.47000000000003</v>
      </c>
      <c r="S425" t="str">
        <f>IF(Table1[[#This Row],[Gross_millions_Clean]]&gt;200,"Blockbuster",IF(Table1[[#This Row],[Gross_millions_Clean]]&gt;100,"Hit","Average"))</f>
        <v>Blockbuster</v>
      </c>
    </row>
    <row r="426" spans="1:19" x14ac:dyDescent="0.3">
      <c r="A426" t="s">
        <v>1819</v>
      </c>
      <c r="B426" t="s">
        <v>1820</v>
      </c>
      <c r="C426">
        <v>2014</v>
      </c>
      <c r="D426" s="8">
        <f>FLOOR(Table1[[#This Row],[Year]],10)</f>
        <v>2010</v>
      </c>
      <c r="E426" t="s">
        <v>17</v>
      </c>
      <c r="F426">
        <v>116</v>
      </c>
      <c r="G426" t="str">
        <f>IF(Table1[[#This Row],[Runtime_minutes]]&lt;90,"Short",IF(Table1[[#This Row],[Runtime_minutes]]&lt;=120,"Medium","Long"))</f>
        <v>Medium</v>
      </c>
      <c r="H426" t="s">
        <v>72</v>
      </c>
      <c r="I426" t="s">
        <v>3989</v>
      </c>
      <c r="K426">
        <v>7.1</v>
      </c>
      <c r="M426" t="s">
        <v>1155</v>
      </c>
      <c r="N426" t="s">
        <v>518</v>
      </c>
      <c r="O426" t="s">
        <v>1822</v>
      </c>
      <c r="P426">
        <v>10704</v>
      </c>
      <c r="Q426" s="3"/>
      <c r="R426" s="3">
        <f>IF(Table1[[#This Row],[Gross_millions]]=" ",0,Table1[[#This Row],[Gross_millions]])</f>
        <v>0</v>
      </c>
      <c r="S426" t="str">
        <f>IF(Table1[[#This Row],[Gross_millions_Clean]]&gt;200,"Blockbuster",IF(Table1[[#This Row],[Gross_millions_Clean]]&gt;100,"Hit","Average"))</f>
        <v>Average</v>
      </c>
    </row>
    <row r="427" spans="1:19" x14ac:dyDescent="0.3">
      <c r="A427" t="s">
        <v>1823</v>
      </c>
      <c r="B427" t="s">
        <v>1824</v>
      </c>
      <c r="C427">
        <v>2019</v>
      </c>
      <c r="D427" s="8">
        <f>FLOOR(Table1[[#This Row],[Year]],10)</f>
        <v>2010</v>
      </c>
      <c r="E427" t="s">
        <v>54</v>
      </c>
      <c r="F427">
        <v>134</v>
      </c>
      <c r="G427" t="str">
        <f>IF(Table1[[#This Row],[Runtime_minutes]]&lt;90,"Short",IF(Table1[[#This Row],[Runtime_minutes]]&lt;=120,"Medium","Long"))</f>
        <v>Long</v>
      </c>
      <c r="H427" t="s">
        <v>1044</v>
      </c>
      <c r="I427" t="s">
        <v>3982</v>
      </c>
      <c r="K427">
        <v>7.1</v>
      </c>
      <c r="L427">
        <v>61</v>
      </c>
      <c r="M427" t="s">
        <v>1825</v>
      </c>
      <c r="N427" t="s">
        <v>137</v>
      </c>
      <c r="O427" t="s">
        <v>1826</v>
      </c>
      <c r="P427">
        <v>5002</v>
      </c>
      <c r="Q427" s="3">
        <v>370.36</v>
      </c>
      <c r="R427" s="3">
        <f>IF(Table1[[#This Row],[Gross_millions]]=" ",0,Table1[[#This Row],[Gross_millions]])</f>
        <v>370.36</v>
      </c>
      <c r="S427" t="str">
        <f>IF(Table1[[#This Row],[Gross_millions_Clean]]&gt;200,"Blockbuster",IF(Table1[[#This Row],[Gross_millions_Clean]]&gt;100,"Hit","Average"))</f>
        <v>Blockbuster</v>
      </c>
    </row>
    <row r="428" spans="1:19" x14ac:dyDescent="0.3">
      <c r="A428" t="s">
        <v>1827</v>
      </c>
      <c r="B428" t="s">
        <v>1828</v>
      </c>
      <c r="C428">
        <v>2002</v>
      </c>
      <c r="D428" s="8">
        <f>FLOOR(Table1[[#This Row],[Year]],10)</f>
        <v>2000</v>
      </c>
      <c r="E428" t="s">
        <v>54</v>
      </c>
      <c r="F428">
        <v>138</v>
      </c>
      <c r="G428" t="str">
        <f>IF(Table1[[#This Row],[Runtime_minutes]]&lt;90,"Short",IF(Table1[[#This Row],[Runtime_minutes]]&lt;=120,"Medium","Long"))</f>
        <v>Long</v>
      </c>
      <c r="H428" t="s">
        <v>868</v>
      </c>
      <c r="K428">
        <v>7.1</v>
      </c>
      <c r="L428">
        <v>70</v>
      </c>
      <c r="M428" t="s">
        <v>355</v>
      </c>
      <c r="N428" t="s">
        <v>368</v>
      </c>
      <c r="O428" t="s">
        <v>1829</v>
      </c>
      <c r="P428">
        <v>267537</v>
      </c>
      <c r="Q428" s="3"/>
      <c r="R428" s="3">
        <f>IF(Table1[[#This Row],[Gross_millions]]=" ",0,Table1[[#This Row],[Gross_millions]])</f>
        <v>0</v>
      </c>
      <c r="S428" t="str">
        <f>IF(Table1[[#This Row],[Gross_millions_Clean]]&gt;200,"Blockbuster",IF(Table1[[#This Row],[Gross_millions_Clean]]&gt;100,"Hit","Average"))</f>
        <v>Average</v>
      </c>
    </row>
    <row r="429" spans="1:19" x14ac:dyDescent="0.3">
      <c r="A429" t="s">
        <v>1830</v>
      </c>
      <c r="B429" t="s">
        <v>1831</v>
      </c>
      <c r="C429">
        <v>2014</v>
      </c>
      <c r="D429" s="8">
        <f>FLOOR(Table1[[#This Row],[Year]],10)</f>
        <v>2010</v>
      </c>
      <c r="E429" t="s">
        <v>24</v>
      </c>
      <c r="F429">
        <v>143</v>
      </c>
      <c r="G429" t="str">
        <f>IF(Table1[[#This Row],[Runtime_minutes]]&lt;90,"Short",IF(Table1[[#This Row],[Runtime_minutes]]&lt;=120,"Medium","Long"))</f>
        <v>Long</v>
      </c>
      <c r="H429" t="s">
        <v>129</v>
      </c>
      <c r="I429" t="s">
        <v>3991</v>
      </c>
      <c r="J429" t="s">
        <v>3987</v>
      </c>
      <c r="K429">
        <v>7.1</v>
      </c>
      <c r="L429">
        <v>84</v>
      </c>
      <c r="M429" t="s">
        <v>1833</v>
      </c>
      <c r="N429" t="s">
        <v>74</v>
      </c>
      <c r="O429" t="s">
        <v>1834</v>
      </c>
      <c r="P429">
        <v>50972</v>
      </c>
      <c r="Q429" s="3">
        <v>92.97</v>
      </c>
      <c r="R429" s="3">
        <f>IF(Table1[[#This Row],[Gross_millions]]=" ",0,Table1[[#This Row],[Gross_millions]])</f>
        <v>92.97</v>
      </c>
      <c r="S429" t="str">
        <f>IF(Table1[[#This Row],[Gross_millions_Clean]]&gt;200,"Blockbuster",IF(Table1[[#This Row],[Gross_millions_Clean]]&gt;100,"Hit","Average"))</f>
        <v>Average</v>
      </c>
    </row>
    <row r="430" spans="1:19" x14ac:dyDescent="0.3">
      <c r="A430" t="s">
        <v>1835</v>
      </c>
      <c r="B430" t="s">
        <v>1836</v>
      </c>
      <c r="C430">
        <v>2015</v>
      </c>
      <c r="D430" s="8">
        <f>FLOOR(Table1[[#This Row],[Year]],10)</f>
        <v>2010</v>
      </c>
      <c r="E430" t="s">
        <v>17</v>
      </c>
      <c r="F430">
        <v>139</v>
      </c>
      <c r="G430" t="str">
        <f>IF(Table1[[#This Row],[Runtime_minutes]]&lt;90,"Short",IF(Table1[[#This Row],[Runtime_minutes]]&lt;=120,"Medium","Long"))</f>
        <v>Long</v>
      </c>
      <c r="H430" t="s">
        <v>375</v>
      </c>
      <c r="I430" t="s">
        <v>3989</v>
      </c>
      <c r="J430" t="s">
        <v>3976</v>
      </c>
      <c r="K430">
        <v>7.1</v>
      </c>
      <c r="M430" t="s">
        <v>381</v>
      </c>
      <c r="N430" t="s">
        <v>103</v>
      </c>
      <c r="O430" t="s">
        <v>1838</v>
      </c>
      <c r="P430">
        <v>837294</v>
      </c>
      <c r="Q430" s="3">
        <v>199.19</v>
      </c>
      <c r="R430" s="3">
        <f>IF(Table1[[#This Row],[Gross_millions]]=" ",0,Table1[[#This Row],[Gross_millions]])</f>
        <v>199.19</v>
      </c>
      <c r="S430" t="str">
        <f>IF(Table1[[#This Row],[Gross_millions_Clean]]&gt;200,"Blockbuster",IF(Table1[[#This Row],[Gross_millions_Clean]]&gt;100,"Hit","Average"))</f>
        <v>Hit</v>
      </c>
    </row>
    <row r="431" spans="1:19" x14ac:dyDescent="0.3">
      <c r="A431" t="s">
        <v>1839</v>
      </c>
      <c r="B431" t="s">
        <v>1840</v>
      </c>
      <c r="C431">
        <v>2021</v>
      </c>
      <c r="D431" s="8">
        <f>FLOOR(Table1[[#This Row],[Year]],10)</f>
        <v>2020</v>
      </c>
      <c r="E431" t="s">
        <v>169</v>
      </c>
      <c r="F431">
        <v>106</v>
      </c>
      <c r="G431" t="str">
        <f>IF(Table1[[#This Row],[Runtime_minutes]]&lt;90,"Short",IF(Table1[[#This Row],[Runtime_minutes]]&lt;=120,"Medium","Long"))</f>
        <v>Medium</v>
      </c>
      <c r="H431" t="s">
        <v>43</v>
      </c>
      <c r="I431" t="s">
        <v>3987</v>
      </c>
      <c r="K431">
        <v>7.1</v>
      </c>
      <c r="M431" t="s">
        <v>136</v>
      </c>
      <c r="N431" t="s">
        <v>191</v>
      </c>
      <c r="O431" t="s">
        <v>1842</v>
      </c>
      <c r="P431">
        <v>45206</v>
      </c>
      <c r="Q431" s="3">
        <v>116.22</v>
      </c>
      <c r="R431" s="3">
        <f>IF(Table1[[#This Row],[Gross_millions]]=" ",0,Table1[[#This Row],[Gross_millions]])</f>
        <v>116.22</v>
      </c>
      <c r="S431" t="str">
        <f>IF(Table1[[#This Row],[Gross_millions_Clean]]&gt;200,"Blockbuster",IF(Table1[[#This Row],[Gross_millions_Clean]]&gt;100,"Hit","Average"))</f>
        <v>Hit</v>
      </c>
    </row>
    <row r="432" spans="1:19" x14ac:dyDescent="0.3">
      <c r="A432" t="s">
        <v>1843</v>
      </c>
      <c r="B432" t="s">
        <v>1844</v>
      </c>
      <c r="C432">
        <v>2016</v>
      </c>
      <c r="D432" s="8">
        <f>FLOOR(Table1[[#This Row],[Year]],10)</f>
        <v>2010</v>
      </c>
      <c r="E432" t="s">
        <v>24</v>
      </c>
      <c r="F432">
        <v>119</v>
      </c>
      <c r="G432" t="str">
        <f>IF(Table1[[#This Row],[Runtime_minutes]]&lt;90,"Short",IF(Table1[[#This Row],[Runtime_minutes]]&lt;=120,"Medium","Long"))</f>
        <v>Medium</v>
      </c>
      <c r="H432" t="s">
        <v>48</v>
      </c>
      <c r="I432" t="s">
        <v>3984</v>
      </c>
      <c r="K432">
        <v>7.1</v>
      </c>
      <c r="M432" t="s">
        <v>566</v>
      </c>
      <c r="N432" t="s">
        <v>165</v>
      </c>
      <c r="O432" t="s">
        <v>1845</v>
      </c>
      <c r="P432">
        <v>17775</v>
      </c>
      <c r="Q432" s="3"/>
      <c r="R432" s="3">
        <f>IF(Table1[[#This Row],[Gross_millions]]=" ",0,Table1[[#This Row],[Gross_millions]])</f>
        <v>0</v>
      </c>
      <c r="S432" t="str">
        <f>IF(Table1[[#This Row],[Gross_millions_Clean]]&gt;200,"Blockbuster",IF(Table1[[#This Row],[Gross_millions_Clean]]&gt;100,"Hit","Average"))</f>
        <v>Average</v>
      </c>
    </row>
    <row r="433" spans="1:19" x14ac:dyDescent="0.3">
      <c r="A433" t="s">
        <v>1846</v>
      </c>
      <c r="B433" t="s">
        <v>1847</v>
      </c>
      <c r="C433">
        <v>2017</v>
      </c>
      <c r="D433" s="8">
        <f>FLOOR(Table1[[#This Row],[Year]],10)</f>
        <v>2010</v>
      </c>
      <c r="E433" t="s">
        <v>17</v>
      </c>
      <c r="F433">
        <v>117</v>
      </c>
      <c r="G433" t="str">
        <f>IF(Table1[[#This Row],[Runtime_minutes]]&lt;90,"Short",IF(Table1[[#This Row],[Runtime_minutes]]&lt;=120,"Medium","Long"))</f>
        <v>Medium</v>
      </c>
      <c r="H433" t="s">
        <v>78</v>
      </c>
      <c r="I433" t="s">
        <v>3977</v>
      </c>
      <c r="K433">
        <v>7.1</v>
      </c>
      <c r="M433" t="s">
        <v>305</v>
      </c>
      <c r="N433" t="s">
        <v>518</v>
      </c>
      <c r="O433" t="s">
        <v>1848</v>
      </c>
      <c r="P433">
        <v>68107</v>
      </c>
      <c r="Q433" s="3">
        <v>370.25</v>
      </c>
      <c r="R433" s="3">
        <f>IF(Table1[[#This Row],[Gross_millions]]=" ",0,Table1[[#This Row],[Gross_millions]])</f>
        <v>370.25</v>
      </c>
      <c r="S433" t="str">
        <f>IF(Table1[[#This Row],[Gross_millions_Clean]]&gt;200,"Blockbuster",IF(Table1[[#This Row],[Gross_millions_Clean]]&gt;100,"Hit","Average"))</f>
        <v>Blockbuster</v>
      </c>
    </row>
    <row r="434" spans="1:19" x14ac:dyDescent="0.3">
      <c r="A434" t="s">
        <v>1849</v>
      </c>
      <c r="B434" t="s">
        <v>1850</v>
      </c>
      <c r="C434">
        <v>1996</v>
      </c>
      <c r="D434" s="8">
        <f>FLOOR(Table1[[#This Row],[Year]],10)</f>
        <v>1990</v>
      </c>
      <c r="E434" t="s">
        <v>24</v>
      </c>
      <c r="F434">
        <v>142</v>
      </c>
      <c r="G434" t="str">
        <f>IF(Table1[[#This Row],[Runtime_minutes]]&lt;90,"Short",IF(Table1[[#This Row],[Runtime_minutes]]&lt;=120,"Medium","Long"))</f>
        <v>Long</v>
      </c>
      <c r="H434" t="s">
        <v>37</v>
      </c>
      <c r="K434">
        <v>7.1</v>
      </c>
      <c r="L434">
        <v>86</v>
      </c>
      <c r="M434" t="s">
        <v>561</v>
      </c>
      <c r="N434" t="s">
        <v>39</v>
      </c>
      <c r="O434" t="s">
        <v>1851</v>
      </c>
      <c r="P434">
        <v>32114</v>
      </c>
      <c r="Q434" s="3"/>
      <c r="R434" s="3">
        <f>IF(Table1[[#This Row],[Gross_millions]]=" ",0,Table1[[#This Row],[Gross_millions]])</f>
        <v>0</v>
      </c>
      <c r="S434" t="str">
        <f>IF(Table1[[#This Row],[Gross_millions_Clean]]&gt;200,"Blockbuster",IF(Table1[[#This Row],[Gross_millions_Clean]]&gt;100,"Hit","Average"))</f>
        <v>Average</v>
      </c>
    </row>
    <row r="435" spans="1:19" x14ac:dyDescent="0.3">
      <c r="A435" t="s">
        <v>1852</v>
      </c>
      <c r="B435" t="s">
        <v>1853</v>
      </c>
      <c r="C435">
        <v>2020</v>
      </c>
      <c r="D435" s="8">
        <f>FLOOR(Table1[[#This Row],[Year]],10)</f>
        <v>2020</v>
      </c>
      <c r="E435" t="s">
        <v>54</v>
      </c>
      <c r="F435">
        <v>116</v>
      </c>
      <c r="G435" t="str">
        <f>IF(Table1[[#This Row],[Runtime_minutes]]&lt;90,"Short",IF(Table1[[#This Row],[Runtime_minutes]]&lt;=120,"Medium","Long"))</f>
        <v>Medium</v>
      </c>
      <c r="H435" t="s">
        <v>277</v>
      </c>
      <c r="K435">
        <v>7.1</v>
      </c>
      <c r="L435">
        <v>76</v>
      </c>
      <c r="M435" t="s">
        <v>395</v>
      </c>
      <c r="N435" t="s">
        <v>103</v>
      </c>
      <c r="O435" t="s">
        <v>1854</v>
      </c>
      <c r="P435">
        <v>41231</v>
      </c>
      <c r="Q435" s="3"/>
      <c r="R435" s="3">
        <f>IF(Table1[[#This Row],[Gross_millions]]=" ",0,Table1[[#This Row],[Gross_millions]])</f>
        <v>0</v>
      </c>
      <c r="S435" t="str">
        <f>IF(Table1[[#This Row],[Gross_millions_Clean]]&gt;200,"Blockbuster",IF(Table1[[#This Row],[Gross_millions_Clean]]&gt;100,"Hit","Average"))</f>
        <v>Average</v>
      </c>
    </row>
    <row r="436" spans="1:19" x14ac:dyDescent="0.3">
      <c r="A436" t="s">
        <v>1855</v>
      </c>
      <c r="B436" t="s">
        <v>1856</v>
      </c>
      <c r="C436">
        <v>2020</v>
      </c>
      <c r="D436" s="8">
        <f>FLOOR(Table1[[#This Row],[Year]],10)</f>
        <v>2020</v>
      </c>
      <c r="E436" t="s">
        <v>54</v>
      </c>
      <c r="F436">
        <v>125</v>
      </c>
      <c r="G436" t="str">
        <f>IF(Table1[[#This Row],[Runtime_minutes]]&lt;90,"Short",IF(Table1[[#This Row],[Runtime_minutes]]&lt;=120,"Medium","Long"))</f>
        <v>Long</v>
      </c>
      <c r="H436" t="s">
        <v>606</v>
      </c>
      <c r="I436" t="s">
        <v>3986</v>
      </c>
      <c r="K436">
        <v>7.1</v>
      </c>
      <c r="L436">
        <v>63</v>
      </c>
      <c r="M436" t="s">
        <v>220</v>
      </c>
      <c r="N436" t="s">
        <v>608</v>
      </c>
      <c r="O436" t="s">
        <v>1858</v>
      </c>
      <c r="P436">
        <v>42124</v>
      </c>
      <c r="Q436" s="3">
        <v>313.06</v>
      </c>
      <c r="R436" s="3">
        <f>IF(Table1[[#This Row],[Gross_millions]]=" ",0,Table1[[#This Row],[Gross_millions]])</f>
        <v>313.06</v>
      </c>
      <c r="S436" t="str">
        <f>IF(Table1[[#This Row],[Gross_millions_Clean]]&gt;200,"Blockbuster",IF(Table1[[#This Row],[Gross_millions_Clean]]&gt;100,"Hit","Average"))</f>
        <v>Blockbuster</v>
      </c>
    </row>
    <row r="437" spans="1:19" x14ac:dyDescent="0.3">
      <c r="A437" t="s">
        <v>1859</v>
      </c>
      <c r="B437" t="s">
        <v>1860</v>
      </c>
      <c r="C437">
        <v>2024</v>
      </c>
      <c r="D437" s="8">
        <f>FLOOR(Table1[[#This Row],[Year]],10)</f>
        <v>2020</v>
      </c>
      <c r="E437" t="s">
        <v>54</v>
      </c>
      <c r="F437">
        <v>113</v>
      </c>
      <c r="G437" t="str">
        <f>IF(Table1[[#This Row],[Runtime_minutes]]&lt;90,"Short",IF(Table1[[#This Row],[Runtime_minutes]]&lt;=120,"Medium","Long"))</f>
        <v>Medium</v>
      </c>
      <c r="H437" t="s">
        <v>72</v>
      </c>
      <c r="I437" t="s">
        <v>3991</v>
      </c>
      <c r="J437" t="s">
        <v>3977</v>
      </c>
      <c r="K437">
        <v>7.1</v>
      </c>
      <c r="L437">
        <v>76</v>
      </c>
      <c r="M437" t="s">
        <v>1155</v>
      </c>
      <c r="N437" t="s">
        <v>147</v>
      </c>
      <c r="O437" t="s">
        <v>1862</v>
      </c>
      <c r="P437">
        <v>616146</v>
      </c>
      <c r="Q437" s="3">
        <v>24.6</v>
      </c>
      <c r="R437" s="3">
        <f>IF(Table1[[#This Row],[Gross_millions]]=" ",0,Table1[[#This Row],[Gross_millions]])</f>
        <v>24.6</v>
      </c>
      <c r="S437" t="str">
        <f>IF(Table1[[#This Row],[Gross_millions_Clean]]&gt;200,"Blockbuster",IF(Table1[[#This Row],[Gross_millions_Clean]]&gt;100,"Hit","Average"))</f>
        <v>Average</v>
      </c>
    </row>
    <row r="438" spans="1:19" x14ac:dyDescent="0.3">
      <c r="A438" t="s">
        <v>1863</v>
      </c>
      <c r="B438" t="s">
        <v>1864</v>
      </c>
      <c r="C438">
        <v>2016</v>
      </c>
      <c r="D438" s="8">
        <f>FLOOR(Table1[[#This Row],[Year]],10)</f>
        <v>2010</v>
      </c>
      <c r="E438" t="s">
        <v>17</v>
      </c>
      <c r="F438">
        <v>120</v>
      </c>
      <c r="G438" t="str">
        <f>IF(Table1[[#This Row],[Runtime_minutes]]&lt;90,"Short",IF(Table1[[#This Row],[Runtime_minutes]]&lt;=120,"Medium","Long"))</f>
        <v>Medium</v>
      </c>
      <c r="H438" t="s">
        <v>375</v>
      </c>
      <c r="K438">
        <v>7.1</v>
      </c>
      <c r="M438" t="s">
        <v>1865</v>
      </c>
      <c r="N438" t="s">
        <v>547</v>
      </c>
      <c r="O438" t="s">
        <v>1866</v>
      </c>
      <c r="P438">
        <v>769366</v>
      </c>
      <c r="Q438" s="3"/>
      <c r="R438" s="3">
        <f>IF(Table1[[#This Row],[Gross_millions]]=" ",0,Table1[[#This Row],[Gross_millions]])</f>
        <v>0</v>
      </c>
      <c r="S438" t="str">
        <f>IF(Table1[[#This Row],[Gross_millions_Clean]]&gt;200,"Blockbuster",IF(Table1[[#This Row],[Gross_millions_Clean]]&gt;100,"Hit","Average"))</f>
        <v>Average</v>
      </c>
    </row>
    <row r="439" spans="1:19" x14ac:dyDescent="0.3">
      <c r="A439" t="s">
        <v>1867</v>
      </c>
      <c r="B439" t="s">
        <v>1868</v>
      </c>
      <c r="C439">
        <v>2011</v>
      </c>
      <c r="D439" s="8">
        <f>FLOOR(Table1[[#This Row],[Year]],10)</f>
        <v>2010</v>
      </c>
      <c r="E439" t="s">
        <v>24</v>
      </c>
      <c r="F439">
        <v>97</v>
      </c>
      <c r="G439" t="str">
        <f>IF(Table1[[#This Row],[Runtime_minutes]]&lt;90,"Short",IF(Table1[[#This Row],[Runtime_minutes]]&lt;=120,"Medium","Long"))</f>
        <v>Medium</v>
      </c>
      <c r="H439" t="s">
        <v>78</v>
      </c>
      <c r="I439" t="s">
        <v>3982</v>
      </c>
      <c r="K439">
        <v>7.1</v>
      </c>
      <c r="L439">
        <v>59</v>
      </c>
      <c r="M439" t="s">
        <v>1869</v>
      </c>
      <c r="N439" t="s">
        <v>326</v>
      </c>
      <c r="O439" t="s">
        <v>1870</v>
      </c>
      <c r="P439">
        <v>19314</v>
      </c>
      <c r="Q439" s="3"/>
      <c r="R439" s="3">
        <f>IF(Table1[[#This Row],[Gross_millions]]=" ",0,Table1[[#This Row],[Gross_millions]])</f>
        <v>0</v>
      </c>
      <c r="S439" t="str">
        <f>IF(Table1[[#This Row],[Gross_millions_Clean]]&gt;200,"Blockbuster",IF(Table1[[#This Row],[Gross_millions_Clean]]&gt;100,"Hit","Average"))</f>
        <v>Average</v>
      </c>
    </row>
    <row r="440" spans="1:19" x14ac:dyDescent="0.3">
      <c r="A440" t="s">
        <v>1871</v>
      </c>
      <c r="B440" t="s">
        <v>1872</v>
      </c>
      <c r="C440">
        <v>2009</v>
      </c>
      <c r="D440" s="8">
        <f>FLOOR(Table1[[#This Row],[Year]],10)</f>
        <v>2000</v>
      </c>
      <c r="E440" t="s">
        <v>17</v>
      </c>
      <c r="F440">
        <v>115</v>
      </c>
      <c r="G440" t="str">
        <f>IF(Table1[[#This Row],[Runtime_minutes]]&lt;90,"Short",IF(Table1[[#This Row],[Runtime_minutes]]&lt;=120,"Medium","Long"))</f>
        <v>Medium</v>
      </c>
      <c r="H440" t="s">
        <v>129</v>
      </c>
      <c r="K440">
        <v>7.1</v>
      </c>
      <c r="L440">
        <v>84</v>
      </c>
      <c r="M440" t="s">
        <v>634</v>
      </c>
      <c r="N440" t="s">
        <v>524</v>
      </c>
      <c r="O440" t="s">
        <v>1873</v>
      </c>
      <c r="P440">
        <v>235714</v>
      </c>
      <c r="Q440" s="3">
        <v>85.71</v>
      </c>
      <c r="R440" s="3">
        <f>IF(Table1[[#This Row],[Gross_millions]]=" ",0,Table1[[#This Row],[Gross_millions]])</f>
        <v>85.71</v>
      </c>
      <c r="S440" t="str">
        <f>IF(Table1[[#This Row],[Gross_millions_Clean]]&gt;200,"Blockbuster",IF(Table1[[#This Row],[Gross_millions_Clean]]&gt;100,"Hit","Average"))</f>
        <v>Average</v>
      </c>
    </row>
    <row r="441" spans="1:19" x14ac:dyDescent="0.3">
      <c r="A441" t="s">
        <v>1874</v>
      </c>
      <c r="B441" t="s">
        <v>1875</v>
      </c>
      <c r="C441">
        <v>2019</v>
      </c>
      <c r="D441" s="8">
        <f>FLOOR(Table1[[#This Row],[Year]],10)</f>
        <v>2010</v>
      </c>
      <c r="E441" t="s">
        <v>169</v>
      </c>
      <c r="F441">
        <v>120</v>
      </c>
      <c r="G441" t="str">
        <f>IF(Table1[[#This Row],[Runtime_minutes]]&lt;90,"Short",IF(Table1[[#This Row],[Runtime_minutes]]&lt;=120,"Medium","Long"))</f>
        <v>Medium</v>
      </c>
      <c r="H441" t="s">
        <v>277</v>
      </c>
      <c r="K441">
        <v>7.1</v>
      </c>
      <c r="L441">
        <v>62</v>
      </c>
      <c r="M441" t="s">
        <v>1876</v>
      </c>
      <c r="N441" t="s">
        <v>524</v>
      </c>
      <c r="O441" t="s">
        <v>1877</v>
      </c>
      <c r="P441">
        <v>26645</v>
      </c>
      <c r="Q441" s="3">
        <v>152.34</v>
      </c>
      <c r="R441" s="3">
        <f>IF(Table1[[#This Row],[Gross_millions]]=" ",0,Table1[[#This Row],[Gross_millions]])</f>
        <v>152.34</v>
      </c>
      <c r="S441" t="str">
        <f>IF(Table1[[#This Row],[Gross_millions_Clean]]&gt;200,"Blockbuster",IF(Table1[[#This Row],[Gross_millions_Clean]]&gt;100,"Hit","Average"))</f>
        <v>Hit</v>
      </c>
    </row>
    <row r="442" spans="1:19" x14ac:dyDescent="0.3">
      <c r="A442" t="s">
        <v>1878</v>
      </c>
      <c r="B442" t="s">
        <v>1879</v>
      </c>
      <c r="C442">
        <v>2008</v>
      </c>
      <c r="D442" s="8">
        <f>FLOOR(Table1[[#This Row],[Year]],10)</f>
        <v>2000</v>
      </c>
      <c r="E442" t="s">
        <v>169</v>
      </c>
      <c r="F442">
        <v>112</v>
      </c>
      <c r="G442" t="str">
        <f>IF(Table1[[#This Row],[Runtime_minutes]]&lt;90,"Short",IF(Table1[[#This Row],[Runtime_minutes]]&lt;=120,"Medium","Long"))</f>
        <v>Medium</v>
      </c>
      <c r="H442" t="s">
        <v>767</v>
      </c>
      <c r="I442" t="s">
        <v>3988</v>
      </c>
      <c r="J442" t="s">
        <v>3979</v>
      </c>
      <c r="K442">
        <v>7.1</v>
      </c>
      <c r="L442">
        <v>74</v>
      </c>
      <c r="M442" t="s">
        <v>320</v>
      </c>
      <c r="N442" t="s">
        <v>315</v>
      </c>
      <c r="O442" t="s">
        <v>1881</v>
      </c>
      <c r="P442">
        <v>38441</v>
      </c>
      <c r="Q442" s="3">
        <v>452.31</v>
      </c>
      <c r="R442" s="3">
        <f>IF(Table1[[#This Row],[Gross_millions]]=" ",0,Table1[[#This Row],[Gross_millions]])</f>
        <v>452.31</v>
      </c>
      <c r="S442" t="str">
        <f>IF(Table1[[#This Row],[Gross_millions_Clean]]&gt;200,"Blockbuster",IF(Table1[[#This Row],[Gross_millions_Clean]]&gt;100,"Hit","Average"))</f>
        <v>Blockbuster</v>
      </c>
    </row>
    <row r="443" spans="1:19" x14ac:dyDescent="0.3">
      <c r="A443" t="s">
        <v>1882</v>
      </c>
      <c r="B443" t="s">
        <v>1883</v>
      </c>
      <c r="C443">
        <v>2006</v>
      </c>
      <c r="D443" s="8">
        <f>FLOOR(Table1[[#This Row],[Year]],10)</f>
        <v>2000</v>
      </c>
      <c r="E443" t="s">
        <v>293</v>
      </c>
      <c r="F443">
        <v>131</v>
      </c>
      <c r="G443" t="str">
        <f>IF(Table1[[#This Row],[Runtime_minutes]]&lt;90,"Short",IF(Table1[[#This Row],[Runtime_minutes]]&lt;=120,"Medium","Long"))</f>
        <v>Long</v>
      </c>
      <c r="H443" t="s">
        <v>37</v>
      </c>
      <c r="I443" t="s">
        <v>3990</v>
      </c>
      <c r="J443" t="s">
        <v>3979</v>
      </c>
      <c r="K443">
        <v>7.1</v>
      </c>
      <c r="L443">
        <v>77</v>
      </c>
      <c r="M443" t="s">
        <v>38</v>
      </c>
      <c r="N443" t="s">
        <v>50</v>
      </c>
      <c r="O443" t="s">
        <v>1885</v>
      </c>
      <c r="P443">
        <v>80143</v>
      </c>
      <c r="Q443" s="3"/>
      <c r="R443" s="3">
        <f>IF(Table1[[#This Row],[Gross_millions]]=" ",0,Table1[[#This Row],[Gross_millions]])</f>
        <v>0</v>
      </c>
      <c r="S443" t="str">
        <f>IF(Table1[[#This Row],[Gross_millions_Clean]]&gt;200,"Blockbuster",IF(Table1[[#This Row],[Gross_millions_Clean]]&gt;100,"Hit","Average"))</f>
        <v>Average</v>
      </c>
    </row>
    <row r="444" spans="1:19" x14ac:dyDescent="0.3">
      <c r="A444" t="s">
        <v>1886</v>
      </c>
      <c r="B444" t="s">
        <v>1887</v>
      </c>
      <c r="C444">
        <v>2005</v>
      </c>
      <c r="D444" s="8">
        <f>FLOOR(Table1[[#This Row],[Year]],10)</f>
        <v>2000</v>
      </c>
      <c r="E444" t="s">
        <v>54</v>
      </c>
      <c r="F444">
        <v>161</v>
      </c>
      <c r="G444" t="str">
        <f>IF(Table1[[#This Row],[Runtime_minutes]]&lt;90,"Short",IF(Table1[[#This Row],[Runtime_minutes]]&lt;=120,"Medium","Long"))</f>
        <v>Long</v>
      </c>
      <c r="H444" t="s">
        <v>235</v>
      </c>
      <c r="I444" t="s">
        <v>3983</v>
      </c>
      <c r="K444">
        <v>7.1</v>
      </c>
      <c r="M444" t="s">
        <v>201</v>
      </c>
      <c r="N444" t="s">
        <v>50</v>
      </c>
      <c r="O444" t="s">
        <v>1888</v>
      </c>
      <c r="P444">
        <v>114126</v>
      </c>
      <c r="Q444" s="3">
        <v>387.73</v>
      </c>
      <c r="R444" s="3">
        <f>IF(Table1[[#This Row],[Gross_millions]]=" ",0,Table1[[#This Row],[Gross_millions]])</f>
        <v>387.73</v>
      </c>
      <c r="S444" t="str">
        <f>IF(Table1[[#This Row],[Gross_millions_Clean]]&gt;200,"Blockbuster",IF(Table1[[#This Row],[Gross_millions_Clean]]&gt;100,"Hit","Average"))</f>
        <v>Blockbuster</v>
      </c>
    </row>
    <row r="445" spans="1:19" x14ac:dyDescent="0.3">
      <c r="A445" t="s">
        <v>1889</v>
      </c>
      <c r="B445" t="s">
        <v>1890</v>
      </c>
      <c r="C445">
        <v>2000</v>
      </c>
      <c r="D445" s="8">
        <f>FLOOR(Table1[[#This Row],[Year]],10)</f>
        <v>2000</v>
      </c>
      <c r="E445" t="s">
        <v>17</v>
      </c>
      <c r="F445">
        <v>109</v>
      </c>
      <c r="G445" t="str">
        <f>IF(Table1[[#This Row],[Runtime_minutes]]&lt;90,"Short",IF(Table1[[#This Row],[Runtime_minutes]]&lt;=120,"Medium","Long"))</f>
        <v>Medium</v>
      </c>
      <c r="H445" t="s">
        <v>129</v>
      </c>
      <c r="I445" t="s">
        <v>3984</v>
      </c>
      <c r="K445">
        <v>7.1</v>
      </c>
      <c r="M445" t="s">
        <v>1891</v>
      </c>
      <c r="N445" t="s">
        <v>547</v>
      </c>
      <c r="O445" t="s">
        <v>1892</v>
      </c>
      <c r="P445">
        <v>20001</v>
      </c>
      <c r="Q445" s="3"/>
      <c r="R445" s="3">
        <f>IF(Table1[[#This Row],[Gross_millions]]=" ",0,Table1[[#This Row],[Gross_millions]])</f>
        <v>0</v>
      </c>
      <c r="S445" t="str">
        <f>IF(Table1[[#This Row],[Gross_millions_Clean]]&gt;200,"Blockbuster",IF(Table1[[#This Row],[Gross_millions_Clean]]&gt;100,"Hit","Average"))</f>
        <v>Average</v>
      </c>
    </row>
    <row r="446" spans="1:19" x14ac:dyDescent="0.3">
      <c r="A446" t="s">
        <v>1893</v>
      </c>
      <c r="B446" t="s">
        <v>1894</v>
      </c>
      <c r="C446">
        <v>2014</v>
      </c>
      <c r="D446" s="8">
        <f>FLOOR(Table1[[#This Row],[Year]],10)</f>
        <v>2010</v>
      </c>
      <c r="E446" t="s">
        <v>17</v>
      </c>
      <c r="F446">
        <v>114</v>
      </c>
      <c r="G446" t="str">
        <f>IF(Table1[[#This Row],[Runtime_minutes]]&lt;90,"Short",IF(Table1[[#This Row],[Runtime_minutes]]&lt;=120,"Medium","Long"))</f>
        <v>Medium</v>
      </c>
      <c r="H446" t="s">
        <v>375</v>
      </c>
      <c r="I446" t="s">
        <v>3983</v>
      </c>
      <c r="K446">
        <v>7.1</v>
      </c>
      <c r="L446">
        <v>81</v>
      </c>
      <c r="M446" t="s">
        <v>1895</v>
      </c>
      <c r="N446" t="s">
        <v>86</v>
      </c>
      <c r="O446" t="s">
        <v>1896</v>
      </c>
      <c r="P446">
        <v>88475</v>
      </c>
      <c r="Q446" s="3">
        <v>28.13</v>
      </c>
      <c r="R446" s="3">
        <f>IF(Table1[[#This Row],[Gross_millions]]=" ",0,Table1[[#This Row],[Gross_millions]])</f>
        <v>28.13</v>
      </c>
      <c r="S446" t="str">
        <f>IF(Table1[[#This Row],[Gross_millions_Clean]]&gt;200,"Blockbuster",IF(Table1[[#This Row],[Gross_millions_Clean]]&gt;100,"Hit","Average"))</f>
        <v>Average</v>
      </c>
    </row>
    <row r="447" spans="1:19" x14ac:dyDescent="0.3">
      <c r="A447" t="s">
        <v>1897</v>
      </c>
      <c r="B447" t="s">
        <v>1898</v>
      </c>
      <c r="C447">
        <v>2019</v>
      </c>
      <c r="D447" s="8">
        <f>FLOOR(Table1[[#This Row],[Year]],10)</f>
        <v>2010</v>
      </c>
      <c r="E447" t="s">
        <v>24</v>
      </c>
      <c r="F447">
        <v>114</v>
      </c>
      <c r="G447" t="str">
        <f>IF(Table1[[#This Row],[Runtime_minutes]]&lt;90,"Short",IF(Table1[[#This Row],[Runtime_minutes]]&lt;=120,"Medium","Long"))</f>
        <v>Medium</v>
      </c>
      <c r="H447" t="s">
        <v>606</v>
      </c>
      <c r="K447">
        <v>7.1</v>
      </c>
      <c r="L447">
        <v>82</v>
      </c>
      <c r="M447" t="s">
        <v>250</v>
      </c>
      <c r="N447" t="s">
        <v>80</v>
      </c>
      <c r="O447" t="s">
        <v>1899</v>
      </c>
      <c r="P447">
        <v>55923</v>
      </c>
      <c r="Q447" s="3">
        <v>436.91</v>
      </c>
      <c r="R447" s="3">
        <f>IF(Table1[[#This Row],[Gross_millions]]=" ",0,Table1[[#This Row],[Gross_millions]])</f>
        <v>436.91</v>
      </c>
      <c r="S447" t="str">
        <f>IF(Table1[[#This Row],[Gross_millions_Clean]]&gt;200,"Blockbuster",IF(Table1[[#This Row],[Gross_millions_Clean]]&gt;100,"Hit","Average"))</f>
        <v>Blockbuster</v>
      </c>
    </row>
    <row r="448" spans="1:19" x14ac:dyDescent="0.3">
      <c r="A448" t="s">
        <v>1900</v>
      </c>
      <c r="B448" t="s">
        <v>1901</v>
      </c>
      <c r="C448">
        <v>2009</v>
      </c>
      <c r="D448" s="8">
        <f>FLOOR(Table1[[#This Row],[Year]],10)</f>
        <v>2000</v>
      </c>
      <c r="E448" t="s">
        <v>169</v>
      </c>
      <c r="F448">
        <v>135</v>
      </c>
      <c r="G448" t="str">
        <f>IF(Table1[[#This Row],[Runtime_minutes]]&lt;90,"Short",IF(Table1[[#This Row],[Runtime_minutes]]&lt;=120,"Medium","Long"))</f>
        <v>Long</v>
      </c>
      <c r="H448" t="s">
        <v>72</v>
      </c>
      <c r="K448">
        <v>7.1</v>
      </c>
      <c r="L448">
        <v>58</v>
      </c>
      <c r="M448" t="s">
        <v>1902</v>
      </c>
      <c r="N448" t="s">
        <v>153</v>
      </c>
      <c r="O448" t="s">
        <v>1903</v>
      </c>
      <c r="P448">
        <v>70003</v>
      </c>
      <c r="Q448" s="3">
        <v>23.71</v>
      </c>
      <c r="R448" s="3">
        <f>IF(Table1[[#This Row],[Gross_millions]]=" ",0,Table1[[#This Row],[Gross_millions]])</f>
        <v>23.71</v>
      </c>
      <c r="S448" t="str">
        <f>IF(Table1[[#This Row],[Gross_millions_Clean]]&gt;200,"Blockbuster",IF(Table1[[#This Row],[Gross_millions_Clean]]&gt;100,"Hit","Average"))</f>
        <v>Average</v>
      </c>
    </row>
    <row r="449" spans="1:19" x14ac:dyDescent="0.3">
      <c r="A449" t="s">
        <v>1904</v>
      </c>
      <c r="B449" t="s">
        <v>1905</v>
      </c>
      <c r="C449">
        <v>2015</v>
      </c>
      <c r="D449" s="8">
        <f>FLOOR(Table1[[#This Row],[Year]],10)</f>
        <v>2010</v>
      </c>
      <c r="E449" t="s">
        <v>54</v>
      </c>
      <c r="F449">
        <v>110</v>
      </c>
      <c r="G449" t="str">
        <f>IF(Table1[[#This Row],[Runtime_minutes]]&lt;90,"Short",IF(Table1[[#This Row],[Runtime_minutes]]&lt;=120,"Medium","Long"))</f>
        <v>Medium</v>
      </c>
      <c r="H449" t="s">
        <v>868</v>
      </c>
      <c r="K449">
        <v>7.1</v>
      </c>
      <c r="L449">
        <v>78</v>
      </c>
      <c r="M449" t="s">
        <v>102</v>
      </c>
      <c r="N449" t="s">
        <v>74</v>
      </c>
      <c r="O449" t="s">
        <v>1906</v>
      </c>
      <c r="P449">
        <v>55805</v>
      </c>
      <c r="Q449" s="3"/>
      <c r="R449" s="3">
        <f>IF(Table1[[#This Row],[Gross_millions]]=" ",0,Table1[[#This Row],[Gross_millions]])</f>
        <v>0</v>
      </c>
      <c r="S449" t="str">
        <f>IF(Table1[[#This Row],[Gross_millions_Clean]]&gt;200,"Blockbuster",IF(Table1[[#This Row],[Gross_millions_Clean]]&gt;100,"Hit","Average"))</f>
        <v>Average</v>
      </c>
    </row>
    <row r="450" spans="1:19" x14ac:dyDescent="0.3">
      <c r="A450" t="s">
        <v>1907</v>
      </c>
      <c r="B450" t="s">
        <v>1908</v>
      </c>
      <c r="C450">
        <v>1989</v>
      </c>
      <c r="D450" s="8">
        <f>FLOOR(Table1[[#This Row],[Year]],10)</f>
        <v>1980</v>
      </c>
      <c r="E450" t="s">
        <v>24</v>
      </c>
      <c r="F450">
        <v>114</v>
      </c>
      <c r="G450" t="str">
        <f>IF(Table1[[#This Row],[Runtime_minutes]]&lt;90,"Short",IF(Table1[[#This Row],[Runtime_minutes]]&lt;=120,"Medium","Long"))</f>
        <v>Medium</v>
      </c>
      <c r="H450" t="s">
        <v>55</v>
      </c>
      <c r="I450" t="s">
        <v>3990</v>
      </c>
      <c r="K450">
        <v>7.1</v>
      </c>
      <c r="M450" t="s">
        <v>1910</v>
      </c>
      <c r="N450" t="s">
        <v>483</v>
      </c>
      <c r="O450" t="s">
        <v>1911</v>
      </c>
      <c r="P450">
        <v>10386</v>
      </c>
      <c r="Q450" s="3">
        <v>266.62</v>
      </c>
      <c r="R450" s="3">
        <f>IF(Table1[[#This Row],[Gross_millions]]=" ",0,Table1[[#This Row],[Gross_millions]])</f>
        <v>266.62</v>
      </c>
      <c r="S450" t="str">
        <f>IF(Table1[[#This Row],[Gross_millions_Clean]]&gt;200,"Blockbuster",IF(Table1[[#This Row],[Gross_millions_Clean]]&gt;100,"Hit","Average"))</f>
        <v>Blockbuster</v>
      </c>
    </row>
    <row r="451" spans="1:19" x14ac:dyDescent="0.3">
      <c r="A451" t="s">
        <v>1912</v>
      </c>
      <c r="B451" t="s">
        <v>1913</v>
      </c>
      <c r="C451">
        <v>2017</v>
      </c>
      <c r="D451" s="8">
        <f>FLOOR(Table1[[#This Row],[Year]],10)</f>
        <v>2010</v>
      </c>
      <c r="E451" t="s">
        <v>24</v>
      </c>
      <c r="F451">
        <v>118</v>
      </c>
      <c r="G451" t="str">
        <f>IF(Table1[[#This Row],[Runtime_minutes]]&lt;90,"Short",IF(Table1[[#This Row],[Runtime_minutes]]&lt;=120,"Medium","Long"))</f>
        <v>Medium</v>
      </c>
      <c r="H451" t="s">
        <v>37</v>
      </c>
      <c r="I451" t="s">
        <v>3980</v>
      </c>
      <c r="K451">
        <v>7.1</v>
      </c>
      <c r="M451" t="s">
        <v>561</v>
      </c>
      <c r="N451" t="s">
        <v>92</v>
      </c>
      <c r="O451" t="s">
        <v>1914</v>
      </c>
      <c r="P451">
        <v>96958</v>
      </c>
      <c r="Q451" s="3">
        <v>136.33000000000001</v>
      </c>
      <c r="R451" s="3">
        <f>IF(Table1[[#This Row],[Gross_millions]]=" ",0,Table1[[#This Row],[Gross_millions]])</f>
        <v>136.33000000000001</v>
      </c>
      <c r="S451" t="str">
        <f>IF(Table1[[#This Row],[Gross_millions_Clean]]&gt;200,"Blockbuster",IF(Table1[[#This Row],[Gross_millions_Clean]]&gt;100,"Hit","Average"))</f>
        <v>Hit</v>
      </c>
    </row>
    <row r="452" spans="1:19" x14ac:dyDescent="0.3">
      <c r="A452" t="s">
        <v>1915</v>
      </c>
      <c r="B452" t="s">
        <v>1916</v>
      </c>
      <c r="C452">
        <v>1981</v>
      </c>
      <c r="D452" s="8">
        <f>FLOOR(Table1[[#This Row],[Year]],10)</f>
        <v>1980</v>
      </c>
      <c r="E452" t="s">
        <v>285</v>
      </c>
      <c r="F452">
        <v>143</v>
      </c>
      <c r="G452" t="str">
        <f>IF(Table1[[#This Row],[Runtime_minutes]]&lt;90,"Short",IF(Table1[[#This Row],[Runtime_minutes]]&lt;=120,"Medium","Long"))</f>
        <v>Long</v>
      </c>
      <c r="H452" t="s">
        <v>78</v>
      </c>
      <c r="I452" t="s">
        <v>3990</v>
      </c>
      <c r="K452">
        <v>7</v>
      </c>
      <c r="L452">
        <v>74</v>
      </c>
      <c r="M452" t="s">
        <v>1918</v>
      </c>
      <c r="N452" t="s">
        <v>718</v>
      </c>
      <c r="O452" t="s">
        <v>1919</v>
      </c>
      <c r="P452">
        <v>59609</v>
      </c>
      <c r="Q452" s="3">
        <v>121.15</v>
      </c>
      <c r="R452" s="3">
        <f>IF(Table1[[#This Row],[Gross_millions]]=" ",0,Table1[[#This Row],[Gross_millions]])</f>
        <v>121.15</v>
      </c>
      <c r="S452" t="str">
        <f>IF(Table1[[#This Row],[Gross_millions_Clean]]&gt;200,"Blockbuster",IF(Table1[[#This Row],[Gross_millions_Clean]]&gt;100,"Hit","Average"))</f>
        <v>Hit</v>
      </c>
    </row>
    <row r="453" spans="1:19" x14ac:dyDescent="0.3">
      <c r="A453" t="s">
        <v>1920</v>
      </c>
      <c r="B453" t="s">
        <v>1921</v>
      </c>
      <c r="C453">
        <v>2001</v>
      </c>
      <c r="D453" s="8">
        <f>FLOOR(Table1[[#This Row],[Year]],10)</f>
        <v>2000</v>
      </c>
      <c r="E453" t="s">
        <v>17</v>
      </c>
      <c r="F453">
        <v>129</v>
      </c>
      <c r="G453" t="str">
        <f>IF(Table1[[#This Row],[Runtime_minutes]]&lt;90,"Short",IF(Table1[[#This Row],[Runtime_minutes]]&lt;=120,"Medium","Long"))</f>
        <v>Long</v>
      </c>
      <c r="H453" t="s">
        <v>37</v>
      </c>
      <c r="K453">
        <v>7</v>
      </c>
      <c r="L453">
        <v>74</v>
      </c>
      <c r="M453" t="s">
        <v>1922</v>
      </c>
      <c r="N453" t="s">
        <v>33</v>
      </c>
      <c r="O453" t="s">
        <v>1923</v>
      </c>
      <c r="P453">
        <v>95507</v>
      </c>
      <c r="Q453" s="3">
        <v>424.8</v>
      </c>
      <c r="R453" s="3">
        <f>IF(Table1[[#This Row],[Gross_millions]]=" ",0,Table1[[#This Row],[Gross_millions]])</f>
        <v>424.8</v>
      </c>
      <c r="S453" t="str">
        <f>IF(Table1[[#This Row],[Gross_millions_Clean]]&gt;200,"Blockbuster",IF(Table1[[#This Row],[Gross_millions_Clean]]&gt;100,"Hit","Average"))</f>
        <v>Blockbuster</v>
      </c>
    </row>
    <row r="454" spans="1:19" x14ac:dyDescent="0.3">
      <c r="A454" t="s">
        <v>1924</v>
      </c>
      <c r="B454" t="s">
        <v>1925</v>
      </c>
      <c r="C454">
        <v>2017</v>
      </c>
      <c r="D454" s="8">
        <f>FLOOR(Table1[[#This Row],[Year]],10)</f>
        <v>2010</v>
      </c>
      <c r="E454" t="s">
        <v>17</v>
      </c>
      <c r="F454">
        <v>119</v>
      </c>
      <c r="G454" t="str">
        <f>IF(Table1[[#This Row],[Runtime_minutes]]&lt;90,"Short",IF(Table1[[#This Row],[Runtime_minutes]]&lt;=120,"Medium","Long"))</f>
        <v>Medium</v>
      </c>
      <c r="H454" t="s">
        <v>375</v>
      </c>
      <c r="I454" t="s">
        <v>3991</v>
      </c>
      <c r="K454">
        <v>7</v>
      </c>
      <c r="L454">
        <v>66</v>
      </c>
      <c r="M454" t="s">
        <v>381</v>
      </c>
      <c r="N454" t="s">
        <v>80</v>
      </c>
      <c r="O454" t="s">
        <v>1927</v>
      </c>
      <c r="P454">
        <v>41695</v>
      </c>
      <c r="Q454" s="3">
        <v>417.39</v>
      </c>
      <c r="R454" s="3">
        <f>IF(Table1[[#This Row],[Gross_millions]]=" ",0,Table1[[#This Row],[Gross_millions]])</f>
        <v>417.39</v>
      </c>
      <c r="S454" t="str">
        <f>IF(Table1[[#This Row],[Gross_millions_Clean]]&gt;200,"Blockbuster",IF(Table1[[#This Row],[Gross_millions_Clean]]&gt;100,"Hit","Average"))</f>
        <v>Blockbuster</v>
      </c>
    </row>
    <row r="455" spans="1:19" x14ac:dyDescent="0.3">
      <c r="A455" t="s">
        <v>1928</v>
      </c>
      <c r="B455" t="s">
        <v>1929</v>
      </c>
      <c r="C455">
        <v>2009</v>
      </c>
      <c r="D455" s="8">
        <f>FLOOR(Table1[[#This Row],[Year]],10)</f>
        <v>2000</v>
      </c>
      <c r="E455" t="s">
        <v>285</v>
      </c>
      <c r="F455">
        <v>101</v>
      </c>
      <c r="G455" t="str">
        <f>IF(Table1[[#This Row],[Runtime_minutes]]&lt;90,"Short",IF(Table1[[#This Row],[Runtime_minutes]]&lt;=120,"Medium","Long"))</f>
        <v>Medium</v>
      </c>
      <c r="H455" t="s">
        <v>78</v>
      </c>
      <c r="I455" t="s">
        <v>3986</v>
      </c>
      <c r="K455">
        <v>7</v>
      </c>
      <c r="L455">
        <v>77</v>
      </c>
      <c r="M455" t="s">
        <v>1677</v>
      </c>
      <c r="N455" t="s">
        <v>63</v>
      </c>
      <c r="O455" t="s">
        <v>1930</v>
      </c>
      <c r="P455">
        <v>7182</v>
      </c>
      <c r="Q455" s="3">
        <v>191.12</v>
      </c>
      <c r="R455" s="3">
        <f>IF(Table1[[#This Row],[Gross_millions]]=" ",0,Table1[[#This Row],[Gross_millions]])</f>
        <v>191.12</v>
      </c>
      <c r="S455" t="str">
        <f>IF(Table1[[#This Row],[Gross_millions_Clean]]&gt;200,"Blockbuster",IF(Table1[[#This Row],[Gross_millions_Clean]]&gt;100,"Hit","Average"))</f>
        <v>Hit</v>
      </c>
    </row>
    <row r="456" spans="1:19" x14ac:dyDescent="0.3">
      <c r="A456" t="s">
        <v>1931</v>
      </c>
      <c r="B456" t="s">
        <v>1932</v>
      </c>
      <c r="C456">
        <v>2017</v>
      </c>
      <c r="D456" s="8">
        <f>FLOOR(Table1[[#This Row],[Year]],10)</f>
        <v>2010</v>
      </c>
      <c r="E456" t="s">
        <v>24</v>
      </c>
      <c r="F456">
        <v>129</v>
      </c>
      <c r="G456" t="str">
        <f>IF(Table1[[#This Row],[Runtime_minutes]]&lt;90,"Short",IF(Table1[[#This Row],[Runtime_minutes]]&lt;=120,"Medium","Long"))</f>
        <v>Long</v>
      </c>
      <c r="H456" t="s">
        <v>157</v>
      </c>
      <c r="I456" t="s">
        <v>3984</v>
      </c>
      <c r="K456">
        <v>7</v>
      </c>
      <c r="L456">
        <v>70</v>
      </c>
      <c r="M456" t="s">
        <v>1934</v>
      </c>
      <c r="N456" t="s">
        <v>608</v>
      </c>
      <c r="O456" t="s">
        <v>1935</v>
      </c>
      <c r="P456">
        <v>18293</v>
      </c>
      <c r="Q456" s="3">
        <v>10.35</v>
      </c>
      <c r="R456" s="3">
        <f>IF(Table1[[#This Row],[Gross_millions]]=" ",0,Table1[[#This Row],[Gross_millions]])</f>
        <v>10.35</v>
      </c>
      <c r="S456" t="str">
        <f>IF(Table1[[#This Row],[Gross_millions_Clean]]&gt;200,"Blockbuster",IF(Table1[[#This Row],[Gross_millions_Clean]]&gt;100,"Hit","Average"))</f>
        <v>Average</v>
      </c>
    </row>
    <row r="457" spans="1:19" x14ac:dyDescent="0.3">
      <c r="A457" t="s">
        <v>1936</v>
      </c>
      <c r="B457" t="s">
        <v>1937</v>
      </c>
      <c r="C457">
        <v>2009</v>
      </c>
      <c r="D457" s="8">
        <f>FLOOR(Table1[[#This Row],[Year]],10)</f>
        <v>2000</v>
      </c>
      <c r="E457" t="s">
        <v>24</v>
      </c>
      <c r="F457">
        <v>140</v>
      </c>
      <c r="G457" t="str">
        <f>IF(Table1[[#This Row],[Runtime_minutes]]&lt;90,"Short",IF(Table1[[#This Row],[Runtime_minutes]]&lt;=120,"Medium","Long"))</f>
        <v>Long</v>
      </c>
      <c r="H457" t="s">
        <v>37</v>
      </c>
      <c r="I457" t="s">
        <v>3991</v>
      </c>
      <c r="K457">
        <v>7</v>
      </c>
      <c r="L457">
        <v>74</v>
      </c>
      <c r="M457" t="s">
        <v>561</v>
      </c>
      <c r="N457" t="s">
        <v>326</v>
      </c>
      <c r="O457" t="s">
        <v>1939</v>
      </c>
      <c r="P457">
        <v>40596</v>
      </c>
      <c r="Q457" s="3"/>
      <c r="R457" s="3">
        <f>IF(Table1[[#This Row],[Gross_millions]]=" ",0,Table1[[#This Row],[Gross_millions]])</f>
        <v>0</v>
      </c>
      <c r="S457" t="str">
        <f>IF(Table1[[#This Row],[Gross_millions_Clean]]&gt;200,"Blockbuster",IF(Table1[[#This Row],[Gross_millions_Clean]]&gt;100,"Hit","Average"))</f>
        <v>Average</v>
      </c>
    </row>
    <row r="458" spans="1:19" x14ac:dyDescent="0.3">
      <c r="A458" t="s">
        <v>1940</v>
      </c>
      <c r="B458" t="s">
        <v>1941</v>
      </c>
      <c r="C458">
        <v>2008</v>
      </c>
      <c r="D458" s="8">
        <f>FLOOR(Table1[[#This Row],[Year]],10)</f>
        <v>2000</v>
      </c>
      <c r="E458" t="s">
        <v>17</v>
      </c>
      <c r="F458">
        <v>110</v>
      </c>
      <c r="G458" t="str">
        <f>IF(Table1[[#This Row],[Runtime_minutes]]&lt;90,"Short",IF(Table1[[#This Row],[Runtime_minutes]]&lt;=120,"Medium","Long"))</f>
        <v>Medium</v>
      </c>
      <c r="H458" t="s">
        <v>277</v>
      </c>
      <c r="I458" t="s">
        <v>3976</v>
      </c>
      <c r="K458">
        <v>7</v>
      </c>
      <c r="M458" t="s">
        <v>1943</v>
      </c>
      <c r="N458" t="s">
        <v>547</v>
      </c>
      <c r="O458" t="s">
        <v>1944</v>
      </c>
      <c r="P458">
        <v>31098</v>
      </c>
      <c r="Q458" s="3">
        <v>331.62</v>
      </c>
      <c r="R458" s="3">
        <f>IF(Table1[[#This Row],[Gross_millions]]=" ",0,Table1[[#This Row],[Gross_millions]])</f>
        <v>331.62</v>
      </c>
      <c r="S458" t="str">
        <f>IF(Table1[[#This Row],[Gross_millions_Clean]]&gt;200,"Blockbuster",IF(Table1[[#This Row],[Gross_millions_Clean]]&gt;100,"Hit","Average"))</f>
        <v>Blockbuster</v>
      </c>
    </row>
    <row r="459" spans="1:19" x14ac:dyDescent="0.3">
      <c r="A459" t="s">
        <v>1945</v>
      </c>
      <c r="B459" t="s">
        <v>1946</v>
      </c>
      <c r="C459">
        <v>2014</v>
      </c>
      <c r="D459" s="8">
        <f>FLOOR(Table1[[#This Row],[Year]],10)</f>
        <v>2010</v>
      </c>
      <c r="E459" t="s">
        <v>285</v>
      </c>
      <c r="F459">
        <v>92</v>
      </c>
      <c r="G459" t="str">
        <f>IF(Table1[[#This Row],[Runtime_minutes]]&lt;90,"Short",IF(Table1[[#This Row],[Runtime_minutes]]&lt;=120,"Medium","Long"))</f>
        <v>Medium</v>
      </c>
      <c r="H459" t="s">
        <v>277</v>
      </c>
      <c r="I459" t="s">
        <v>3993</v>
      </c>
      <c r="K459">
        <v>7</v>
      </c>
      <c r="M459" t="s">
        <v>278</v>
      </c>
      <c r="N459" t="s">
        <v>326</v>
      </c>
      <c r="O459" t="s">
        <v>1948</v>
      </c>
      <c r="P459">
        <v>22181</v>
      </c>
      <c r="Q459" s="3">
        <v>110.76</v>
      </c>
      <c r="R459" s="3">
        <f>IF(Table1[[#This Row],[Gross_millions]]=" ",0,Table1[[#This Row],[Gross_millions]])</f>
        <v>110.76</v>
      </c>
      <c r="S459" t="str">
        <f>IF(Table1[[#This Row],[Gross_millions_Clean]]&gt;200,"Blockbuster",IF(Table1[[#This Row],[Gross_millions_Clean]]&gt;100,"Hit","Average"))</f>
        <v>Hit</v>
      </c>
    </row>
    <row r="460" spans="1:19" x14ac:dyDescent="0.3">
      <c r="A460" t="s">
        <v>1949</v>
      </c>
      <c r="B460" t="s">
        <v>1950</v>
      </c>
      <c r="C460">
        <v>2020</v>
      </c>
      <c r="D460" s="8">
        <f>FLOOR(Table1[[#This Row],[Year]],10)</f>
        <v>2020</v>
      </c>
      <c r="E460" t="s">
        <v>24</v>
      </c>
      <c r="F460">
        <v>123</v>
      </c>
      <c r="G460" t="str">
        <f>IF(Table1[[#This Row],[Runtime_minutes]]&lt;90,"Short",IF(Table1[[#This Row],[Runtime_minutes]]&lt;=120,"Medium","Long"))</f>
        <v>Long</v>
      </c>
      <c r="H460" t="s">
        <v>55</v>
      </c>
      <c r="I460" t="s">
        <v>3985</v>
      </c>
      <c r="K460">
        <v>7</v>
      </c>
      <c r="L460">
        <v>79</v>
      </c>
      <c r="M460" t="s">
        <v>852</v>
      </c>
      <c r="N460" t="s">
        <v>57</v>
      </c>
      <c r="O460" t="s">
        <v>1951</v>
      </c>
      <c r="P460">
        <v>42838</v>
      </c>
      <c r="Q460" s="3">
        <v>258.57</v>
      </c>
      <c r="R460" s="3">
        <f>IF(Table1[[#This Row],[Gross_millions]]=" ",0,Table1[[#This Row],[Gross_millions]])</f>
        <v>258.57</v>
      </c>
      <c r="S460" t="str">
        <f>IF(Table1[[#This Row],[Gross_millions_Clean]]&gt;200,"Blockbuster",IF(Table1[[#This Row],[Gross_millions_Clean]]&gt;100,"Hit","Average"))</f>
        <v>Blockbuster</v>
      </c>
    </row>
    <row r="461" spans="1:19" x14ac:dyDescent="0.3">
      <c r="A461" t="s">
        <v>1952</v>
      </c>
      <c r="B461" t="s">
        <v>1953</v>
      </c>
      <c r="C461">
        <v>2001</v>
      </c>
      <c r="D461" s="8">
        <f>FLOOR(Table1[[#This Row],[Year]],10)</f>
        <v>2000</v>
      </c>
      <c r="E461" t="s">
        <v>17</v>
      </c>
      <c r="F461">
        <v>111</v>
      </c>
      <c r="G461" t="str">
        <f>IF(Table1[[#This Row],[Runtime_minutes]]&lt;90,"Short",IF(Table1[[#This Row],[Runtime_minutes]]&lt;=120,"Medium","Long"))</f>
        <v>Medium</v>
      </c>
      <c r="H461" t="s">
        <v>157</v>
      </c>
      <c r="I461" t="s">
        <v>3987</v>
      </c>
      <c r="K461">
        <v>7</v>
      </c>
      <c r="L461">
        <v>57</v>
      </c>
      <c r="M461" t="s">
        <v>158</v>
      </c>
      <c r="N461" t="s">
        <v>86</v>
      </c>
      <c r="O461" t="s">
        <v>1955</v>
      </c>
      <c r="P461">
        <v>299673</v>
      </c>
      <c r="Q461" s="3">
        <v>279.97000000000003</v>
      </c>
      <c r="R461" s="3">
        <f>IF(Table1[[#This Row],[Gross_millions]]=" ",0,Table1[[#This Row],[Gross_millions]])</f>
        <v>279.97000000000003</v>
      </c>
      <c r="S461" t="str">
        <f>IF(Table1[[#This Row],[Gross_millions_Clean]]&gt;200,"Blockbuster",IF(Table1[[#This Row],[Gross_millions_Clean]]&gt;100,"Hit","Average"))</f>
        <v>Blockbuster</v>
      </c>
    </row>
    <row r="462" spans="1:19" x14ac:dyDescent="0.3">
      <c r="A462" t="s">
        <v>1956</v>
      </c>
      <c r="B462" t="s">
        <v>1957</v>
      </c>
      <c r="C462">
        <v>2023</v>
      </c>
      <c r="D462" s="8">
        <f>FLOOR(Table1[[#This Row],[Year]],10)</f>
        <v>2020</v>
      </c>
      <c r="E462" t="s">
        <v>24</v>
      </c>
      <c r="F462">
        <v>145</v>
      </c>
      <c r="G462" t="str">
        <f>IF(Table1[[#This Row],[Runtime_minutes]]&lt;90,"Short",IF(Table1[[#This Row],[Runtime_minutes]]&lt;=120,"Medium","Long"))</f>
        <v>Long</v>
      </c>
      <c r="H462" t="s">
        <v>767</v>
      </c>
      <c r="K462">
        <v>7</v>
      </c>
      <c r="L462">
        <v>73</v>
      </c>
      <c r="M462" t="s">
        <v>85</v>
      </c>
      <c r="N462" t="s">
        <v>718</v>
      </c>
      <c r="O462" t="s">
        <v>1958</v>
      </c>
      <c r="P462">
        <v>64193</v>
      </c>
      <c r="Q462" s="3">
        <v>152.84</v>
      </c>
      <c r="R462" s="3">
        <f>IF(Table1[[#This Row],[Gross_millions]]=" ",0,Table1[[#This Row],[Gross_millions]])</f>
        <v>152.84</v>
      </c>
      <c r="S462" t="str">
        <f>IF(Table1[[#This Row],[Gross_millions_Clean]]&gt;200,"Blockbuster",IF(Table1[[#This Row],[Gross_millions_Clean]]&gt;100,"Hit","Average"))</f>
        <v>Hit</v>
      </c>
    </row>
    <row r="463" spans="1:19" x14ac:dyDescent="0.3">
      <c r="A463" t="s">
        <v>1959</v>
      </c>
      <c r="B463" t="s">
        <v>1960</v>
      </c>
      <c r="C463">
        <v>2024</v>
      </c>
      <c r="D463" s="8">
        <f>FLOOR(Table1[[#This Row],[Year]],10)</f>
        <v>2020</v>
      </c>
      <c r="E463" t="s">
        <v>54</v>
      </c>
      <c r="F463">
        <v>97</v>
      </c>
      <c r="G463" t="str">
        <f>IF(Table1[[#This Row],[Runtime_minutes]]&lt;90,"Short",IF(Table1[[#This Row],[Runtime_minutes]]&lt;=120,"Medium","Long"))</f>
        <v>Medium</v>
      </c>
      <c r="H463" t="s">
        <v>277</v>
      </c>
      <c r="I463" t="s">
        <v>3993</v>
      </c>
      <c r="K463">
        <v>7</v>
      </c>
      <c r="L463">
        <v>84</v>
      </c>
      <c r="M463" t="s">
        <v>1961</v>
      </c>
      <c r="N463" t="s">
        <v>119</v>
      </c>
      <c r="O463" t="s">
        <v>1962</v>
      </c>
      <c r="P463">
        <v>483111</v>
      </c>
      <c r="Q463" s="3"/>
      <c r="R463" s="3">
        <f>IF(Table1[[#This Row],[Gross_millions]]=" ",0,Table1[[#This Row],[Gross_millions]])</f>
        <v>0</v>
      </c>
      <c r="S463" t="str">
        <f>IF(Table1[[#This Row],[Gross_millions_Clean]]&gt;200,"Blockbuster",IF(Table1[[#This Row],[Gross_millions_Clean]]&gt;100,"Hit","Average"))</f>
        <v>Average</v>
      </c>
    </row>
    <row r="464" spans="1:19" x14ac:dyDescent="0.3">
      <c r="A464" t="s">
        <v>1963</v>
      </c>
      <c r="B464" t="s">
        <v>1964</v>
      </c>
      <c r="C464">
        <v>1994</v>
      </c>
      <c r="D464" s="8">
        <f>FLOOR(Table1[[#This Row],[Year]],10)</f>
        <v>1990</v>
      </c>
      <c r="E464" t="s">
        <v>17</v>
      </c>
      <c r="F464">
        <v>106</v>
      </c>
      <c r="G464" t="str">
        <f>IF(Table1[[#This Row],[Runtime_minutes]]&lt;90,"Short",IF(Table1[[#This Row],[Runtime_minutes]]&lt;=120,"Medium","Long"))</f>
        <v>Medium</v>
      </c>
      <c r="H464" t="s">
        <v>78</v>
      </c>
      <c r="K464">
        <v>7</v>
      </c>
      <c r="M464" t="s">
        <v>305</v>
      </c>
      <c r="N464" t="s">
        <v>27</v>
      </c>
      <c r="O464" t="s">
        <v>1965</v>
      </c>
      <c r="P464">
        <v>50589</v>
      </c>
      <c r="Q464" s="3">
        <v>247.53</v>
      </c>
      <c r="R464" s="3">
        <f>IF(Table1[[#This Row],[Gross_millions]]=" ",0,Table1[[#This Row],[Gross_millions]])</f>
        <v>247.53</v>
      </c>
      <c r="S464" t="str">
        <f>IF(Table1[[#This Row],[Gross_millions_Clean]]&gt;200,"Blockbuster",IF(Table1[[#This Row],[Gross_millions_Clean]]&gt;100,"Hit","Average"))</f>
        <v>Blockbuster</v>
      </c>
    </row>
    <row r="465" spans="1:19" x14ac:dyDescent="0.3">
      <c r="A465" t="s">
        <v>1966</v>
      </c>
      <c r="B465" t="s">
        <v>1967</v>
      </c>
      <c r="C465">
        <v>2006</v>
      </c>
      <c r="D465" s="8">
        <f>FLOOR(Table1[[#This Row],[Year]],10)</f>
        <v>2000</v>
      </c>
      <c r="E465" t="s">
        <v>54</v>
      </c>
      <c r="F465">
        <v>97</v>
      </c>
      <c r="G465" t="str">
        <f>IF(Table1[[#This Row],[Runtime_minutes]]&lt;90,"Short",IF(Table1[[#This Row],[Runtime_minutes]]&lt;=120,"Medium","Long"))</f>
        <v>Medium</v>
      </c>
      <c r="H465" t="s">
        <v>868</v>
      </c>
      <c r="I465" t="s">
        <v>3985</v>
      </c>
      <c r="K465">
        <v>7</v>
      </c>
      <c r="M465" t="s">
        <v>102</v>
      </c>
      <c r="N465" t="s">
        <v>57</v>
      </c>
      <c r="O465" t="s">
        <v>1968</v>
      </c>
      <c r="P465">
        <v>126415</v>
      </c>
      <c r="Q465" s="3"/>
      <c r="R465" s="3">
        <f>IF(Table1[[#This Row],[Gross_millions]]=" ",0,Table1[[#This Row],[Gross_millions]])</f>
        <v>0</v>
      </c>
      <c r="S465" t="str">
        <f>IF(Table1[[#This Row],[Gross_millions_Clean]]&gt;200,"Blockbuster",IF(Table1[[#This Row],[Gross_millions_Clean]]&gt;100,"Hit","Average"))</f>
        <v>Average</v>
      </c>
    </row>
    <row r="466" spans="1:19" x14ac:dyDescent="0.3">
      <c r="A466" t="s">
        <v>1969</v>
      </c>
      <c r="B466" t="s">
        <v>1970</v>
      </c>
      <c r="C466">
        <v>2003</v>
      </c>
      <c r="D466" s="8">
        <f>FLOOR(Table1[[#This Row],[Year]],10)</f>
        <v>2000</v>
      </c>
      <c r="E466" t="s">
        <v>54</v>
      </c>
      <c r="F466">
        <v>125</v>
      </c>
      <c r="G466" t="str">
        <f>IF(Table1[[#This Row],[Runtime_minutes]]&lt;90,"Short",IF(Table1[[#This Row],[Runtime_minutes]]&lt;=120,"Medium","Long"))</f>
        <v>Long</v>
      </c>
      <c r="H466" t="s">
        <v>210</v>
      </c>
      <c r="I466" t="s">
        <v>3992</v>
      </c>
      <c r="K466">
        <v>7</v>
      </c>
      <c r="L466">
        <v>55</v>
      </c>
      <c r="M466" t="s">
        <v>19</v>
      </c>
      <c r="N466" t="s">
        <v>113</v>
      </c>
      <c r="O466" t="s">
        <v>1972</v>
      </c>
      <c r="P466">
        <v>214560</v>
      </c>
      <c r="Q466" s="3"/>
      <c r="R466" s="3">
        <f>IF(Table1[[#This Row],[Gross_millions]]=" ",0,Table1[[#This Row],[Gross_millions]])</f>
        <v>0</v>
      </c>
      <c r="S466" t="str">
        <f>IF(Table1[[#This Row],[Gross_millions_Clean]]&gt;200,"Blockbuster",IF(Table1[[#This Row],[Gross_millions_Clean]]&gt;100,"Hit","Average"))</f>
        <v>Average</v>
      </c>
    </row>
    <row r="467" spans="1:19" x14ac:dyDescent="0.3">
      <c r="A467" t="s">
        <v>1973</v>
      </c>
      <c r="B467" t="s">
        <v>1974</v>
      </c>
      <c r="C467">
        <v>2021</v>
      </c>
      <c r="D467" s="8">
        <f>FLOOR(Table1[[#This Row],[Year]],10)</f>
        <v>2020</v>
      </c>
      <c r="E467" t="s">
        <v>54</v>
      </c>
      <c r="F467">
        <v>82</v>
      </c>
      <c r="G467" t="str">
        <f>IF(Table1[[#This Row],[Runtime_minutes]]&lt;90,"Short",IF(Table1[[#This Row],[Runtime_minutes]]&lt;=120,"Medium","Long"))</f>
        <v>Short</v>
      </c>
      <c r="H467" t="s">
        <v>606</v>
      </c>
      <c r="I467" t="s">
        <v>3985</v>
      </c>
      <c r="K467">
        <v>7</v>
      </c>
      <c r="L467">
        <v>78</v>
      </c>
      <c r="M467" t="s">
        <v>220</v>
      </c>
      <c r="N467" t="s">
        <v>137</v>
      </c>
      <c r="O467" t="s">
        <v>1976</v>
      </c>
      <c r="P467">
        <v>59982</v>
      </c>
      <c r="Q467" s="3">
        <v>104.54</v>
      </c>
      <c r="R467" s="3">
        <f>IF(Table1[[#This Row],[Gross_millions]]=" ",0,Table1[[#This Row],[Gross_millions]])</f>
        <v>104.54</v>
      </c>
      <c r="S467" t="str">
        <f>IF(Table1[[#This Row],[Gross_millions_Clean]]&gt;200,"Blockbuster",IF(Table1[[#This Row],[Gross_millions_Clean]]&gt;100,"Hit","Average"))</f>
        <v>Hit</v>
      </c>
    </row>
    <row r="468" spans="1:19" x14ac:dyDescent="0.3">
      <c r="A468" t="s">
        <v>1977</v>
      </c>
      <c r="B468" t="s">
        <v>1978</v>
      </c>
      <c r="C468">
        <v>2022</v>
      </c>
      <c r="D468" s="8">
        <f>FLOOR(Table1[[#This Row],[Year]],10)</f>
        <v>2020</v>
      </c>
      <c r="E468" t="s">
        <v>24</v>
      </c>
      <c r="F468">
        <v>112</v>
      </c>
      <c r="G468" t="str">
        <f>IF(Table1[[#This Row],[Runtime_minutes]]&lt;90,"Short",IF(Table1[[#This Row],[Runtime_minutes]]&lt;=120,"Medium","Long"))</f>
        <v>Medium</v>
      </c>
      <c r="H468" t="s">
        <v>157</v>
      </c>
      <c r="K468">
        <v>7</v>
      </c>
      <c r="L468">
        <v>81</v>
      </c>
      <c r="M468" t="s">
        <v>538</v>
      </c>
      <c r="N468" t="s">
        <v>27</v>
      </c>
      <c r="O468" t="s">
        <v>1979</v>
      </c>
      <c r="P468">
        <v>35782</v>
      </c>
      <c r="Q468" s="3">
        <v>143.5</v>
      </c>
      <c r="R468" s="3">
        <f>IF(Table1[[#This Row],[Gross_millions]]=" ",0,Table1[[#This Row],[Gross_millions]])</f>
        <v>143.5</v>
      </c>
      <c r="S468" t="str">
        <f>IF(Table1[[#This Row],[Gross_millions_Clean]]&gt;200,"Blockbuster",IF(Table1[[#This Row],[Gross_millions_Clean]]&gt;100,"Hit","Average"))</f>
        <v>Hit</v>
      </c>
    </row>
    <row r="469" spans="1:19" x14ac:dyDescent="0.3">
      <c r="A469" t="s">
        <v>1980</v>
      </c>
      <c r="B469" t="s">
        <v>1981</v>
      </c>
      <c r="C469">
        <v>2019</v>
      </c>
      <c r="D469" s="8">
        <f>FLOOR(Table1[[#This Row],[Year]],10)</f>
        <v>2010</v>
      </c>
      <c r="E469" t="s">
        <v>17</v>
      </c>
      <c r="F469">
        <v>110</v>
      </c>
      <c r="G469" t="str">
        <f>IF(Table1[[#This Row],[Runtime_minutes]]&lt;90,"Short",IF(Table1[[#This Row],[Runtime_minutes]]&lt;=120,"Medium","Long"))</f>
        <v>Medium</v>
      </c>
      <c r="H469" t="s">
        <v>230</v>
      </c>
      <c r="I469" t="s">
        <v>3992</v>
      </c>
      <c r="K469">
        <v>7</v>
      </c>
      <c r="L469">
        <v>61</v>
      </c>
      <c r="M469" t="s">
        <v>124</v>
      </c>
      <c r="N469" t="s">
        <v>524</v>
      </c>
      <c r="O469" t="s">
        <v>1982</v>
      </c>
      <c r="P469">
        <v>91576</v>
      </c>
      <c r="Q469" s="3"/>
      <c r="R469" s="3">
        <f>IF(Table1[[#This Row],[Gross_millions]]=" ",0,Table1[[#This Row],[Gross_millions]])</f>
        <v>0</v>
      </c>
      <c r="S469" t="str">
        <f>IF(Table1[[#This Row],[Gross_millions_Clean]]&gt;200,"Blockbuster",IF(Table1[[#This Row],[Gross_millions_Clean]]&gt;100,"Hit","Average"))</f>
        <v>Average</v>
      </c>
    </row>
    <row r="470" spans="1:19" x14ac:dyDescent="0.3">
      <c r="A470" t="s">
        <v>1983</v>
      </c>
      <c r="B470" t="s">
        <v>1984</v>
      </c>
      <c r="C470">
        <v>2004</v>
      </c>
      <c r="D470" s="8">
        <f>FLOOR(Table1[[#This Row],[Year]],10)</f>
        <v>2000</v>
      </c>
      <c r="E470" t="s">
        <v>285</v>
      </c>
      <c r="F470">
        <v>131</v>
      </c>
      <c r="G470" t="str">
        <f>IF(Table1[[#This Row],[Runtime_minutes]]&lt;90,"Short",IF(Table1[[#This Row],[Runtime_minutes]]&lt;=120,"Medium","Long"))</f>
        <v>Long</v>
      </c>
      <c r="H470" t="s">
        <v>375</v>
      </c>
      <c r="I470" t="s">
        <v>3979</v>
      </c>
      <c r="K470">
        <v>7</v>
      </c>
      <c r="L470">
        <v>84</v>
      </c>
      <c r="M470" t="s">
        <v>1701</v>
      </c>
      <c r="N470" t="s">
        <v>92</v>
      </c>
      <c r="O470" t="s">
        <v>1985</v>
      </c>
      <c r="P470">
        <v>463337</v>
      </c>
      <c r="Q470" s="3">
        <v>492.8</v>
      </c>
      <c r="R470" s="3">
        <f>IF(Table1[[#This Row],[Gross_millions]]=" ",0,Table1[[#This Row],[Gross_millions]])</f>
        <v>492.8</v>
      </c>
      <c r="S470" t="str">
        <f>IF(Table1[[#This Row],[Gross_millions_Clean]]&gt;200,"Blockbuster",IF(Table1[[#This Row],[Gross_millions_Clean]]&gt;100,"Hit","Average"))</f>
        <v>Blockbuster</v>
      </c>
    </row>
    <row r="471" spans="1:19" x14ac:dyDescent="0.3">
      <c r="A471" t="s">
        <v>1986</v>
      </c>
      <c r="B471" t="s">
        <v>1987</v>
      </c>
      <c r="C471">
        <v>2009</v>
      </c>
      <c r="D471" s="8">
        <f>FLOOR(Table1[[#This Row],[Year]],10)</f>
        <v>2000</v>
      </c>
      <c r="E471" t="s">
        <v>285</v>
      </c>
      <c r="F471">
        <v>114</v>
      </c>
      <c r="G471" t="str">
        <f>IF(Table1[[#This Row],[Runtime_minutes]]&lt;90,"Short",IF(Table1[[#This Row],[Runtime_minutes]]&lt;=120,"Medium","Long"))</f>
        <v>Medium</v>
      </c>
      <c r="H471" t="s">
        <v>606</v>
      </c>
      <c r="I471" t="s">
        <v>3985</v>
      </c>
      <c r="J471" t="s">
        <v>3977</v>
      </c>
      <c r="K471">
        <v>7</v>
      </c>
      <c r="L471">
        <v>78</v>
      </c>
      <c r="M471" t="s">
        <v>1989</v>
      </c>
      <c r="N471" t="s">
        <v>33</v>
      </c>
      <c r="O471" t="s">
        <v>1990</v>
      </c>
      <c r="P471">
        <v>10651</v>
      </c>
      <c r="Q471" s="3">
        <v>62.22</v>
      </c>
      <c r="R471" s="3">
        <f>IF(Table1[[#This Row],[Gross_millions]]=" ",0,Table1[[#This Row],[Gross_millions]])</f>
        <v>62.22</v>
      </c>
      <c r="S471" t="str">
        <f>IF(Table1[[#This Row],[Gross_millions_Clean]]&gt;200,"Blockbuster",IF(Table1[[#This Row],[Gross_millions_Clean]]&gt;100,"Hit","Average"))</f>
        <v>Average</v>
      </c>
    </row>
    <row r="472" spans="1:19" x14ac:dyDescent="0.3">
      <c r="A472" t="s">
        <v>1991</v>
      </c>
      <c r="B472" t="s">
        <v>1992</v>
      </c>
      <c r="C472">
        <v>2008</v>
      </c>
      <c r="D472" s="8">
        <f>FLOOR(Table1[[#This Row],[Year]],10)</f>
        <v>2000</v>
      </c>
      <c r="E472" t="s">
        <v>17</v>
      </c>
      <c r="F472">
        <v>107</v>
      </c>
      <c r="G472" t="str">
        <f>IF(Table1[[#This Row],[Runtime_minutes]]&lt;90,"Short",IF(Table1[[#This Row],[Runtime_minutes]]&lt;=120,"Medium","Long"))</f>
        <v>Medium</v>
      </c>
      <c r="H472" t="s">
        <v>453</v>
      </c>
      <c r="I472" t="s">
        <v>3987</v>
      </c>
      <c r="J472" t="s">
        <v>3980</v>
      </c>
      <c r="K472">
        <v>7</v>
      </c>
      <c r="L472">
        <v>73</v>
      </c>
      <c r="M472" t="s">
        <v>1994</v>
      </c>
      <c r="N472" t="s">
        <v>251</v>
      </c>
      <c r="O472" t="s">
        <v>1995</v>
      </c>
      <c r="P472">
        <v>204948</v>
      </c>
      <c r="Q472" s="3">
        <v>367.63</v>
      </c>
      <c r="R472" s="3">
        <f>IF(Table1[[#This Row],[Gross_millions]]=" ",0,Table1[[#This Row],[Gross_millions]])</f>
        <v>367.63</v>
      </c>
      <c r="S472" t="str">
        <f>IF(Table1[[#This Row],[Gross_millions_Clean]]&gt;200,"Blockbuster",IF(Table1[[#This Row],[Gross_millions_Clean]]&gt;100,"Hit","Average"))</f>
        <v>Blockbuster</v>
      </c>
    </row>
    <row r="473" spans="1:19" x14ac:dyDescent="0.3">
      <c r="A473" t="s">
        <v>1996</v>
      </c>
      <c r="B473" t="s">
        <v>1997</v>
      </c>
      <c r="C473">
        <v>2003</v>
      </c>
      <c r="D473" s="8">
        <f>FLOOR(Table1[[#This Row],[Year]],10)</f>
        <v>2000</v>
      </c>
      <c r="E473" t="s">
        <v>169</v>
      </c>
      <c r="F473">
        <v>116</v>
      </c>
      <c r="G473" t="str">
        <f>IF(Table1[[#This Row],[Runtime_minutes]]&lt;90,"Short",IF(Table1[[#This Row],[Runtime_minutes]]&lt;=120,"Medium","Long"))</f>
        <v>Medium</v>
      </c>
      <c r="H473" t="s">
        <v>453</v>
      </c>
      <c r="I473" t="s">
        <v>3982</v>
      </c>
      <c r="K473">
        <v>7</v>
      </c>
      <c r="L473">
        <v>75</v>
      </c>
      <c r="M473" t="s">
        <v>435</v>
      </c>
      <c r="N473" t="s">
        <v>137</v>
      </c>
      <c r="O473" t="s">
        <v>1998</v>
      </c>
      <c r="P473">
        <v>220819</v>
      </c>
      <c r="Q473" s="3">
        <v>84.69</v>
      </c>
      <c r="R473" s="3">
        <f>IF(Table1[[#This Row],[Gross_millions]]=" ",0,Table1[[#This Row],[Gross_millions]])</f>
        <v>84.69</v>
      </c>
      <c r="S473" t="str">
        <f>IF(Table1[[#This Row],[Gross_millions_Clean]]&gt;200,"Blockbuster",IF(Table1[[#This Row],[Gross_millions_Clean]]&gt;100,"Hit","Average"))</f>
        <v>Average</v>
      </c>
    </row>
    <row r="474" spans="1:19" x14ac:dyDescent="0.3">
      <c r="A474" t="s">
        <v>1999</v>
      </c>
      <c r="B474" t="s">
        <v>2000</v>
      </c>
      <c r="C474">
        <v>2010</v>
      </c>
      <c r="D474" s="8">
        <f>FLOOR(Table1[[#This Row],[Year]],10)</f>
        <v>2010</v>
      </c>
      <c r="E474" t="s">
        <v>54</v>
      </c>
      <c r="F474">
        <v>129</v>
      </c>
      <c r="G474" t="str">
        <f>IF(Table1[[#This Row],[Runtime_minutes]]&lt;90,"Short",IF(Table1[[#This Row],[Runtime_minutes]]&lt;=120,"Medium","Long"))</f>
        <v>Long</v>
      </c>
      <c r="H474" t="s">
        <v>43</v>
      </c>
      <c r="I474" t="s">
        <v>3992</v>
      </c>
      <c r="K474">
        <v>7</v>
      </c>
      <c r="L474">
        <v>67</v>
      </c>
      <c r="M474" t="s">
        <v>2001</v>
      </c>
      <c r="N474" t="s">
        <v>74</v>
      </c>
      <c r="O474" t="s">
        <v>2002</v>
      </c>
      <c r="P474">
        <v>261459</v>
      </c>
      <c r="Q474" s="3">
        <v>19.170000000000002</v>
      </c>
      <c r="R474" s="3">
        <f>IF(Table1[[#This Row],[Gross_millions]]=" ",0,Table1[[#This Row],[Gross_millions]])</f>
        <v>19.170000000000002</v>
      </c>
      <c r="S474" t="str">
        <f>IF(Table1[[#This Row],[Gross_millions_Clean]]&gt;200,"Blockbuster",IF(Table1[[#This Row],[Gross_millions_Clean]]&gt;100,"Hit","Average"))</f>
        <v>Average</v>
      </c>
    </row>
    <row r="475" spans="1:19" x14ac:dyDescent="0.3">
      <c r="A475" t="s">
        <v>2003</v>
      </c>
      <c r="B475" t="s">
        <v>2004</v>
      </c>
      <c r="C475">
        <v>2022</v>
      </c>
      <c r="D475" s="8">
        <f>FLOOR(Table1[[#This Row],[Year]],10)</f>
        <v>2020</v>
      </c>
      <c r="E475" t="s">
        <v>24</v>
      </c>
      <c r="F475">
        <v>104</v>
      </c>
      <c r="G475" t="str">
        <f>IF(Table1[[#This Row],[Runtime_minutes]]&lt;90,"Short",IF(Table1[[#This Row],[Runtime_minutes]]&lt;=120,"Medium","Long"))</f>
        <v>Medium</v>
      </c>
      <c r="H475" t="s">
        <v>230</v>
      </c>
      <c r="I475" t="s">
        <v>3978</v>
      </c>
      <c r="K475">
        <v>7</v>
      </c>
      <c r="M475" t="s">
        <v>124</v>
      </c>
      <c r="N475" t="s">
        <v>524</v>
      </c>
      <c r="O475" t="s">
        <v>2006</v>
      </c>
      <c r="P475">
        <v>13800</v>
      </c>
      <c r="Q475" s="3">
        <v>397.2</v>
      </c>
      <c r="R475" s="3">
        <f>IF(Table1[[#This Row],[Gross_millions]]=" ",0,Table1[[#This Row],[Gross_millions]])</f>
        <v>397.2</v>
      </c>
      <c r="S475" t="str">
        <f>IF(Table1[[#This Row],[Gross_millions_Clean]]&gt;200,"Blockbuster",IF(Table1[[#This Row],[Gross_millions_Clean]]&gt;100,"Hit","Average"))</f>
        <v>Blockbuster</v>
      </c>
    </row>
    <row r="476" spans="1:19" x14ac:dyDescent="0.3">
      <c r="A476" t="s">
        <v>2007</v>
      </c>
      <c r="B476" t="s">
        <v>2008</v>
      </c>
      <c r="C476">
        <v>2016</v>
      </c>
      <c r="D476" s="8">
        <f>FLOOR(Table1[[#This Row],[Year]],10)</f>
        <v>2010</v>
      </c>
      <c r="E476" t="s">
        <v>17</v>
      </c>
      <c r="F476">
        <v>134</v>
      </c>
      <c r="G476" t="str">
        <f>IF(Table1[[#This Row],[Runtime_minutes]]&lt;90,"Short",IF(Table1[[#This Row],[Runtime_minutes]]&lt;=120,"Medium","Long"))</f>
        <v>Long</v>
      </c>
      <c r="H476" t="s">
        <v>55</v>
      </c>
      <c r="I476" t="s">
        <v>3979</v>
      </c>
      <c r="K476">
        <v>7</v>
      </c>
      <c r="L476">
        <v>60</v>
      </c>
      <c r="M476" t="s">
        <v>852</v>
      </c>
      <c r="N476" t="s">
        <v>39</v>
      </c>
      <c r="O476" t="s">
        <v>2009</v>
      </c>
      <c r="P476">
        <v>45434</v>
      </c>
      <c r="Q476" s="3"/>
      <c r="R476" s="3">
        <f>IF(Table1[[#This Row],[Gross_millions]]=" ",0,Table1[[#This Row],[Gross_millions]])</f>
        <v>0</v>
      </c>
      <c r="S476" t="str">
        <f>IF(Table1[[#This Row],[Gross_millions_Clean]]&gt;200,"Blockbuster",IF(Table1[[#This Row],[Gross_millions_Clean]]&gt;100,"Hit","Average"))</f>
        <v>Average</v>
      </c>
    </row>
    <row r="477" spans="1:19" x14ac:dyDescent="0.3">
      <c r="A477" t="s">
        <v>2010</v>
      </c>
      <c r="B477" t="s">
        <v>2011</v>
      </c>
      <c r="C477">
        <v>2015</v>
      </c>
      <c r="D477" s="8">
        <f>FLOOR(Table1[[#This Row],[Year]],10)</f>
        <v>2010</v>
      </c>
      <c r="E477" t="s">
        <v>24</v>
      </c>
      <c r="F477">
        <v>112</v>
      </c>
      <c r="G477" t="str">
        <f>IF(Table1[[#This Row],[Runtime_minutes]]&lt;90,"Short",IF(Table1[[#This Row],[Runtime_minutes]]&lt;=120,"Medium","Long"))</f>
        <v>Medium</v>
      </c>
      <c r="H477" t="s">
        <v>375</v>
      </c>
      <c r="K477">
        <v>7</v>
      </c>
      <c r="M477" t="s">
        <v>422</v>
      </c>
      <c r="N477" t="s">
        <v>547</v>
      </c>
      <c r="O477" t="s">
        <v>2012</v>
      </c>
      <c r="P477">
        <v>76180</v>
      </c>
      <c r="Q477" s="3"/>
      <c r="R477" s="3">
        <f>IF(Table1[[#This Row],[Gross_millions]]=" ",0,Table1[[#This Row],[Gross_millions]])</f>
        <v>0</v>
      </c>
      <c r="S477" t="str">
        <f>IF(Table1[[#This Row],[Gross_millions_Clean]]&gt;200,"Blockbuster",IF(Table1[[#This Row],[Gross_millions_Clean]]&gt;100,"Hit","Average"))</f>
        <v>Average</v>
      </c>
    </row>
    <row r="478" spans="1:19" x14ac:dyDescent="0.3">
      <c r="A478" t="s">
        <v>2013</v>
      </c>
      <c r="B478" t="s">
        <v>2014</v>
      </c>
      <c r="C478">
        <v>2016</v>
      </c>
      <c r="D478" s="8">
        <f>FLOOR(Table1[[#This Row],[Year]],10)</f>
        <v>2010</v>
      </c>
      <c r="E478" t="s">
        <v>17</v>
      </c>
      <c r="F478">
        <v>101</v>
      </c>
      <c r="G478" t="str">
        <f>IF(Table1[[#This Row],[Runtime_minutes]]&lt;90,"Short",IF(Table1[[#This Row],[Runtime_minutes]]&lt;=120,"Medium","Long"))</f>
        <v>Medium</v>
      </c>
      <c r="H478" t="s">
        <v>129</v>
      </c>
      <c r="K478">
        <v>7</v>
      </c>
      <c r="L478">
        <v>70</v>
      </c>
      <c r="M478" t="s">
        <v>2015</v>
      </c>
      <c r="N478" t="s">
        <v>165</v>
      </c>
      <c r="O478" t="s">
        <v>2016</v>
      </c>
      <c r="P478">
        <v>15630</v>
      </c>
      <c r="Q478" s="3"/>
      <c r="R478" s="3">
        <f>IF(Table1[[#This Row],[Gross_millions]]=" ",0,Table1[[#This Row],[Gross_millions]])</f>
        <v>0</v>
      </c>
      <c r="S478" t="str">
        <f>IF(Table1[[#This Row],[Gross_millions_Clean]]&gt;200,"Blockbuster",IF(Table1[[#This Row],[Gross_millions_Clean]]&gt;100,"Hit","Average"))</f>
        <v>Average</v>
      </c>
    </row>
    <row r="479" spans="1:19" x14ac:dyDescent="0.3">
      <c r="A479" t="s">
        <v>2017</v>
      </c>
      <c r="B479" t="s">
        <v>2018</v>
      </c>
      <c r="C479">
        <v>2016</v>
      </c>
      <c r="D479" s="8">
        <f>FLOOR(Table1[[#This Row],[Year]],10)</f>
        <v>2010</v>
      </c>
      <c r="E479" t="s">
        <v>293</v>
      </c>
      <c r="F479">
        <v>105</v>
      </c>
      <c r="G479" t="str">
        <f>IF(Table1[[#This Row],[Runtime_minutes]]&lt;90,"Short",IF(Table1[[#This Row],[Runtime_minutes]]&lt;=120,"Medium","Long"))</f>
        <v>Medium</v>
      </c>
      <c r="H479" t="s">
        <v>43</v>
      </c>
      <c r="K479">
        <v>7</v>
      </c>
      <c r="L479">
        <v>78</v>
      </c>
      <c r="M479" t="s">
        <v>1363</v>
      </c>
      <c r="N479" t="s">
        <v>125</v>
      </c>
      <c r="O479" t="s">
        <v>2019</v>
      </c>
      <c r="P479">
        <v>26369</v>
      </c>
      <c r="Q479" s="3"/>
      <c r="R479" s="3">
        <f>IF(Table1[[#This Row],[Gross_millions]]=" ",0,Table1[[#This Row],[Gross_millions]])</f>
        <v>0</v>
      </c>
      <c r="S479" t="str">
        <f>IF(Table1[[#This Row],[Gross_millions_Clean]]&gt;200,"Blockbuster",IF(Table1[[#This Row],[Gross_millions_Clean]]&gt;100,"Hit","Average"))</f>
        <v>Average</v>
      </c>
    </row>
    <row r="480" spans="1:19" x14ac:dyDescent="0.3">
      <c r="A480" t="s">
        <v>2020</v>
      </c>
      <c r="B480" t="s">
        <v>2021</v>
      </c>
      <c r="C480">
        <v>2010</v>
      </c>
      <c r="D480" s="8">
        <f>FLOOR(Table1[[#This Row],[Year]],10)</f>
        <v>2010</v>
      </c>
      <c r="E480" t="s">
        <v>293</v>
      </c>
      <c r="F480">
        <v>135</v>
      </c>
      <c r="G480" t="str">
        <f>IF(Table1[[#This Row],[Runtime_minutes]]&lt;90,"Short",IF(Table1[[#This Row],[Runtime_minutes]]&lt;=120,"Medium","Long"))</f>
        <v>Long</v>
      </c>
      <c r="H480" t="s">
        <v>55</v>
      </c>
      <c r="I480" t="s">
        <v>3989</v>
      </c>
      <c r="J480" t="s">
        <v>3979</v>
      </c>
      <c r="K480">
        <v>7</v>
      </c>
      <c r="L480">
        <v>85</v>
      </c>
      <c r="M480" t="s">
        <v>852</v>
      </c>
      <c r="N480" t="s">
        <v>131</v>
      </c>
      <c r="O480" t="s">
        <v>2022</v>
      </c>
      <c r="P480">
        <v>128335</v>
      </c>
      <c r="Q480" s="3">
        <v>55.19</v>
      </c>
      <c r="R480" s="3">
        <f>IF(Table1[[#This Row],[Gross_millions]]=" ",0,Table1[[#This Row],[Gross_millions]])</f>
        <v>55.19</v>
      </c>
      <c r="S480" t="str">
        <f>IF(Table1[[#This Row],[Gross_millions_Clean]]&gt;200,"Blockbuster",IF(Table1[[#This Row],[Gross_millions_Clean]]&gt;100,"Hit","Average"))</f>
        <v>Average</v>
      </c>
    </row>
    <row r="481" spans="1:19" x14ac:dyDescent="0.3">
      <c r="A481" t="s">
        <v>2023</v>
      </c>
      <c r="B481" t="s">
        <v>2024</v>
      </c>
      <c r="C481">
        <v>2019</v>
      </c>
      <c r="D481" s="8">
        <f>FLOOR(Table1[[#This Row],[Year]],10)</f>
        <v>2010</v>
      </c>
      <c r="E481" t="s">
        <v>24</v>
      </c>
      <c r="F481">
        <v>123</v>
      </c>
      <c r="G481" t="str">
        <f>IF(Table1[[#This Row],[Runtime_minutes]]&lt;90,"Short",IF(Table1[[#This Row],[Runtime_minutes]]&lt;=120,"Medium","Long"))</f>
        <v>Long</v>
      </c>
      <c r="H481" t="s">
        <v>78</v>
      </c>
      <c r="I481" t="s">
        <v>3989</v>
      </c>
      <c r="J481" t="s">
        <v>3980</v>
      </c>
      <c r="K481">
        <v>7</v>
      </c>
      <c r="L481">
        <v>64</v>
      </c>
      <c r="M481" t="s">
        <v>305</v>
      </c>
      <c r="N481" t="s">
        <v>131</v>
      </c>
      <c r="O481" t="s">
        <v>2026</v>
      </c>
      <c r="P481">
        <v>403741</v>
      </c>
      <c r="Q481" s="3">
        <v>393.84</v>
      </c>
      <c r="R481" s="3">
        <f>IF(Table1[[#This Row],[Gross_millions]]=" ",0,Table1[[#This Row],[Gross_millions]])</f>
        <v>393.84</v>
      </c>
      <c r="S481" t="str">
        <f>IF(Table1[[#This Row],[Gross_millions_Clean]]&gt;200,"Blockbuster",IF(Table1[[#This Row],[Gross_millions_Clean]]&gt;100,"Hit","Average"))</f>
        <v>Blockbuster</v>
      </c>
    </row>
    <row r="482" spans="1:19" x14ac:dyDescent="0.3">
      <c r="A482" t="s">
        <v>2027</v>
      </c>
      <c r="B482" t="s">
        <v>2028</v>
      </c>
      <c r="C482">
        <v>2006</v>
      </c>
      <c r="D482" s="8">
        <f>FLOOR(Table1[[#This Row],[Year]],10)</f>
        <v>2000</v>
      </c>
      <c r="E482" t="s">
        <v>24</v>
      </c>
      <c r="F482">
        <v>126</v>
      </c>
      <c r="G482" t="str">
        <f>IF(Table1[[#This Row],[Runtime_minutes]]&lt;90,"Short",IF(Table1[[#This Row],[Runtime_minutes]]&lt;=120,"Medium","Long"))</f>
        <v>Long</v>
      </c>
      <c r="H482" t="s">
        <v>277</v>
      </c>
      <c r="I482" t="s">
        <v>3990</v>
      </c>
      <c r="K482">
        <v>7</v>
      </c>
      <c r="M482" t="s">
        <v>2029</v>
      </c>
      <c r="N482" t="s">
        <v>593</v>
      </c>
      <c r="O482" t="s">
        <v>2030</v>
      </c>
      <c r="P482">
        <v>2500000</v>
      </c>
      <c r="Q482" s="3">
        <v>272.14</v>
      </c>
      <c r="R482" s="3">
        <f>IF(Table1[[#This Row],[Gross_millions]]=" ",0,Table1[[#This Row],[Gross_millions]])</f>
        <v>272.14</v>
      </c>
      <c r="S482" t="str">
        <f>IF(Table1[[#This Row],[Gross_millions_Clean]]&gt;200,"Blockbuster",IF(Table1[[#This Row],[Gross_millions_Clean]]&gt;100,"Hit","Average"))</f>
        <v>Blockbuster</v>
      </c>
    </row>
    <row r="483" spans="1:19" x14ac:dyDescent="0.3">
      <c r="A483" t="s">
        <v>2031</v>
      </c>
      <c r="B483" t="s">
        <v>2032</v>
      </c>
      <c r="C483">
        <v>2020</v>
      </c>
      <c r="D483" s="8">
        <f>FLOOR(Table1[[#This Row],[Year]],10)</f>
        <v>2020</v>
      </c>
      <c r="E483" t="s">
        <v>17</v>
      </c>
      <c r="F483">
        <v>119</v>
      </c>
      <c r="G483" t="str">
        <f>IF(Table1[[#This Row],[Runtime_minutes]]&lt;90,"Short",IF(Table1[[#This Row],[Runtime_minutes]]&lt;=120,"Medium","Long"))</f>
        <v>Medium</v>
      </c>
      <c r="H483" t="s">
        <v>1044</v>
      </c>
      <c r="I483" t="s">
        <v>3990</v>
      </c>
      <c r="J483" t="s">
        <v>3981</v>
      </c>
      <c r="K483">
        <v>7</v>
      </c>
      <c r="L483">
        <v>83</v>
      </c>
      <c r="M483" t="s">
        <v>164</v>
      </c>
      <c r="N483" t="s">
        <v>368</v>
      </c>
      <c r="O483" t="s">
        <v>2033</v>
      </c>
      <c r="P483">
        <v>612773</v>
      </c>
      <c r="Q483" s="3">
        <v>271.97000000000003</v>
      </c>
      <c r="R483" s="3">
        <f>IF(Table1[[#This Row],[Gross_millions]]=" ",0,Table1[[#This Row],[Gross_millions]])</f>
        <v>271.97000000000003</v>
      </c>
      <c r="S483" t="str">
        <f>IF(Table1[[#This Row],[Gross_millions_Clean]]&gt;200,"Blockbuster",IF(Table1[[#This Row],[Gross_millions_Clean]]&gt;100,"Hit","Average"))</f>
        <v>Blockbuster</v>
      </c>
    </row>
    <row r="484" spans="1:19" x14ac:dyDescent="0.3">
      <c r="A484" t="s">
        <v>2034</v>
      </c>
      <c r="B484" t="s">
        <v>2035</v>
      </c>
      <c r="C484">
        <v>2011</v>
      </c>
      <c r="D484" s="8">
        <f>FLOOR(Table1[[#This Row],[Year]],10)</f>
        <v>2010</v>
      </c>
      <c r="E484" t="s">
        <v>17</v>
      </c>
      <c r="F484">
        <v>134</v>
      </c>
      <c r="G484" t="str">
        <f>IF(Table1[[#This Row],[Runtime_minutes]]&lt;90,"Short",IF(Table1[[#This Row],[Runtime_minutes]]&lt;=120,"Medium","Long"))</f>
        <v>Long</v>
      </c>
      <c r="H484" t="s">
        <v>767</v>
      </c>
      <c r="I484" t="s">
        <v>3982</v>
      </c>
      <c r="J484" t="s">
        <v>3993</v>
      </c>
      <c r="K484">
        <v>7</v>
      </c>
      <c r="L484">
        <v>59</v>
      </c>
      <c r="M484" t="s">
        <v>2037</v>
      </c>
      <c r="N484" t="s">
        <v>593</v>
      </c>
      <c r="O484" t="s">
        <v>2038</v>
      </c>
      <c r="P484">
        <v>250122</v>
      </c>
      <c r="Q484" s="3">
        <v>178.13</v>
      </c>
      <c r="R484" s="3">
        <f>IF(Table1[[#This Row],[Gross_millions]]=" ",0,Table1[[#This Row],[Gross_millions]])</f>
        <v>178.13</v>
      </c>
      <c r="S484" t="str">
        <f>IF(Table1[[#This Row],[Gross_millions_Clean]]&gt;200,"Blockbuster",IF(Table1[[#This Row],[Gross_millions_Clean]]&gt;100,"Hit","Average"))</f>
        <v>Hit</v>
      </c>
    </row>
    <row r="485" spans="1:19" x14ac:dyDescent="0.3">
      <c r="A485" t="s">
        <v>2039</v>
      </c>
      <c r="B485" t="s">
        <v>2040</v>
      </c>
      <c r="C485">
        <v>2016</v>
      </c>
      <c r="D485" s="8">
        <f>FLOOR(Table1[[#This Row],[Year]],10)</f>
        <v>2010</v>
      </c>
      <c r="E485" t="s">
        <v>54</v>
      </c>
      <c r="F485">
        <v>89</v>
      </c>
      <c r="G485" t="str">
        <f>IF(Table1[[#This Row],[Runtime_minutes]]&lt;90,"Short",IF(Table1[[#This Row],[Runtime_minutes]]&lt;=120,"Medium","Long"))</f>
        <v>Short</v>
      </c>
      <c r="H485" t="s">
        <v>375</v>
      </c>
      <c r="I485" t="s">
        <v>3977</v>
      </c>
      <c r="J485" t="s">
        <v>3987</v>
      </c>
      <c r="K485">
        <v>7</v>
      </c>
      <c r="M485" t="s">
        <v>2042</v>
      </c>
      <c r="N485" t="s">
        <v>236</v>
      </c>
      <c r="O485" t="s">
        <v>2043</v>
      </c>
      <c r="P485">
        <v>120757</v>
      </c>
      <c r="Q485" s="3">
        <v>272.38</v>
      </c>
      <c r="R485" s="3">
        <f>IF(Table1[[#This Row],[Gross_millions]]=" ",0,Table1[[#This Row],[Gross_millions]])</f>
        <v>272.38</v>
      </c>
      <c r="S485" t="str">
        <f>IF(Table1[[#This Row],[Gross_millions_Clean]]&gt;200,"Blockbuster",IF(Table1[[#This Row],[Gross_millions_Clean]]&gt;100,"Hit","Average"))</f>
        <v>Blockbuster</v>
      </c>
    </row>
    <row r="486" spans="1:19" x14ac:dyDescent="0.3">
      <c r="A486" t="s">
        <v>2044</v>
      </c>
      <c r="B486" t="s">
        <v>2045</v>
      </c>
      <c r="C486">
        <v>2024</v>
      </c>
      <c r="D486" s="8">
        <f>FLOOR(Table1[[#This Row],[Year]],10)</f>
        <v>2020</v>
      </c>
      <c r="E486" t="s">
        <v>54</v>
      </c>
      <c r="F486">
        <v>109</v>
      </c>
      <c r="G486" t="str">
        <f>IF(Table1[[#This Row],[Runtime_minutes]]&lt;90,"Short",IF(Table1[[#This Row],[Runtime_minutes]]&lt;=120,"Medium","Long"))</f>
        <v>Medium</v>
      </c>
      <c r="H486" t="s">
        <v>78</v>
      </c>
      <c r="I486" t="s">
        <v>3987</v>
      </c>
      <c r="K486">
        <v>7</v>
      </c>
      <c r="M486" t="s">
        <v>141</v>
      </c>
      <c r="N486" t="s">
        <v>718</v>
      </c>
      <c r="O486" t="s">
        <v>2047</v>
      </c>
      <c r="P486">
        <v>58417</v>
      </c>
      <c r="Q486" s="3">
        <v>444.34</v>
      </c>
      <c r="R486" s="3">
        <f>IF(Table1[[#This Row],[Gross_millions]]=" ",0,Table1[[#This Row],[Gross_millions]])</f>
        <v>444.34</v>
      </c>
      <c r="S486" t="str">
        <f>IF(Table1[[#This Row],[Gross_millions_Clean]]&gt;200,"Blockbuster",IF(Table1[[#This Row],[Gross_millions_Clean]]&gt;100,"Hit","Average"))</f>
        <v>Blockbuster</v>
      </c>
    </row>
    <row r="487" spans="1:19" x14ac:dyDescent="0.3">
      <c r="A487" t="s">
        <v>2048</v>
      </c>
      <c r="B487" t="s">
        <v>2049</v>
      </c>
      <c r="C487">
        <v>2010</v>
      </c>
      <c r="D487" s="8">
        <f>FLOOR(Table1[[#This Row],[Year]],10)</f>
        <v>2010</v>
      </c>
      <c r="E487" t="s">
        <v>24</v>
      </c>
      <c r="F487">
        <v>126</v>
      </c>
      <c r="G487" t="str">
        <f>IF(Table1[[#This Row],[Runtime_minutes]]&lt;90,"Short",IF(Table1[[#This Row],[Runtime_minutes]]&lt;=120,"Medium","Long"))</f>
        <v>Long</v>
      </c>
      <c r="H487" t="s">
        <v>43</v>
      </c>
      <c r="I487" t="s">
        <v>3981</v>
      </c>
      <c r="K487">
        <v>7</v>
      </c>
      <c r="M487" t="s">
        <v>136</v>
      </c>
      <c r="N487" t="s">
        <v>74</v>
      </c>
      <c r="O487" t="s">
        <v>2051</v>
      </c>
      <c r="P487">
        <v>173542</v>
      </c>
      <c r="Q487" s="3">
        <v>299.36</v>
      </c>
      <c r="R487" s="3">
        <f>IF(Table1[[#This Row],[Gross_millions]]=" ",0,Table1[[#This Row],[Gross_millions]])</f>
        <v>299.36</v>
      </c>
      <c r="S487" t="str">
        <f>IF(Table1[[#This Row],[Gross_millions_Clean]]&gt;200,"Blockbuster",IF(Table1[[#This Row],[Gross_millions_Clean]]&gt;100,"Hit","Average"))</f>
        <v>Blockbuster</v>
      </c>
    </row>
    <row r="488" spans="1:19" x14ac:dyDescent="0.3">
      <c r="A488" t="s">
        <v>2052</v>
      </c>
      <c r="B488" t="s">
        <v>2053</v>
      </c>
      <c r="C488">
        <v>2002</v>
      </c>
      <c r="D488" s="8">
        <f>FLOOR(Table1[[#This Row],[Year]],10)</f>
        <v>2000</v>
      </c>
      <c r="E488" t="s">
        <v>17</v>
      </c>
      <c r="F488">
        <v>129</v>
      </c>
      <c r="G488" t="str">
        <f>IF(Table1[[#This Row],[Runtime_minutes]]&lt;90,"Short",IF(Table1[[#This Row],[Runtime_minutes]]&lt;=120,"Medium","Long"))</f>
        <v>Long</v>
      </c>
      <c r="H488" t="s">
        <v>868</v>
      </c>
      <c r="I488" t="s">
        <v>3992</v>
      </c>
      <c r="K488">
        <v>7</v>
      </c>
      <c r="L488">
        <v>75</v>
      </c>
      <c r="M488" t="s">
        <v>102</v>
      </c>
      <c r="N488" t="s">
        <v>147</v>
      </c>
      <c r="O488" t="s">
        <v>2055</v>
      </c>
      <c r="P488">
        <v>16522</v>
      </c>
      <c r="Q488" s="3">
        <v>97.7</v>
      </c>
      <c r="R488" s="3">
        <f>IF(Table1[[#This Row],[Gross_millions]]=" ",0,Table1[[#This Row],[Gross_millions]])</f>
        <v>97.7</v>
      </c>
      <c r="S488" t="str">
        <f>IF(Table1[[#This Row],[Gross_millions_Clean]]&gt;200,"Blockbuster",IF(Table1[[#This Row],[Gross_millions_Clean]]&gt;100,"Hit","Average"))</f>
        <v>Average</v>
      </c>
    </row>
    <row r="489" spans="1:19" x14ac:dyDescent="0.3">
      <c r="A489" t="s">
        <v>2056</v>
      </c>
      <c r="B489" t="s">
        <v>2057</v>
      </c>
      <c r="C489">
        <v>2012</v>
      </c>
      <c r="D489" s="8">
        <f>FLOOR(Table1[[#This Row],[Year]],10)</f>
        <v>2010</v>
      </c>
      <c r="E489" t="s">
        <v>54</v>
      </c>
      <c r="F489">
        <v>130</v>
      </c>
      <c r="G489" t="str">
        <f>IF(Table1[[#This Row],[Runtime_minutes]]&lt;90,"Short",IF(Table1[[#This Row],[Runtime_minutes]]&lt;=120,"Medium","Long"))</f>
        <v>Long</v>
      </c>
      <c r="H489" t="s">
        <v>43</v>
      </c>
      <c r="I489" t="s">
        <v>3988</v>
      </c>
      <c r="K489">
        <v>7</v>
      </c>
      <c r="L489">
        <v>79</v>
      </c>
      <c r="M489" t="s">
        <v>136</v>
      </c>
      <c r="N489" t="s">
        <v>159</v>
      </c>
      <c r="O489" t="s">
        <v>2058</v>
      </c>
      <c r="P489">
        <v>101310</v>
      </c>
      <c r="Q489" s="3">
        <v>271.39999999999998</v>
      </c>
      <c r="R489" s="3">
        <f>IF(Table1[[#This Row],[Gross_millions]]=" ",0,Table1[[#This Row],[Gross_millions]])</f>
        <v>271.39999999999998</v>
      </c>
      <c r="S489" t="str">
        <f>IF(Table1[[#This Row],[Gross_millions_Clean]]&gt;200,"Blockbuster",IF(Table1[[#This Row],[Gross_millions_Clean]]&gt;100,"Hit","Average"))</f>
        <v>Blockbuster</v>
      </c>
    </row>
    <row r="490" spans="1:19" x14ac:dyDescent="0.3">
      <c r="A490" t="s">
        <v>2059</v>
      </c>
      <c r="B490" t="s">
        <v>2060</v>
      </c>
      <c r="C490">
        <v>2006</v>
      </c>
      <c r="D490" s="8">
        <f>FLOOR(Table1[[#This Row],[Year]],10)</f>
        <v>2000</v>
      </c>
      <c r="E490" t="s">
        <v>54</v>
      </c>
      <c r="F490">
        <v>119</v>
      </c>
      <c r="G490" t="str">
        <f>IF(Table1[[#This Row],[Runtime_minutes]]&lt;90,"Short",IF(Table1[[#This Row],[Runtime_minutes]]&lt;=120,"Medium","Long"))</f>
        <v>Medium</v>
      </c>
      <c r="H490" t="s">
        <v>767</v>
      </c>
      <c r="I490" t="s">
        <v>3993</v>
      </c>
      <c r="K490">
        <v>7</v>
      </c>
      <c r="L490">
        <v>65</v>
      </c>
      <c r="M490" t="s">
        <v>320</v>
      </c>
      <c r="N490" t="s">
        <v>63</v>
      </c>
      <c r="O490" t="s">
        <v>2062</v>
      </c>
      <c r="P490">
        <v>48216</v>
      </c>
      <c r="Q490" s="3">
        <v>498.57</v>
      </c>
      <c r="R490" s="3">
        <f>IF(Table1[[#This Row],[Gross_millions]]=" ",0,Table1[[#This Row],[Gross_millions]])</f>
        <v>498.57</v>
      </c>
      <c r="S490" t="str">
        <f>IF(Table1[[#This Row],[Gross_millions_Clean]]&gt;200,"Blockbuster",IF(Table1[[#This Row],[Gross_millions_Clean]]&gt;100,"Hit","Average"))</f>
        <v>Blockbuster</v>
      </c>
    </row>
    <row r="491" spans="1:19" x14ac:dyDescent="0.3">
      <c r="A491" t="s">
        <v>2063</v>
      </c>
      <c r="B491" t="s">
        <v>2064</v>
      </c>
      <c r="C491">
        <v>2021</v>
      </c>
      <c r="D491" s="8">
        <f>FLOOR(Table1[[#This Row],[Year]],10)</f>
        <v>2020</v>
      </c>
      <c r="E491" t="s">
        <v>17</v>
      </c>
      <c r="F491">
        <v>99</v>
      </c>
      <c r="G491" t="str">
        <f>IF(Table1[[#This Row],[Runtime_minutes]]&lt;90,"Short",IF(Table1[[#This Row],[Runtime_minutes]]&lt;=120,"Medium","Long"))</f>
        <v>Medium</v>
      </c>
      <c r="H491" t="s">
        <v>1044</v>
      </c>
      <c r="K491">
        <v>7</v>
      </c>
      <c r="L491">
        <v>63</v>
      </c>
      <c r="M491" t="s">
        <v>164</v>
      </c>
      <c r="N491" t="s">
        <v>103</v>
      </c>
      <c r="O491" t="s">
        <v>2065</v>
      </c>
      <c r="P491">
        <v>66437</v>
      </c>
      <c r="Q491" s="3">
        <v>320.77</v>
      </c>
      <c r="R491" s="3">
        <f>IF(Table1[[#This Row],[Gross_millions]]=" ",0,Table1[[#This Row],[Gross_millions]])</f>
        <v>320.77</v>
      </c>
      <c r="S491" t="str">
        <f>IF(Table1[[#This Row],[Gross_millions_Clean]]&gt;200,"Blockbuster",IF(Table1[[#This Row],[Gross_millions_Clean]]&gt;100,"Hit","Average"))</f>
        <v>Blockbuster</v>
      </c>
    </row>
    <row r="492" spans="1:19" x14ac:dyDescent="0.3">
      <c r="A492" t="s">
        <v>2066</v>
      </c>
      <c r="B492" t="s">
        <v>2067</v>
      </c>
      <c r="C492">
        <v>2005</v>
      </c>
      <c r="D492" s="8">
        <f>FLOOR(Table1[[#This Row],[Year]],10)</f>
        <v>2000</v>
      </c>
      <c r="E492" t="s">
        <v>54</v>
      </c>
      <c r="F492">
        <v>140</v>
      </c>
      <c r="G492" t="str">
        <f>IF(Table1[[#This Row],[Runtime_minutes]]&lt;90,"Short",IF(Table1[[#This Row],[Runtime_minutes]]&lt;=120,"Medium","Long"))</f>
        <v>Long</v>
      </c>
      <c r="H492" t="s">
        <v>453</v>
      </c>
      <c r="I492" t="s">
        <v>3978</v>
      </c>
      <c r="K492">
        <v>7</v>
      </c>
      <c r="M492" t="s">
        <v>2068</v>
      </c>
      <c r="N492" t="s">
        <v>27</v>
      </c>
      <c r="O492" t="s">
        <v>2069</v>
      </c>
      <c r="P492">
        <v>287113</v>
      </c>
      <c r="Q492" s="3"/>
      <c r="R492" s="3">
        <f>IF(Table1[[#This Row],[Gross_millions]]=" ",0,Table1[[#This Row],[Gross_millions]])</f>
        <v>0</v>
      </c>
      <c r="S492" t="str">
        <f>IF(Table1[[#This Row],[Gross_millions_Clean]]&gt;200,"Blockbuster",IF(Table1[[#This Row],[Gross_millions_Clean]]&gt;100,"Hit","Average"))</f>
        <v>Average</v>
      </c>
    </row>
    <row r="493" spans="1:19" x14ac:dyDescent="0.3">
      <c r="A493" t="s">
        <v>2070</v>
      </c>
      <c r="B493" t="s">
        <v>2071</v>
      </c>
      <c r="C493">
        <v>2007</v>
      </c>
      <c r="D493" s="8">
        <f>FLOOR(Table1[[#This Row],[Year]],10)</f>
        <v>2000</v>
      </c>
      <c r="E493" t="s">
        <v>17</v>
      </c>
      <c r="F493">
        <v>154</v>
      </c>
      <c r="G493" t="str">
        <f>IF(Table1[[#This Row],[Runtime_minutes]]&lt;90,"Short",IF(Table1[[#This Row],[Runtime_minutes]]&lt;=120,"Medium","Long"))</f>
        <v>Long</v>
      </c>
      <c r="H493" t="s">
        <v>72</v>
      </c>
      <c r="I493" t="s">
        <v>3982</v>
      </c>
      <c r="K493">
        <v>7</v>
      </c>
      <c r="M493" t="s">
        <v>491</v>
      </c>
      <c r="N493" t="s">
        <v>80</v>
      </c>
      <c r="O493" t="s">
        <v>2072</v>
      </c>
      <c r="P493">
        <v>22536</v>
      </c>
      <c r="Q493" s="3">
        <v>345.8</v>
      </c>
      <c r="R493" s="3">
        <f>IF(Table1[[#This Row],[Gross_millions]]=" ",0,Table1[[#This Row],[Gross_millions]])</f>
        <v>345.8</v>
      </c>
      <c r="S493" t="str">
        <f>IF(Table1[[#This Row],[Gross_millions_Clean]]&gt;200,"Blockbuster",IF(Table1[[#This Row],[Gross_millions_Clean]]&gt;100,"Hit","Average"))</f>
        <v>Blockbuster</v>
      </c>
    </row>
    <row r="494" spans="1:19" x14ac:dyDescent="0.3">
      <c r="A494" t="s">
        <v>2073</v>
      </c>
      <c r="B494" t="s">
        <v>2074</v>
      </c>
      <c r="C494">
        <v>2012</v>
      </c>
      <c r="D494" s="8">
        <f>FLOOR(Table1[[#This Row],[Year]],10)</f>
        <v>2010</v>
      </c>
      <c r="E494" t="s">
        <v>17</v>
      </c>
      <c r="F494">
        <v>116</v>
      </c>
      <c r="G494" t="str">
        <f>IF(Table1[[#This Row],[Runtime_minutes]]&lt;90,"Short",IF(Table1[[#This Row],[Runtime_minutes]]&lt;=120,"Medium","Long"))</f>
        <v>Medium</v>
      </c>
      <c r="H494" t="s">
        <v>606</v>
      </c>
      <c r="I494" t="s">
        <v>3977</v>
      </c>
      <c r="K494">
        <v>7</v>
      </c>
      <c r="L494">
        <v>68</v>
      </c>
      <c r="M494" t="s">
        <v>220</v>
      </c>
      <c r="N494" t="s">
        <v>315</v>
      </c>
      <c r="O494" t="s">
        <v>2076</v>
      </c>
      <c r="P494">
        <v>34396</v>
      </c>
      <c r="Q494" s="3">
        <v>450.55</v>
      </c>
      <c r="R494" s="3">
        <f>IF(Table1[[#This Row],[Gross_millions]]=" ",0,Table1[[#This Row],[Gross_millions]])</f>
        <v>450.55</v>
      </c>
      <c r="S494" t="str">
        <f>IF(Table1[[#This Row],[Gross_millions_Clean]]&gt;200,"Blockbuster",IF(Table1[[#This Row],[Gross_millions_Clean]]&gt;100,"Hit","Average"))</f>
        <v>Blockbuster</v>
      </c>
    </row>
    <row r="495" spans="1:19" x14ac:dyDescent="0.3">
      <c r="A495" t="s">
        <v>2077</v>
      </c>
      <c r="B495" t="s">
        <v>2078</v>
      </c>
      <c r="C495">
        <v>2009</v>
      </c>
      <c r="D495" s="8">
        <f>FLOOR(Table1[[#This Row],[Year]],10)</f>
        <v>2000</v>
      </c>
      <c r="E495" t="s">
        <v>17</v>
      </c>
      <c r="F495">
        <v>121</v>
      </c>
      <c r="G495" t="str">
        <f>IF(Table1[[#This Row],[Runtime_minutes]]&lt;90,"Short",IF(Table1[[#This Row],[Runtime_minutes]]&lt;=120,"Medium","Long"))</f>
        <v>Long</v>
      </c>
      <c r="H495" t="s">
        <v>868</v>
      </c>
      <c r="I495" t="s">
        <v>3989</v>
      </c>
      <c r="K495">
        <v>7</v>
      </c>
      <c r="M495" t="s">
        <v>355</v>
      </c>
      <c r="N495" t="s">
        <v>74</v>
      </c>
      <c r="O495" t="s">
        <v>2079</v>
      </c>
      <c r="P495">
        <v>592853</v>
      </c>
      <c r="Q495" s="3"/>
      <c r="R495" s="3">
        <f>IF(Table1[[#This Row],[Gross_millions]]=" ",0,Table1[[#This Row],[Gross_millions]])</f>
        <v>0</v>
      </c>
      <c r="S495" t="str">
        <f>IF(Table1[[#This Row],[Gross_millions_Clean]]&gt;200,"Blockbuster",IF(Table1[[#This Row],[Gross_millions_Clean]]&gt;100,"Hit","Average"))</f>
        <v>Average</v>
      </c>
    </row>
    <row r="496" spans="1:19" x14ac:dyDescent="0.3">
      <c r="A496" t="s">
        <v>2080</v>
      </c>
      <c r="B496" t="s">
        <v>2081</v>
      </c>
      <c r="C496">
        <v>2015</v>
      </c>
      <c r="D496" s="8">
        <f>FLOOR(Table1[[#This Row],[Year]],10)</f>
        <v>2010</v>
      </c>
      <c r="E496" t="s">
        <v>17</v>
      </c>
      <c r="F496">
        <v>171</v>
      </c>
      <c r="G496" t="str">
        <f>IF(Table1[[#This Row],[Runtime_minutes]]&lt;90,"Short",IF(Table1[[#This Row],[Runtime_minutes]]&lt;=120,"Medium","Long"))</f>
        <v>Long</v>
      </c>
      <c r="H496" t="s">
        <v>1044</v>
      </c>
      <c r="I496" t="s">
        <v>3977</v>
      </c>
      <c r="K496">
        <v>6.9</v>
      </c>
      <c r="L496">
        <v>72</v>
      </c>
      <c r="M496" t="s">
        <v>226</v>
      </c>
      <c r="N496" t="s">
        <v>27</v>
      </c>
      <c r="O496" t="s">
        <v>2082</v>
      </c>
      <c r="P496">
        <v>61138</v>
      </c>
      <c r="Q496" s="3">
        <v>34.159999999999997</v>
      </c>
      <c r="R496" s="3">
        <f>IF(Table1[[#This Row],[Gross_millions]]=" ",0,Table1[[#This Row],[Gross_millions]])</f>
        <v>34.159999999999997</v>
      </c>
      <c r="S496" t="str">
        <f>IF(Table1[[#This Row],[Gross_millions_Clean]]&gt;200,"Blockbuster",IF(Table1[[#This Row],[Gross_millions_Clean]]&gt;100,"Hit","Average"))</f>
        <v>Average</v>
      </c>
    </row>
    <row r="497" spans="1:19" x14ac:dyDescent="0.3">
      <c r="A497" t="s">
        <v>2083</v>
      </c>
      <c r="B497" t="s">
        <v>2084</v>
      </c>
      <c r="C497">
        <v>2012</v>
      </c>
      <c r="D497" s="8">
        <f>FLOOR(Table1[[#This Row],[Year]],10)</f>
        <v>2010</v>
      </c>
      <c r="E497" t="s">
        <v>24</v>
      </c>
      <c r="F497">
        <v>160</v>
      </c>
      <c r="G497" t="str">
        <f>IF(Table1[[#This Row],[Runtime_minutes]]&lt;90,"Short",IF(Table1[[#This Row],[Runtime_minutes]]&lt;=120,"Medium","Long"))</f>
        <v>Long</v>
      </c>
      <c r="H497" t="s">
        <v>277</v>
      </c>
      <c r="I497" t="s">
        <v>3988</v>
      </c>
      <c r="J497" t="s">
        <v>3990</v>
      </c>
      <c r="K497">
        <v>6.9</v>
      </c>
      <c r="L497">
        <v>73</v>
      </c>
      <c r="M497" t="s">
        <v>287</v>
      </c>
      <c r="N497" t="s">
        <v>50</v>
      </c>
      <c r="O497" t="s">
        <v>2086</v>
      </c>
      <c r="P497">
        <v>34614</v>
      </c>
      <c r="Q497" s="3">
        <v>487.9</v>
      </c>
      <c r="R497" s="3">
        <f>IF(Table1[[#This Row],[Gross_millions]]=" ",0,Table1[[#This Row],[Gross_millions]])</f>
        <v>487.9</v>
      </c>
      <c r="S497" t="str">
        <f>IF(Table1[[#This Row],[Gross_millions_Clean]]&gt;200,"Blockbuster",IF(Table1[[#This Row],[Gross_millions_Clean]]&gt;100,"Hit","Average"))</f>
        <v>Blockbuster</v>
      </c>
    </row>
    <row r="498" spans="1:19" x14ac:dyDescent="0.3">
      <c r="A498" t="s">
        <v>2087</v>
      </c>
      <c r="B498" t="s">
        <v>2088</v>
      </c>
      <c r="C498">
        <v>2010</v>
      </c>
      <c r="D498" s="8">
        <f>FLOOR(Table1[[#This Row],[Year]],10)</f>
        <v>2010</v>
      </c>
      <c r="E498" t="s">
        <v>169</v>
      </c>
      <c r="F498">
        <v>131</v>
      </c>
      <c r="G498" t="str">
        <f>IF(Table1[[#This Row],[Runtime_minutes]]&lt;90,"Short",IF(Table1[[#This Row],[Runtime_minutes]]&lt;=120,"Medium","Long"))</f>
        <v>Long</v>
      </c>
      <c r="H498" t="s">
        <v>48</v>
      </c>
      <c r="K498">
        <v>6.9</v>
      </c>
      <c r="L498">
        <v>60</v>
      </c>
      <c r="M498" t="s">
        <v>2089</v>
      </c>
      <c r="N498" t="s">
        <v>221</v>
      </c>
      <c r="O498" t="s">
        <v>2090</v>
      </c>
      <c r="P498">
        <v>134340</v>
      </c>
      <c r="Q498" s="3"/>
      <c r="R498" s="3">
        <f>IF(Table1[[#This Row],[Gross_millions]]=" ",0,Table1[[#This Row],[Gross_millions]])</f>
        <v>0</v>
      </c>
      <c r="S498" t="str">
        <f>IF(Table1[[#This Row],[Gross_millions_Clean]]&gt;200,"Blockbuster",IF(Table1[[#This Row],[Gross_millions_Clean]]&gt;100,"Hit","Average"))</f>
        <v>Average</v>
      </c>
    </row>
    <row r="499" spans="1:19" x14ac:dyDescent="0.3">
      <c r="A499" t="s">
        <v>2091</v>
      </c>
      <c r="B499" t="s">
        <v>2092</v>
      </c>
      <c r="C499">
        <v>2020</v>
      </c>
      <c r="D499" s="8">
        <f>FLOOR(Table1[[#This Row],[Year]],10)</f>
        <v>2020</v>
      </c>
      <c r="E499" t="s">
        <v>24</v>
      </c>
      <c r="F499">
        <v>100</v>
      </c>
      <c r="G499" t="str">
        <f>IF(Table1[[#This Row],[Runtime_minutes]]&lt;90,"Short",IF(Table1[[#This Row],[Runtime_minutes]]&lt;=120,"Medium","Long"))</f>
        <v>Medium</v>
      </c>
      <c r="H499" t="s">
        <v>129</v>
      </c>
      <c r="I499" t="s">
        <v>3988</v>
      </c>
      <c r="K499">
        <v>6.9</v>
      </c>
      <c r="M499" t="s">
        <v>2094</v>
      </c>
      <c r="N499" t="s">
        <v>608</v>
      </c>
      <c r="O499" t="s">
        <v>2095</v>
      </c>
      <c r="P499">
        <v>88135</v>
      </c>
      <c r="Q499" s="3"/>
      <c r="R499" s="3">
        <f>IF(Table1[[#This Row],[Gross_millions]]=" ",0,Table1[[#This Row],[Gross_millions]])</f>
        <v>0</v>
      </c>
      <c r="S499" t="str">
        <f>IF(Table1[[#This Row],[Gross_millions_Clean]]&gt;200,"Blockbuster",IF(Table1[[#This Row],[Gross_millions_Clean]]&gt;100,"Hit","Average"))</f>
        <v>Average</v>
      </c>
    </row>
    <row r="500" spans="1:19" x14ac:dyDescent="0.3">
      <c r="A500" t="s">
        <v>2096</v>
      </c>
      <c r="B500" t="s">
        <v>2097</v>
      </c>
      <c r="C500">
        <v>2009</v>
      </c>
      <c r="D500" s="8">
        <f>FLOOR(Table1[[#This Row],[Year]],10)</f>
        <v>2000</v>
      </c>
      <c r="E500" t="s">
        <v>17</v>
      </c>
      <c r="F500">
        <v>118</v>
      </c>
      <c r="G500" t="str">
        <f>IF(Table1[[#This Row],[Runtime_minutes]]&lt;90,"Short",IF(Table1[[#This Row],[Runtime_minutes]]&lt;=120,"Medium","Long"))</f>
        <v>Medium</v>
      </c>
      <c r="H500" t="s">
        <v>55</v>
      </c>
      <c r="I500" t="s">
        <v>3980</v>
      </c>
      <c r="K500">
        <v>6.9</v>
      </c>
      <c r="L500">
        <v>72</v>
      </c>
      <c r="M500" t="s">
        <v>898</v>
      </c>
      <c r="N500" t="s">
        <v>131</v>
      </c>
      <c r="O500" t="s">
        <v>2099</v>
      </c>
      <c r="P500">
        <v>2989</v>
      </c>
      <c r="Q500" s="3"/>
      <c r="R500" s="3">
        <f>IF(Table1[[#This Row],[Gross_millions]]=" ",0,Table1[[#This Row],[Gross_millions]])</f>
        <v>0</v>
      </c>
      <c r="S500" t="str">
        <f>IF(Table1[[#This Row],[Gross_millions_Clean]]&gt;200,"Blockbuster",IF(Table1[[#This Row],[Gross_millions_Clean]]&gt;100,"Hit","Average"))</f>
        <v>Average</v>
      </c>
    </row>
    <row r="501" spans="1:19" x14ac:dyDescent="0.3">
      <c r="A501" t="s">
        <v>2100</v>
      </c>
      <c r="B501" t="s">
        <v>2101</v>
      </c>
      <c r="C501">
        <v>2004</v>
      </c>
      <c r="D501" s="8">
        <f>FLOOR(Table1[[#This Row],[Year]],10)</f>
        <v>2000</v>
      </c>
      <c r="E501" t="s">
        <v>17</v>
      </c>
      <c r="F501">
        <v>132</v>
      </c>
      <c r="G501" t="str">
        <f>IF(Table1[[#This Row],[Runtime_minutes]]&lt;90,"Short",IF(Table1[[#This Row],[Runtime_minutes]]&lt;=120,"Medium","Long"))</f>
        <v>Long</v>
      </c>
      <c r="H501" t="s">
        <v>230</v>
      </c>
      <c r="K501">
        <v>6.9</v>
      </c>
      <c r="L501">
        <v>75</v>
      </c>
      <c r="M501" t="s">
        <v>231</v>
      </c>
      <c r="N501" t="s">
        <v>103</v>
      </c>
      <c r="O501" t="s">
        <v>2102</v>
      </c>
      <c r="P501">
        <v>43550</v>
      </c>
      <c r="Q501" s="3"/>
      <c r="R501" s="3">
        <f>IF(Table1[[#This Row],[Gross_millions]]=" ",0,Table1[[#This Row],[Gross_millions]])</f>
        <v>0</v>
      </c>
      <c r="S501" t="str">
        <f>IF(Table1[[#This Row],[Gross_millions_Clean]]&gt;200,"Blockbuster",IF(Table1[[#This Row],[Gross_millions_Clean]]&gt;100,"Hit","Average"))</f>
        <v>Average</v>
      </c>
    </row>
    <row r="502" spans="1:19" x14ac:dyDescent="0.3">
      <c r="A502" t="s">
        <v>2103</v>
      </c>
      <c r="B502" t="s">
        <v>2104</v>
      </c>
      <c r="C502">
        <v>2007</v>
      </c>
      <c r="D502" s="8">
        <f>FLOOR(Table1[[#This Row],[Year]],10)</f>
        <v>2000</v>
      </c>
      <c r="E502" t="s">
        <v>293</v>
      </c>
      <c r="F502">
        <v>120</v>
      </c>
      <c r="G502" t="str">
        <f>IF(Table1[[#This Row],[Runtime_minutes]]&lt;90,"Short",IF(Table1[[#This Row],[Runtime_minutes]]&lt;=120,"Medium","Long"))</f>
        <v>Medium</v>
      </c>
      <c r="H502" t="s">
        <v>157</v>
      </c>
      <c r="I502" t="s">
        <v>3987</v>
      </c>
      <c r="K502">
        <v>6.9</v>
      </c>
      <c r="L502">
        <v>62</v>
      </c>
      <c r="M502" t="s">
        <v>158</v>
      </c>
      <c r="N502" t="s">
        <v>68</v>
      </c>
      <c r="O502" t="s">
        <v>2105</v>
      </c>
      <c r="P502">
        <v>150283</v>
      </c>
      <c r="Q502" s="3">
        <v>388.86</v>
      </c>
      <c r="R502" s="3">
        <f>IF(Table1[[#This Row],[Gross_millions]]=" ",0,Table1[[#This Row],[Gross_millions]])</f>
        <v>388.86</v>
      </c>
      <c r="S502" t="str">
        <f>IF(Table1[[#This Row],[Gross_millions_Clean]]&gt;200,"Blockbuster",IF(Table1[[#This Row],[Gross_millions_Clean]]&gt;100,"Hit","Average"))</f>
        <v>Blockbuster</v>
      </c>
    </row>
    <row r="503" spans="1:19" x14ac:dyDescent="0.3">
      <c r="A503" t="s">
        <v>2106</v>
      </c>
      <c r="B503" t="s">
        <v>2107</v>
      </c>
      <c r="C503">
        <v>2006</v>
      </c>
      <c r="D503" s="8">
        <f>FLOOR(Table1[[#This Row],[Year]],10)</f>
        <v>2000</v>
      </c>
      <c r="E503" t="s">
        <v>24</v>
      </c>
      <c r="F503">
        <v>122</v>
      </c>
      <c r="G503" t="str">
        <f>IF(Table1[[#This Row],[Runtime_minutes]]&lt;90,"Short",IF(Table1[[#This Row],[Runtime_minutes]]&lt;=120,"Medium","Long"))</f>
        <v>Long</v>
      </c>
      <c r="H503" t="s">
        <v>868</v>
      </c>
      <c r="I503" t="s">
        <v>3985</v>
      </c>
      <c r="K503">
        <v>6.9</v>
      </c>
      <c r="L503">
        <v>62</v>
      </c>
      <c r="M503" t="s">
        <v>102</v>
      </c>
      <c r="N503" t="s">
        <v>92</v>
      </c>
      <c r="O503" t="s">
        <v>2108</v>
      </c>
      <c r="P503">
        <v>177841</v>
      </c>
      <c r="Q503" s="3">
        <v>276.37</v>
      </c>
      <c r="R503" s="3">
        <f>IF(Table1[[#This Row],[Gross_millions]]=" ",0,Table1[[#This Row],[Gross_millions]])</f>
        <v>276.37</v>
      </c>
      <c r="S503" t="str">
        <f>IF(Table1[[#This Row],[Gross_millions_Clean]]&gt;200,"Blockbuster",IF(Table1[[#This Row],[Gross_millions_Clean]]&gt;100,"Hit","Average"))</f>
        <v>Blockbuster</v>
      </c>
    </row>
    <row r="504" spans="1:19" x14ac:dyDescent="0.3">
      <c r="A504" t="s">
        <v>2109</v>
      </c>
      <c r="B504" t="s">
        <v>2110</v>
      </c>
      <c r="C504">
        <v>2004</v>
      </c>
      <c r="D504" s="8">
        <f>FLOOR(Table1[[#This Row],[Year]],10)</f>
        <v>2000</v>
      </c>
      <c r="E504" t="s">
        <v>169</v>
      </c>
      <c r="F504">
        <v>109</v>
      </c>
      <c r="G504" t="str">
        <f>IF(Table1[[#This Row],[Runtime_minutes]]&lt;90,"Short",IF(Table1[[#This Row],[Runtime_minutes]]&lt;=120,"Medium","Long"))</f>
        <v>Medium</v>
      </c>
      <c r="H504" t="s">
        <v>868</v>
      </c>
      <c r="I504" t="s">
        <v>3991</v>
      </c>
      <c r="K504">
        <v>6.9</v>
      </c>
      <c r="L504">
        <v>73</v>
      </c>
      <c r="M504" t="s">
        <v>2111</v>
      </c>
      <c r="N504" t="s">
        <v>131</v>
      </c>
      <c r="O504" t="s">
        <v>2112</v>
      </c>
      <c r="P504">
        <v>76098</v>
      </c>
      <c r="Q504" s="3">
        <v>125.2</v>
      </c>
      <c r="R504" s="3">
        <f>IF(Table1[[#This Row],[Gross_millions]]=" ",0,Table1[[#This Row],[Gross_millions]])</f>
        <v>125.2</v>
      </c>
      <c r="S504" t="str">
        <f>IF(Table1[[#This Row],[Gross_millions_Clean]]&gt;200,"Blockbuster",IF(Table1[[#This Row],[Gross_millions_Clean]]&gt;100,"Hit","Average"))</f>
        <v>Hit</v>
      </c>
    </row>
    <row r="505" spans="1:19" x14ac:dyDescent="0.3">
      <c r="A505" t="s">
        <v>2113</v>
      </c>
      <c r="B505" t="s">
        <v>2114</v>
      </c>
      <c r="C505">
        <v>1994</v>
      </c>
      <c r="D505" s="8">
        <f>FLOOR(Table1[[#This Row],[Year]],10)</f>
        <v>1990</v>
      </c>
      <c r="E505" t="s">
        <v>54</v>
      </c>
      <c r="F505">
        <v>118</v>
      </c>
      <c r="G505" t="str">
        <f>IF(Table1[[#This Row],[Runtime_minutes]]&lt;90,"Short",IF(Table1[[#This Row],[Runtime_minutes]]&lt;=120,"Medium","Long"))</f>
        <v>Medium</v>
      </c>
      <c r="H505" t="s">
        <v>43</v>
      </c>
      <c r="K505">
        <v>6.9</v>
      </c>
      <c r="L505">
        <v>75</v>
      </c>
      <c r="M505" t="s">
        <v>136</v>
      </c>
      <c r="N505" t="s">
        <v>20</v>
      </c>
      <c r="O505" t="s">
        <v>2115</v>
      </c>
      <c r="P505">
        <v>12879</v>
      </c>
      <c r="Q505" s="3"/>
      <c r="R505" s="3">
        <f>IF(Table1[[#This Row],[Gross_millions]]=" ",0,Table1[[#This Row],[Gross_millions]])</f>
        <v>0</v>
      </c>
      <c r="S505" t="str">
        <f>IF(Table1[[#This Row],[Gross_millions_Clean]]&gt;200,"Blockbuster",IF(Table1[[#This Row],[Gross_millions_Clean]]&gt;100,"Hit","Average"))</f>
        <v>Average</v>
      </c>
    </row>
    <row r="506" spans="1:19" x14ac:dyDescent="0.3">
      <c r="A506" t="s">
        <v>2116</v>
      </c>
      <c r="B506" t="s">
        <v>2117</v>
      </c>
      <c r="C506">
        <v>2008</v>
      </c>
      <c r="D506" s="8">
        <f>FLOOR(Table1[[#This Row],[Year]],10)</f>
        <v>2000</v>
      </c>
      <c r="E506" t="s">
        <v>17</v>
      </c>
      <c r="F506">
        <v>109</v>
      </c>
      <c r="G506" t="str">
        <f>IF(Table1[[#This Row],[Runtime_minutes]]&lt;90,"Short",IF(Table1[[#This Row],[Runtime_minutes]]&lt;=120,"Medium","Long"))</f>
        <v>Medium</v>
      </c>
      <c r="H506" t="s">
        <v>277</v>
      </c>
      <c r="K506">
        <v>6.9</v>
      </c>
      <c r="L506">
        <v>70</v>
      </c>
      <c r="M506" t="s">
        <v>395</v>
      </c>
      <c r="N506" t="s">
        <v>74</v>
      </c>
      <c r="O506" t="s">
        <v>2118</v>
      </c>
      <c r="P506">
        <v>29929</v>
      </c>
      <c r="Q506" s="3"/>
      <c r="R506" s="3">
        <f>IF(Table1[[#This Row],[Gross_millions]]=" ",0,Table1[[#This Row],[Gross_millions]])</f>
        <v>0</v>
      </c>
      <c r="S506" t="str">
        <f>IF(Table1[[#This Row],[Gross_millions_Clean]]&gt;200,"Blockbuster",IF(Table1[[#This Row],[Gross_millions_Clean]]&gt;100,"Hit","Average"))</f>
        <v>Average</v>
      </c>
    </row>
    <row r="507" spans="1:19" x14ac:dyDescent="0.3">
      <c r="A507" t="s">
        <v>2119</v>
      </c>
      <c r="B507" t="s">
        <v>2120</v>
      </c>
      <c r="C507">
        <v>2014</v>
      </c>
      <c r="D507" s="8">
        <f>FLOOR(Table1[[#This Row],[Year]],10)</f>
        <v>2010</v>
      </c>
      <c r="E507" t="s">
        <v>285</v>
      </c>
      <c r="F507">
        <v>129</v>
      </c>
      <c r="G507" t="str">
        <f>IF(Table1[[#This Row],[Runtime_minutes]]&lt;90,"Short",IF(Table1[[#This Row],[Runtime_minutes]]&lt;=120,"Medium","Long"))</f>
        <v>Long</v>
      </c>
      <c r="H507" t="s">
        <v>210</v>
      </c>
      <c r="I507" t="s">
        <v>3990</v>
      </c>
      <c r="J507" t="s">
        <v>3992</v>
      </c>
      <c r="K507">
        <v>6.9</v>
      </c>
      <c r="L507">
        <v>60</v>
      </c>
      <c r="M507" t="s">
        <v>2122</v>
      </c>
      <c r="N507" t="s">
        <v>92</v>
      </c>
      <c r="O507" t="s">
        <v>2123</v>
      </c>
      <c r="P507">
        <v>8738</v>
      </c>
      <c r="Q507" s="3">
        <v>497.65</v>
      </c>
      <c r="R507" s="3">
        <f>IF(Table1[[#This Row],[Gross_millions]]=" ",0,Table1[[#This Row],[Gross_millions]])</f>
        <v>497.65</v>
      </c>
      <c r="S507" t="str">
        <f>IF(Table1[[#This Row],[Gross_millions_Clean]]&gt;200,"Blockbuster",IF(Table1[[#This Row],[Gross_millions_Clean]]&gt;100,"Hit","Average"))</f>
        <v>Blockbuster</v>
      </c>
    </row>
    <row r="508" spans="1:19" x14ac:dyDescent="0.3">
      <c r="A508" t="s">
        <v>2124</v>
      </c>
      <c r="B508" t="s">
        <v>2125</v>
      </c>
      <c r="C508">
        <v>2009</v>
      </c>
      <c r="D508" s="8">
        <f>FLOOR(Table1[[#This Row],[Year]],10)</f>
        <v>2000</v>
      </c>
      <c r="E508" t="s">
        <v>17</v>
      </c>
      <c r="F508">
        <v>95</v>
      </c>
      <c r="G508" t="str">
        <f>IF(Table1[[#This Row],[Runtime_minutes]]&lt;90,"Short",IF(Table1[[#This Row],[Runtime_minutes]]&lt;=120,"Medium","Long"))</f>
        <v>Medium</v>
      </c>
      <c r="H508" t="s">
        <v>129</v>
      </c>
      <c r="I508" t="s">
        <v>3993</v>
      </c>
      <c r="K508">
        <v>6.9</v>
      </c>
      <c r="L508">
        <v>74</v>
      </c>
      <c r="M508" t="s">
        <v>2126</v>
      </c>
      <c r="N508" t="s">
        <v>68</v>
      </c>
      <c r="O508" t="s">
        <v>2127</v>
      </c>
      <c r="P508">
        <v>90768</v>
      </c>
      <c r="Q508" s="3">
        <v>352.83</v>
      </c>
      <c r="R508" s="3">
        <f>IF(Table1[[#This Row],[Gross_millions]]=" ",0,Table1[[#This Row],[Gross_millions]])</f>
        <v>352.83</v>
      </c>
      <c r="S508" t="str">
        <f>IF(Table1[[#This Row],[Gross_millions_Clean]]&gt;200,"Blockbuster",IF(Table1[[#This Row],[Gross_millions_Clean]]&gt;100,"Hit","Average"))</f>
        <v>Blockbuster</v>
      </c>
    </row>
    <row r="509" spans="1:19" x14ac:dyDescent="0.3">
      <c r="A509" t="s">
        <v>2128</v>
      </c>
      <c r="B509" t="s">
        <v>2129</v>
      </c>
      <c r="C509">
        <v>2022</v>
      </c>
      <c r="D509" s="8">
        <f>FLOOR(Table1[[#This Row],[Year]],10)</f>
        <v>2020</v>
      </c>
      <c r="E509" t="s">
        <v>17</v>
      </c>
      <c r="F509">
        <v>116</v>
      </c>
      <c r="G509" t="str">
        <f>IF(Table1[[#This Row],[Runtime_minutes]]&lt;90,"Short",IF(Table1[[#This Row],[Runtime_minutes]]&lt;=120,"Medium","Long"))</f>
        <v>Medium</v>
      </c>
      <c r="H509" t="s">
        <v>868</v>
      </c>
      <c r="I509" t="s">
        <v>3992</v>
      </c>
      <c r="K509">
        <v>6.9</v>
      </c>
      <c r="M509" t="s">
        <v>350</v>
      </c>
      <c r="N509" t="s">
        <v>191</v>
      </c>
      <c r="O509" t="s">
        <v>2130</v>
      </c>
      <c r="P509">
        <v>136930</v>
      </c>
      <c r="Q509" s="3">
        <v>468.09</v>
      </c>
      <c r="R509" s="3">
        <f>IF(Table1[[#This Row],[Gross_millions]]=" ",0,Table1[[#This Row],[Gross_millions]])</f>
        <v>468.09</v>
      </c>
      <c r="S509" t="str">
        <f>IF(Table1[[#This Row],[Gross_millions_Clean]]&gt;200,"Blockbuster",IF(Table1[[#This Row],[Gross_millions_Clean]]&gt;100,"Hit","Average"))</f>
        <v>Blockbuster</v>
      </c>
    </row>
    <row r="510" spans="1:19" x14ac:dyDescent="0.3">
      <c r="A510" t="s">
        <v>2131</v>
      </c>
      <c r="B510" t="s">
        <v>2132</v>
      </c>
      <c r="C510">
        <v>2007</v>
      </c>
      <c r="D510" s="8">
        <f>FLOOR(Table1[[#This Row],[Year]],10)</f>
        <v>2000</v>
      </c>
      <c r="E510" t="s">
        <v>17</v>
      </c>
      <c r="F510">
        <v>127</v>
      </c>
      <c r="G510" t="str">
        <f>IF(Table1[[#This Row],[Runtime_minutes]]&lt;90,"Short",IF(Table1[[#This Row],[Runtime_minutes]]&lt;=120,"Medium","Long"))</f>
        <v>Long</v>
      </c>
      <c r="H510" t="s">
        <v>606</v>
      </c>
      <c r="K510">
        <v>6.9</v>
      </c>
      <c r="L510">
        <v>82</v>
      </c>
      <c r="M510" t="s">
        <v>314</v>
      </c>
      <c r="N510" t="s">
        <v>315</v>
      </c>
      <c r="O510" t="s">
        <v>2133</v>
      </c>
      <c r="P510">
        <v>125326</v>
      </c>
      <c r="Q510" s="3"/>
      <c r="R510" s="3">
        <f>IF(Table1[[#This Row],[Gross_millions]]=" ",0,Table1[[#This Row],[Gross_millions]])</f>
        <v>0</v>
      </c>
      <c r="S510" t="str">
        <f>IF(Table1[[#This Row],[Gross_millions_Clean]]&gt;200,"Blockbuster",IF(Table1[[#This Row],[Gross_millions_Clean]]&gt;100,"Hit","Average"))</f>
        <v>Average</v>
      </c>
    </row>
    <row r="511" spans="1:19" x14ac:dyDescent="0.3">
      <c r="A511" t="s">
        <v>2134</v>
      </c>
      <c r="B511" t="s">
        <v>2135</v>
      </c>
      <c r="C511">
        <v>2001</v>
      </c>
      <c r="D511" s="8">
        <f>FLOOR(Table1[[#This Row],[Year]],10)</f>
        <v>2000</v>
      </c>
      <c r="E511" t="s">
        <v>17</v>
      </c>
      <c r="F511">
        <v>141</v>
      </c>
      <c r="G511" t="str">
        <f>IF(Table1[[#This Row],[Runtime_minutes]]&lt;90,"Short",IF(Table1[[#This Row],[Runtime_minutes]]&lt;=120,"Medium","Long"))</f>
        <v>Long</v>
      </c>
      <c r="H511" t="s">
        <v>230</v>
      </c>
      <c r="I511" t="s">
        <v>3991</v>
      </c>
      <c r="K511">
        <v>6.9</v>
      </c>
      <c r="L511">
        <v>78</v>
      </c>
      <c r="M511" t="s">
        <v>2137</v>
      </c>
      <c r="N511" t="s">
        <v>103</v>
      </c>
      <c r="O511" t="s">
        <v>2138</v>
      </c>
      <c r="P511">
        <v>95042</v>
      </c>
      <c r="Q511" s="3"/>
      <c r="R511" s="3">
        <f>IF(Table1[[#This Row],[Gross_millions]]=" ",0,Table1[[#This Row],[Gross_millions]])</f>
        <v>0</v>
      </c>
      <c r="S511" t="str">
        <f>IF(Table1[[#This Row],[Gross_millions_Clean]]&gt;200,"Blockbuster",IF(Table1[[#This Row],[Gross_millions_Clean]]&gt;100,"Hit","Average"))</f>
        <v>Average</v>
      </c>
    </row>
    <row r="512" spans="1:19" x14ac:dyDescent="0.3">
      <c r="A512" t="s">
        <v>2139</v>
      </c>
      <c r="B512" t="s">
        <v>2140</v>
      </c>
      <c r="C512">
        <v>2001</v>
      </c>
      <c r="D512" s="8">
        <f>FLOOR(Table1[[#This Row],[Year]],10)</f>
        <v>2000</v>
      </c>
      <c r="E512" t="s">
        <v>17</v>
      </c>
      <c r="F512">
        <v>108</v>
      </c>
      <c r="G512" t="str">
        <f>IF(Table1[[#This Row],[Runtime_minutes]]&lt;90,"Short",IF(Table1[[#This Row],[Runtime_minutes]]&lt;=120,"Medium","Long"))</f>
        <v>Medium</v>
      </c>
      <c r="H512" t="s">
        <v>129</v>
      </c>
      <c r="I512" t="s">
        <v>3979</v>
      </c>
      <c r="J512" t="s">
        <v>3988</v>
      </c>
      <c r="K512">
        <v>6.9</v>
      </c>
      <c r="M512" t="s">
        <v>634</v>
      </c>
      <c r="N512" t="s">
        <v>153</v>
      </c>
      <c r="O512" t="s">
        <v>2142</v>
      </c>
      <c r="P512">
        <v>1122687</v>
      </c>
      <c r="Q512" s="3"/>
      <c r="R512" s="3">
        <f>IF(Table1[[#This Row],[Gross_millions]]=" ",0,Table1[[#This Row],[Gross_millions]])</f>
        <v>0</v>
      </c>
      <c r="S512" t="str">
        <f>IF(Table1[[#This Row],[Gross_millions_Clean]]&gt;200,"Blockbuster",IF(Table1[[#This Row],[Gross_millions_Clean]]&gt;100,"Hit","Average"))</f>
        <v>Average</v>
      </c>
    </row>
    <row r="513" spans="1:19" x14ac:dyDescent="0.3">
      <c r="A513" t="s">
        <v>2143</v>
      </c>
      <c r="B513" t="s">
        <v>2144</v>
      </c>
      <c r="C513">
        <v>2011</v>
      </c>
      <c r="D513" s="8">
        <f>FLOOR(Table1[[#This Row],[Year]],10)</f>
        <v>2010</v>
      </c>
      <c r="E513" t="s">
        <v>17</v>
      </c>
      <c r="F513">
        <v>136</v>
      </c>
      <c r="G513" t="str">
        <f>IF(Table1[[#This Row],[Runtime_minutes]]&lt;90,"Short",IF(Table1[[#This Row],[Runtime_minutes]]&lt;=120,"Medium","Long"))</f>
        <v>Long</v>
      </c>
      <c r="H513" t="s">
        <v>157</v>
      </c>
      <c r="I513" t="s">
        <v>3981</v>
      </c>
      <c r="K513">
        <v>6.9</v>
      </c>
      <c r="L513">
        <v>66</v>
      </c>
      <c r="M513" t="s">
        <v>629</v>
      </c>
      <c r="N513" t="s">
        <v>315</v>
      </c>
      <c r="O513" t="s">
        <v>2145</v>
      </c>
      <c r="P513">
        <v>51620</v>
      </c>
      <c r="Q513" s="3">
        <v>215.38</v>
      </c>
      <c r="R513" s="3">
        <f>IF(Table1[[#This Row],[Gross_millions]]=" ",0,Table1[[#This Row],[Gross_millions]])</f>
        <v>215.38</v>
      </c>
      <c r="S513" t="str">
        <f>IF(Table1[[#This Row],[Gross_millions_Clean]]&gt;200,"Blockbuster",IF(Table1[[#This Row],[Gross_millions_Clean]]&gt;100,"Hit","Average"))</f>
        <v>Blockbuster</v>
      </c>
    </row>
    <row r="514" spans="1:19" x14ac:dyDescent="0.3">
      <c r="A514" t="s">
        <v>2146</v>
      </c>
      <c r="B514" t="s">
        <v>2147</v>
      </c>
      <c r="C514">
        <v>2019</v>
      </c>
      <c r="D514" s="8">
        <f>FLOOR(Table1[[#This Row],[Year]],10)</f>
        <v>2010</v>
      </c>
      <c r="E514" t="s">
        <v>54</v>
      </c>
      <c r="F514">
        <v>129</v>
      </c>
      <c r="G514" t="str">
        <f>IF(Table1[[#This Row],[Runtime_minutes]]&lt;90,"Short",IF(Table1[[#This Row],[Runtime_minutes]]&lt;=120,"Medium","Long"))</f>
        <v>Long</v>
      </c>
      <c r="H514" t="s">
        <v>157</v>
      </c>
      <c r="I514" t="s">
        <v>3984</v>
      </c>
      <c r="K514">
        <v>6.9</v>
      </c>
      <c r="M514" t="s">
        <v>2148</v>
      </c>
      <c r="N514" t="s">
        <v>165</v>
      </c>
      <c r="O514" t="s">
        <v>2149</v>
      </c>
      <c r="P514">
        <v>3092</v>
      </c>
      <c r="Q514" s="3">
        <v>154.13</v>
      </c>
      <c r="R514" s="3">
        <f>IF(Table1[[#This Row],[Gross_millions]]=" ",0,Table1[[#This Row],[Gross_millions]])</f>
        <v>154.13</v>
      </c>
      <c r="S514" t="str">
        <f>IF(Table1[[#This Row],[Gross_millions_Clean]]&gt;200,"Blockbuster",IF(Table1[[#This Row],[Gross_millions_Clean]]&gt;100,"Hit","Average"))</f>
        <v>Hit</v>
      </c>
    </row>
    <row r="515" spans="1:19" x14ac:dyDescent="0.3">
      <c r="A515" t="s">
        <v>2150</v>
      </c>
      <c r="B515" t="s">
        <v>2151</v>
      </c>
      <c r="C515">
        <v>1998</v>
      </c>
      <c r="D515" s="8">
        <f>FLOOR(Table1[[#This Row],[Year]],10)</f>
        <v>1990</v>
      </c>
      <c r="E515" t="s">
        <v>17</v>
      </c>
      <c r="F515">
        <v>107</v>
      </c>
      <c r="G515" t="str">
        <f>IF(Table1[[#This Row],[Runtime_minutes]]&lt;90,"Short",IF(Table1[[#This Row],[Runtime_minutes]]&lt;=120,"Medium","Long"))</f>
        <v>Medium</v>
      </c>
      <c r="H515" t="s">
        <v>230</v>
      </c>
      <c r="I515" t="s">
        <v>3985</v>
      </c>
      <c r="K515">
        <v>6.9</v>
      </c>
      <c r="M515" t="s">
        <v>231</v>
      </c>
      <c r="N515" t="s">
        <v>547</v>
      </c>
      <c r="O515" t="s">
        <v>2153</v>
      </c>
      <c r="P515">
        <v>47405</v>
      </c>
      <c r="Q515" s="3"/>
      <c r="R515" s="3">
        <f>IF(Table1[[#This Row],[Gross_millions]]=" ",0,Table1[[#This Row],[Gross_millions]])</f>
        <v>0</v>
      </c>
      <c r="S515" t="str">
        <f>IF(Table1[[#This Row],[Gross_millions_Clean]]&gt;200,"Blockbuster",IF(Table1[[#This Row],[Gross_millions_Clean]]&gt;100,"Hit","Average"))</f>
        <v>Average</v>
      </c>
    </row>
    <row r="516" spans="1:19" x14ac:dyDescent="0.3">
      <c r="A516" t="s">
        <v>2154</v>
      </c>
      <c r="B516" t="s">
        <v>2155</v>
      </c>
      <c r="C516">
        <v>2013</v>
      </c>
      <c r="D516" s="8">
        <f>FLOOR(Table1[[#This Row],[Year]],10)</f>
        <v>2010</v>
      </c>
      <c r="E516" t="s">
        <v>17</v>
      </c>
      <c r="F516">
        <v>119</v>
      </c>
      <c r="G516" t="str">
        <f>IF(Table1[[#This Row],[Runtime_minutes]]&lt;90,"Short",IF(Table1[[#This Row],[Runtime_minutes]]&lt;=120,"Medium","Long"))</f>
        <v>Medium</v>
      </c>
      <c r="H516" t="s">
        <v>72</v>
      </c>
      <c r="K516">
        <v>6.9</v>
      </c>
      <c r="L516">
        <v>56</v>
      </c>
      <c r="M516" t="s">
        <v>2156</v>
      </c>
      <c r="N516" t="s">
        <v>524</v>
      </c>
      <c r="O516" t="s">
        <v>2157</v>
      </c>
      <c r="P516">
        <v>213767</v>
      </c>
      <c r="Q516" s="3">
        <v>249.88</v>
      </c>
      <c r="R516" s="3">
        <f>IF(Table1[[#This Row],[Gross_millions]]=" ",0,Table1[[#This Row],[Gross_millions]])</f>
        <v>249.88</v>
      </c>
      <c r="S516" t="str">
        <f>IF(Table1[[#This Row],[Gross_millions_Clean]]&gt;200,"Blockbuster",IF(Table1[[#This Row],[Gross_millions_Clean]]&gt;100,"Hit","Average"))</f>
        <v>Blockbuster</v>
      </c>
    </row>
    <row r="517" spans="1:19" x14ac:dyDescent="0.3">
      <c r="A517" t="s">
        <v>2158</v>
      </c>
      <c r="B517" t="s">
        <v>2159</v>
      </c>
      <c r="C517">
        <v>2012</v>
      </c>
      <c r="D517" s="8">
        <f>FLOOR(Table1[[#This Row],[Year]],10)</f>
        <v>2010</v>
      </c>
      <c r="E517" t="s">
        <v>17</v>
      </c>
      <c r="F517">
        <v>105</v>
      </c>
      <c r="G517" t="str">
        <f>IF(Table1[[#This Row],[Runtime_minutes]]&lt;90,"Short",IF(Table1[[#This Row],[Runtime_minutes]]&lt;=120,"Medium","Long"))</f>
        <v>Medium</v>
      </c>
      <c r="H517" t="s">
        <v>72</v>
      </c>
      <c r="I517" t="s">
        <v>3993</v>
      </c>
      <c r="K517">
        <v>6.9</v>
      </c>
      <c r="L517">
        <v>61</v>
      </c>
      <c r="M517" t="s">
        <v>1155</v>
      </c>
      <c r="N517" t="s">
        <v>518</v>
      </c>
      <c r="O517" t="s">
        <v>2160</v>
      </c>
      <c r="P517">
        <v>118886</v>
      </c>
      <c r="Q517" s="3">
        <v>223.78</v>
      </c>
      <c r="R517" s="3">
        <f>IF(Table1[[#This Row],[Gross_millions]]=" ",0,Table1[[#This Row],[Gross_millions]])</f>
        <v>223.78</v>
      </c>
      <c r="S517" t="str">
        <f>IF(Table1[[#This Row],[Gross_millions_Clean]]&gt;200,"Blockbuster",IF(Table1[[#This Row],[Gross_millions_Clean]]&gt;100,"Hit","Average"))</f>
        <v>Blockbuster</v>
      </c>
    </row>
    <row r="518" spans="1:19" x14ac:dyDescent="0.3">
      <c r="A518" t="s">
        <v>2161</v>
      </c>
      <c r="B518" t="s">
        <v>2162</v>
      </c>
      <c r="C518">
        <v>2009</v>
      </c>
      <c r="D518" s="8">
        <f>FLOOR(Table1[[#This Row],[Year]],10)</f>
        <v>2000</v>
      </c>
      <c r="E518" t="s">
        <v>24</v>
      </c>
      <c r="F518">
        <v>96</v>
      </c>
      <c r="G518" t="str">
        <f>IF(Table1[[#This Row],[Runtime_minutes]]&lt;90,"Short",IF(Table1[[#This Row],[Runtime_minutes]]&lt;=120,"Medium","Long"))</f>
        <v>Medium</v>
      </c>
      <c r="H518" t="s">
        <v>277</v>
      </c>
      <c r="I518" t="s">
        <v>3990</v>
      </c>
      <c r="K518">
        <v>6.9</v>
      </c>
      <c r="M518" t="s">
        <v>278</v>
      </c>
      <c r="N518" t="s">
        <v>103</v>
      </c>
      <c r="O518" t="s">
        <v>2163</v>
      </c>
      <c r="P518">
        <v>805140</v>
      </c>
      <c r="Q518" s="3"/>
      <c r="R518" s="3">
        <f>IF(Table1[[#This Row],[Gross_millions]]=" ",0,Table1[[#This Row],[Gross_millions]])</f>
        <v>0</v>
      </c>
      <c r="S518" t="str">
        <f>IF(Table1[[#This Row],[Gross_millions_Clean]]&gt;200,"Blockbuster",IF(Table1[[#This Row],[Gross_millions_Clean]]&gt;100,"Hit","Average"))</f>
        <v>Average</v>
      </c>
    </row>
    <row r="519" spans="1:19" x14ac:dyDescent="0.3">
      <c r="A519" t="s">
        <v>2164</v>
      </c>
      <c r="B519" t="s">
        <v>2165</v>
      </c>
      <c r="C519">
        <v>2010</v>
      </c>
      <c r="D519" s="8">
        <f>FLOOR(Table1[[#This Row],[Year]],10)</f>
        <v>2010</v>
      </c>
      <c r="E519" t="s">
        <v>17</v>
      </c>
      <c r="F519">
        <v>136</v>
      </c>
      <c r="G519" t="str">
        <f>IF(Table1[[#This Row],[Runtime_minutes]]&lt;90,"Short",IF(Table1[[#This Row],[Runtime_minutes]]&lt;=120,"Medium","Long"))</f>
        <v>Long</v>
      </c>
      <c r="H519" t="s">
        <v>72</v>
      </c>
      <c r="I519" t="s">
        <v>3982</v>
      </c>
      <c r="J519" t="s">
        <v>3978</v>
      </c>
      <c r="K519">
        <v>6.9</v>
      </c>
      <c r="L519">
        <v>66</v>
      </c>
      <c r="M519" t="s">
        <v>1155</v>
      </c>
      <c r="N519" t="s">
        <v>547</v>
      </c>
      <c r="O519" t="s">
        <v>2167</v>
      </c>
      <c r="P519">
        <v>8647</v>
      </c>
      <c r="Q519" s="3">
        <v>498.46</v>
      </c>
      <c r="R519" s="3">
        <f>IF(Table1[[#This Row],[Gross_millions]]=" ",0,Table1[[#This Row],[Gross_millions]])</f>
        <v>498.46</v>
      </c>
      <c r="S519" t="str">
        <f>IF(Table1[[#This Row],[Gross_millions_Clean]]&gt;200,"Blockbuster",IF(Table1[[#This Row],[Gross_millions_Clean]]&gt;100,"Hit","Average"))</f>
        <v>Blockbuster</v>
      </c>
    </row>
    <row r="520" spans="1:19" x14ac:dyDescent="0.3">
      <c r="A520" t="s">
        <v>2168</v>
      </c>
      <c r="B520" t="s">
        <v>2169</v>
      </c>
      <c r="C520">
        <v>2006</v>
      </c>
      <c r="D520" s="8">
        <f>FLOOR(Table1[[#This Row],[Year]],10)</f>
        <v>2000</v>
      </c>
      <c r="E520" t="s">
        <v>17</v>
      </c>
      <c r="F520">
        <v>117</v>
      </c>
      <c r="G520" t="str">
        <f>IF(Table1[[#This Row],[Runtime_minutes]]&lt;90,"Short",IF(Table1[[#This Row],[Runtime_minutes]]&lt;=120,"Medium","Long"))</f>
        <v>Medium</v>
      </c>
      <c r="H520" t="s">
        <v>868</v>
      </c>
      <c r="I520" t="s">
        <v>3980</v>
      </c>
      <c r="J520" t="s">
        <v>3992</v>
      </c>
      <c r="K520">
        <v>6.9</v>
      </c>
      <c r="M520" t="s">
        <v>2171</v>
      </c>
      <c r="N520" t="s">
        <v>191</v>
      </c>
      <c r="O520" t="s">
        <v>2172</v>
      </c>
      <c r="P520">
        <v>309058</v>
      </c>
      <c r="Q520" s="3">
        <v>464.92</v>
      </c>
      <c r="R520" s="3">
        <f>IF(Table1[[#This Row],[Gross_millions]]=" ",0,Table1[[#This Row],[Gross_millions]])</f>
        <v>464.92</v>
      </c>
      <c r="S520" t="str">
        <f>IF(Table1[[#This Row],[Gross_millions_Clean]]&gt;200,"Blockbuster",IF(Table1[[#This Row],[Gross_millions_Clean]]&gt;100,"Hit","Average"))</f>
        <v>Blockbuster</v>
      </c>
    </row>
    <row r="521" spans="1:19" x14ac:dyDescent="0.3">
      <c r="A521" t="s">
        <v>2173</v>
      </c>
      <c r="B521" t="s">
        <v>2174</v>
      </c>
      <c r="C521">
        <v>2007</v>
      </c>
      <c r="D521" s="8">
        <f>FLOOR(Table1[[#This Row],[Year]],10)</f>
        <v>2000</v>
      </c>
      <c r="E521" t="s">
        <v>54</v>
      </c>
      <c r="F521">
        <v>127</v>
      </c>
      <c r="G521" t="str">
        <f>IF(Table1[[#This Row],[Runtime_minutes]]&lt;90,"Short",IF(Table1[[#This Row],[Runtime_minutes]]&lt;=120,"Medium","Long"))</f>
        <v>Long</v>
      </c>
      <c r="H521" t="s">
        <v>606</v>
      </c>
      <c r="I521" t="s">
        <v>3979</v>
      </c>
      <c r="J521" t="s">
        <v>3983</v>
      </c>
      <c r="K521">
        <v>6.9</v>
      </c>
      <c r="L521">
        <v>64</v>
      </c>
      <c r="M521" t="s">
        <v>2176</v>
      </c>
      <c r="N521" t="s">
        <v>236</v>
      </c>
      <c r="O521" t="s">
        <v>2177</v>
      </c>
      <c r="P521">
        <v>2450</v>
      </c>
      <c r="Q521" s="3">
        <v>243.9</v>
      </c>
      <c r="R521" s="3">
        <f>IF(Table1[[#This Row],[Gross_millions]]=" ",0,Table1[[#This Row],[Gross_millions]])</f>
        <v>243.9</v>
      </c>
      <c r="S521" t="str">
        <f>IF(Table1[[#This Row],[Gross_millions_Clean]]&gt;200,"Blockbuster",IF(Table1[[#This Row],[Gross_millions_Clean]]&gt;100,"Hit","Average"))</f>
        <v>Blockbuster</v>
      </c>
    </row>
    <row r="522" spans="1:19" x14ac:dyDescent="0.3">
      <c r="A522" t="s">
        <v>2178</v>
      </c>
      <c r="B522" t="s">
        <v>2179</v>
      </c>
      <c r="C522">
        <v>2017</v>
      </c>
      <c r="D522" s="8">
        <f>FLOOR(Table1[[#This Row],[Year]],10)</f>
        <v>2010</v>
      </c>
      <c r="E522" t="s">
        <v>17</v>
      </c>
      <c r="F522">
        <v>99</v>
      </c>
      <c r="G522" t="str">
        <f>IF(Table1[[#This Row],[Runtime_minutes]]&lt;90,"Short",IF(Table1[[#This Row],[Runtime_minutes]]&lt;=120,"Medium","Long"))</f>
        <v>Medium</v>
      </c>
      <c r="H522" t="s">
        <v>1044</v>
      </c>
      <c r="I522" t="s">
        <v>3986</v>
      </c>
      <c r="K522">
        <v>6.9</v>
      </c>
      <c r="M522" t="s">
        <v>2180</v>
      </c>
      <c r="N522" t="s">
        <v>103</v>
      </c>
      <c r="O522" t="s">
        <v>2181</v>
      </c>
      <c r="P522">
        <v>20948</v>
      </c>
      <c r="Q522" s="3"/>
      <c r="R522" s="3">
        <f>IF(Table1[[#This Row],[Gross_millions]]=" ",0,Table1[[#This Row],[Gross_millions]])</f>
        <v>0</v>
      </c>
      <c r="S522" t="str">
        <f>IF(Table1[[#This Row],[Gross_millions_Clean]]&gt;200,"Blockbuster",IF(Table1[[#This Row],[Gross_millions_Clean]]&gt;100,"Hit","Average"))</f>
        <v>Average</v>
      </c>
    </row>
    <row r="523" spans="1:19" x14ac:dyDescent="0.3">
      <c r="A523" t="s">
        <v>2182</v>
      </c>
      <c r="B523" t="s">
        <v>2183</v>
      </c>
      <c r="C523">
        <v>2005</v>
      </c>
      <c r="D523" s="8">
        <f>FLOOR(Table1[[#This Row],[Year]],10)</f>
        <v>2000</v>
      </c>
      <c r="E523" t="s">
        <v>17</v>
      </c>
      <c r="F523">
        <v>152</v>
      </c>
      <c r="G523" t="str">
        <f>IF(Table1[[#This Row],[Runtime_minutes]]&lt;90,"Short",IF(Table1[[#This Row],[Runtime_minutes]]&lt;=120,"Medium","Long"))</f>
        <v>Long</v>
      </c>
      <c r="H523" t="s">
        <v>767</v>
      </c>
      <c r="I523" t="s">
        <v>3977</v>
      </c>
      <c r="J523" t="s">
        <v>3984</v>
      </c>
      <c r="K523">
        <v>6.9</v>
      </c>
      <c r="L523">
        <v>66</v>
      </c>
      <c r="M523" t="s">
        <v>320</v>
      </c>
      <c r="N523" t="s">
        <v>50</v>
      </c>
      <c r="O523" t="s">
        <v>2185</v>
      </c>
      <c r="P523">
        <v>15550</v>
      </c>
      <c r="Q523" s="3"/>
      <c r="R523" s="3">
        <f>IF(Table1[[#This Row],[Gross_millions]]=" ",0,Table1[[#This Row],[Gross_millions]])</f>
        <v>0</v>
      </c>
      <c r="S523" t="str">
        <f>IF(Table1[[#This Row],[Gross_millions_Clean]]&gt;200,"Blockbuster",IF(Table1[[#This Row],[Gross_millions_Clean]]&gt;100,"Hit","Average"))</f>
        <v>Average</v>
      </c>
    </row>
    <row r="524" spans="1:19" x14ac:dyDescent="0.3">
      <c r="A524" t="s">
        <v>2186</v>
      </c>
      <c r="B524" t="s">
        <v>2187</v>
      </c>
      <c r="C524">
        <v>2011</v>
      </c>
      <c r="D524" s="8">
        <f>FLOOR(Table1[[#This Row],[Year]],10)</f>
        <v>2010</v>
      </c>
      <c r="E524" t="s">
        <v>24</v>
      </c>
      <c r="F524">
        <v>97</v>
      </c>
      <c r="G524" t="str">
        <f>IF(Table1[[#This Row],[Runtime_minutes]]&lt;90,"Short",IF(Table1[[#This Row],[Runtime_minutes]]&lt;=120,"Medium","Long"))</f>
        <v>Medium</v>
      </c>
      <c r="H524" t="s">
        <v>868</v>
      </c>
      <c r="I524" t="s">
        <v>3981</v>
      </c>
      <c r="J524" t="s">
        <v>3992</v>
      </c>
      <c r="K524">
        <v>6.9</v>
      </c>
      <c r="L524">
        <v>82</v>
      </c>
      <c r="M524" t="s">
        <v>2189</v>
      </c>
      <c r="N524" t="s">
        <v>196</v>
      </c>
      <c r="O524" t="s">
        <v>2190</v>
      </c>
      <c r="P524">
        <v>56962</v>
      </c>
      <c r="Q524" s="3"/>
      <c r="R524" s="3">
        <f>IF(Table1[[#This Row],[Gross_millions]]=" ",0,Table1[[#This Row],[Gross_millions]])</f>
        <v>0</v>
      </c>
      <c r="S524" t="str">
        <f>IF(Table1[[#This Row],[Gross_millions_Clean]]&gt;200,"Blockbuster",IF(Table1[[#This Row],[Gross_millions_Clean]]&gt;100,"Hit","Average"))</f>
        <v>Average</v>
      </c>
    </row>
    <row r="525" spans="1:19" x14ac:dyDescent="0.3">
      <c r="A525" t="s">
        <v>2191</v>
      </c>
      <c r="B525" t="s">
        <v>2192</v>
      </c>
      <c r="C525">
        <v>2007</v>
      </c>
      <c r="D525" s="8">
        <f>FLOOR(Table1[[#This Row],[Year]],10)</f>
        <v>2000</v>
      </c>
      <c r="E525" t="s">
        <v>285</v>
      </c>
      <c r="F525">
        <v>134</v>
      </c>
      <c r="G525" t="str">
        <f>IF(Table1[[#This Row],[Runtime_minutes]]&lt;90,"Short",IF(Table1[[#This Row],[Runtime_minutes]]&lt;=120,"Medium","Long"))</f>
        <v>Long</v>
      </c>
      <c r="H525" t="s">
        <v>72</v>
      </c>
      <c r="I525" t="s">
        <v>3977</v>
      </c>
      <c r="K525">
        <v>6.9</v>
      </c>
      <c r="M525" t="s">
        <v>2193</v>
      </c>
      <c r="N525" t="s">
        <v>159</v>
      </c>
      <c r="O525" t="s">
        <v>2194</v>
      </c>
      <c r="P525">
        <v>5415</v>
      </c>
      <c r="Q525" s="3"/>
      <c r="R525" s="3">
        <f>IF(Table1[[#This Row],[Gross_millions]]=" ",0,Table1[[#This Row],[Gross_millions]])</f>
        <v>0</v>
      </c>
      <c r="S525" t="str">
        <f>IF(Table1[[#This Row],[Gross_millions_Clean]]&gt;200,"Blockbuster",IF(Table1[[#This Row],[Gross_millions_Clean]]&gt;100,"Hit","Average"))</f>
        <v>Average</v>
      </c>
    </row>
    <row r="526" spans="1:19" x14ac:dyDescent="0.3">
      <c r="A526" t="s">
        <v>2195</v>
      </c>
      <c r="B526" t="s">
        <v>2196</v>
      </c>
      <c r="C526">
        <v>1995</v>
      </c>
      <c r="D526" s="8">
        <f>FLOOR(Table1[[#This Row],[Year]],10)</f>
        <v>1990</v>
      </c>
      <c r="E526" t="s">
        <v>54</v>
      </c>
      <c r="F526">
        <v>104</v>
      </c>
      <c r="G526" t="str">
        <f>IF(Table1[[#This Row],[Runtime_minutes]]&lt;90,"Short",IF(Table1[[#This Row],[Runtime_minutes]]&lt;=120,"Medium","Long"))</f>
        <v>Medium</v>
      </c>
      <c r="H526" t="s">
        <v>277</v>
      </c>
      <c r="I526" t="s">
        <v>3976</v>
      </c>
      <c r="K526">
        <v>6.9</v>
      </c>
      <c r="L526">
        <v>55</v>
      </c>
      <c r="M526" t="s">
        <v>278</v>
      </c>
      <c r="N526" t="s">
        <v>86</v>
      </c>
      <c r="O526" t="s">
        <v>2197</v>
      </c>
      <c r="P526">
        <v>99970</v>
      </c>
      <c r="Q526" s="3">
        <v>5.81</v>
      </c>
      <c r="R526" s="3">
        <f>IF(Table1[[#This Row],[Gross_millions]]=" ",0,Table1[[#This Row],[Gross_millions]])</f>
        <v>5.81</v>
      </c>
      <c r="S526" t="str">
        <f>IF(Table1[[#This Row],[Gross_millions_Clean]]&gt;200,"Blockbuster",IF(Table1[[#This Row],[Gross_millions_Clean]]&gt;100,"Hit","Average"))</f>
        <v>Average</v>
      </c>
    </row>
    <row r="527" spans="1:19" x14ac:dyDescent="0.3">
      <c r="A527" t="s">
        <v>2198</v>
      </c>
      <c r="B527" t="s">
        <v>2199</v>
      </c>
      <c r="C527">
        <v>2022</v>
      </c>
      <c r="D527" s="8">
        <f>FLOOR(Table1[[#This Row],[Year]],10)</f>
        <v>2020</v>
      </c>
      <c r="E527" t="s">
        <v>169</v>
      </c>
      <c r="F527">
        <v>129</v>
      </c>
      <c r="G527" t="str">
        <f>IF(Table1[[#This Row],[Runtime_minutes]]&lt;90,"Short",IF(Table1[[#This Row],[Runtime_minutes]]&lt;=120,"Medium","Long"))</f>
        <v>Long</v>
      </c>
      <c r="H527" t="s">
        <v>375</v>
      </c>
      <c r="I527" t="s">
        <v>3981</v>
      </c>
      <c r="K527">
        <v>6.9</v>
      </c>
      <c r="L527">
        <v>64</v>
      </c>
      <c r="M527" t="s">
        <v>2200</v>
      </c>
      <c r="N527" t="s">
        <v>50</v>
      </c>
      <c r="O527" t="s">
        <v>2201</v>
      </c>
      <c r="P527">
        <v>103511</v>
      </c>
      <c r="Q527" s="3">
        <v>213.69</v>
      </c>
      <c r="R527" s="3">
        <f>IF(Table1[[#This Row],[Gross_millions]]=" ",0,Table1[[#This Row],[Gross_millions]])</f>
        <v>213.69</v>
      </c>
      <c r="S527" t="str">
        <f>IF(Table1[[#This Row],[Gross_millions_Clean]]&gt;200,"Blockbuster",IF(Table1[[#This Row],[Gross_millions_Clean]]&gt;100,"Hit","Average"))</f>
        <v>Blockbuster</v>
      </c>
    </row>
    <row r="528" spans="1:19" x14ac:dyDescent="0.3">
      <c r="A528" t="s">
        <v>2202</v>
      </c>
      <c r="B528" t="s">
        <v>2203</v>
      </c>
      <c r="C528">
        <v>2017</v>
      </c>
      <c r="D528" s="8">
        <f>FLOOR(Table1[[#This Row],[Year]],10)</f>
        <v>2010</v>
      </c>
      <c r="E528" t="s">
        <v>17</v>
      </c>
      <c r="F528">
        <v>90</v>
      </c>
      <c r="G528" t="str">
        <f>IF(Table1[[#This Row],[Runtime_minutes]]&lt;90,"Short",IF(Table1[[#This Row],[Runtime_minutes]]&lt;=120,"Medium","Long"))</f>
        <v>Medium</v>
      </c>
      <c r="H528" t="s">
        <v>235</v>
      </c>
      <c r="K528">
        <v>6.9</v>
      </c>
      <c r="L528">
        <v>69</v>
      </c>
      <c r="M528" t="s">
        <v>201</v>
      </c>
      <c r="N528" t="s">
        <v>524</v>
      </c>
      <c r="O528" t="s">
        <v>2204</v>
      </c>
      <c r="P528">
        <v>64623</v>
      </c>
      <c r="Q528" s="3">
        <v>303.16000000000003</v>
      </c>
      <c r="R528" s="3">
        <f>IF(Table1[[#This Row],[Gross_millions]]=" ",0,Table1[[#This Row],[Gross_millions]])</f>
        <v>303.16000000000003</v>
      </c>
      <c r="S528" t="str">
        <f>IF(Table1[[#This Row],[Gross_millions_Clean]]&gt;200,"Blockbuster",IF(Table1[[#This Row],[Gross_millions_Clean]]&gt;100,"Hit","Average"))</f>
        <v>Blockbuster</v>
      </c>
    </row>
    <row r="529" spans="1:19" x14ac:dyDescent="0.3">
      <c r="A529" t="s">
        <v>2205</v>
      </c>
      <c r="B529" t="s">
        <v>2206</v>
      </c>
      <c r="C529">
        <v>2019</v>
      </c>
      <c r="D529" s="8">
        <f>FLOOR(Table1[[#This Row],[Year]],10)</f>
        <v>2010</v>
      </c>
      <c r="E529" t="s">
        <v>54</v>
      </c>
      <c r="F529">
        <v>100</v>
      </c>
      <c r="G529" t="str">
        <f>IF(Table1[[#This Row],[Runtime_minutes]]&lt;90,"Short",IF(Table1[[#This Row],[Runtime_minutes]]&lt;=120,"Medium","Long"))</f>
        <v>Medium</v>
      </c>
      <c r="H529" t="s">
        <v>157</v>
      </c>
      <c r="I529" t="s">
        <v>3987</v>
      </c>
      <c r="K529">
        <v>6.9</v>
      </c>
      <c r="M529" t="s">
        <v>2207</v>
      </c>
      <c r="N529" t="s">
        <v>80</v>
      </c>
      <c r="O529" t="s">
        <v>2208</v>
      </c>
      <c r="P529">
        <v>684892</v>
      </c>
      <c r="Q529" s="3"/>
      <c r="R529" s="3">
        <f>IF(Table1[[#This Row],[Gross_millions]]=" ",0,Table1[[#This Row],[Gross_millions]])</f>
        <v>0</v>
      </c>
      <c r="S529" t="str">
        <f>IF(Table1[[#This Row],[Gross_millions_Clean]]&gt;200,"Blockbuster",IF(Table1[[#This Row],[Gross_millions_Clean]]&gt;100,"Hit","Average"))</f>
        <v>Average</v>
      </c>
    </row>
    <row r="530" spans="1:19" x14ac:dyDescent="0.3">
      <c r="A530" t="s">
        <v>2209</v>
      </c>
      <c r="B530" t="s">
        <v>2210</v>
      </c>
      <c r="C530">
        <v>2009</v>
      </c>
      <c r="D530" s="8">
        <f>FLOOR(Table1[[#This Row],[Year]],10)</f>
        <v>2000</v>
      </c>
      <c r="E530" t="s">
        <v>17</v>
      </c>
      <c r="F530">
        <v>91</v>
      </c>
      <c r="G530" t="str">
        <f>IF(Table1[[#This Row],[Runtime_minutes]]&lt;90,"Short",IF(Table1[[#This Row],[Runtime_minutes]]&lt;=120,"Medium","Long"))</f>
        <v>Medium</v>
      </c>
      <c r="H530" t="s">
        <v>868</v>
      </c>
      <c r="I530" t="s">
        <v>3987</v>
      </c>
      <c r="K530">
        <v>6.9</v>
      </c>
      <c r="L530">
        <v>75</v>
      </c>
      <c r="M530" t="s">
        <v>2212</v>
      </c>
      <c r="N530" t="s">
        <v>196</v>
      </c>
      <c r="O530" t="s">
        <v>2213</v>
      </c>
      <c r="P530">
        <v>21556</v>
      </c>
      <c r="Q530" s="3">
        <v>370.73</v>
      </c>
      <c r="R530" s="3">
        <f>IF(Table1[[#This Row],[Gross_millions]]=" ",0,Table1[[#This Row],[Gross_millions]])</f>
        <v>370.73</v>
      </c>
      <c r="S530" t="str">
        <f>IF(Table1[[#This Row],[Gross_millions_Clean]]&gt;200,"Blockbuster",IF(Table1[[#This Row],[Gross_millions_Clean]]&gt;100,"Hit","Average"))</f>
        <v>Blockbuster</v>
      </c>
    </row>
    <row r="531" spans="1:19" x14ac:dyDescent="0.3">
      <c r="A531" t="s">
        <v>2214</v>
      </c>
      <c r="B531" t="s">
        <v>2215</v>
      </c>
      <c r="C531">
        <v>2010</v>
      </c>
      <c r="D531" s="8">
        <f>FLOOR(Table1[[#This Row],[Year]],10)</f>
        <v>2010</v>
      </c>
      <c r="E531" t="s">
        <v>54</v>
      </c>
      <c r="F531">
        <v>113</v>
      </c>
      <c r="G531" t="str">
        <f>IF(Table1[[#This Row],[Runtime_minutes]]&lt;90,"Short",IF(Table1[[#This Row],[Runtime_minutes]]&lt;=120,"Medium","Long"))</f>
        <v>Medium</v>
      </c>
      <c r="H531" t="s">
        <v>235</v>
      </c>
      <c r="K531">
        <v>6.9</v>
      </c>
      <c r="M531" t="s">
        <v>2216</v>
      </c>
      <c r="N531" t="s">
        <v>191</v>
      </c>
      <c r="O531" t="s">
        <v>2217</v>
      </c>
      <c r="P531">
        <v>17107</v>
      </c>
      <c r="Q531" s="3">
        <v>486</v>
      </c>
      <c r="R531" s="3">
        <f>IF(Table1[[#This Row],[Gross_millions]]=" ",0,Table1[[#This Row],[Gross_millions]])</f>
        <v>486</v>
      </c>
      <c r="S531" t="str">
        <f>IF(Table1[[#This Row],[Gross_millions_Clean]]&gt;200,"Blockbuster",IF(Table1[[#This Row],[Gross_millions_Clean]]&gt;100,"Hit","Average"))</f>
        <v>Blockbuster</v>
      </c>
    </row>
    <row r="532" spans="1:19" x14ac:dyDescent="0.3">
      <c r="A532" t="s">
        <v>2218</v>
      </c>
      <c r="B532" t="s">
        <v>2219</v>
      </c>
      <c r="C532">
        <v>2008</v>
      </c>
      <c r="D532" s="8">
        <f>FLOOR(Table1[[#This Row],[Year]],10)</f>
        <v>2000</v>
      </c>
      <c r="E532" t="s">
        <v>17</v>
      </c>
      <c r="F532">
        <v>128</v>
      </c>
      <c r="G532" t="str">
        <f>IF(Table1[[#This Row],[Runtime_minutes]]&lt;90,"Short",IF(Table1[[#This Row],[Runtime_minutes]]&lt;=120,"Medium","Long"))</f>
        <v>Long</v>
      </c>
      <c r="H532" t="s">
        <v>129</v>
      </c>
      <c r="I532" t="s">
        <v>3977</v>
      </c>
      <c r="J532" t="s">
        <v>3991</v>
      </c>
      <c r="K532">
        <v>6.8</v>
      </c>
      <c r="L532">
        <v>76</v>
      </c>
      <c r="M532" t="s">
        <v>130</v>
      </c>
      <c r="N532" t="s">
        <v>153</v>
      </c>
      <c r="O532" t="s">
        <v>2221</v>
      </c>
      <c r="P532">
        <v>15435</v>
      </c>
      <c r="Q532" s="3">
        <v>346.66</v>
      </c>
      <c r="R532" s="3">
        <f>IF(Table1[[#This Row],[Gross_millions]]=" ",0,Table1[[#This Row],[Gross_millions]])</f>
        <v>346.66</v>
      </c>
      <c r="S532" t="str">
        <f>IF(Table1[[#This Row],[Gross_millions_Clean]]&gt;200,"Blockbuster",IF(Table1[[#This Row],[Gross_millions_Clean]]&gt;100,"Hit","Average"))</f>
        <v>Blockbuster</v>
      </c>
    </row>
    <row r="533" spans="1:19" x14ac:dyDescent="0.3">
      <c r="A533" t="s">
        <v>2222</v>
      </c>
      <c r="B533" t="s">
        <v>2223</v>
      </c>
      <c r="C533">
        <v>2019</v>
      </c>
      <c r="D533" s="8">
        <f>FLOOR(Table1[[#This Row],[Year]],10)</f>
        <v>2010</v>
      </c>
      <c r="E533" t="s">
        <v>17</v>
      </c>
      <c r="F533">
        <v>113</v>
      </c>
      <c r="G533" t="str">
        <f>IF(Table1[[#This Row],[Runtime_minutes]]&lt;90,"Short",IF(Table1[[#This Row],[Runtime_minutes]]&lt;=120,"Medium","Long"))</f>
        <v>Medium</v>
      </c>
      <c r="H533" t="s">
        <v>767</v>
      </c>
      <c r="I533" t="s">
        <v>3985</v>
      </c>
      <c r="K533">
        <v>6.8</v>
      </c>
      <c r="L533">
        <v>82</v>
      </c>
      <c r="M533" t="s">
        <v>300</v>
      </c>
      <c r="N533" t="s">
        <v>236</v>
      </c>
      <c r="O533" t="s">
        <v>2225</v>
      </c>
      <c r="P533">
        <v>37995</v>
      </c>
      <c r="Q533" s="3">
        <v>208.23</v>
      </c>
      <c r="R533" s="3">
        <f>IF(Table1[[#This Row],[Gross_millions]]=" ",0,Table1[[#This Row],[Gross_millions]])</f>
        <v>208.23</v>
      </c>
      <c r="S533" t="str">
        <f>IF(Table1[[#This Row],[Gross_millions_Clean]]&gt;200,"Blockbuster",IF(Table1[[#This Row],[Gross_millions_Clean]]&gt;100,"Hit","Average"))</f>
        <v>Blockbuster</v>
      </c>
    </row>
    <row r="534" spans="1:19" x14ac:dyDescent="0.3">
      <c r="A534" t="s">
        <v>2226</v>
      </c>
      <c r="B534" t="s">
        <v>2227</v>
      </c>
      <c r="C534">
        <v>2013</v>
      </c>
      <c r="D534" s="8">
        <f>FLOOR(Table1[[#This Row],[Year]],10)</f>
        <v>2010</v>
      </c>
      <c r="E534" t="s">
        <v>54</v>
      </c>
      <c r="F534">
        <v>120</v>
      </c>
      <c r="G534" t="str">
        <f>IF(Table1[[#This Row],[Runtime_minutes]]&lt;90,"Short",IF(Table1[[#This Row],[Runtime_minutes]]&lt;=120,"Medium","Long"))</f>
        <v>Medium</v>
      </c>
      <c r="H534" t="s">
        <v>606</v>
      </c>
      <c r="K534">
        <v>6.8</v>
      </c>
      <c r="L534">
        <v>69</v>
      </c>
      <c r="M534" t="s">
        <v>2228</v>
      </c>
      <c r="N534" t="s">
        <v>251</v>
      </c>
      <c r="O534" t="s">
        <v>2229</v>
      </c>
      <c r="P534">
        <v>36612</v>
      </c>
      <c r="Q534" s="3">
        <v>198.19</v>
      </c>
      <c r="R534" s="3">
        <f>IF(Table1[[#This Row],[Gross_millions]]=" ",0,Table1[[#This Row],[Gross_millions]])</f>
        <v>198.19</v>
      </c>
      <c r="S534" t="str">
        <f>IF(Table1[[#This Row],[Gross_millions_Clean]]&gt;200,"Blockbuster",IF(Table1[[#This Row],[Gross_millions_Clean]]&gt;100,"Hit","Average"))</f>
        <v>Hit</v>
      </c>
    </row>
    <row r="535" spans="1:19" x14ac:dyDescent="0.3">
      <c r="A535" t="s">
        <v>2230</v>
      </c>
      <c r="B535" t="s">
        <v>2231</v>
      </c>
      <c r="C535">
        <v>2004</v>
      </c>
      <c r="D535" s="8">
        <f>FLOOR(Table1[[#This Row],[Year]],10)</f>
        <v>2000</v>
      </c>
      <c r="E535" t="s">
        <v>24</v>
      </c>
      <c r="F535">
        <v>126</v>
      </c>
      <c r="G535" t="str">
        <f>IF(Table1[[#This Row],[Runtime_minutes]]&lt;90,"Short",IF(Table1[[#This Row],[Runtime_minutes]]&lt;=120,"Medium","Long"))</f>
        <v>Long</v>
      </c>
      <c r="H535" t="s">
        <v>230</v>
      </c>
      <c r="I535" t="s">
        <v>3980</v>
      </c>
      <c r="K535">
        <v>6.8</v>
      </c>
      <c r="M535" t="s">
        <v>124</v>
      </c>
      <c r="N535" t="s">
        <v>80</v>
      </c>
      <c r="O535" t="s">
        <v>2233</v>
      </c>
      <c r="P535">
        <v>62893</v>
      </c>
      <c r="Q535" s="3"/>
      <c r="R535" s="3">
        <f>IF(Table1[[#This Row],[Gross_millions]]=" ",0,Table1[[#This Row],[Gross_millions]])</f>
        <v>0</v>
      </c>
      <c r="S535" t="str">
        <f>IF(Table1[[#This Row],[Gross_millions_Clean]]&gt;200,"Blockbuster",IF(Table1[[#This Row],[Gross_millions_Clean]]&gt;100,"Hit","Average"))</f>
        <v>Average</v>
      </c>
    </row>
    <row r="536" spans="1:19" x14ac:dyDescent="0.3">
      <c r="A536" t="s">
        <v>2234</v>
      </c>
      <c r="B536" t="s">
        <v>2235</v>
      </c>
      <c r="C536">
        <v>2003</v>
      </c>
      <c r="D536" s="8">
        <f>FLOOR(Table1[[#This Row],[Year]],10)</f>
        <v>2000</v>
      </c>
      <c r="E536" t="s">
        <v>54</v>
      </c>
      <c r="F536">
        <v>130</v>
      </c>
      <c r="G536" t="str">
        <f>IF(Table1[[#This Row],[Runtime_minutes]]&lt;90,"Short",IF(Table1[[#This Row],[Runtime_minutes]]&lt;=120,"Medium","Long"))</f>
        <v>Long</v>
      </c>
      <c r="H536" t="s">
        <v>129</v>
      </c>
      <c r="I536" t="s">
        <v>3979</v>
      </c>
      <c r="K536">
        <v>6.8</v>
      </c>
      <c r="M536" t="s">
        <v>500</v>
      </c>
      <c r="N536" t="s">
        <v>326</v>
      </c>
      <c r="O536" t="s">
        <v>2237</v>
      </c>
      <c r="P536">
        <v>63633</v>
      </c>
      <c r="Q536" s="3"/>
      <c r="R536" s="3">
        <f>IF(Table1[[#This Row],[Gross_millions]]=" ",0,Table1[[#This Row],[Gross_millions]])</f>
        <v>0</v>
      </c>
      <c r="S536" t="str">
        <f>IF(Table1[[#This Row],[Gross_millions_Clean]]&gt;200,"Blockbuster",IF(Table1[[#This Row],[Gross_millions_Clean]]&gt;100,"Hit","Average"))</f>
        <v>Average</v>
      </c>
    </row>
    <row r="537" spans="1:19" x14ac:dyDescent="0.3">
      <c r="A537" t="s">
        <v>2238</v>
      </c>
      <c r="B537" t="s">
        <v>2239</v>
      </c>
      <c r="C537">
        <v>2023</v>
      </c>
      <c r="D537" s="8">
        <f>FLOOR(Table1[[#This Row],[Year]],10)</f>
        <v>2020</v>
      </c>
      <c r="E537" t="s">
        <v>54</v>
      </c>
      <c r="F537">
        <v>105</v>
      </c>
      <c r="G537" t="str">
        <f>IF(Table1[[#This Row],[Runtime_minutes]]&lt;90,"Short",IF(Table1[[#This Row],[Runtime_minutes]]&lt;=120,"Medium","Long"))</f>
        <v>Medium</v>
      </c>
      <c r="H537" t="s">
        <v>43</v>
      </c>
      <c r="K537">
        <v>6.8</v>
      </c>
      <c r="L537">
        <v>58</v>
      </c>
      <c r="M537" t="s">
        <v>136</v>
      </c>
      <c r="N537" t="s">
        <v>547</v>
      </c>
      <c r="O537" t="s">
        <v>2240</v>
      </c>
      <c r="P537">
        <v>883668</v>
      </c>
      <c r="Q537" s="3">
        <v>185.71</v>
      </c>
      <c r="R537" s="3">
        <f>IF(Table1[[#This Row],[Gross_millions]]=" ",0,Table1[[#This Row],[Gross_millions]])</f>
        <v>185.71</v>
      </c>
      <c r="S537" t="str">
        <f>IF(Table1[[#This Row],[Gross_millions_Clean]]&gt;200,"Blockbuster",IF(Table1[[#This Row],[Gross_millions_Clean]]&gt;100,"Hit","Average"))</f>
        <v>Hit</v>
      </c>
    </row>
    <row r="538" spans="1:19" x14ac:dyDescent="0.3">
      <c r="A538" t="s">
        <v>2241</v>
      </c>
      <c r="B538" t="s">
        <v>2242</v>
      </c>
      <c r="C538">
        <v>2005</v>
      </c>
      <c r="D538" s="8">
        <f>FLOOR(Table1[[#This Row],[Year]],10)</f>
        <v>2000</v>
      </c>
      <c r="E538" t="s">
        <v>54</v>
      </c>
      <c r="F538">
        <v>153</v>
      </c>
      <c r="G538" t="str">
        <f>IF(Table1[[#This Row],[Runtime_minutes]]&lt;90,"Short",IF(Table1[[#This Row],[Runtime_minutes]]&lt;=120,"Medium","Long"))</f>
        <v>Long</v>
      </c>
      <c r="H538" t="s">
        <v>453</v>
      </c>
      <c r="I538" t="s">
        <v>3979</v>
      </c>
      <c r="J538" t="s">
        <v>3985</v>
      </c>
      <c r="K538">
        <v>6.8</v>
      </c>
      <c r="M538" t="s">
        <v>435</v>
      </c>
      <c r="N538" t="s">
        <v>221</v>
      </c>
      <c r="O538" t="s">
        <v>2244</v>
      </c>
      <c r="P538">
        <v>84630</v>
      </c>
      <c r="Q538" s="3">
        <v>87</v>
      </c>
      <c r="R538" s="3">
        <f>IF(Table1[[#This Row],[Gross_millions]]=" ",0,Table1[[#This Row],[Gross_millions]])</f>
        <v>87</v>
      </c>
      <c r="S538" t="str">
        <f>IF(Table1[[#This Row],[Gross_millions_Clean]]&gt;200,"Blockbuster",IF(Table1[[#This Row],[Gross_millions_Clean]]&gt;100,"Hit","Average"))</f>
        <v>Average</v>
      </c>
    </row>
    <row r="539" spans="1:19" x14ac:dyDescent="0.3">
      <c r="A539" t="s">
        <v>2245</v>
      </c>
      <c r="B539" t="s">
        <v>2246</v>
      </c>
      <c r="C539">
        <v>1991</v>
      </c>
      <c r="D539" s="8">
        <f>FLOOR(Table1[[#This Row],[Year]],10)</f>
        <v>1990</v>
      </c>
      <c r="E539" t="s">
        <v>54</v>
      </c>
      <c r="F539">
        <v>104</v>
      </c>
      <c r="G539" t="str">
        <f>IF(Table1[[#This Row],[Runtime_minutes]]&lt;90,"Short",IF(Table1[[#This Row],[Runtime_minutes]]&lt;=120,"Medium","Long"))</f>
        <v>Medium</v>
      </c>
      <c r="H539" t="s">
        <v>55</v>
      </c>
      <c r="I539" t="s">
        <v>3984</v>
      </c>
      <c r="K539">
        <v>6.8</v>
      </c>
      <c r="M539" t="s">
        <v>852</v>
      </c>
      <c r="N539" t="s">
        <v>131</v>
      </c>
      <c r="O539" t="s">
        <v>2248</v>
      </c>
      <c r="P539">
        <v>126373</v>
      </c>
      <c r="Q539" s="3">
        <v>35.299999999999997</v>
      </c>
      <c r="R539" s="3">
        <f>IF(Table1[[#This Row],[Gross_millions]]=" ",0,Table1[[#This Row],[Gross_millions]])</f>
        <v>35.299999999999997</v>
      </c>
      <c r="S539" t="str">
        <f>IF(Table1[[#This Row],[Gross_millions_Clean]]&gt;200,"Blockbuster",IF(Table1[[#This Row],[Gross_millions_Clean]]&gt;100,"Hit","Average"))</f>
        <v>Average</v>
      </c>
    </row>
    <row r="540" spans="1:19" x14ac:dyDescent="0.3">
      <c r="A540" t="s">
        <v>2249</v>
      </c>
      <c r="B540" t="s">
        <v>2250</v>
      </c>
      <c r="C540">
        <v>2005</v>
      </c>
      <c r="D540" s="8">
        <f>FLOOR(Table1[[#This Row],[Year]],10)</f>
        <v>2000</v>
      </c>
      <c r="E540" t="s">
        <v>54</v>
      </c>
      <c r="F540">
        <v>120</v>
      </c>
      <c r="G540" t="str">
        <f>IF(Table1[[#This Row],[Runtime_minutes]]&lt;90,"Short",IF(Table1[[#This Row],[Runtime_minutes]]&lt;=120,"Medium","Long"))</f>
        <v>Medium</v>
      </c>
      <c r="H540" t="s">
        <v>235</v>
      </c>
      <c r="K540">
        <v>6.8</v>
      </c>
      <c r="L540">
        <v>61</v>
      </c>
      <c r="M540" t="s">
        <v>673</v>
      </c>
      <c r="N540" t="s">
        <v>86</v>
      </c>
      <c r="O540" t="s">
        <v>2251</v>
      </c>
      <c r="P540">
        <v>244611</v>
      </c>
      <c r="Q540" s="3">
        <v>331.6</v>
      </c>
      <c r="R540" s="3">
        <f>IF(Table1[[#This Row],[Gross_millions]]=" ",0,Table1[[#This Row],[Gross_millions]])</f>
        <v>331.6</v>
      </c>
      <c r="S540" t="str">
        <f>IF(Table1[[#This Row],[Gross_millions_Clean]]&gt;200,"Blockbuster",IF(Table1[[#This Row],[Gross_millions_Clean]]&gt;100,"Hit","Average"))</f>
        <v>Blockbuster</v>
      </c>
    </row>
    <row r="541" spans="1:19" x14ac:dyDescent="0.3">
      <c r="A541" t="s">
        <v>2252</v>
      </c>
      <c r="B541" t="s">
        <v>2253</v>
      </c>
      <c r="C541">
        <v>2024</v>
      </c>
      <c r="D541" s="8">
        <f>FLOOR(Table1[[#This Row],[Year]],10)</f>
        <v>2020</v>
      </c>
      <c r="E541" t="s">
        <v>54</v>
      </c>
      <c r="F541">
        <v>91</v>
      </c>
      <c r="G541" t="str">
        <f>IF(Table1[[#This Row],[Runtime_minutes]]&lt;90,"Short",IF(Table1[[#This Row],[Runtime_minutes]]&lt;=120,"Medium","Long"))</f>
        <v>Medium</v>
      </c>
      <c r="H541" t="s">
        <v>277</v>
      </c>
      <c r="I541" t="s">
        <v>3989</v>
      </c>
      <c r="J541" t="s">
        <v>3980</v>
      </c>
      <c r="K541">
        <v>6.8</v>
      </c>
      <c r="L541">
        <v>58</v>
      </c>
      <c r="M541" t="s">
        <v>2255</v>
      </c>
      <c r="N541" t="s">
        <v>119</v>
      </c>
      <c r="O541" t="s">
        <v>2256</v>
      </c>
      <c r="P541">
        <v>771551</v>
      </c>
      <c r="Q541" s="3">
        <v>464.35</v>
      </c>
      <c r="R541" s="3">
        <f>IF(Table1[[#This Row],[Gross_millions]]=" ",0,Table1[[#This Row],[Gross_millions]])</f>
        <v>464.35</v>
      </c>
      <c r="S541" t="str">
        <f>IF(Table1[[#This Row],[Gross_millions_Clean]]&gt;200,"Blockbuster",IF(Table1[[#This Row],[Gross_millions_Clean]]&gt;100,"Hit","Average"))</f>
        <v>Blockbuster</v>
      </c>
    </row>
    <row r="542" spans="1:19" x14ac:dyDescent="0.3">
      <c r="A542" t="s">
        <v>2257</v>
      </c>
      <c r="B542" t="s">
        <v>2258</v>
      </c>
      <c r="C542">
        <v>2015</v>
      </c>
      <c r="D542" s="8">
        <f>FLOOR(Table1[[#This Row],[Year]],10)</f>
        <v>2010</v>
      </c>
      <c r="E542" t="s">
        <v>24</v>
      </c>
      <c r="F542">
        <v>101</v>
      </c>
      <c r="G542" t="str">
        <f>IF(Table1[[#This Row],[Runtime_minutes]]&lt;90,"Short",IF(Table1[[#This Row],[Runtime_minutes]]&lt;=120,"Medium","Long"))</f>
        <v>Medium</v>
      </c>
      <c r="H542" t="s">
        <v>72</v>
      </c>
      <c r="I542" t="s">
        <v>3985</v>
      </c>
      <c r="K542">
        <v>6.8</v>
      </c>
      <c r="L542">
        <v>81</v>
      </c>
      <c r="M542" t="s">
        <v>1155</v>
      </c>
      <c r="N542" t="s">
        <v>33</v>
      </c>
      <c r="O542" t="s">
        <v>2260</v>
      </c>
      <c r="P542">
        <v>16770</v>
      </c>
      <c r="Q542" s="3">
        <v>63.15</v>
      </c>
      <c r="R542" s="3">
        <f>IF(Table1[[#This Row],[Gross_millions]]=" ",0,Table1[[#This Row],[Gross_millions]])</f>
        <v>63.15</v>
      </c>
      <c r="S542" t="str">
        <f>IF(Table1[[#This Row],[Gross_millions_Clean]]&gt;200,"Blockbuster",IF(Table1[[#This Row],[Gross_millions_Clean]]&gt;100,"Hit","Average"))</f>
        <v>Average</v>
      </c>
    </row>
    <row r="543" spans="1:19" x14ac:dyDescent="0.3">
      <c r="A543" t="s">
        <v>2261</v>
      </c>
      <c r="B543" t="s">
        <v>2262</v>
      </c>
      <c r="C543">
        <v>2010</v>
      </c>
      <c r="D543" s="8">
        <f>FLOOR(Table1[[#This Row],[Year]],10)</f>
        <v>2010</v>
      </c>
      <c r="E543" t="s">
        <v>17</v>
      </c>
      <c r="F543">
        <v>141</v>
      </c>
      <c r="G543" t="str">
        <f>IF(Table1[[#This Row],[Runtime_minutes]]&lt;90,"Short",IF(Table1[[#This Row],[Runtime_minutes]]&lt;=120,"Medium","Long"))</f>
        <v>Long</v>
      </c>
      <c r="H543" t="s">
        <v>453</v>
      </c>
      <c r="I543" t="s">
        <v>3978</v>
      </c>
      <c r="K543">
        <v>6.8</v>
      </c>
      <c r="L543">
        <v>71</v>
      </c>
      <c r="M543" t="s">
        <v>2263</v>
      </c>
      <c r="N543" t="s">
        <v>196</v>
      </c>
      <c r="O543" t="s">
        <v>2264</v>
      </c>
      <c r="P543">
        <v>166416</v>
      </c>
      <c r="Q543" s="3">
        <v>15.28</v>
      </c>
      <c r="R543" s="3">
        <f>IF(Table1[[#This Row],[Gross_millions]]=" ",0,Table1[[#This Row],[Gross_millions]])</f>
        <v>15.28</v>
      </c>
      <c r="S543" t="str">
        <f>IF(Table1[[#This Row],[Gross_millions_Clean]]&gt;200,"Blockbuster",IF(Table1[[#This Row],[Gross_millions_Clean]]&gt;100,"Hit","Average"))</f>
        <v>Average</v>
      </c>
    </row>
    <row r="544" spans="1:19" x14ac:dyDescent="0.3">
      <c r="A544" t="s">
        <v>2265</v>
      </c>
      <c r="B544" t="s">
        <v>2266</v>
      </c>
      <c r="C544">
        <v>2015</v>
      </c>
      <c r="D544" s="8">
        <f>FLOOR(Table1[[#This Row],[Year]],10)</f>
        <v>2010</v>
      </c>
      <c r="E544" t="s">
        <v>17</v>
      </c>
      <c r="F544">
        <v>141</v>
      </c>
      <c r="G544" t="str">
        <f>IF(Table1[[#This Row],[Runtime_minutes]]&lt;90,"Short",IF(Table1[[#This Row],[Runtime_minutes]]&lt;=120,"Medium","Long"))</f>
        <v>Long</v>
      </c>
      <c r="H544" t="s">
        <v>453</v>
      </c>
      <c r="I544" t="s">
        <v>3984</v>
      </c>
      <c r="K544">
        <v>6.8</v>
      </c>
      <c r="M544" t="s">
        <v>2267</v>
      </c>
      <c r="N544" t="s">
        <v>119</v>
      </c>
      <c r="O544" t="s">
        <v>2268</v>
      </c>
      <c r="P544">
        <v>15949</v>
      </c>
      <c r="Q544" s="3"/>
      <c r="R544" s="3">
        <f>IF(Table1[[#This Row],[Gross_millions]]=" ",0,Table1[[#This Row],[Gross_millions]])</f>
        <v>0</v>
      </c>
      <c r="S544" t="str">
        <f>IF(Table1[[#This Row],[Gross_millions_Clean]]&gt;200,"Blockbuster",IF(Table1[[#This Row],[Gross_millions_Clean]]&gt;100,"Hit","Average"))</f>
        <v>Average</v>
      </c>
    </row>
    <row r="545" spans="1:19" x14ac:dyDescent="0.3">
      <c r="A545" t="s">
        <v>2269</v>
      </c>
      <c r="B545" t="s">
        <v>2270</v>
      </c>
      <c r="C545">
        <v>2016</v>
      </c>
      <c r="D545" s="8">
        <f>FLOOR(Table1[[#This Row],[Year]],10)</f>
        <v>2010</v>
      </c>
      <c r="E545" t="s">
        <v>17</v>
      </c>
      <c r="F545">
        <v>107</v>
      </c>
      <c r="G545" t="str">
        <f>IF(Table1[[#This Row],[Runtime_minutes]]&lt;90,"Short",IF(Table1[[#This Row],[Runtime_minutes]]&lt;=120,"Medium","Long"))</f>
        <v>Medium</v>
      </c>
      <c r="H545" t="s">
        <v>767</v>
      </c>
      <c r="I545" t="s">
        <v>3989</v>
      </c>
      <c r="K545">
        <v>6.8</v>
      </c>
      <c r="L545">
        <v>81</v>
      </c>
      <c r="M545" t="s">
        <v>2271</v>
      </c>
      <c r="N545" t="s">
        <v>153</v>
      </c>
      <c r="O545" t="s">
        <v>2272</v>
      </c>
      <c r="P545">
        <v>31446</v>
      </c>
      <c r="Q545" s="3">
        <v>372.81</v>
      </c>
      <c r="R545" s="3">
        <f>IF(Table1[[#This Row],[Gross_millions]]=" ",0,Table1[[#This Row],[Gross_millions]])</f>
        <v>372.81</v>
      </c>
      <c r="S545" t="str">
        <f>IF(Table1[[#This Row],[Gross_millions_Clean]]&gt;200,"Blockbuster",IF(Table1[[#This Row],[Gross_millions_Clean]]&gt;100,"Hit","Average"))</f>
        <v>Blockbuster</v>
      </c>
    </row>
    <row r="546" spans="1:19" x14ac:dyDescent="0.3">
      <c r="A546" t="s">
        <v>2273</v>
      </c>
      <c r="B546" t="s">
        <v>2274</v>
      </c>
      <c r="C546">
        <v>2015</v>
      </c>
      <c r="D546" s="8">
        <f>FLOOR(Table1[[#This Row],[Year]],10)</f>
        <v>2010</v>
      </c>
      <c r="E546" t="s">
        <v>24</v>
      </c>
      <c r="F546">
        <v>124</v>
      </c>
      <c r="G546" t="str">
        <f>IF(Table1[[#This Row],[Runtime_minutes]]&lt;90,"Short",IF(Table1[[#This Row],[Runtime_minutes]]&lt;=120,"Medium","Long"))</f>
        <v>Long</v>
      </c>
      <c r="H546" t="s">
        <v>1044</v>
      </c>
      <c r="I546" t="s">
        <v>3991</v>
      </c>
      <c r="J546" t="s">
        <v>3979</v>
      </c>
      <c r="K546">
        <v>6.8</v>
      </c>
      <c r="L546">
        <v>67</v>
      </c>
      <c r="M546" t="s">
        <v>2276</v>
      </c>
      <c r="N546" t="s">
        <v>251</v>
      </c>
      <c r="O546" t="s">
        <v>2277</v>
      </c>
      <c r="P546">
        <v>91888</v>
      </c>
      <c r="Q546" s="3">
        <v>430.74</v>
      </c>
      <c r="R546" s="3">
        <f>IF(Table1[[#This Row],[Gross_millions]]=" ",0,Table1[[#This Row],[Gross_millions]])</f>
        <v>430.74</v>
      </c>
      <c r="S546" t="str">
        <f>IF(Table1[[#This Row],[Gross_millions_Clean]]&gt;200,"Blockbuster",IF(Table1[[#This Row],[Gross_millions_Clean]]&gt;100,"Hit","Average"))</f>
        <v>Blockbuster</v>
      </c>
    </row>
    <row r="547" spans="1:19" x14ac:dyDescent="0.3">
      <c r="A547" t="s">
        <v>2278</v>
      </c>
      <c r="B547" t="s">
        <v>2279</v>
      </c>
      <c r="C547">
        <v>2017</v>
      </c>
      <c r="D547" s="8">
        <f>FLOOR(Table1[[#This Row],[Year]],10)</f>
        <v>2010</v>
      </c>
      <c r="E547" t="s">
        <v>17</v>
      </c>
      <c r="F547">
        <v>110</v>
      </c>
      <c r="G547" t="str">
        <f>IF(Table1[[#This Row],[Runtime_minutes]]&lt;90,"Short",IF(Table1[[#This Row],[Runtime_minutes]]&lt;=120,"Medium","Long"))</f>
        <v>Medium</v>
      </c>
      <c r="H547" t="s">
        <v>43</v>
      </c>
      <c r="K547">
        <v>6.8</v>
      </c>
      <c r="M547" t="s">
        <v>2280</v>
      </c>
      <c r="N547" t="s">
        <v>137</v>
      </c>
      <c r="O547" t="s">
        <v>2281</v>
      </c>
      <c r="P547">
        <v>147533</v>
      </c>
      <c r="Q547" s="3">
        <v>465.64</v>
      </c>
      <c r="R547" s="3">
        <f>IF(Table1[[#This Row],[Gross_millions]]=" ",0,Table1[[#This Row],[Gross_millions]])</f>
        <v>465.64</v>
      </c>
      <c r="S547" t="str">
        <f>IF(Table1[[#This Row],[Gross_millions_Clean]]&gt;200,"Blockbuster",IF(Table1[[#This Row],[Gross_millions_Clean]]&gt;100,"Hit","Average"))</f>
        <v>Blockbuster</v>
      </c>
    </row>
    <row r="548" spans="1:19" x14ac:dyDescent="0.3">
      <c r="A548" t="s">
        <v>2282</v>
      </c>
      <c r="B548" t="s">
        <v>2283</v>
      </c>
      <c r="C548">
        <v>2007</v>
      </c>
      <c r="D548" s="8">
        <f>FLOOR(Table1[[#This Row],[Year]],10)</f>
        <v>2000</v>
      </c>
      <c r="E548" t="s">
        <v>54</v>
      </c>
      <c r="F548">
        <v>105</v>
      </c>
      <c r="G548" t="str">
        <f>IF(Table1[[#This Row],[Runtime_minutes]]&lt;90,"Short",IF(Table1[[#This Row],[Runtime_minutes]]&lt;=120,"Medium","Long"))</f>
        <v>Medium</v>
      </c>
      <c r="H548" t="s">
        <v>157</v>
      </c>
      <c r="I548" t="s">
        <v>3993</v>
      </c>
      <c r="J548" t="s">
        <v>3978</v>
      </c>
      <c r="K548">
        <v>6.8</v>
      </c>
      <c r="M548" t="s">
        <v>748</v>
      </c>
      <c r="N548" t="s">
        <v>63</v>
      </c>
      <c r="O548" t="s">
        <v>2285</v>
      </c>
      <c r="P548">
        <v>852732</v>
      </c>
      <c r="Q548" s="3">
        <v>278.5</v>
      </c>
      <c r="R548" s="3">
        <f>IF(Table1[[#This Row],[Gross_millions]]=" ",0,Table1[[#This Row],[Gross_millions]])</f>
        <v>278.5</v>
      </c>
      <c r="S548" t="str">
        <f>IF(Table1[[#This Row],[Gross_millions_Clean]]&gt;200,"Blockbuster",IF(Table1[[#This Row],[Gross_millions_Clean]]&gt;100,"Hit","Average"))</f>
        <v>Blockbuster</v>
      </c>
    </row>
    <row r="549" spans="1:19" x14ac:dyDescent="0.3">
      <c r="A549" t="s">
        <v>2286</v>
      </c>
      <c r="B549" t="s">
        <v>2287</v>
      </c>
      <c r="C549">
        <v>2024</v>
      </c>
      <c r="D549" s="8">
        <f>FLOOR(Table1[[#This Row],[Year]],10)</f>
        <v>2020</v>
      </c>
      <c r="E549" t="s">
        <v>24</v>
      </c>
      <c r="F549">
        <v>109</v>
      </c>
      <c r="G549" t="str">
        <f>IF(Table1[[#This Row],[Runtime_minutes]]&lt;90,"Short",IF(Table1[[#This Row],[Runtime_minutes]]&lt;=120,"Medium","Long"))</f>
        <v>Medium</v>
      </c>
      <c r="H549" t="s">
        <v>453</v>
      </c>
      <c r="I549" t="s">
        <v>3977</v>
      </c>
      <c r="K549">
        <v>6.8</v>
      </c>
      <c r="M549" t="s">
        <v>435</v>
      </c>
      <c r="N549" t="s">
        <v>483</v>
      </c>
      <c r="O549" t="s">
        <v>2288</v>
      </c>
      <c r="P549">
        <v>4214</v>
      </c>
      <c r="Q549" s="3">
        <v>243.9</v>
      </c>
      <c r="R549" s="3">
        <f>IF(Table1[[#This Row],[Gross_millions]]=" ",0,Table1[[#This Row],[Gross_millions]])</f>
        <v>243.9</v>
      </c>
      <c r="S549" t="str">
        <f>IF(Table1[[#This Row],[Gross_millions_Clean]]&gt;200,"Blockbuster",IF(Table1[[#This Row],[Gross_millions_Clean]]&gt;100,"Hit","Average"))</f>
        <v>Blockbuster</v>
      </c>
    </row>
    <row r="550" spans="1:19" x14ac:dyDescent="0.3">
      <c r="A550" t="s">
        <v>2289</v>
      </c>
      <c r="B550" t="s">
        <v>2290</v>
      </c>
      <c r="C550">
        <v>2012</v>
      </c>
      <c r="D550" s="8">
        <f>FLOOR(Table1[[#This Row],[Year]],10)</f>
        <v>2010</v>
      </c>
      <c r="E550" t="s">
        <v>54</v>
      </c>
      <c r="F550">
        <v>135</v>
      </c>
      <c r="G550" t="str">
        <f>IF(Table1[[#This Row],[Runtime_minutes]]&lt;90,"Short",IF(Table1[[#This Row],[Runtime_minutes]]&lt;=120,"Medium","Long"))</f>
        <v>Long</v>
      </c>
      <c r="H550" t="s">
        <v>55</v>
      </c>
      <c r="I550" t="s">
        <v>3989</v>
      </c>
      <c r="J550" t="s">
        <v>3988</v>
      </c>
      <c r="K550">
        <v>6.8</v>
      </c>
      <c r="L550">
        <v>69</v>
      </c>
      <c r="M550" t="s">
        <v>2292</v>
      </c>
      <c r="N550" t="s">
        <v>326</v>
      </c>
      <c r="O550" t="s">
        <v>2293</v>
      </c>
      <c r="P550">
        <v>40362</v>
      </c>
      <c r="Q550" s="3">
        <v>121.68</v>
      </c>
      <c r="R550" s="3">
        <f>IF(Table1[[#This Row],[Gross_millions]]=" ",0,Table1[[#This Row],[Gross_millions]])</f>
        <v>121.68</v>
      </c>
      <c r="S550" t="str">
        <f>IF(Table1[[#This Row],[Gross_millions_Clean]]&gt;200,"Blockbuster",IF(Table1[[#This Row],[Gross_millions_Clean]]&gt;100,"Hit","Average"))</f>
        <v>Hit</v>
      </c>
    </row>
    <row r="551" spans="1:19" x14ac:dyDescent="0.3">
      <c r="A551" t="s">
        <v>2294</v>
      </c>
      <c r="B551" t="s">
        <v>2295</v>
      </c>
      <c r="C551">
        <v>2021</v>
      </c>
      <c r="D551" s="8">
        <f>FLOOR(Table1[[#This Row],[Year]],10)</f>
        <v>2020</v>
      </c>
      <c r="E551" t="s">
        <v>17</v>
      </c>
      <c r="F551">
        <v>120</v>
      </c>
      <c r="G551" t="str">
        <f>IF(Table1[[#This Row],[Runtime_minutes]]&lt;90,"Short",IF(Table1[[#This Row],[Runtime_minutes]]&lt;=120,"Medium","Long"))</f>
        <v>Medium</v>
      </c>
      <c r="H551" t="s">
        <v>78</v>
      </c>
      <c r="I551" t="s">
        <v>3977</v>
      </c>
      <c r="J551" t="s">
        <v>3987</v>
      </c>
      <c r="K551">
        <v>6.8</v>
      </c>
      <c r="M551" t="s">
        <v>412</v>
      </c>
      <c r="N551" t="s">
        <v>50</v>
      </c>
      <c r="O551" t="s">
        <v>2297</v>
      </c>
      <c r="P551">
        <v>22237</v>
      </c>
      <c r="Q551" s="3"/>
      <c r="R551" s="3">
        <f>IF(Table1[[#This Row],[Gross_millions]]=" ",0,Table1[[#This Row],[Gross_millions]])</f>
        <v>0</v>
      </c>
      <c r="S551" t="str">
        <f>IF(Table1[[#This Row],[Gross_millions_Clean]]&gt;200,"Blockbuster",IF(Table1[[#This Row],[Gross_millions_Clean]]&gt;100,"Hit","Average"))</f>
        <v>Average</v>
      </c>
    </row>
    <row r="552" spans="1:19" x14ac:dyDescent="0.3">
      <c r="A552" t="s">
        <v>2298</v>
      </c>
      <c r="B552" t="s">
        <v>2299</v>
      </c>
      <c r="C552">
        <v>2008</v>
      </c>
      <c r="D552" s="8">
        <f>FLOOR(Table1[[#This Row],[Year]],10)</f>
        <v>2000</v>
      </c>
      <c r="E552" t="s">
        <v>24</v>
      </c>
      <c r="F552">
        <v>113</v>
      </c>
      <c r="G552" t="str">
        <f>IF(Table1[[#This Row],[Runtime_minutes]]&lt;90,"Short",IF(Table1[[#This Row],[Runtime_minutes]]&lt;=120,"Medium","Long"))</f>
        <v>Medium</v>
      </c>
      <c r="H552" t="s">
        <v>235</v>
      </c>
      <c r="K552">
        <v>6.8</v>
      </c>
      <c r="L552">
        <v>53</v>
      </c>
      <c r="M552" t="s">
        <v>2300</v>
      </c>
      <c r="N552" t="s">
        <v>131</v>
      </c>
      <c r="O552" t="s">
        <v>2301</v>
      </c>
      <c r="P552">
        <v>9176</v>
      </c>
      <c r="Q552" s="3">
        <v>23.95</v>
      </c>
      <c r="R552" s="3">
        <f>IF(Table1[[#This Row],[Gross_millions]]=" ",0,Table1[[#This Row],[Gross_millions]])</f>
        <v>23.95</v>
      </c>
      <c r="S552" t="str">
        <f>IF(Table1[[#This Row],[Gross_millions_Clean]]&gt;200,"Blockbuster",IF(Table1[[#This Row],[Gross_millions_Clean]]&gt;100,"Hit","Average"))</f>
        <v>Average</v>
      </c>
    </row>
    <row r="553" spans="1:19" x14ac:dyDescent="0.3">
      <c r="A553" t="s">
        <v>2302</v>
      </c>
      <c r="B553" t="s">
        <v>2303</v>
      </c>
      <c r="C553">
        <v>1986</v>
      </c>
      <c r="D553" s="8">
        <f>FLOOR(Table1[[#This Row],[Year]],10)</f>
        <v>1980</v>
      </c>
      <c r="E553" t="s">
        <v>24</v>
      </c>
      <c r="F553">
        <v>85</v>
      </c>
      <c r="G553" t="str">
        <f>IF(Table1[[#This Row],[Runtime_minutes]]&lt;90,"Short",IF(Table1[[#This Row],[Runtime_minutes]]&lt;=120,"Medium","Long"))</f>
        <v>Short</v>
      </c>
      <c r="H553" t="s">
        <v>78</v>
      </c>
      <c r="I553" t="s">
        <v>3982</v>
      </c>
      <c r="K553">
        <v>6.8</v>
      </c>
      <c r="L553">
        <v>71</v>
      </c>
      <c r="M553" t="s">
        <v>305</v>
      </c>
      <c r="N553" t="s">
        <v>524</v>
      </c>
      <c r="O553" t="s">
        <v>2304</v>
      </c>
      <c r="P553">
        <v>63912</v>
      </c>
      <c r="Q553" s="3">
        <v>57.34</v>
      </c>
      <c r="R553" s="3">
        <f>IF(Table1[[#This Row],[Gross_millions]]=" ",0,Table1[[#This Row],[Gross_millions]])</f>
        <v>57.34</v>
      </c>
      <c r="S553" t="str">
        <f>IF(Table1[[#This Row],[Gross_millions_Clean]]&gt;200,"Blockbuster",IF(Table1[[#This Row],[Gross_millions_Clean]]&gt;100,"Hit","Average"))</f>
        <v>Average</v>
      </c>
    </row>
    <row r="554" spans="1:19" x14ac:dyDescent="0.3">
      <c r="A554" t="s">
        <v>2305</v>
      </c>
      <c r="B554" t="s">
        <v>2306</v>
      </c>
      <c r="C554">
        <v>2021</v>
      </c>
      <c r="D554" s="8">
        <f>FLOOR(Table1[[#This Row],[Year]],10)</f>
        <v>2020</v>
      </c>
      <c r="E554" t="s">
        <v>54</v>
      </c>
      <c r="F554">
        <v>70</v>
      </c>
      <c r="G554" t="str">
        <f>IF(Table1[[#This Row],[Runtime_minutes]]&lt;90,"Short",IF(Table1[[#This Row],[Runtime_minutes]]&lt;=120,"Medium","Long"))</f>
        <v>Short</v>
      </c>
      <c r="H554" t="s">
        <v>606</v>
      </c>
      <c r="I554" t="s">
        <v>3991</v>
      </c>
      <c r="J554" t="s">
        <v>3988</v>
      </c>
      <c r="K554">
        <v>6.8</v>
      </c>
      <c r="L554">
        <v>68</v>
      </c>
      <c r="M554" t="s">
        <v>250</v>
      </c>
      <c r="N554" t="s">
        <v>547</v>
      </c>
      <c r="O554" t="s">
        <v>2308</v>
      </c>
      <c r="P554">
        <v>97902</v>
      </c>
      <c r="Q554" s="3">
        <v>206.65</v>
      </c>
      <c r="R554" s="3">
        <f>IF(Table1[[#This Row],[Gross_millions]]=" ",0,Table1[[#This Row],[Gross_millions]])</f>
        <v>206.65</v>
      </c>
      <c r="S554" t="str">
        <f>IF(Table1[[#This Row],[Gross_millions_Clean]]&gt;200,"Blockbuster",IF(Table1[[#This Row],[Gross_millions_Clean]]&gt;100,"Hit","Average"))</f>
        <v>Blockbuster</v>
      </c>
    </row>
    <row r="555" spans="1:19" x14ac:dyDescent="0.3">
      <c r="A555" t="s">
        <v>2309</v>
      </c>
      <c r="B555" t="s">
        <v>2310</v>
      </c>
      <c r="C555">
        <v>1996</v>
      </c>
      <c r="D555" s="8">
        <f>FLOOR(Table1[[#This Row],[Year]],10)</f>
        <v>1990</v>
      </c>
      <c r="E555" t="s">
        <v>293</v>
      </c>
      <c r="F555">
        <v>102</v>
      </c>
      <c r="G555" t="str">
        <f>IF(Table1[[#This Row],[Runtime_minutes]]&lt;90,"Short",IF(Table1[[#This Row],[Runtime_minutes]]&lt;=120,"Medium","Long"))</f>
        <v>Medium</v>
      </c>
      <c r="H555" t="s">
        <v>78</v>
      </c>
      <c r="I555" t="s">
        <v>3976</v>
      </c>
      <c r="K555">
        <v>6.8</v>
      </c>
      <c r="M555" t="s">
        <v>2311</v>
      </c>
      <c r="N555" t="s">
        <v>131</v>
      </c>
      <c r="O555" t="s">
        <v>2312</v>
      </c>
      <c r="P555">
        <v>17215</v>
      </c>
      <c r="Q555" s="3">
        <v>248.82</v>
      </c>
      <c r="R555" s="3">
        <f>IF(Table1[[#This Row],[Gross_millions]]=" ",0,Table1[[#This Row],[Gross_millions]])</f>
        <v>248.82</v>
      </c>
      <c r="S555" t="str">
        <f>IF(Table1[[#This Row],[Gross_millions_Clean]]&gt;200,"Blockbuster",IF(Table1[[#This Row],[Gross_millions_Clean]]&gt;100,"Hit","Average"))</f>
        <v>Blockbuster</v>
      </c>
    </row>
    <row r="556" spans="1:19" x14ac:dyDescent="0.3">
      <c r="A556" t="s">
        <v>2313</v>
      </c>
      <c r="B556" t="s">
        <v>2314</v>
      </c>
      <c r="C556">
        <v>2004</v>
      </c>
      <c r="D556" s="8">
        <f>FLOOR(Table1[[#This Row],[Year]],10)</f>
        <v>2000</v>
      </c>
      <c r="E556" t="s">
        <v>54</v>
      </c>
      <c r="F556">
        <v>134</v>
      </c>
      <c r="G556" t="str">
        <f>IF(Table1[[#This Row],[Runtime_minutes]]&lt;90,"Short",IF(Table1[[#This Row],[Runtime_minutes]]&lt;=120,"Medium","Long"))</f>
        <v>Long</v>
      </c>
      <c r="H556" t="s">
        <v>230</v>
      </c>
      <c r="I556" t="s">
        <v>3993</v>
      </c>
      <c r="K556">
        <v>6.8</v>
      </c>
      <c r="M556" t="s">
        <v>2316</v>
      </c>
      <c r="N556" t="s">
        <v>63</v>
      </c>
      <c r="O556" t="s">
        <v>2317</v>
      </c>
      <c r="P556">
        <v>179684</v>
      </c>
      <c r="Q556" s="3"/>
      <c r="R556" s="3">
        <f>IF(Table1[[#This Row],[Gross_millions]]=" ",0,Table1[[#This Row],[Gross_millions]])</f>
        <v>0</v>
      </c>
      <c r="S556" t="str">
        <f>IF(Table1[[#This Row],[Gross_millions_Clean]]&gt;200,"Blockbuster",IF(Table1[[#This Row],[Gross_millions_Clean]]&gt;100,"Hit","Average"))</f>
        <v>Average</v>
      </c>
    </row>
    <row r="557" spans="1:19" x14ac:dyDescent="0.3">
      <c r="A557" t="s">
        <v>2318</v>
      </c>
      <c r="B557" t="s">
        <v>2319</v>
      </c>
      <c r="C557">
        <v>2014</v>
      </c>
      <c r="D557" s="8">
        <f>FLOOR(Table1[[#This Row],[Year]],10)</f>
        <v>2010</v>
      </c>
      <c r="E557" t="s">
        <v>169</v>
      </c>
      <c r="F557">
        <v>123</v>
      </c>
      <c r="G557" t="str">
        <f>IF(Table1[[#This Row],[Runtime_minutes]]&lt;90,"Short",IF(Table1[[#This Row],[Runtime_minutes]]&lt;=120,"Medium","Long"))</f>
        <v>Long</v>
      </c>
      <c r="H557" t="s">
        <v>606</v>
      </c>
      <c r="I557" t="s">
        <v>3976</v>
      </c>
      <c r="K557">
        <v>6.8</v>
      </c>
      <c r="L557">
        <v>67</v>
      </c>
      <c r="M557" t="s">
        <v>2228</v>
      </c>
      <c r="N557" t="s">
        <v>251</v>
      </c>
      <c r="O557" t="s">
        <v>2320</v>
      </c>
      <c r="P557">
        <v>142762</v>
      </c>
      <c r="Q557" s="3">
        <v>308.60000000000002</v>
      </c>
      <c r="R557" s="3">
        <f>IF(Table1[[#This Row],[Gross_millions]]=" ",0,Table1[[#This Row],[Gross_millions]])</f>
        <v>308.60000000000002</v>
      </c>
      <c r="S557" t="str">
        <f>IF(Table1[[#This Row],[Gross_millions_Clean]]&gt;200,"Blockbuster",IF(Table1[[#This Row],[Gross_millions_Clean]]&gt;100,"Hit","Average"))</f>
        <v>Blockbuster</v>
      </c>
    </row>
    <row r="558" spans="1:19" x14ac:dyDescent="0.3">
      <c r="A558" t="s">
        <v>2321</v>
      </c>
      <c r="B558" t="s">
        <v>2322</v>
      </c>
      <c r="C558">
        <v>2024</v>
      </c>
      <c r="D558" s="8">
        <f>FLOOR(Table1[[#This Row],[Year]],10)</f>
        <v>2020</v>
      </c>
      <c r="E558" t="s">
        <v>54</v>
      </c>
      <c r="F558">
        <v>95</v>
      </c>
      <c r="G558" t="str">
        <f>IF(Table1[[#This Row],[Runtime_minutes]]&lt;90,"Short",IF(Table1[[#This Row],[Runtime_minutes]]&lt;=120,"Medium","Long"))</f>
        <v>Medium</v>
      </c>
      <c r="H558" t="s">
        <v>375</v>
      </c>
      <c r="I558" t="s">
        <v>3993</v>
      </c>
      <c r="K558">
        <v>6.8</v>
      </c>
      <c r="L558">
        <v>70</v>
      </c>
      <c r="M558" t="s">
        <v>2324</v>
      </c>
      <c r="N558" t="s">
        <v>159</v>
      </c>
      <c r="O558" t="s">
        <v>2325</v>
      </c>
      <c r="P558">
        <v>20653</v>
      </c>
      <c r="Q558" s="3"/>
      <c r="R558" s="3">
        <f>IF(Table1[[#This Row],[Gross_millions]]=" ",0,Table1[[#This Row],[Gross_millions]])</f>
        <v>0</v>
      </c>
      <c r="S558" t="str">
        <f>IF(Table1[[#This Row],[Gross_millions_Clean]]&gt;200,"Blockbuster",IF(Table1[[#This Row],[Gross_millions_Clean]]&gt;100,"Hit","Average"))</f>
        <v>Average</v>
      </c>
    </row>
    <row r="559" spans="1:19" x14ac:dyDescent="0.3">
      <c r="A559" t="s">
        <v>2326</v>
      </c>
      <c r="B559" t="s">
        <v>2327</v>
      </c>
      <c r="C559">
        <v>2023</v>
      </c>
      <c r="D559" s="8">
        <f>FLOOR(Table1[[#This Row],[Year]],10)</f>
        <v>2020</v>
      </c>
      <c r="E559" t="s">
        <v>285</v>
      </c>
      <c r="F559">
        <v>116</v>
      </c>
      <c r="G559" t="str">
        <f>IF(Table1[[#This Row],[Runtime_minutes]]&lt;90,"Short",IF(Table1[[#This Row],[Runtime_minutes]]&lt;=120,"Medium","Long"))</f>
        <v>Medium</v>
      </c>
      <c r="H559" t="s">
        <v>72</v>
      </c>
      <c r="I559" t="s">
        <v>3977</v>
      </c>
      <c r="K559">
        <v>6.8</v>
      </c>
      <c r="M559" t="s">
        <v>73</v>
      </c>
      <c r="N559" t="s">
        <v>608</v>
      </c>
      <c r="O559" t="s">
        <v>2328</v>
      </c>
      <c r="P559">
        <v>14766</v>
      </c>
      <c r="Q559" s="3"/>
      <c r="R559" s="3">
        <f>IF(Table1[[#This Row],[Gross_millions]]=" ",0,Table1[[#This Row],[Gross_millions]])</f>
        <v>0</v>
      </c>
      <c r="S559" t="str">
        <f>IF(Table1[[#This Row],[Gross_millions_Clean]]&gt;200,"Blockbuster",IF(Table1[[#This Row],[Gross_millions_Clean]]&gt;100,"Hit","Average"))</f>
        <v>Average</v>
      </c>
    </row>
    <row r="560" spans="1:19" x14ac:dyDescent="0.3">
      <c r="A560" t="s">
        <v>2329</v>
      </c>
      <c r="B560" t="s">
        <v>2330</v>
      </c>
      <c r="C560">
        <v>1997</v>
      </c>
      <c r="D560" s="8">
        <f>FLOOR(Table1[[#This Row],[Year]],10)</f>
        <v>1990</v>
      </c>
      <c r="E560" t="s">
        <v>17</v>
      </c>
      <c r="F560">
        <v>120</v>
      </c>
      <c r="G560" t="str">
        <f>IF(Table1[[#This Row],[Runtime_minutes]]&lt;90,"Short",IF(Table1[[#This Row],[Runtime_minutes]]&lt;=120,"Medium","Long"))</f>
        <v>Medium</v>
      </c>
      <c r="H560" t="s">
        <v>235</v>
      </c>
      <c r="I560" t="s">
        <v>3984</v>
      </c>
      <c r="K560">
        <v>6.8</v>
      </c>
      <c r="L560">
        <v>61</v>
      </c>
      <c r="M560" t="s">
        <v>2332</v>
      </c>
      <c r="N560" t="s">
        <v>483</v>
      </c>
      <c r="O560" t="s">
        <v>2333</v>
      </c>
      <c r="P560">
        <v>30482</v>
      </c>
      <c r="Q560" s="3"/>
      <c r="R560" s="3">
        <f>IF(Table1[[#This Row],[Gross_millions]]=" ",0,Table1[[#This Row],[Gross_millions]])</f>
        <v>0</v>
      </c>
      <c r="S560" t="str">
        <f>IF(Table1[[#This Row],[Gross_millions_Clean]]&gt;200,"Blockbuster",IF(Table1[[#This Row],[Gross_millions_Clean]]&gt;100,"Hit","Average"))</f>
        <v>Average</v>
      </c>
    </row>
    <row r="561" spans="1:19" x14ac:dyDescent="0.3">
      <c r="A561" t="s">
        <v>2334</v>
      </c>
      <c r="B561" t="s">
        <v>2335</v>
      </c>
      <c r="C561">
        <v>1988</v>
      </c>
      <c r="D561" s="8">
        <f>FLOOR(Table1[[#This Row],[Year]],10)</f>
        <v>1980</v>
      </c>
      <c r="E561" t="s">
        <v>54</v>
      </c>
      <c r="F561">
        <v>106</v>
      </c>
      <c r="G561" t="str">
        <f>IF(Table1[[#This Row],[Runtime_minutes]]&lt;90,"Short",IF(Table1[[#This Row],[Runtime_minutes]]&lt;=120,"Medium","Long"))</f>
        <v>Medium</v>
      </c>
      <c r="H561" t="s">
        <v>157</v>
      </c>
      <c r="I561" t="s">
        <v>3988</v>
      </c>
      <c r="K561">
        <v>6.8</v>
      </c>
      <c r="M561" t="s">
        <v>158</v>
      </c>
      <c r="N561" t="s">
        <v>191</v>
      </c>
      <c r="O561" t="s">
        <v>2337</v>
      </c>
      <c r="P561">
        <v>9882</v>
      </c>
      <c r="Q561" s="3">
        <v>289.10000000000002</v>
      </c>
      <c r="R561" s="3">
        <f>IF(Table1[[#This Row],[Gross_millions]]=" ",0,Table1[[#This Row],[Gross_millions]])</f>
        <v>289.10000000000002</v>
      </c>
      <c r="S561" t="str">
        <f>IF(Table1[[#This Row],[Gross_millions_Clean]]&gt;200,"Blockbuster",IF(Table1[[#This Row],[Gross_millions_Clean]]&gt;100,"Hit","Average"))</f>
        <v>Blockbuster</v>
      </c>
    </row>
    <row r="562" spans="1:19" x14ac:dyDescent="0.3">
      <c r="A562" t="s">
        <v>2338</v>
      </c>
      <c r="B562" t="s">
        <v>2339</v>
      </c>
      <c r="C562">
        <v>2012</v>
      </c>
      <c r="D562" s="8">
        <f>FLOOR(Table1[[#This Row],[Year]],10)</f>
        <v>2010</v>
      </c>
      <c r="E562" t="s">
        <v>24</v>
      </c>
      <c r="F562">
        <v>119</v>
      </c>
      <c r="G562" t="str">
        <f>IF(Table1[[#This Row],[Runtime_minutes]]&lt;90,"Short",IF(Table1[[#This Row],[Runtime_minutes]]&lt;=120,"Medium","Long"))</f>
        <v>Medium</v>
      </c>
      <c r="H562" t="s">
        <v>230</v>
      </c>
      <c r="K562">
        <v>6.8</v>
      </c>
      <c r="M562" t="s">
        <v>2340</v>
      </c>
      <c r="N562" t="s">
        <v>68</v>
      </c>
      <c r="O562" t="s">
        <v>2341</v>
      </c>
      <c r="P562">
        <v>3362</v>
      </c>
      <c r="Q562" s="3">
        <v>149.84</v>
      </c>
      <c r="R562" s="3">
        <f>IF(Table1[[#This Row],[Gross_millions]]=" ",0,Table1[[#This Row],[Gross_millions]])</f>
        <v>149.84</v>
      </c>
      <c r="S562" t="str">
        <f>IF(Table1[[#This Row],[Gross_millions_Clean]]&gt;200,"Blockbuster",IF(Table1[[#This Row],[Gross_millions_Clean]]&gt;100,"Hit","Average"))</f>
        <v>Hit</v>
      </c>
    </row>
    <row r="563" spans="1:19" x14ac:dyDescent="0.3">
      <c r="A563" t="s">
        <v>2342</v>
      </c>
      <c r="B563" t="s">
        <v>2343</v>
      </c>
      <c r="C563">
        <v>2013</v>
      </c>
      <c r="D563" s="8">
        <f>FLOOR(Table1[[#This Row],[Year]],10)</f>
        <v>2010</v>
      </c>
      <c r="E563" t="s">
        <v>54</v>
      </c>
      <c r="F563">
        <v>95</v>
      </c>
      <c r="G563" t="str">
        <f>IF(Table1[[#This Row],[Runtime_minutes]]&lt;90,"Short",IF(Table1[[#This Row],[Runtime_minutes]]&lt;=120,"Medium","Long"))</f>
        <v>Medium</v>
      </c>
      <c r="H563" t="s">
        <v>375</v>
      </c>
      <c r="I563" t="s">
        <v>3989</v>
      </c>
      <c r="K563">
        <v>6.8</v>
      </c>
      <c r="L563">
        <v>69</v>
      </c>
      <c r="M563" t="s">
        <v>2344</v>
      </c>
      <c r="N563" t="s">
        <v>153</v>
      </c>
      <c r="O563" t="s">
        <v>2345</v>
      </c>
      <c r="P563">
        <v>18864</v>
      </c>
      <c r="Q563" s="3">
        <v>329.34</v>
      </c>
      <c r="R563" s="3">
        <f>IF(Table1[[#This Row],[Gross_millions]]=" ",0,Table1[[#This Row],[Gross_millions]])</f>
        <v>329.34</v>
      </c>
      <c r="S563" t="str">
        <f>IF(Table1[[#This Row],[Gross_millions_Clean]]&gt;200,"Blockbuster",IF(Table1[[#This Row],[Gross_millions_Clean]]&gt;100,"Hit","Average"))</f>
        <v>Blockbuster</v>
      </c>
    </row>
    <row r="564" spans="1:19" x14ac:dyDescent="0.3">
      <c r="A564" t="s">
        <v>2346</v>
      </c>
      <c r="B564" t="s">
        <v>2347</v>
      </c>
      <c r="C564">
        <v>2000</v>
      </c>
      <c r="D564" s="8">
        <f>FLOOR(Table1[[#This Row],[Year]],10)</f>
        <v>2000</v>
      </c>
      <c r="E564" t="s">
        <v>24</v>
      </c>
      <c r="F564">
        <v>159</v>
      </c>
      <c r="G564" t="str">
        <f>IF(Table1[[#This Row],[Runtime_minutes]]&lt;90,"Short",IF(Table1[[#This Row],[Runtime_minutes]]&lt;=120,"Medium","Long"))</f>
        <v>Long</v>
      </c>
      <c r="H564" t="s">
        <v>78</v>
      </c>
      <c r="I564" t="s">
        <v>3981</v>
      </c>
      <c r="K564">
        <v>6.8</v>
      </c>
      <c r="L564">
        <v>82</v>
      </c>
      <c r="M564" t="s">
        <v>305</v>
      </c>
      <c r="N564" t="s">
        <v>191</v>
      </c>
      <c r="O564" t="s">
        <v>2349</v>
      </c>
      <c r="P564">
        <v>272991</v>
      </c>
      <c r="Q564" s="3">
        <v>279.67</v>
      </c>
      <c r="R564" s="3">
        <f>IF(Table1[[#This Row],[Gross_millions]]=" ",0,Table1[[#This Row],[Gross_millions]])</f>
        <v>279.67</v>
      </c>
      <c r="S564" t="str">
        <f>IF(Table1[[#This Row],[Gross_millions_Clean]]&gt;200,"Blockbuster",IF(Table1[[#This Row],[Gross_millions_Clean]]&gt;100,"Hit","Average"))</f>
        <v>Blockbuster</v>
      </c>
    </row>
    <row r="565" spans="1:19" x14ac:dyDescent="0.3">
      <c r="A565" t="s">
        <v>2350</v>
      </c>
      <c r="B565" t="s">
        <v>2351</v>
      </c>
      <c r="C565">
        <v>2000</v>
      </c>
      <c r="D565" s="8">
        <f>FLOOR(Table1[[#This Row],[Year]],10)</f>
        <v>2000</v>
      </c>
      <c r="E565" t="s">
        <v>17</v>
      </c>
      <c r="F565">
        <v>104</v>
      </c>
      <c r="G565" t="str">
        <f>IF(Table1[[#This Row],[Runtime_minutes]]&lt;90,"Short",IF(Table1[[#This Row],[Runtime_minutes]]&lt;=120,"Medium","Long"))</f>
        <v>Medium</v>
      </c>
      <c r="H565" t="s">
        <v>37</v>
      </c>
      <c r="I565" t="s">
        <v>3989</v>
      </c>
      <c r="K565">
        <v>6.8</v>
      </c>
      <c r="L565">
        <v>77</v>
      </c>
      <c r="M565" t="s">
        <v>38</v>
      </c>
      <c r="N565" t="s">
        <v>251</v>
      </c>
      <c r="O565" t="s">
        <v>2352</v>
      </c>
      <c r="P565">
        <v>166873</v>
      </c>
      <c r="Q565" s="3">
        <v>260.98</v>
      </c>
      <c r="R565" s="3">
        <f>IF(Table1[[#This Row],[Gross_millions]]=" ",0,Table1[[#This Row],[Gross_millions]])</f>
        <v>260.98</v>
      </c>
      <c r="S565" t="str">
        <f>IF(Table1[[#This Row],[Gross_millions_Clean]]&gt;200,"Blockbuster",IF(Table1[[#This Row],[Gross_millions_Clean]]&gt;100,"Hit","Average"))</f>
        <v>Blockbuster</v>
      </c>
    </row>
    <row r="566" spans="1:19" x14ac:dyDescent="0.3">
      <c r="A566" t="s">
        <v>2353</v>
      </c>
      <c r="B566" t="s">
        <v>2354</v>
      </c>
      <c r="C566">
        <v>2011</v>
      </c>
      <c r="D566" s="8">
        <f>FLOOR(Table1[[#This Row],[Year]],10)</f>
        <v>2010</v>
      </c>
      <c r="E566" t="s">
        <v>24</v>
      </c>
      <c r="F566">
        <v>115</v>
      </c>
      <c r="G566" t="str">
        <f>IF(Table1[[#This Row],[Runtime_minutes]]&lt;90,"Short",IF(Table1[[#This Row],[Runtime_minutes]]&lt;=120,"Medium","Long"))</f>
        <v>Medium</v>
      </c>
      <c r="H566" t="s">
        <v>157</v>
      </c>
      <c r="I566" t="s">
        <v>3979</v>
      </c>
      <c r="K566">
        <v>6.8</v>
      </c>
      <c r="M566" t="s">
        <v>2356</v>
      </c>
      <c r="N566" t="s">
        <v>57</v>
      </c>
      <c r="O566" t="s">
        <v>2357</v>
      </c>
      <c r="P566">
        <v>48935</v>
      </c>
      <c r="Q566" s="3"/>
      <c r="R566" s="3">
        <f>IF(Table1[[#This Row],[Gross_millions]]=" ",0,Table1[[#This Row],[Gross_millions]])</f>
        <v>0</v>
      </c>
      <c r="S566" t="str">
        <f>IF(Table1[[#This Row],[Gross_millions_Clean]]&gt;200,"Blockbuster",IF(Table1[[#This Row],[Gross_millions_Clean]]&gt;100,"Hit","Average"))</f>
        <v>Average</v>
      </c>
    </row>
    <row r="567" spans="1:19" x14ac:dyDescent="0.3">
      <c r="A567" t="s">
        <v>2358</v>
      </c>
      <c r="B567" t="s">
        <v>2359</v>
      </c>
      <c r="C567">
        <v>2013</v>
      </c>
      <c r="D567" s="8">
        <f>FLOOR(Table1[[#This Row],[Year]],10)</f>
        <v>2010</v>
      </c>
      <c r="E567" t="s">
        <v>17</v>
      </c>
      <c r="F567">
        <v>122</v>
      </c>
      <c r="G567" t="str">
        <f>IF(Table1[[#This Row],[Runtime_minutes]]&lt;90,"Short",IF(Table1[[#This Row],[Runtime_minutes]]&lt;=120,"Medium","Long"))</f>
        <v>Long</v>
      </c>
      <c r="H567" t="s">
        <v>43</v>
      </c>
      <c r="I567" t="s">
        <v>3992</v>
      </c>
      <c r="K567">
        <v>6.8</v>
      </c>
      <c r="M567" t="s">
        <v>1363</v>
      </c>
      <c r="N567" t="s">
        <v>159</v>
      </c>
      <c r="O567" t="s">
        <v>2360</v>
      </c>
      <c r="P567">
        <v>35343</v>
      </c>
      <c r="Q567" s="3">
        <v>14.52</v>
      </c>
      <c r="R567" s="3">
        <f>IF(Table1[[#This Row],[Gross_millions]]=" ",0,Table1[[#This Row],[Gross_millions]])</f>
        <v>14.52</v>
      </c>
      <c r="S567" t="str">
        <f>IF(Table1[[#This Row],[Gross_millions_Clean]]&gt;200,"Blockbuster",IF(Table1[[#This Row],[Gross_millions_Clean]]&gt;100,"Hit","Average"))</f>
        <v>Average</v>
      </c>
    </row>
    <row r="568" spans="1:19" x14ac:dyDescent="0.3">
      <c r="A568" t="s">
        <v>2361</v>
      </c>
      <c r="B568" t="s">
        <v>2362</v>
      </c>
      <c r="C568">
        <v>1991</v>
      </c>
      <c r="D568" s="8">
        <f>FLOOR(Table1[[#This Row],[Year]],10)</f>
        <v>1990</v>
      </c>
      <c r="E568" t="s">
        <v>17</v>
      </c>
      <c r="F568">
        <v>137</v>
      </c>
      <c r="G568" t="str">
        <f>IF(Table1[[#This Row],[Runtime_minutes]]&lt;90,"Short",IF(Table1[[#This Row],[Runtime_minutes]]&lt;=120,"Medium","Long"))</f>
        <v>Long</v>
      </c>
      <c r="H568" t="s">
        <v>37</v>
      </c>
      <c r="I568" t="s">
        <v>3977</v>
      </c>
      <c r="K568">
        <v>6.8</v>
      </c>
      <c r="M568" t="s">
        <v>38</v>
      </c>
      <c r="N568" t="s">
        <v>20</v>
      </c>
      <c r="O568" t="s">
        <v>2364</v>
      </c>
      <c r="P568">
        <v>551234</v>
      </c>
      <c r="Q568" s="3">
        <v>202.23</v>
      </c>
      <c r="R568" s="3">
        <f>IF(Table1[[#This Row],[Gross_millions]]=" ",0,Table1[[#This Row],[Gross_millions]])</f>
        <v>202.23</v>
      </c>
      <c r="S568" t="str">
        <f>IF(Table1[[#This Row],[Gross_millions_Clean]]&gt;200,"Blockbuster",IF(Table1[[#This Row],[Gross_millions_Clean]]&gt;100,"Hit","Average"))</f>
        <v>Blockbuster</v>
      </c>
    </row>
    <row r="569" spans="1:19" x14ac:dyDescent="0.3">
      <c r="A569" t="s">
        <v>2365</v>
      </c>
      <c r="B569" t="s">
        <v>2366</v>
      </c>
      <c r="C569">
        <v>2000</v>
      </c>
      <c r="D569" s="8">
        <f>FLOOR(Table1[[#This Row],[Year]],10)</f>
        <v>2000</v>
      </c>
      <c r="E569" t="s">
        <v>293</v>
      </c>
      <c r="F569">
        <v>125</v>
      </c>
      <c r="G569" t="str">
        <f>IF(Table1[[#This Row],[Runtime_minutes]]&lt;90,"Short",IF(Table1[[#This Row],[Runtime_minutes]]&lt;=120,"Medium","Long"))</f>
        <v>Long</v>
      </c>
      <c r="H569" t="s">
        <v>230</v>
      </c>
      <c r="I569" t="s">
        <v>3979</v>
      </c>
      <c r="J569" t="s">
        <v>3987</v>
      </c>
      <c r="K569">
        <v>6.8</v>
      </c>
      <c r="L569">
        <v>60</v>
      </c>
      <c r="M569" t="s">
        <v>124</v>
      </c>
      <c r="N569" t="s">
        <v>483</v>
      </c>
      <c r="O569" t="s">
        <v>2368</v>
      </c>
      <c r="P569">
        <v>41838</v>
      </c>
      <c r="Q569" s="3">
        <v>129.1</v>
      </c>
      <c r="R569" s="3">
        <f>IF(Table1[[#This Row],[Gross_millions]]=" ",0,Table1[[#This Row],[Gross_millions]])</f>
        <v>129.1</v>
      </c>
      <c r="S569" t="str">
        <f>IF(Table1[[#This Row],[Gross_millions_Clean]]&gt;200,"Blockbuster",IF(Table1[[#This Row],[Gross_millions_Clean]]&gt;100,"Hit","Average"))</f>
        <v>Hit</v>
      </c>
    </row>
    <row r="570" spans="1:19" x14ac:dyDescent="0.3">
      <c r="A570" t="s">
        <v>2369</v>
      </c>
      <c r="B570" t="s">
        <v>2370</v>
      </c>
      <c r="C570">
        <v>2003</v>
      </c>
      <c r="D570" s="8">
        <f>FLOOR(Table1[[#This Row],[Year]],10)</f>
        <v>2000</v>
      </c>
      <c r="E570" t="s">
        <v>54</v>
      </c>
      <c r="F570">
        <v>130</v>
      </c>
      <c r="G570" t="str">
        <f>IF(Table1[[#This Row],[Runtime_minutes]]&lt;90,"Short",IF(Table1[[#This Row],[Runtime_minutes]]&lt;=120,"Medium","Long"))</f>
        <v>Long</v>
      </c>
      <c r="H570" t="s">
        <v>277</v>
      </c>
      <c r="I570" t="s">
        <v>3980</v>
      </c>
      <c r="K570">
        <v>6.8</v>
      </c>
      <c r="M570" t="s">
        <v>395</v>
      </c>
      <c r="N570" t="s">
        <v>518</v>
      </c>
      <c r="O570" t="s">
        <v>2371</v>
      </c>
      <c r="P570">
        <v>31114</v>
      </c>
      <c r="Q570" s="3">
        <v>414.11</v>
      </c>
      <c r="R570" s="3">
        <f>IF(Table1[[#This Row],[Gross_millions]]=" ",0,Table1[[#This Row],[Gross_millions]])</f>
        <v>414.11</v>
      </c>
      <c r="S570" t="str">
        <f>IF(Table1[[#This Row],[Gross_millions_Clean]]&gt;200,"Blockbuster",IF(Table1[[#This Row],[Gross_millions_Clean]]&gt;100,"Hit","Average"))</f>
        <v>Blockbuster</v>
      </c>
    </row>
    <row r="571" spans="1:19" x14ac:dyDescent="0.3">
      <c r="A571" t="s">
        <v>2372</v>
      </c>
      <c r="B571" t="s">
        <v>2373</v>
      </c>
      <c r="C571">
        <v>2022</v>
      </c>
      <c r="D571" s="8">
        <f>FLOOR(Table1[[#This Row],[Year]],10)</f>
        <v>2020</v>
      </c>
      <c r="E571" t="s">
        <v>17</v>
      </c>
      <c r="F571">
        <v>102</v>
      </c>
      <c r="G571" t="str">
        <f>IF(Table1[[#This Row],[Runtime_minutes]]&lt;90,"Short",IF(Table1[[#This Row],[Runtime_minutes]]&lt;=120,"Medium","Long"))</f>
        <v>Medium</v>
      </c>
      <c r="H571" t="s">
        <v>55</v>
      </c>
      <c r="I571" t="s">
        <v>3983</v>
      </c>
      <c r="K571">
        <v>6.8</v>
      </c>
      <c r="M571" t="s">
        <v>2375</v>
      </c>
      <c r="N571" t="s">
        <v>20</v>
      </c>
      <c r="O571" t="s">
        <v>2376</v>
      </c>
      <c r="P571">
        <v>59060</v>
      </c>
      <c r="Q571" s="3">
        <v>87.8</v>
      </c>
      <c r="R571" s="3">
        <f>IF(Table1[[#This Row],[Gross_millions]]=" ",0,Table1[[#This Row],[Gross_millions]])</f>
        <v>87.8</v>
      </c>
      <c r="S571" t="str">
        <f>IF(Table1[[#This Row],[Gross_millions_Clean]]&gt;200,"Blockbuster",IF(Table1[[#This Row],[Gross_millions_Clean]]&gt;100,"Hit","Average"))</f>
        <v>Average</v>
      </c>
    </row>
    <row r="572" spans="1:19" x14ac:dyDescent="0.3">
      <c r="A572" t="s">
        <v>2377</v>
      </c>
      <c r="B572" t="s">
        <v>2378</v>
      </c>
      <c r="C572">
        <v>1992</v>
      </c>
      <c r="D572" s="8">
        <f>FLOOR(Table1[[#This Row],[Year]],10)</f>
        <v>1990</v>
      </c>
      <c r="E572" t="s">
        <v>169</v>
      </c>
      <c r="F572">
        <v>132</v>
      </c>
      <c r="G572" t="str">
        <f>IF(Table1[[#This Row],[Runtime_minutes]]&lt;90,"Short",IF(Table1[[#This Row],[Runtime_minutes]]&lt;=120,"Medium","Long"))</f>
        <v>Long</v>
      </c>
      <c r="H572" t="s">
        <v>37</v>
      </c>
      <c r="K572">
        <v>6.8</v>
      </c>
      <c r="L572">
        <v>62</v>
      </c>
      <c r="M572" t="s">
        <v>2379</v>
      </c>
      <c r="N572" t="s">
        <v>86</v>
      </c>
      <c r="O572" t="s">
        <v>2380</v>
      </c>
      <c r="P572">
        <v>71395</v>
      </c>
      <c r="Q572" s="3">
        <v>252.76</v>
      </c>
      <c r="R572" s="3">
        <f>IF(Table1[[#This Row],[Gross_millions]]=" ",0,Table1[[#This Row],[Gross_millions]])</f>
        <v>252.76</v>
      </c>
      <c r="S572" t="str">
        <f>IF(Table1[[#This Row],[Gross_millions_Clean]]&gt;200,"Blockbuster",IF(Table1[[#This Row],[Gross_millions_Clean]]&gt;100,"Hit","Average"))</f>
        <v>Blockbuster</v>
      </c>
    </row>
    <row r="573" spans="1:19" x14ac:dyDescent="0.3">
      <c r="A573" t="s">
        <v>2381</v>
      </c>
      <c r="B573" t="s">
        <v>2382</v>
      </c>
      <c r="C573">
        <v>2010</v>
      </c>
      <c r="D573" s="8">
        <f>FLOOR(Table1[[#This Row],[Year]],10)</f>
        <v>2010</v>
      </c>
      <c r="E573" t="s">
        <v>17</v>
      </c>
      <c r="F573">
        <v>128</v>
      </c>
      <c r="G573" t="str">
        <f>IF(Table1[[#This Row],[Runtime_minutes]]&lt;90,"Short",IF(Table1[[#This Row],[Runtime_minutes]]&lt;=120,"Medium","Long"))</f>
        <v>Long</v>
      </c>
      <c r="H573" t="s">
        <v>230</v>
      </c>
      <c r="K573">
        <v>6.8</v>
      </c>
      <c r="L573">
        <v>80</v>
      </c>
      <c r="M573" t="s">
        <v>231</v>
      </c>
      <c r="N573" t="s">
        <v>221</v>
      </c>
      <c r="O573" t="s">
        <v>2383</v>
      </c>
      <c r="P573">
        <v>22874</v>
      </c>
      <c r="Q573" s="3">
        <v>113.06</v>
      </c>
      <c r="R573" s="3">
        <f>IF(Table1[[#This Row],[Gross_millions]]=" ",0,Table1[[#This Row],[Gross_millions]])</f>
        <v>113.06</v>
      </c>
      <c r="S573" t="str">
        <f>IF(Table1[[#This Row],[Gross_millions_Clean]]&gt;200,"Blockbuster",IF(Table1[[#This Row],[Gross_millions_Clean]]&gt;100,"Hit","Average"))</f>
        <v>Hit</v>
      </c>
    </row>
    <row r="574" spans="1:19" x14ac:dyDescent="0.3">
      <c r="A574" t="s">
        <v>2384</v>
      </c>
      <c r="B574" t="s">
        <v>2385</v>
      </c>
      <c r="C574">
        <v>2010</v>
      </c>
      <c r="D574" s="8">
        <f>FLOOR(Table1[[#This Row],[Year]],10)</f>
        <v>2010</v>
      </c>
      <c r="E574" t="s">
        <v>17</v>
      </c>
      <c r="F574">
        <v>128</v>
      </c>
      <c r="G574" t="str">
        <f>IF(Table1[[#This Row],[Runtime_minutes]]&lt;90,"Short",IF(Table1[[#This Row],[Runtime_minutes]]&lt;=120,"Medium","Long"))</f>
        <v>Long</v>
      </c>
      <c r="H574" t="s">
        <v>375</v>
      </c>
      <c r="I574" t="s">
        <v>3993</v>
      </c>
      <c r="J574" t="s">
        <v>3980</v>
      </c>
      <c r="K574">
        <v>6.8</v>
      </c>
      <c r="L574">
        <v>75</v>
      </c>
      <c r="M574" t="s">
        <v>2387</v>
      </c>
      <c r="N574" t="s">
        <v>718</v>
      </c>
      <c r="O574" t="s">
        <v>2388</v>
      </c>
      <c r="P574">
        <v>164274</v>
      </c>
      <c r="Q574" s="3">
        <v>143.02000000000001</v>
      </c>
      <c r="R574" s="3">
        <f>IF(Table1[[#This Row],[Gross_millions]]=" ",0,Table1[[#This Row],[Gross_millions]])</f>
        <v>143.02000000000001</v>
      </c>
      <c r="S574" t="str">
        <f>IF(Table1[[#This Row],[Gross_millions_Clean]]&gt;200,"Blockbuster",IF(Table1[[#This Row],[Gross_millions_Clean]]&gt;100,"Hit","Average"))</f>
        <v>Hit</v>
      </c>
    </row>
    <row r="575" spans="1:19" x14ac:dyDescent="0.3">
      <c r="A575" t="s">
        <v>2389</v>
      </c>
      <c r="B575" t="s">
        <v>2390</v>
      </c>
      <c r="C575">
        <v>1992</v>
      </c>
      <c r="D575" s="8">
        <f>FLOOR(Table1[[#This Row],[Year]],10)</f>
        <v>1990</v>
      </c>
      <c r="E575" t="s">
        <v>24</v>
      </c>
      <c r="F575">
        <v>124</v>
      </c>
      <c r="G575" t="str">
        <f>IF(Table1[[#This Row],[Runtime_minutes]]&lt;90,"Short",IF(Table1[[#This Row],[Runtime_minutes]]&lt;=120,"Medium","Long"))</f>
        <v>Long</v>
      </c>
      <c r="H575" t="s">
        <v>235</v>
      </c>
      <c r="I575" t="s">
        <v>3978</v>
      </c>
      <c r="K575">
        <v>6.8</v>
      </c>
      <c r="M575" t="s">
        <v>2391</v>
      </c>
      <c r="N575" t="s">
        <v>718</v>
      </c>
      <c r="O575" t="s">
        <v>2392</v>
      </c>
      <c r="P575">
        <v>69321</v>
      </c>
      <c r="Q575" s="3">
        <v>162.47</v>
      </c>
      <c r="R575" s="3">
        <f>IF(Table1[[#This Row],[Gross_millions]]=" ",0,Table1[[#This Row],[Gross_millions]])</f>
        <v>162.47</v>
      </c>
      <c r="S575" t="str">
        <f>IF(Table1[[#This Row],[Gross_millions_Clean]]&gt;200,"Blockbuster",IF(Table1[[#This Row],[Gross_millions_Clean]]&gt;100,"Hit","Average"))</f>
        <v>Hit</v>
      </c>
    </row>
    <row r="576" spans="1:19" x14ac:dyDescent="0.3">
      <c r="A576" t="s">
        <v>2393</v>
      </c>
      <c r="B576" t="s">
        <v>2394</v>
      </c>
      <c r="C576">
        <v>2017</v>
      </c>
      <c r="D576" s="8">
        <f>FLOOR(Table1[[#This Row],[Year]],10)</f>
        <v>2010</v>
      </c>
      <c r="E576" t="s">
        <v>24</v>
      </c>
      <c r="F576">
        <v>70</v>
      </c>
      <c r="G576" t="str">
        <f>IF(Table1[[#This Row],[Runtime_minutes]]&lt;90,"Short",IF(Table1[[#This Row],[Runtime_minutes]]&lt;=120,"Medium","Long"))</f>
        <v>Short</v>
      </c>
      <c r="H576" t="s">
        <v>277</v>
      </c>
      <c r="I576" t="s">
        <v>3977</v>
      </c>
      <c r="J576" t="s">
        <v>3985</v>
      </c>
      <c r="K576">
        <v>6.8</v>
      </c>
      <c r="L576">
        <v>73</v>
      </c>
      <c r="M576" t="s">
        <v>278</v>
      </c>
      <c r="N576" t="s">
        <v>92</v>
      </c>
      <c r="O576" t="s">
        <v>2396</v>
      </c>
      <c r="P576">
        <v>854590</v>
      </c>
      <c r="Q576" s="3">
        <v>435.31</v>
      </c>
      <c r="R576" s="3">
        <f>IF(Table1[[#This Row],[Gross_millions]]=" ",0,Table1[[#This Row],[Gross_millions]])</f>
        <v>435.31</v>
      </c>
      <c r="S576" t="str">
        <f>IF(Table1[[#This Row],[Gross_millions_Clean]]&gt;200,"Blockbuster",IF(Table1[[#This Row],[Gross_millions_Clean]]&gt;100,"Hit","Average"))</f>
        <v>Blockbuster</v>
      </c>
    </row>
    <row r="577" spans="1:19" x14ac:dyDescent="0.3">
      <c r="A577" t="s">
        <v>2397</v>
      </c>
      <c r="B577" t="s">
        <v>2398</v>
      </c>
      <c r="C577">
        <v>2011</v>
      </c>
      <c r="D577" s="8">
        <f>FLOOR(Table1[[#This Row],[Year]],10)</f>
        <v>2010</v>
      </c>
      <c r="E577" t="s">
        <v>169</v>
      </c>
      <c r="F577">
        <v>134</v>
      </c>
      <c r="G577" t="str">
        <f>IF(Table1[[#This Row],[Runtime_minutes]]&lt;90,"Short",IF(Table1[[#This Row],[Runtime_minutes]]&lt;=120,"Medium","Long"))</f>
        <v>Long</v>
      </c>
      <c r="H577" t="s">
        <v>230</v>
      </c>
      <c r="I577" t="s">
        <v>3982</v>
      </c>
      <c r="K577">
        <v>6.8</v>
      </c>
      <c r="L577">
        <v>74</v>
      </c>
      <c r="M577" t="s">
        <v>124</v>
      </c>
      <c r="N577" t="s">
        <v>119</v>
      </c>
      <c r="O577" t="s">
        <v>2399</v>
      </c>
      <c r="P577">
        <v>14315</v>
      </c>
      <c r="Q577" s="3">
        <v>392.17</v>
      </c>
      <c r="R577" s="3">
        <f>IF(Table1[[#This Row],[Gross_millions]]=" ",0,Table1[[#This Row],[Gross_millions]])</f>
        <v>392.17</v>
      </c>
      <c r="S577" t="str">
        <f>IF(Table1[[#This Row],[Gross_millions_Clean]]&gt;200,"Blockbuster",IF(Table1[[#This Row],[Gross_millions_Clean]]&gt;100,"Hit","Average"))</f>
        <v>Blockbuster</v>
      </c>
    </row>
    <row r="578" spans="1:19" x14ac:dyDescent="0.3">
      <c r="A578" t="s">
        <v>2400</v>
      </c>
      <c r="B578" t="s">
        <v>2401</v>
      </c>
      <c r="C578">
        <v>2002</v>
      </c>
      <c r="D578" s="8">
        <f>FLOOR(Table1[[#This Row],[Year]],10)</f>
        <v>2000</v>
      </c>
      <c r="E578" t="s">
        <v>24</v>
      </c>
      <c r="F578">
        <v>160</v>
      </c>
      <c r="G578" t="str">
        <f>IF(Table1[[#This Row],[Runtime_minutes]]&lt;90,"Short",IF(Table1[[#This Row],[Runtime_minutes]]&lt;=120,"Medium","Long"))</f>
        <v>Long</v>
      </c>
      <c r="H578" t="s">
        <v>48</v>
      </c>
      <c r="I578" t="s">
        <v>3993</v>
      </c>
      <c r="K578">
        <v>6.8</v>
      </c>
      <c r="L578">
        <v>71</v>
      </c>
      <c r="M578" t="s">
        <v>2403</v>
      </c>
      <c r="N578" t="s">
        <v>63</v>
      </c>
      <c r="O578" t="s">
        <v>2404</v>
      </c>
      <c r="P578">
        <v>45023</v>
      </c>
      <c r="Q578" s="3">
        <v>239.54</v>
      </c>
      <c r="R578" s="3">
        <f>IF(Table1[[#This Row],[Gross_millions]]=" ",0,Table1[[#This Row],[Gross_millions]])</f>
        <v>239.54</v>
      </c>
      <c r="S578" t="str">
        <f>IF(Table1[[#This Row],[Gross_millions_Clean]]&gt;200,"Blockbuster",IF(Table1[[#This Row],[Gross_millions_Clean]]&gt;100,"Hit","Average"))</f>
        <v>Blockbuster</v>
      </c>
    </row>
    <row r="579" spans="1:19" x14ac:dyDescent="0.3">
      <c r="A579" t="s">
        <v>2405</v>
      </c>
      <c r="B579" t="s">
        <v>2406</v>
      </c>
      <c r="C579">
        <v>1991</v>
      </c>
      <c r="D579" s="8">
        <f>FLOOR(Table1[[#This Row],[Year]],10)</f>
        <v>1990</v>
      </c>
      <c r="E579" t="s">
        <v>24</v>
      </c>
      <c r="F579">
        <v>86</v>
      </c>
      <c r="G579" t="str">
        <f>IF(Table1[[#This Row],[Runtime_minutes]]&lt;90,"Short",IF(Table1[[#This Row],[Runtime_minutes]]&lt;=120,"Medium","Long"))</f>
        <v>Short</v>
      </c>
      <c r="H579" t="s">
        <v>235</v>
      </c>
      <c r="K579">
        <v>6.7</v>
      </c>
      <c r="M579" t="s">
        <v>673</v>
      </c>
      <c r="N579" t="s">
        <v>80</v>
      </c>
      <c r="O579" t="s">
        <v>2407</v>
      </c>
      <c r="P579">
        <v>9734</v>
      </c>
      <c r="Q579" s="3">
        <v>124.61</v>
      </c>
      <c r="R579" s="3">
        <f>IF(Table1[[#This Row],[Gross_millions]]=" ",0,Table1[[#This Row],[Gross_millions]])</f>
        <v>124.61</v>
      </c>
      <c r="S579" t="str">
        <f>IF(Table1[[#This Row],[Gross_millions_Clean]]&gt;200,"Blockbuster",IF(Table1[[#This Row],[Gross_millions_Clean]]&gt;100,"Hit","Average"))</f>
        <v>Hit</v>
      </c>
    </row>
    <row r="580" spans="1:19" x14ac:dyDescent="0.3">
      <c r="A580" t="s">
        <v>2408</v>
      </c>
      <c r="B580" t="s">
        <v>2409</v>
      </c>
      <c r="C580">
        <v>2019</v>
      </c>
      <c r="D580" s="8">
        <f>FLOOR(Table1[[#This Row],[Year]],10)</f>
        <v>2010</v>
      </c>
      <c r="E580" t="s">
        <v>17</v>
      </c>
      <c r="F580">
        <v>103</v>
      </c>
      <c r="G580" t="str">
        <f>IF(Table1[[#This Row],[Runtime_minutes]]&lt;90,"Short",IF(Table1[[#This Row],[Runtime_minutes]]&lt;=120,"Medium","Long"))</f>
        <v>Medium</v>
      </c>
      <c r="H580" t="s">
        <v>453</v>
      </c>
      <c r="I580" t="s">
        <v>3988</v>
      </c>
      <c r="K580">
        <v>6.7</v>
      </c>
      <c r="L580">
        <v>80</v>
      </c>
      <c r="M580" t="s">
        <v>269</v>
      </c>
      <c r="N580" t="s">
        <v>159</v>
      </c>
      <c r="O580" t="s">
        <v>2410</v>
      </c>
      <c r="P580">
        <v>20462</v>
      </c>
      <c r="Q580" s="3">
        <v>411.63</v>
      </c>
      <c r="R580" s="3">
        <f>IF(Table1[[#This Row],[Gross_millions]]=" ",0,Table1[[#This Row],[Gross_millions]])</f>
        <v>411.63</v>
      </c>
      <c r="S580" t="str">
        <f>IF(Table1[[#This Row],[Gross_millions_Clean]]&gt;200,"Blockbuster",IF(Table1[[#This Row],[Gross_millions_Clean]]&gt;100,"Hit","Average"))</f>
        <v>Blockbuster</v>
      </c>
    </row>
    <row r="581" spans="1:19" x14ac:dyDescent="0.3">
      <c r="A581" t="s">
        <v>2411</v>
      </c>
      <c r="B581" t="s">
        <v>2412</v>
      </c>
      <c r="C581">
        <v>2016</v>
      </c>
      <c r="D581" s="8">
        <f>FLOOR(Table1[[#This Row],[Year]],10)</f>
        <v>2010</v>
      </c>
      <c r="E581" t="s">
        <v>17</v>
      </c>
      <c r="F581">
        <v>164</v>
      </c>
      <c r="G581" t="str">
        <f>IF(Table1[[#This Row],[Runtime_minutes]]&lt;90,"Short",IF(Table1[[#This Row],[Runtime_minutes]]&lt;=120,"Medium","Long"))</f>
        <v>Long</v>
      </c>
      <c r="H581" t="s">
        <v>1044</v>
      </c>
      <c r="K581">
        <v>6.7</v>
      </c>
      <c r="L581">
        <v>78</v>
      </c>
      <c r="M581" t="s">
        <v>613</v>
      </c>
      <c r="N581" t="s">
        <v>74</v>
      </c>
      <c r="O581" t="s">
        <v>2413</v>
      </c>
      <c r="P581">
        <v>93287</v>
      </c>
      <c r="Q581" s="3">
        <v>378.74</v>
      </c>
      <c r="R581" s="3">
        <f>IF(Table1[[#This Row],[Gross_millions]]=" ",0,Table1[[#This Row],[Gross_millions]])</f>
        <v>378.74</v>
      </c>
      <c r="S581" t="str">
        <f>IF(Table1[[#This Row],[Gross_millions_Clean]]&gt;200,"Blockbuster",IF(Table1[[#This Row],[Gross_millions_Clean]]&gt;100,"Hit","Average"))</f>
        <v>Blockbuster</v>
      </c>
    </row>
    <row r="582" spans="1:19" x14ac:dyDescent="0.3">
      <c r="A582" t="s">
        <v>2414</v>
      </c>
      <c r="B582" t="s">
        <v>2415</v>
      </c>
      <c r="C582">
        <v>2007</v>
      </c>
      <c r="D582" s="8">
        <f>FLOOR(Table1[[#This Row],[Year]],10)</f>
        <v>2000</v>
      </c>
      <c r="E582" t="s">
        <v>54</v>
      </c>
      <c r="F582">
        <v>100</v>
      </c>
      <c r="G582" t="str">
        <f>IF(Table1[[#This Row],[Runtime_minutes]]&lt;90,"Short",IF(Table1[[#This Row],[Runtime_minutes]]&lt;=120,"Medium","Long"))</f>
        <v>Medium</v>
      </c>
      <c r="H582" t="s">
        <v>157</v>
      </c>
      <c r="I582" t="s">
        <v>3976</v>
      </c>
      <c r="K582">
        <v>6.7</v>
      </c>
      <c r="M582" t="s">
        <v>748</v>
      </c>
      <c r="N582" t="s">
        <v>368</v>
      </c>
      <c r="O582" t="s">
        <v>2417</v>
      </c>
      <c r="P582">
        <v>68875</v>
      </c>
      <c r="Q582" s="3"/>
      <c r="R582" s="3">
        <f>IF(Table1[[#This Row],[Gross_millions]]=" ",0,Table1[[#This Row],[Gross_millions]])</f>
        <v>0</v>
      </c>
      <c r="S582" t="str">
        <f>IF(Table1[[#This Row],[Gross_millions_Clean]]&gt;200,"Blockbuster",IF(Table1[[#This Row],[Gross_millions_Clean]]&gt;100,"Hit","Average"))</f>
        <v>Average</v>
      </c>
    </row>
    <row r="583" spans="1:19" x14ac:dyDescent="0.3">
      <c r="A583" t="s">
        <v>2418</v>
      </c>
      <c r="B583" t="s">
        <v>2419</v>
      </c>
      <c r="C583">
        <v>2017</v>
      </c>
      <c r="D583" s="8">
        <f>FLOOR(Table1[[#This Row],[Year]],10)</f>
        <v>2010</v>
      </c>
      <c r="E583" t="s">
        <v>17</v>
      </c>
      <c r="F583">
        <v>144</v>
      </c>
      <c r="G583" t="str">
        <f>IF(Table1[[#This Row],[Runtime_minutes]]&lt;90,"Short",IF(Table1[[#This Row],[Runtime_minutes]]&lt;=120,"Medium","Long"))</f>
        <v>Long</v>
      </c>
      <c r="H583" t="s">
        <v>767</v>
      </c>
      <c r="I583" t="s">
        <v>3980</v>
      </c>
      <c r="K583">
        <v>6.7</v>
      </c>
      <c r="L583">
        <v>69</v>
      </c>
      <c r="M583" t="s">
        <v>2420</v>
      </c>
      <c r="N583" t="s">
        <v>119</v>
      </c>
      <c r="O583" t="s">
        <v>2421</v>
      </c>
      <c r="P583">
        <v>249489</v>
      </c>
      <c r="Q583" s="3"/>
      <c r="R583" s="3">
        <f>IF(Table1[[#This Row],[Gross_millions]]=" ",0,Table1[[#This Row],[Gross_millions]])</f>
        <v>0</v>
      </c>
      <c r="S583" t="str">
        <f>IF(Table1[[#This Row],[Gross_millions_Clean]]&gt;200,"Blockbuster",IF(Table1[[#This Row],[Gross_millions_Clean]]&gt;100,"Hit","Average"))</f>
        <v>Average</v>
      </c>
    </row>
    <row r="584" spans="1:19" x14ac:dyDescent="0.3">
      <c r="A584" t="s">
        <v>2422</v>
      </c>
      <c r="B584" t="s">
        <v>2423</v>
      </c>
      <c r="C584">
        <v>2002</v>
      </c>
      <c r="D584" s="8">
        <f>FLOOR(Table1[[#This Row],[Year]],10)</f>
        <v>2000</v>
      </c>
      <c r="E584" t="s">
        <v>17</v>
      </c>
      <c r="F584">
        <v>133</v>
      </c>
      <c r="G584" t="str">
        <f>IF(Table1[[#This Row],[Runtime_minutes]]&lt;90,"Short",IF(Table1[[#This Row],[Runtime_minutes]]&lt;=120,"Medium","Long"))</f>
        <v>Long</v>
      </c>
      <c r="H584" t="s">
        <v>277</v>
      </c>
      <c r="K584">
        <v>6.7</v>
      </c>
      <c r="M584" t="s">
        <v>278</v>
      </c>
      <c r="N584" t="s">
        <v>236</v>
      </c>
      <c r="O584" t="s">
        <v>2424</v>
      </c>
      <c r="P584">
        <v>955466</v>
      </c>
      <c r="Q584" s="3">
        <v>385.56</v>
      </c>
      <c r="R584" s="3">
        <f>IF(Table1[[#This Row],[Gross_millions]]=" ",0,Table1[[#This Row],[Gross_millions]])</f>
        <v>385.56</v>
      </c>
      <c r="S584" t="str">
        <f>IF(Table1[[#This Row],[Gross_millions_Clean]]&gt;200,"Blockbuster",IF(Table1[[#This Row],[Gross_millions_Clean]]&gt;100,"Hit","Average"))</f>
        <v>Blockbuster</v>
      </c>
    </row>
    <row r="585" spans="1:19" x14ac:dyDescent="0.3">
      <c r="A585" t="s">
        <v>2425</v>
      </c>
      <c r="B585" t="s">
        <v>2426</v>
      </c>
      <c r="C585">
        <v>2023</v>
      </c>
      <c r="D585" s="8">
        <f>FLOOR(Table1[[#This Row],[Year]],10)</f>
        <v>2020</v>
      </c>
      <c r="E585" t="s">
        <v>24</v>
      </c>
      <c r="F585">
        <v>117</v>
      </c>
      <c r="G585" t="str">
        <f>IF(Table1[[#This Row],[Runtime_minutes]]&lt;90,"Short",IF(Table1[[#This Row],[Runtime_minutes]]&lt;=120,"Medium","Long"))</f>
        <v>Medium</v>
      </c>
      <c r="H585" t="s">
        <v>230</v>
      </c>
      <c r="I585" t="s">
        <v>3993</v>
      </c>
      <c r="J585" t="s">
        <v>3989</v>
      </c>
      <c r="K585">
        <v>6.7</v>
      </c>
      <c r="M585" t="s">
        <v>124</v>
      </c>
      <c r="N585" t="s">
        <v>608</v>
      </c>
      <c r="O585" t="s">
        <v>2428</v>
      </c>
      <c r="P585">
        <v>34371</v>
      </c>
      <c r="Q585" s="3">
        <v>385.32</v>
      </c>
      <c r="R585" s="3">
        <f>IF(Table1[[#This Row],[Gross_millions]]=" ",0,Table1[[#This Row],[Gross_millions]])</f>
        <v>385.32</v>
      </c>
      <c r="S585" t="str">
        <f>IF(Table1[[#This Row],[Gross_millions_Clean]]&gt;200,"Blockbuster",IF(Table1[[#This Row],[Gross_millions_Clean]]&gt;100,"Hit","Average"))</f>
        <v>Blockbuster</v>
      </c>
    </row>
    <row r="586" spans="1:19" x14ac:dyDescent="0.3">
      <c r="A586" t="s">
        <v>2429</v>
      </c>
      <c r="B586" t="s">
        <v>2430</v>
      </c>
      <c r="C586">
        <v>2011</v>
      </c>
      <c r="D586" s="8">
        <f>FLOOR(Table1[[#This Row],[Year]],10)</f>
        <v>2010</v>
      </c>
      <c r="E586" t="s">
        <v>17</v>
      </c>
      <c r="F586">
        <v>125</v>
      </c>
      <c r="G586" t="str">
        <f>IF(Table1[[#This Row],[Runtime_minutes]]&lt;90,"Short",IF(Table1[[#This Row],[Runtime_minutes]]&lt;=120,"Medium","Long"))</f>
        <v>Long</v>
      </c>
      <c r="H586" t="s">
        <v>1044</v>
      </c>
      <c r="I586" t="s">
        <v>3977</v>
      </c>
      <c r="K586">
        <v>6.7</v>
      </c>
      <c r="M586" t="s">
        <v>226</v>
      </c>
      <c r="N586" t="s">
        <v>518</v>
      </c>
      <c r="O586" t="s">
        <v>2431</v>
      </c>
      <c r="P586">
        <v>82625</v>
      </c>
      <c r="Q586" s="3">
        <v>81.84</v>
      </c>
      <c r="R586" s="3">
        <f>IF(Table1[[#This Row],[Gross_millions]]=" ",0,Table1[[#This Row],[Gross_millions]])</f>
        <v>81.84</v>
      </c>
      <c r="S586" t="str">
        <f>IF(Table1[[#This Row],[Gross_millions_Clean]]&gt;200,"Blockbuster",IF(Table1[[#This Row],[Gross_millions_Clean]]&gt;100,"Hit","Average"))</f>
        <v>Average</v>
      </c>
    </row>
    <row r="587" spans="1:19" x14ac:dyDescent="0.3">
      <c r="A587" t="s">
        <v>2432</v>
      </c>
      <c r="B587" t="s">
        <v>2433</v>
      </c>
      <c r="C587">
        <v>2017</v>
      </c>
      <c r="D587" s="8">
        <f>FLOOR(Table1[[#This Row],[Year]],10)</f>
        <v>2010</v>
      </c>
      <c r="E587" t="s">
        <v>285</v>
      </c>
      <c r="F587">
        <v>116</v>
      </c>
      <c r="G587" t="str">
        <f>IF(Table1[[#This Row],[Runtime_minutes]]&lt;90,"Short",IF(Table1[[#This Row],[Runtime_minutes]]&lt;=120,"Medium","Long"))</f>
        <v>Medium</v>
      </c>
      <c r="H587" t="s">
        <v>55</v>
      </c>
      <c r="I587" t="s">
        <v>3988</v>
      </c>
      <c r="J587" t="s">
        <v>3992</v>
      </c>
      <c r="K587">
        <v>6.7</v>
      </c>
      <c r="L587">
        <v>76</v>
      </c>
      <c r="M587" t="s">
        <v>1056</v>
      </c>
      <c r="N587" t="s">
        <v>524</v>
      </c>
      <c r="O587" t="s">
        <v>2435</v>
      </c>
      <c r="P587">
        <v>68708</v>
      </c>
      <c r="Q587" s="3"/>
      <c r="R587" s="3">
        <f>IF(Table1[[#This Row],[Gross_millions]]=" ",0,Table1[[#This Row],[Gross_millions]])</f>
        <v>0</v>
      </c>
      <c r="S587" t="str">
        <f>IF(Table1[[#This Row],[Gross_millions_Clean]]&gt;200,"Blockbuster",IF(Table1[[#This Row],[Gross_millions_Clean]]&gt;100,"Hit","Average"))</f>
        <v>Average</v>
      </c>
    </row>
    <row r="588" spans="1:19" x14ac:dyDescent="0.3">
      <c r="A588" t="s">
        <v>2436</v>
      </c>
      <c r="B588" t="s">
        <v>2437</v>
      </c>
      <c r="C588">
        <v>2012</v>
      </c>
      <c r="D588" s="8">
        <f>FLOOR(Table1[[#This Row],[Year]],10)</f>
        <v>2010</v>
      </c>
      <c r="E588" t="s">
        <v>17</v>
      </c>
      <c r="F588">
        <v>158</v>
      </c>
      <c r="G588" t="str">
        <f>IF(Table1[[#This Row],[Runtime_minutes]]&lt;90,"Short",IF(Table1[[#This Row],[Runtime_minutes]]&lt;=120,"Medium","Long"))</f>
        <v>Long</v>
      </c>
      <c r="H588" t="s">
        <v>1044</v>
      </c>
      <c r="I588" t="s">
        <v>3980</v>
      </c>
      <c r="K588">
        <v>6.7</v>
      </c>
      <c r="M588" t="s">
        <v>2438</v>
      </c>
      <c r="N588" t="s">
        <v>524</v>
      </c>
      <c r="O588" t="s">
        <v>2439</v>
      </c>
      <c r="P588">
        <v>20689</v>
      </c>
      <c r="Q588" s="3"/>
      <c r="R588" s="3">
        <f>IF(Table1[[#This Row],[Gross_millions]]=" ",0,Table1[[#This Row],[Gross_millions]])</f>
        <v>0</v>
      </c>
      <c r="S588" t="str">
        <f>IF(Table1[[#This Row],[Gross_millions_Clean]]&gt;200,"Blockbuster",IF(Table1[[#This Row],[Gross_millions_Clean]]&gt;100,"Hit","Average"))</f>
        <v>Average</v>
      </c>
    </row>
    <row r="589" spans="1:19" x14ac:dyDescent="0.3">
      <c r="A589" t="s">
        <v>2440</v>
      </c>
      <c r="B589" t="s">
        <v>2441</v>
      </c>
      <c r="C589">
        <v>2002</v>
      </c>
      <c r="D589" s="8">
        <f>FLOOR(Table1[[#This Row],[Year]],10)</f>
        <v>2000</v>
      </c>
      <c r="E589" t="s">
        <v>54</v>
      </c>
      <c r="F589">
        <v>147</v>
      </c>
      <c r="G589" t="str">
        <f>IF(Table1[[#This Row],[Runtime_minutes]]&lt;90,"Short",IF(Table1[[#This Row],[Runtime_minutes]]&lt;=120,"Medium","Long"))</f>
        <v>Long</v>
      </c>
      <c r="H589" t="s">
        <v>210</v>
      </c>
      <c r="K589">
        <v>6.7</v>
      </c>
      <c r="L589">
        <v>78</v>
      </c>
      <c r="M589" t="s">
        <v>431</v>
      </c>
      <c r="N589" t="s">
        <v>524</v>
      </c>
      <c r="O589" t="s">
        <v>2442</v>
      </c>
      <c r="P589">
        <v>250023</v>
      </c>
      <c r="Q589" s="3"/>
      <c r="R589" s="3">
        <f>IF(Table1[[#This Row],[Gross_millions]]=" ",0,Table1[[#This Row],[Gross_millions]])</f>
        <v>0</v>
      </c>
      <c r="S589" t="str">
        <f>IF(Table1[[#This Row],[Gross_millions_Clean]]&gt;200,"Blockbuster",IF(Table1[[#This Row],[Gross_millions_Clean]]&gt;100,"Hit","Average"))</f>
        <v>Average</v>
      </c>
    </row>
    <row r="590" spans="1:19" x14ac:dyDescent="0.3">
      <c r="A590" t="s">
        <v>2443</v>
      </c>
      <c r="B590" t="s">
        <v>2444</v>
      </c>
      <c r="C590">
        <v>2015</v>
      </c>
      <c r="D590" s="8">
        <f>FLOOR(Table1[[#This Row],[Year]],10)</f>
        <v>2010</v>
      </c>
      <c r="E590" t="s">
        <v>17</v>
      </c>
      <c r="F590">
        <v>171</v>
      </c>
      <c r="G590" t="str">
        <f>IF(Table1[[#This Row],[Runtime_minutes]]&lt;90,"Short",IF(Table1[[#This Row],[Runtime_minutes]]&lt;=120,"Medium","Long"))</f>
        <v>Long</v>
      </c>
      <c r="H590" t="s">
        <v>55</v>
      </c>
      <c r="I590" t="s">
        <v>3992</v>
      </c>
      <c r="J590" t="s">
        <v>3989</v>
      </c>
      <c r="K590">
        <v>6.7</v>
      </c>
      <c r="L590">
        <v>65</v>
      </c>
      <c r="M590" t="s">
        <v>852</v>
      </c>
      <c r="N590" t="s">
        <v>50</v>
      </c>
      <c r="O590" t="s">
        <v>2446</v>
      </c>
      <c r="P590">
        <v>335678</v>
      </c>
      <c r="Q590" s="3">
        <v>244.54</v>
      </c>
      <c r="R590" s="3">
        <f>IF(Table1[[#This Row],[Gross_millions]]=" ",0,Table1[[#This Row],[Gross_millions]])</f>
        <v>244.54</v>
      </c>
      <c r="S590" t="str">
        <f>IF(Table1[[#This Row],[Gross_millions_Clean]]&gt;200,"Blockbuster",IF(Table1[[#This Row],[Gross_millions_Clean]]&gt;100,"Hit","Average"))</f>
        <v>Blockbuster</v>
      </c>
    </row>
    <row r="591" spans="1:19" x14ac:dyDescent="0.3">
      <c r="A591" t="s">
        <v>2447</v>
      </c>
      <c r="B591" t="s">
        <v>2448</v>
      </c>
      <c r="C591">
        <v>2003</v>
      </c>
      <c r="D591" s="8">
        <f>FLOOR(Table1[[#This Row],[Year]],10)</f>
        <v>2000</v>
      </c>
      <c r="E591" t="s">
        <v>17</v>
      </c>
      <c r="F591">
        <v>142</v>
      </c>
      <c r="G591" t="str">
        <f>IF(Table1[[#This Row],[Runtime_minutes]]&lt;90,"Short",IF(Table1[[#This Row],[Runtime_minutes]]&lt;=120,"Medium","Long"))</f>
        <v>Long</v>
      </c>
      <c r="H591" t="s">
        <v>453</v>
      </c>
      <c r="I591" t="s">
        <v>3985</v>
      </c>
      <c r="K591">
        <v>6.7</v>
      </c>
      <c r="L591">
        <v>78</v>
      </c>
      <c r="M591" t="s">
        <v>557</v>
      </c>
      <c r="N591" t="s">
        <v>483</v>
      </c>
      <c r="O591" t="s">
        <v>2449</v>
      </c>
      <c r="P591">
        <v>2300</v>
      </c>
      <c r="Q591" s="3">
        <v>127.86</v>
      </c>
      <c r="R591" s="3">
        <f>IF(Table1[[#This Row],[Gross_millions]]=" ",0,Table1[[#This Row],[Gross_millions]])</f>
        <v>127.86</v>
      </c>
      <c r="S591" t="str">
        <f>IF(Table1[[#This Row],[Gross_millions_Clean]]&gt;200,"Blockbuster",IF(Table1[[#This Row],[Gross_millions_Clean]]&gt;100,"Hit","Average"))</f>
        <v>Hit</v>
      </c>
    </row>
    <row r="592" spans="1:19" x14ac:dyDescent="0.3">
      <c r="A592" t="s">
        <v>2450</v>
      </c>
      <c r="B592" t="s">
        <v>2451</v>
      </c>
      <c r="C592">
        <v>2006</v>
      </c>
      <c r="D592" s="8">
        <f>FLOOR(Table1[[#This Row],[Year]],10)</f>
        <v>2000</v>
      </c>
      <c r="E592" t="s">
        <v>54</v>
      </c>
      <c r="F592">
        <v>148</v>
      </c>
      <c r="G592" t="str">
        <f>IF(Table1[[#This Row],[Runtime_minutes]]&lt;90,"Short",IF(Table1[[#This Row],[Runtime_minutes]]&lt;=120,"Medium","Long"))</f>
        <v>Long</v>
      </c>
      <c r="H592" t="s">
        <v>235</v>
      </c>
      <c r="I592" t="s">
        <v>3976</v>
      </c>
      <c r="K592">
        <v>6.7</v>
      </c>
      <c r="M592" t="s">
        <v>1314</v>
      </c>
      <c r="N592" t="s">
        <v>251</v>
      </c>
      <c r="O592" t="s">
        <v>2453</v>
      </c>
      <c r="P592">
        <v>61591</v>
      </c>
      <c r="Q592" s="3">
        <v>431.54</v>
      </c>
      <c r="R592" s="3">
        <f>IF(Table1[[#This Row],[Gross_millions]]=" ",0,Table1[[#This Row],[Gross_millions]])</f>
        <v>431.54</v>
      </c>
      <c r="S592" t="str">
        <f>IF(Table1[[#This Row],[Gross_millions_Clean]]&gt;200,"Blockbuster",IF(Table1[[#This Row],[Gross_millions_Clean]]&gt;100,"Hit","Average"))</f>
        <v>Blockbuster</v>
      </c>
    </row>
    <row r="593" spans="1:19" x14ac:dyDescent="0.3">
      <c r="A593" t="s">
        <v>2454</v>
      </c>
      <c r="B593" t="s">
        <v>2455</v>
      </c>
      <c r="C593">
        <v>2017</v>
      </c>
      <c r="D593" s="8">
        <f>FLOOR(Table1[[#This Row],[Year]],10)</f>
        <v>2010</v>
      </c>
      <c r="E593" t="s">
        <v>24</v>
      </c>
      <c r="F593">
        <v>84</v>
      </c>
      <c r="G593" t="str">
        <f>IF(Table1[[#This Row],[Runtime_minutes]]&lt;90,"Short",IF(Table1[[#This Row],[Runtime_minutes]]&lt;=120,"Medium","Long"))</f>
        <v>Short</v>
      </c>
      <c r="H593" t="s">
        <v>453</v>
      </c>
      <c r="I593" t="s">
        <v>3983</v>
      </c>
      <c r="K593">
        <v>6.7</v>
      </c>
      <c r="L593">
        <v>74</v>
      </c>
      <c r="M593" t="s">
        <v>435</v>
      </c>
      <c r="N593" t="s">
        <v>113</v>
      </c>
      <c r="O593" t="s">
        <v>2457</v>
      </c>
      <c r="P593">
        <v>17161</v>
      </c>
      <c r="Q593" s="3">
        <v>381.09</v>
      </c>
      <c r="R593" s="3">
        <f>IF(Table1[[#This Row],[Gross_millions]]=" ",0,Table1[[#This Row],[Gross_millions]])</f>
        <v>381.09</v>
      </c>
      <c r="S593" t="str">
        <f>IF(Table1[[#This Row],[Gross_millions_Clean]]&gt;200,"Blockbuster",IF(Table1[[#This Row],[Gross_millions_Clean]]&gt;100,"Hit","Average"))</f>
        <v>Blockbuster</v>
      </c>
    </row>
    <row r="594" spans="1:19" x14ac:dyDescent="0.3">
      <c r="A594" t="s">
        <v>2458</v>
      </c>
      <c r="B594" t="s">
        <v>2459</v>
      </c>
      <c r="C594">
        <v>2001</v>
      </c>
      <c r="D594" s="8">
        <f>FLOOR(Table1[[#This Row],[Year]],10)</f>
        <v>2000</v>
      </c>
      <c r="E594" t="s">
        <v>17</v>
      </c>
      <c r="F594">
        <v>81</v>
      </c>
      <c r="G594" t="str">
        <f>IF(Table1[[#This Row],[Runtime_minutes]]&lt;90,"Short",IF(Table1[[#This Row],[Runtime_minutes]]&lt;=120,"Medium","Long"))</f>
        <v>Short</v>
      </c>
      <c r="H594" t="s">
        <v>157</v>
      </c>
      <c r="K594">
        <v>6.7</v>
      </c>
      <c r="L594">
        <v>78</v>
      </c>
      <c r="M594" t="s">
        <v>2460</v>
      </c>
      <c r="N594" t="s">
        <v>74</v>
      </c>
      <c r="O594" t="s">
        <v>2461</v>
      </c>
      <c r="P594">
        <v>7688</v>
      </c>
      <c r="Q594" s="3">
        <v>469.72</v>
      </c>
      <c r="R594" s="3">
        <f>IF(Table1[[#This Row],[Gross_millions]]=" ",0,Table1[[#This Row],[Gross_millions]])</f>
        <v>469.72</v>
      </c>
      <c r="S594" t="str">
        <f>IF(Table1[[#This Row],[Gross_millions_Clean]]&gt;200,"Blockbuster",IF(Table1[[#This Row],[Gross_millions_Clean]]&gt;100,"Hit","Average"))</f>
        <v>Blockbuster</v>
      </c>
    </row>
    <row r="595" spans="1:19" x14ac:dyDescent="0.3">
      <c r="A595" t="s">
        <v>2462</v>
      </c>
      <c r="B595" t="s">
        <v>2463</v>
      </c>
      <c r="C595">
        <v>2013</v>
      </c>
      <c r="D595" s="8">
        <f>FLOOR(Table1[[#This Row],[Year]],10)</f>
        <v>2010</v>
      </c>
      <c r="E595" t="s">
        <v>54</v>
      </c>
      <c r="F595">
        <v>115</v>
      </c>
      <c r="G595" t="str">
        <f>IF(Table1[[#This Row],[Runtime_minutes]]&lt;90,"Short",IF(Table1[[#This Row],[Runtime_minutes]]&lt;=120,"Medium","Long"))</f>
        <v>Medium</v>
      </c>
      <c r="H595" t="s">
        <v>129</v>
      </c>
      <c r="I595" t="s">
        <v>3993</v>
      </c>
      <c r="K595">
        <v>6.7</v>
      </c>
      <c r="M595" t="s">
        <v>634</v>
      </c>
      <c r="N595" t="s">
        <v>27</v>
      </c>
      <c r="O595" t="s">
        <v>2464</v>
      </c>
      <c r="P595">
        <v>3558</v>
      </c>
      <c r="Q595" s="3"/>
      <c r="R595" s="3">
        <f>IF(Table1[[#This Row],[Gross_millions]]=" ",0,Table1[[#This Row],[Gross_millions]])</f>
        <v>0</v>
      </c>
      <c r="S595" t="str">
        <f>IF(Table1[[#This Row],[Gross_millions_Clean]]&gt;200,"Blockbuster",IF(Table1[[#This Row],[Gross_millions_Clean]]&gt;100,"Hit","Average"))</f>
        <v>Average</v>
      </c>
    </row>
    <row r="596" spans="1:19" x14ac:dyDescent="0.3">
      <c r="A596" t="s">
        <v>2465</v>
      </c>
      <c r="B596" t="s">
        <v>2466</v>
      </c>
      <c r="C596">
        <v>2014</v>
      </c>
      <c r="D596" s="8">
        <f>FLOOR(Table1[[#This Row],[Year]],10)</f>
        <v>2010</v>
      </c>
      <c r="E596" t="s">
        <v>24</v>
      </c>
      <c r="F596">
        <v>140</v>
      </c>
      <c r="G596" t="str">
        <f>IF(Table1[[#This Row],[Runtime_minutes]]&lt;90,"Short",IF(Table1[[#This Row],[Runtime_minutes]]&lt;=120,"Medium","Long"))</f>
        <v>Long</v>
      </c>
      <c r="H596" t="s">
        <v>235</v>
      </c>
      <c r="I596" t="s">
        <v>3978</v>
      </c>
      <c r="K596">
        <v>6.7</v>
      </c>
      <c r="L596">
        <v>71</v>
      </c>
      <c r="M596" t="s">
        <v>2467</v>
      </c>
      <c r="N596" t="s">
        <v>368</v>
      </c>
      <c r="O596" t="s">
        <v>2468</v>
      </c>
      <c r="P596">
        <v>163688</v>
      </c>
      <c r="Q596" s="3">
        <v>437.94</v>
      </c>
      <c r="R596" s="3">
        <f>IF(Table1[[#This Row],[Gross_millions]]=" ",0,Table1[[#This Row],[Gross_millions]])</f>
        <v>437.94</v>
      </c>
      <c r="S596" t="str">
        <f>IF(Table1[[#This Row],[Gross_millions_Clean]]&gt;200,"Blockbuster",IF(Table1[[#This Row],[Gross_millions_Clean]]&gt;100,"Hit","Average"))</f>
        <v>Blockbuster</v>
      </c>
    </row>
    <row r="597" spans="1:19" x14ac:dyDescent="0.3">
      <c r="A597" t="s">
        <v>2469</v>
      </c>
      <c r="B597" t="s">
        <v>2470</v>
      </c>
      <c r="C597">
        <v>2016</v>
      </c>
      <c r="D597" s="8">
        <f>FLOOR(Table1[[#This Row],[Year]],10)</f>
        <v>2010</v>
      </c>
      <c r="E597" t="s">
        <v>54</v>
      </c>
      <c r="F597">
        <v>122</v>
      </c>
      <c r="G597" t="str">
        <f>IF(Table1[[#This Row],[Runtime_minutes]]&lt;90,"Short",IF(Table1[[#This Row],[Runtime_minutes]]&lt;=120,"Medium","Long"))</f>
        <v>Long</v>
      </c>
      <c r="H597" t="s">
        <v>230</v>
      </c>
      <c r="I597" t="s">
        <v>3993</v>
      </c>
      <c r="K597">
        <v>6.7</v>
      </c>
      <c r="M597" t="s">
        <v>124</v>
      </c>
      <c r="N597" t="s">
        <v>74</v>
      </c>
      <c r="O597" t="s">
        <v>2471</v>
      </c>
      <c r="P597">
        <v>163899</v>
      </c>
      <c r="Q597" s="3">
        <v>452.25</v>
      </c>
      <c r="R597" s="3">
        <f>IF(Table1[[#This Row],[Gross_millions]]=" ",0,Table1[[#This Row],[Gross_millions]])</f>
        <v>452.25</v>
      </c>
      <c r="S597" t="str">
        <f>IF(Table1[[#This Row],[Gross_millions_Clean]]&gt;200,"Blockbuster",IF(Table1[[#This Row],[Gross_millions_Clean]]&gt;100,"Hit","Average"))</f>
        <v>Blockbuster</v>
      </c>
    </row>
    <row r="598" spans="1:19" x14ac:dyDescent="0.3">
      <c r="A598" t="s">
        <v>2472</v>
      </c>
      <c r="B598" t="s">
        <v>2473</v>
      </c>
      <c r="C598">
        <v>2010</v>
      </c>
      <c r="D598" s="8">
        <f>FLOOR(Table1[[#This Row],[Year]],10)</f>
        <v>2010</v>
      </c>
      <c r="E598" t="s">
        <v>293</v>
      </c>
      <c r="F598">
        <v>86</v>
      </c>
      <c r="G598" t="str">
        <f>IF(Table1[[#This Row],[Runtime_minutes]]&lt;90,"Short",IF(Table1[[#This Row],[Runtime_minutes]]&lt;=120,"Medium","Long"))</f>
        <v>Short</v>
      </c>
      <c r="H598" t="s">
        <v>157</v>
      </c>
      <c r="I598" t="s">
        <v>3987</v>
      </c>
      <c r="K598">
        <v>6.7</v>
      </c>
      <c r="L598">
        <v>77</v>
      </c>
      <c r="M598" t="s">
        <v>2474</v>
      </c>
      <c r="N598" t="s">
        <v>113</v>
      </c>
      <c r="O598" t="s">
        <v>2475</v>
      </c>
      <c r="P598">
        <v>13590</v>
      </c>
      <c r="Q598" s="3">
        <v>316.14</v>
      </c>
      <c r="R598" s="3">
        <f>IF(Table1[[#This Row],[Gross_millions]]=" ",0,Table1[[#This Row],[Gross_millions]])</f>
        <v>316.14</v>
      </c>
      <c r="S598" t="str">
        <f>IF(Table1[[#This Row],[Gross_millions_Clean]]&gt;200,"Blockbuster",IF(Table1[[#This Row],[Gross_millions_Clean]]&gt;100,"Hit","Average"))</f>
        <v>Blockbuster</v>
      </c>
    </row>
    <row r="599" spans="1:19" x14ac:dyDescent="0.3">
      <c r="A599" t="s">
        <v>2476</v>
      </c>
      <c r="B599" t="s">
        <v>2477</v>
      </c>
      <c r="C599">
        <v>2001</v>
      </c>
      <c r="D599" s="8">
        <f>FLOOR(Table1[[#This Row],[Year]],10)</f>
        <v>2000</v>
      </c>
      <c r="E599" t="s">
        <v>24</v>
      </c>
      <c r="F599">
        <v>115</v>
      </c>
      <c r="G599" t="str">
        <f>IF(Table1[[#This Row],[Runtime_minutes]]&lt;90,"Short",IF(Table1[[#This Row],[Runtime_minutes]]&lt;=120,"Medium","Long"))</f>
        <v>Medium</v>
      </c>
      <c r="H599" t="s">
        <v>375</v>
      </c>
      <c r="K599">
        <v>6.7</v>
      </c>
      <c r="M599" t="s">
        <v>422</v>
      </c>
      <c r="N599" t="s">
        <v>518</v>
      </c>
      <c r="O599" t="s">
        <v>2478</v>
      </c>
      <c r="P599">
        <v>151904</v>
      </c>
      <c r="Q599" s="3">
        <v>278.95</v>
      </c>
      <c r="R599" s="3">
        <f>IF(Table1[[#This Row],[Gross_millions]]=" ",0,Table1[[#This Row],[Gross_millions]])</f>
        <v>278.95</v>
      </c>
      <c r="S599" t="str">
        <f>IF(Table1[[#This Row],[Gross_millions_Clean]]&gt;200,"Blockbuster",IF(Table1[[#This Row],[Gross_millions_Clean]]&gt;100,"Hit","Average"))</f>
        <v>Blockbuster</v>
      </c>
    </row>
    <row r="600" spans="1:19" x14ac:dyDescent="0.3">
      <c r="A600" t="s">
        <v>2479</v>
      </c>
      <c r="B600" t="s">
        <v>2480</v>
      </c>
      <c r="C600">
        <v>2002</v>
      </c>
      <c r="D600" s="8">
        <f>FLOOR(Table1[[#This Row],[Year]],10)</f>
        <v>2000</v>
      </c>
      <c r="E600" t="s">
        <v>24</v>
      </c>
      <c r="F600">
        <v>157</v>
      </c>
      <c r="G600" t="str">
        <f>IF(Table1[[#This Row],[Runtime_minutes]]&lt;90,"Short",IF(Table1[[#This Row],[Runtime_minutes]]&lt;=120,"Medium","Long"))</f>
        <v>Long</v>
      </c>
      <c r="H600" t="s">
        <v>157</v>
      </c>
      <c r="I600" t="s">
        <v>3985</v>
      </c>
      <c r="K600">
        <v>6.7</v>
      </c>
      <c r="L600">
        <v>73</v>
      </c>
      <c r="M600" t="s">
        <v>629</v>
      </c>
      <c r="N600" t="s">
        <v>27</v>
      </c>
      <c r="O600" t="s">
        <v>2481</v>
      </c>
      <c r="P600">
        <v>13880</v>
      </c>
      <c r="Q600" s="3">
        <v>347.08</v>
      </c>
      <c r="R600" s="3">
        <f>IF(Table1[[#This Row],[Gross_millions]]=" ",0,Table1[[#This Row],[Gross_millions]])</f>
        <v>347.08</v>
      </c>
      <c r="S600" t="str">
        <f>IF(Table1[[#This Row],[Gross_millions_Clean]]&gt;200,"Blockbuster",IF(Table1[[#This Row],[Gross_millions_Clean]]&gt;100,"Hit","Average"))</f>
        <v>Blockbuster</v>
      </c>
    </row>
    <row r="601" spans="1:19" x14ac:dyDescent="0.3">
      <c r="A601" t="s">
        <v>2482</v>
      </c>
      <c r="B601" t="s">
        <v>2483</v>
      </c>
      <c r="C601">
        <v>2021</v>
      </c>
      <c r="D601" s="8">
        <f>FLOOR(Table1[[#This Row],[Year]],10)</f>
        <v>2020</v>
      </c>
      <c r="E601" t="s">
        <v>17</v>
      </c>
      <c r="F601">
        <v>148</v>
      </c>
      <c r="G601" t="str">
        <f>IF(Table1[[#This Row],[Runtime_minutes]]&lt;90,"Short",IF(Table1[[#This Row],[Runtime_minutes]]&lt;=120,"Medium","Long"))</f>
        <v>Long</v>
      </c>
      <c r="H601" t="s">
        <v>235</v>
      </c>
      <c r="I601" t="s">
        <v>3981</v>
      </c>
      <c r="J601" t="s">
        <v>3986</v>
      </c>
      <c r="K601">
        <v>6.7</v>
      </c>
      <c r="L601">
        <v>76</v>
      </c>
      <c r="M601" t="s">
        <v>201</v>
      </c>
      <c r="N601" t="s">
        <v>524</v>
      </c>
      <c r="O601" t="s">
        <v>2485</v>
      </c>
      <c r="P601">
        <v>118013</v>
      </c>
      <c r="Q601" s="3">
        <v>17.04</v>
      </c>
      <c r="R601" s="3">
        <f>IF(Table1[[#This Row],[Gross_millions]]=" ",0,Table1[[#This Row],[Gross_millions]])</f>
        <v>17.04</v>
      </c>
      <c r="S601" t="str">
        <f>IF(Table1[[#This Row],[Gross_millions_Clean]]&gt;200,"Blockbuster",IF(Table1[[#This Row],[Gross_millions_Clean]]&gt;100,"Hit","Average"))</f>
        <v>Average</v>
      </c>
    </row>
    <row r="602" spans="1:19" x14ac:dyDescent="0.3">
      <c r="A602" t="s">
        <v>2486</v>
      </c>
      <c r="B602" t="s">
        <v>2487</v>
      </c>
      <c r="C602">
        <v>2024</v>
      </c>
      <c r="D602" s="8">
        <f>FLOOR(Table1[[#This Row],[Year]],10)</f>
        <v>2020</v>
      </c>
      <c r="E602" t="s">
        <v>17</v>
      </c>
      <c r="F602">
        <v>116</v>
      </c>
      <c r="G602" t="str">
        <f>IF(Table1[[#This Row],[Runtime_minutes]]&lt;90,"Short",IF(Table1[[#This Row],[Runtime_minutes]]&lt;=120,"Medium","Long"))</f>
        <v>Medium</v>
      </c>
      <c r="H602" t="s">
        <v>72</v>
      </c>
      <c r="K602">
        <v>6.7</v>
      </c>
      <c r="M602" t="s">
        <v>1431</v>
      </c>
      <c r="N602" t="s">
        <v>39</v>
      </c>
      <c r="O602" t="s">
        <v>2488</v>
      </c>
      <c r="P602">
        <v>63941</v>
      </c>
      <c r="Q602" s="3">
        <v>363.4</v>
      </c>
      <c r="R602" s="3">
        <f>IF(Table1[[#This Row],[Gross_millions]]=" ",0,Table1[[#This Row],[Gross_millions]])</f>
        <v>363.4</v>
      </c>
      <c r="S602" t="str">
        <f>IF(Table1[[#This Row],[Gross_millions_Clean]]&gt;200,"Blockbuster",IF(Table1[[#This Row],[Gross_millions_Clean]]&gt;100,"Hit","Average"))</f>
        <v>Blockbuster</v>
      </c>
    </row>
    <row r="603" spans="1:19" x14ac:dyDescent="0.3">
      <c r="A603" t="s">
        <v>2489</v>
      </c>
      <c r="B603" t="s">
        <v>2490</v>
      </c>
      <c r="C603">
        <v>2020</v>
      </c>
      <c r="D603" s="8">
        <f>FLOOR(Table1[[#This Row],[Year]],10)</f>
        <v>2020</v>
      </c>
      <c r="E603" t="s">
        <v>17</v>
      </c>
      <c r="F603">
        <v>109</v>
      </c>
      <c r="G603" t="str">
        <f>IF(Table1[[#This Row],[Runtime_minutes]]&lt;90,"Short",IF(Table1[[#This Row],[Runtime_minutes]]&lt;=120,"Medium","Long"))</f>
        <v>Medium</v>
      </c>
      <c r="H603" t="s">
        <v>375</v>
      </c>
      <c r="K603">
        <v>6.7</v>
      </c>
      <c r="L603">
        <v>75</v>
      </c>
      <c r="M603" t="s">
        <v>381</v>
      </c>
      <c r="N603" t="s">
        <v>50</v>
      </c>
      <c r="O603" t="s">
        <v>2491</v>
      </c>
      <c r="P603">
        <v>100862</v>
      </c>
      <c r="Q603" s="3">
        <v>398.88</v>
      </c>
      <c r="R603" s="3">
        <f>IF(Table1[[#This Row],[Gross_millions]]=" ",0,Table1[[#This Row],[Gross_millions]])</f>
        <v>398.88</v>
      </c>
      <c r="S603" t="str">
        <f>IF(Table1[[#This Row],[Gross_millions_Clean]]&gt;200,"Blockbuster",IF(Table1[[#This Row],[Gross_millions_Clean]]&gt;100,"Hit","Average"))</f>
        <v>Blockbuster</v>
      </c>
    </row>
    <row r="604" spans="1:19" x14ac:dyDescent="0.3">
      <c r="A604" t="s">
        <v>2492</v>
      </c>
      <c r="B604" t="s">
        <v>2493</v>
      </c>
      <c r="C604">
        <v>2017</v>
      </c>
      <c r="D604" s="8">
        <f>FLOOR(Table1[[#This Row],[Year]],10)</f>
        <v>2010</v>
      </c>
      <c r="E604" t="s">
        <v>17</v>
      </c>
      <c r="F604">
        <v>168</v>
      </c>
      <c r="G604" t="str">
        <f>IF(Table1[[#This Row],[Runtime_minutes]]&lt;90,"Short",IF(Table1[[#This Row],[Runtime_minutes]]&lt;=120,"Medium","Long"))</f>
        <v>Long</v>
      </c>
      <c r="H604" t="s">
        <v>453</v>
      </c>
      <c r="I604" t="s">
        <v>3991</v>
      </c>
      <c r="K604">
        <v>6.7</v>
      </c>
      <c r="L604">
        <v>66</v>
      </c>
      <c r="M604" t="s">
        <v>697</v>
      </c>
      <c r="N604" t="s">
        <v>518</v>
      </c>
      <c r="O604" t="s">
        <v>2494</v>
      </c>
      <c r="P604">
        <v>80954</v>
      </c>
      <c r="Q604" s="3">
        <v>447.51</v>
      </c>
      <c r="R604" s="3">
        <f>IF(Table1[[#This Row],[Gross_millions]]=" ",0,Table1[[#This Row],[Gross_millions]])</f>
        <v>447.51</v>
      </c>
      <c r="S604" t="str">
        <f>IF(Table1[[#This Row],[Gross_millions_Clean]]&gt;200,"Blockbuster",IF(Table1[[#This Row],[Gross_millions_Clean]]&gt;100,"Hit","Average"))</f>
        <v>Blockbuster</v>
      </c>
    </row>
    <row r="605" spans="1:19" x14ac:dyDescent="0.3">
      <c r="A605" t="s">
        <v>2495</v>
      </c>
      <c r="B605" t="s">
        <v>2496</v>
      </c>
      <c r="C605">
        <v>1993</v>
      </c>
      <c r="D605" s="8">
        <f>FLOOR(Table1[[#This Row],[Year]],10)</f>
        <v>1990</v>
      </c>
      <c r="E605" t="s">
        <v>17</v>
      </c>
      <c r="F605">
        <v>126</v>
      </c>
      <c r="G605" t="str">
        <f>IF(Table1[[#This Row],[Runtime_minutes]]&lt;90,"Short",IF(Table1[[#This Row],[Runtime_minutes]]&lt;=120,"Medium","Long"))</f>
        <v>Long</v>
      </c>
      <c r="H605" t="s">
        <v>129</v>
      </c>
      <c r="K605">
        <v>6.7</v>
      </c>
      <c r="M605" t="s">
        <v>634</v>
      </c>
      <c r="N605" t="s">
        <v>80</v>
      </c>
      <c r="O605" t="s">
        <v>2497</v>
      </c>
      <c r="P605">
        <v>69251</v>
      </c>
      <c r="Q605" s="3">
        <v>247.66</v>
      </c>
      <c r="R605" s="3">
        <f>IF(Table1[[#This Row],[Gross_millions]]=" ",0,Table1[[#This Row],[Gross_millions]])</f>
        <v>247.66</v>
      </c>
      <c r="S605" t="str">
        <f>IF(Table1[[#This Row],[Gross_millions_Clean]]&gt;200,"Blockbuster",IF(Table1[[#This Row],[Gross_millions_Clean]]&gt;100,"Hit","Average"))</f>
        <v>Blockbuster</v>
      </c>
    </row>
    <row r="606" spans="1:19" x14ac:dyDescent="0.3">
      <c r="A606" t="s">
        <v>2498</v>
      </c>
      <c r="B606" t="s">
        <v>2499</v>
      </c>
      <c r="C606">
        <v>2021</v>
      </c>
      <c r="D606" s="8">
        <f>FLOOR(Table1[[#This Row],[Year]],10)</f>
        <v>2020</v>
      </c>
      <c r="E606" t="s">
        <v>17</v>
      </c>
      <c r="F606">
        <v>101</v>
      </c>
      <c r="G606" t="str">
        <f>IF(Table1[[#This Row],[Runtime_minutes]]&lt;90,"Short",IF(Table1[[#This Row],[Runtime_minutes]]&lt;=120,"Medium","Long"))</f>
        <v>Medium</v>
      </c>
      <c r="H606" t="s">
        <v>230</v>
      </c>
      <c r="K606">
        <v>6.7</v>
      </c>
      <c r="M606" t="s">
        <v>2500</v>
      </c>
      <c r="N606" t="s">
        <v>159</v>
      </c>
      <c r="O606" t="s">
        <v>2501</v>
      </c>
      <c r="P606">
        <v>9754</v>
      </c>
      <c r="Q606" s="3">
        <v>226.61</v>
      </c>
      <c r="R606" s="3">
        <f>IF(Table1[[#This Row],[Gross_millions]]=" ",0,Table1[[#This Row],[Gross_millions]])</f>
        <v>226.61</v>
      </c>
      <c r="S606" t="str">
        <f>IF(Table1[[#This Row],[Gross_millions_Clean]]&gt;200,"Blockbuster",IF(Table1[[#This Row],[Gross_millions_Clean]]&gt;100,"Hit","Average"))</f>
        <v>Blockbuster</v>
      </c>
    </row>
    <row r="607" spans="1:19" x14ac:dyDescent="0.3">
      <c r="A607" t="s">
        <v>2502</v>
      </c>
      <c r="B607" t="s">
        <v>2503</v>
      </c>
      <c r="C607">
        <v>2005</v>
      </c>
      <c r="D607" s="8">
        <f>FLOOR(Table1[[#This Row],[Year]],10)</f>
        <v>2000</v>
      </c>
      <c r="E607" t="s">
        <v>293</v>
      </c>
      <c r="F607">
        <v>134</v>
      </c>
      <c r="G607" t="str">
        <f>IF(Table1[[#This Row],[Runtime_minutes]]&lt;90,"Short",IF(Table1[[#This Row],[Runtime_minutes]]&lt;=120,"Medium","Long"))</f>
        <v>Long</v>
      </c>
      <c r="H607" t="s">
        <v>277</v>
      </c>
      <c r="I607" t="s">
        <v>3983</v>
      </c>
      <c r="K607">
        <v>6.7</v>
      </c>
      <c r="L607">
        <v>68</v>
      </c>
      <c r="M607" t="s">
        <v>395</v>
      </c>
      <c r="N607" t="s">
        <v>483</v>
      </c>
      <c r="O607" t="s">
        <v>2505</v>
      </c>
      <c r="P607">
        <v>519268</v>
      </c>
      <c r="Q607" s="3"/>
      <c r="R607" s="3">
        <f>IF(Table1[[#This Row],[Gross_millions]]=" ",0,Table1[[#This Row],[Gross_millions]])</f>
        <v>0</v>
      </c>
      <c r="S607" t="str">
        <f>IF(Table1[[#This Row],[Gross_millions_Clean]]&gt;200,"Blockbuster",IF(Table1[[#This Row],[Gross_millions_Clean]]&gt;100,"Hit","Average"))</f>
        <v>Average</v>
      </c>
    </row>
    <row r="608" spans="1:19" x14ac:dyDescent="0.3">
      <c r="A608" t="s">
        <v>2506</v>
      </c>
      <c r="B608" t="s">
        <v>2507</v>
      </c>
      <c r="C608">
        <v>2013</v>
      </c>
      <c r="D608" s="8">
        <f>FLOOR(Table1[[#This Row],[Year]],10)</f>
        <v>2010</v>
      </c>
      <c r="E608" t="s">
        <v>17</v>
      </c>
      <c r="F608">
        <v>116</v>
      </c>
      <c r="G608" t="str">
        <f>IF(Table1[[#This Row],[Runtime_minutes]]&lt;90,"Short",IF(Table1[[#This Row],[Runtime_minutes]]&lt;=120,"Medium","Long"))</f>
        <v>Medium</v>
      </c>
      <c r="H608" t="s">
        <v>78</v>
      </c>
      <c r="I608" t="s">
        <v>3979</v>
      </c>
      <c r="K608">
        <v>6.7</v>
      </c>
      <c r="L608">
        <v>74</v>
      </c>
      <c r="M608" t="s">
        <v>2509</v>
      </c>
      <c r="N608" t="s">
        <v>86</v>
      </c>
      <c r="O608" t="s">
        <v>2510</v>
      </c>
      <c r="P608">
        <v>56622</v>
      </c>
      <c r="Q608" s="3">
        <v>217.04</v>
      </c>
      <c r="R608" s="3">
        <f>IF(Table1[[#This Row],[Gross_millions]]=" ",0,Table1[[#This Row],[Gross_millions]])</f>
        <v>217.04</v>
      </c>
      <c r="S608" t="str">
        <f>IF(Table1[[#This Row],[Gross_millions_Clean]]&gt;200,"Blockbuster",IF(Table1[[#This Row],[Gross_millions_Clean]]&gt;100,"Hit","Average"))</f>
        <v>Blockbuster</v>
      </c>
    </row>
    <row r="609" spans="1:19" x14ac:dyDescent="0.3">
      <c r="A609" t="s">
        <v>2511</v>
      </c>
      <c r="B609" t="s">
        <v>2512</v>
      </c>
      <c r="C609">
        <v>2017</v>
      </c>
      <c r="D609" s="8">
        <f>FLOOR(Table1[[#This Row],[Year]],10)</f>
        <v>2010</v>
      </c>
      <c r="E609" t="s">
        <v>285</v>
      </c>
      <c r="F609">
        <v>110</v>
      </c>
      <c r="G609" t="str">
        <f>IF(Table1[[#This Row],[Runtime_minutes]]&lt;90,"Short",IF(Table1[[#This Row],[Runtime_minutes]]&lt;=120,"Medium","Long"))</f>
        <v>Medium</v>
      </c>
      <c r="H609" t="s">
        <v>43</v>
      </c>
      <c r="I609" t="s">
        <v>3989</v>
      </c>
      <c r="J609" t="s">
        <v>3988</v>
      </c>
      <c r="K609">
        <v>6.7</v>
      </c>
      <c r="M609" t="s">
        <v>2514</v>
      </c>
      <c r="N609" t="s">
        <v>315</v>
      </c>
      <c r="O609" t="s">
        <v>2515</v>
      </c>
      <c r="P609">
        <v>2500000</v>
      </c>
      <c r="Q609" s="3">
        <v>316.39</v>
      </c>
      <c r="R609" s="3">
        <f>IF(Table1[[#This Row],[Gross_millions]]=" ",0,Table1[[#This Row],[Gross_millions]])</f>
        <v>316.39</v>
      </c>
      <c r="S609" t="str">
        <f>IF(Table1[[#This Row],[Gross_millions_Clean]]&gt;200,"Blockbuster",IF(Table1[[#This Row],[Gross_millions_Clean]]&gt;100,"Hit","Average"))</f>
        <v>Blockbuster</v>
      </c>
    </row>
    <row r="610" spans="1:19" x14ac:dyDescent="0.3">
      <c r="A610" t="s">
        <v>2516</v>
      </c>
      <c r="B610" t="s">
        <v>2517</v>
      </c>
      <c r="C610">
        <v>2023</v>
      </c>
      <c r="D610" s="8">
        <f>FLOOR(Table1[[#This Row],[Year]],10)</f>
        <v>2020</v>
      </c>
      <c r="E610" t="s">
        <v>24</v>
      </c>
      <c r="F610">
        <v>107</v>
      </c>
      <c r="G610" t="str">
        <f>IF(Table1[[#This Row],[Runtime_minutes]]&lt;90,"Short",IF(Table1[[#This Row],[Runtime_minutes]]&lt;=120,"Medium","Long"))</f>
        <v>Medium</v>
      </c>
      <c r="H610" t="s">
        <v>1044</v>
      </c>
      <c r="I610" t="s">
        <v>3986</v>
      </c>
      <c r="K610">
        <v>6.6</v>
      </c>
      <c r="M610" t="s">
        <v>2518</v>
      </c>
      <c r="N610" t="s">
        <v>68</v>
      </c>
      <c r="O610" t="s">
        <v>2519</v>
      </c>
      <c r="P610">
        <v>29491</v>
      </c>
      <c r="Q610" s="3">
        <v>74.58</v>
      </c>
      <c r="R610" s="3">
        <f>IF(Table1[[#This Row],[Gross_millions]]=" ",0,Table1[[#This Row],[Gross_millions]])</f>
        <v>74.58</v>
      </c>
      <c r="S610" t="str">
        <f>IF(Table1[[#This Row],[Gross_millions_Clean]]&gt;200,"Blockbuster",IF(Table1[[#This Row],[Gross_millions_Clean]]&gt;100,"Hit","Average"))</f>
        <v>Average</v>
      </c>
    </row>
    <row r="611" spans="1:19" x14ac:dyDescent="0.3">
      <c r="A611" t="s">
        <v>2520</v>
      </c>
      <c r="B611" t="s">
        <v>2521</v>
      </c>
      <c r="C611">
        <v>2007</v>
      </c>
      <c r="D611" s="8">
        <f>FLOOR(Table1[[#This Row],[Year]],10)</f>
        <v>2000</v>
      </c>
      <c r="E611" t="s">
        <v>17</v>
      </c>
      <c r="F611">
        <v>105</v>
      </c>
      <c r="G611" t="str">
        <f>IF(Table1[[#This Row],[Runtime_minutes]]&lt;90,"Short",IF(Table1[[#This Row],[Runtime_minutes]]&lt;=120,"Medium","Long"))</f>
        <v>Medium</v>
      </c>
      <c r="H611" t="s">
        <v>230</v>
      </c>
      <c r="I611" t="s">
        <v>3993</v>
      </c>
      <c r="K611">
        <v>6.6</v>
      </c>
      <c r="M611" t="s">
        <v>124</v>
      </c>
      <c r="N611" t="s">
        <v>57</v>
      </c>
      <c r="O611" t="s">
        <v>2522</v>
      </c>
      <c r="P611">
        <v>351367</v>
      </c>
      <c r="Q611" s="3">
        <v>195.26</v>
      </c>
      <c r="R611" s="3">
        <f>IF(Table1[[#This Row],[Gross_millions]]=" ",0,Table1[[#This Row],[Gross_millions]])</f>
        <v>195.26</v>
      </c>
      <c r="S611" t="str">
        <f>IF(Table1[[#This Row],[Gross_millions_Clean]]&gt;200,"Blockbuster",IF(Table1[[#This Row],[Gross_millions_Clean]]&gt;100,"Hit","Average"))</f>
        <v>Hit</v>
      </c>
    </row>
    <row r="612" spans="1:19" x14ac:dyDescent="0.3">
      <c r="A612" t="s">
        <v>2523</v>
      </c>
      <c r="B612" t="s">
        <v>2524</v>
      </c>
      <c r="C612">
        <v>2010</v>
      </c>
      <c r="D612" s="8">
        <f>FLOOR(Table1[[#This Row],[Year]],10)</f>
        <v>2010</v>
      </c>
      <c r="E612" t="s">
        <v>17</v>
      </c>
      <c r="F612">
        <v>121</v>
      </c>
      <c r="G612" t="str">
        <f>IF(Table1[[#This Row],[Runtime_minutes]]&lt;90,"Short",IF(Table1[[#This Row],[Runtime_minutes]]&lt;=120,"Medium","Long"))</f>
        <v>Long</v>
      </c>
      <c r="H612" t="s">
        <v>210</v>
      </c>
      <c r="I612" t="s">
        <v>3987</v>
      </c>
      <c r="K612">
        <v>6.6</v>
      </c>
      <c r="M612" t="s">
        <v>431</v>
      </c>
      <c r="N612" t="s">
        <v>547</v>
      </c>
      <c r="O612" t="s">
        <v>2525</v>
      </c>
      <c r="P612">
        <v>22583</v>
      </c>
      <c r="Q612" s="3"/>
      <c r="R612" s="3">
        <f>IF(Table1[[#This Row],[Gross_millions]]=" ",0,Table1[[#This Row],[Gross_millions]])</f>
        <v>0</v>
      </c>
      <c r="S612" t="str">
        <f>IF(Table1[[#This Row],[Gross_millions_Clean]]&gt;200,"Blockbuster",IF(Table1[[#This Row],[Gross_millions_Clean]]&gt;100,"Hit","Average"))</f>
        <v>Average</v>
      </c>
    </row>
    <row r="613" spans="1:19" x14ac:dyDescent="0.3">
      <c r="A613" t="s">
        <v>2526</v>
      </c>
      <c r="B613" t="s">
        <v>2527</v>
      </c>
      <c r="C613">
        <v>2013</v>
      </c>
      <c r="D613" s="8">
        <f>FLOOR(Table1[[#This Row],[Year]],10)</f>
        <v>2010</v>
      </c>
      <c r="E613" t="s">
        <v>54</v>
      </c>
      <c r="F613">
        <v>151</v>
      </c>
      <c r="G613" t="str">
        <f>IF(Table1[[#This Row],[Runtime_minutes]]&lt;90,"Short",IF(Table1[[#This Row],[Runtime_minutes]]&lt;=120,"Medium","Long"))</f>
        <v>Long</v>
      </c>
      <c r="H613" t="s">
        <v>43</v>
      </c>
      <c r="I613" t="s">
        <v>3990</v>
      </c>
      <c r="K613">
        <v>6.6</v>
      </c>
      <c r="L613">
        <v>74</v>
      </c>
      <c r="M613" t="s">
        <v>1363</v>
      </c>
      <c r="N613" t="s">
        <v>33</v>
      </c>
      <c r="O613" t="s">
        <v>2528</v>
      </c>
      <c r="P613">
        <v>41561</v>
      </c>
      <c r="Q613" s="3"/>
      <c r="R613" s="3">
        <f>IF(Table1[[#This Row],[Gross_millions]]=" ",0,Table1[[#This Row],[Gross_millions]])</f>
        <v>0</v>
      </c>
      <c r="S613" t="str">
        <f>IF(Table1[[#This Row],[Gross_millions_Clean]]&gt;200,"Blockbuster",IF(Table1[[#This Row],[Gross_millions_Clean]]&gt;100,"Hit","Average"))</f>
        <v>Average</v>
      </c>
    </row>
    <row r="614" spans="1:19" x14ac:dyDescent="0.3">
      <c r="A614" t="s">
        <v>2529</v>
      </c>
      <c r="B614" t="s">
        <v>2530</v>
      </c>
      <c r="C614">
        <v>2005</v>
      </c>
      <c r="D614" s="8">
        <f>FLOOR(Table1[[#This Row],[Year]],10)</f>
        <v>2000</v>
      </c>
      <c r="E614" t="s">
        <v>54</v>
      </c>
      <c r="F614">
        <v>107</v>
      </c>
      <c r="G614" t="str">
        <f>IF(Table1[[#This Row],[Runtime_minutes]]&lt;90,"Short",IF(Table1[[#This Row],[Runtime_minutes]]&lt;=120,"Medium","Long"))</f>
        <v>Medium</v>
      </c>
      <c r="H614" t="s">
        <v>129</v>
      </c>
      <c r="I614" t="s">
        <v>3991</v>
      </c>
      <c r="J614" t="s">
        <v>3988</v>
      </c>
      <c r="K614">
        <v>6.6</v>
      </c>
      <c r="M614" t="s">
        <v>2532</v>
      </c>
      <c r="N614" t="s">
        <v>153</v>
      </c>
      <c r="O614" t="s">
        <v>2533</v>
      </c>
      <c r="P614">
        <v>24170</v>
      </c>
      <c r="Q614" s="3"/>
      <c r="R614" s="3">
        <f>IF(Table1[[#This Row],[Gross_millions]]=" ",0,Table1[[#This Row],[Gross_millions]])</f>
        <v>0</v>
      </c>
      <c r="S614" t="str">
        <f>IF(Table1[[#This Row],[Gross_millions_Clean]]&gt;200,"Blockbuster",IF(Table1[[#This Row],[Gross_millions_Clean]]&gt;100,"Hit","Average"))</f>
        <v>Average</v>
      </c>
    </row>
    <row r="615" spans="1:19" x14ac:dyDescent="0.3">
      <c r="A615" t="s">
        <v>2534</v>
      </c>
      <c r="B615" t="s">
        <v>2535</v>
      </c>
      <c r="C615">
        <v>1999</v>
      </c>
      <c r="D615" s="8">
        <f>FLOOR(Table1[[#This Row],[Year]],10)</f>
        <v>1990</v>
      </c>
      <c r="E615" t="s">
        <v>24</v>
      </c>
      <c r="F615">
        <v>131</v>
      </c>
      <c r="G615" t="str">
        <f>IF(Table1[[#This Row],[Runtime_minutes]]&lt;90,"Short",IF(Table1[[#This Row],[Runtime_minutes]]&lt;=120,"Medium","Long"))</f>
        <v>Long</v>
      </c>
      <c r="H615" t="s">
        <v>1044</v>
      </c>
      <c r="K615">
        <v>6.6</v>
      </c>
      <c r="L615">
        <v>79</v>
      </c>
      <c r="M615" t="s">
        <v>164</v>
      </c>
      <c r="N615" t="s">
        <v>103</v>
      </c>
      <c r="O615" t="s">
        <v>2536</v>
      </c>
      <c r="P615">
        <v>104476</v>
      </c>
      <c r="Q615" s="3">
        <v>234.79</v>
      </c>
      <c r="R615" s="3">
        <f>IF(Table1[[#This Row],[Gross_millions]]=" ",0,Table1[[#This Row],[Gross_millions]])</f>
        <v>234.79</v>
      </c>
      <c r="S615" t="str">
        <f>IF(Table1[[#This Row],[Gross_millions_Clean]]&gt;200,"Blockbuster",IF(Table1[[#This Row],[Gross_millions_Clean]]&gt;100,"Hit","Average"))</f>
        <v>Blockbuster</v>
      </c>
    </row>
    <row r="616" spans="1:19" x14ac:dyDescent="0.3">
      <c r="A616" t="s">
        <v>2537</v>
      </c>
      <c r="B616" t="s">
        <v>2538</v>
      </c>
      <c r="C616">
        <v>2018</v>
      </c>
      <c r="D616" s="8">
        <f>FLOOR(Table1[[#This Row],[Year]],10)</f>
        <v>2010</v>
      </c>
      <c r="E616" t="s">
        <v>17</v>
      </c>
      <c r="F616">
        <v>99</v>
      </c>
      <c r="G616" t="str">
        <f>IF(Table1[[#This Row],[Runtime_minutes]]&lt;90,"Short",IF(Table1[[#This Row],[Runtime_minutes]]&lt;=120,"Medium","Long"))</f>
        <v>Medium</v>
      </c>
      <c r="H616" t="s">
        <v>277</v>
      </c>
      <c r="I616" t="s">
        <v>3978</v>
      </c>
      <c r="K616">
        <v>6.6</v>
      </c>
      <c r="M616" t="s">
        <v>278</v>
      </c>
      <c r="N616" t="s">
        <v>483</v>
      </c>
      <c r="O616" t="s">
        <v>2540</v>
      </c>
      <c r="P616">
        <v>4900</v>
      </c>
      <c r="Q616" s="3">
        <v>271.39999999999998</v>
      </c>
      <c r="R616" s="3">
        <f>IF(Table1[[#This Row],[Gross_millions]]=" ",0,Table1[[#This Row],[Gross_millions]])</f>
        <v>271.39999999999998</v>
      </c>
      <c r="S616" t="str">
        <f>IF(Table1[[#This Row],[Gross_millions_Clean]]&gt;200,"Blockbuster",IF(Table1[[#This Row],[Gross_millions_Clean]]&gt;100,"Hit","Average"))</f>
        <v>Blockbuster</v>
      </c>
    </row>
    <row r="617" spans="1:19" x14ac:dyDescent="0.3">
      <c r="A617" t="s">
        <v>2541</v>
      </c>
      <c r="B617" t="s">
        <v>2542</v>
      </c>
      <c r="C617">
        <v>2020</v>
      </c>
      <c r="D617" s="8">
        <f>FLOOR(Table1[[#This Row],[Year]],10)</f>
        <v>2020</v>
      </c>
      <c r="E617" t="s">
        <v>24</v>
      </c>
      <c r="F617">
        <v>137</v>
      </c>
      <c r="G617" t="str">
        <f>IF(Table1[[#This Row],[Runtime_minutes]]&lt;90,"Short",IF(Table1[[#This Row],[Runtime_minutes]]&lt;=120,"Medium","Long"))</f>
        <v>Long</v>
      </c>
      <c r="H617" t="s">
        <v>210</v>
      </c>
      <c r="K617">
        <v>6.6</v>
      </c>
      <c r="L617">
        <v>77</v>
      </c>
      <c r="M617" t="s">
        <v>431</v>
      </c>
      <c r="N617" t="s">
        <v>131</v>
      </c>
      <c r="O617" t="s">
        <v>2543</v>
      </c>
      <c r="P617">
        <v>63408</v>
      </c>
      <c r="Q617" s="3">
        <v>120.42</v>
      </c>
      <c r="R617" s="3">
        <f>IF(Table1[[#This Row],[Gross_millions]]=" ",0,Table1[[#This Row],[Gross_millions]])</f>
        <v>120.42</v>
      </c>
      <c r="S617" t="str">
        <f>IF(Table1[[#This Row],[Gross_millions_Clean]]&gt;200,"Blockbuster",IF(Table1[[#This Row],[Gross_millions_Clean]]&gt;100,"Hit","Average"))</f>
        <v>Hit</v>
      </c>
    </row>
    <row r="618" spans="1:19" x14ac:dyDescent="0.3">
      <c r="A618" t="s">
        <v>2544</v>
      </c>
      <c r="B618" t="s">
        <v>2545</v>
      </c>
      <c r="C618">
        <v>2003</v>
      </c>
      <c r="D618" s="8">
        <f>FLOOR(Table1[[#This Row],[Year]],10)</f>
        <v>2000</v>
      </c>
      <c r="E618" t="s">
        <v>293</v>
      </c>
      <c r="F618">
        <v>95</v>
      </c>
      <c r="G618" t="str">
        <f>IF(Table1[[#This Row],[Runtime_minutes]]&lt;90,"Short",IF(Table1[[#This Row],[Runtime_minutes]]&lt;=120,"Medium","Long"))</f>
        <v>Medium</v>
      </c>
      <c r="H618" t="s">
        <v>1044</v>
      </c>
      <c r="I618" t="s">
        <v>3992</v>
      </c>
      <c r="K618">
        <v>6.6</v>
      </c>
      <c r="L618">
        <v>58</v>
      </c>
      <c r="M618" t="s">
        <v>2547</v>
      </c>
      <c r="N618" t="s">
        <v>33</v>
      </c>
      <c r="O618" t="s">
        <v>2548</v>
      </c>
      <c r="P618">
        <v>16717</v>
      </c>
      <c r="Q618" s="3">
        <v>209.32</v>
      </c>
      <c r="R618" s="3">
        <f>IF(Table1[[#This Row],[Gross_millions]]=" ",0,Table1[[#This Row],[Gross_millions]])</f>
        <v>209.32</v>
      </c>
      <c r="S618" t="str">
        <f>IF(Table1[[#This Row],[Gross_millions_Clean]]&gt;200,"Blockbuster",IF(Table1[[#This Row],[Gross_millions_Clean]]&gt;100,"Hit","Average"))</f>
        <v>Blockbuster</v>
      </c>
    </row>
    <row r="619" spans="1:19" x14ac:dyDescent="0.3">
      <c r="A619" t="s">
        <v>2549</v>
      </c>
      <c r="B619" t="s">
        <v>2550</v>
      </c>
      <c r="C619">
        <v>2021</v>
      </c>
      <c r="D619" s="8">
        <f>FLOOR(Table1[[#This Row],[Year]],10)</f>
        <v>2020</v>
      </c>
      <c r="E619" t="s">
        <v>17</v>
      </c>
      <c r="F619">
        <v>137</v>
      </c>
      <c r="G619" t="str">
        <f>IF(Table1[[#This Row],[Runtime_minutes]]&lt;90,"Short",IF(Table1[[#This Row],[Runtime_minutes]]&lt;=120,"Medium","Long"))</f>
        <v>Long</v>
      </c>
      <c r="H619" t="s">
        <v>78</v>
      </c>
      <c r="I619" t="s">
        <v>3976</v>
      </c>
      <c r="K619">
        <v>6.6</v>
      </c>
      <c r="L619">
        <v>78</v>
      </c>
      <c r="M619" t="s">
        <v>412</v>
      </c>
      <c r="N619" t="s">
        <v>153</v>
      </c>
      <c r="O619" t="s">
        <v>2551</v>
      </c>
      <c r="P619">
        <v>62338</v>
      </c>
      <c r="Q619" s="3"/>
      <c r="R619" s="3">
        <f>IF(Table1[[#This Row],[Gross_millions]]=" ",0,Table1[[#This Row],[Gross_millions]])</f>
        <v>0</v>
      </c>
      <c r="S619" t="str">
        <f>IF(Table1[[#This Row],[Gross_millions_Clean]]&gt;200,"Blockbuster",IF(Table1[[#This Row],[Gross_millions_Clean]]&gt;100,"Hit","Average"))</f>
        <v>Average</v>
      </c>
    </row>
    <row r="620" spans="1:19" x14ac:dyDescent="0.3">
      <c r="A620" t="s">
        <v>2552</v>
      </c>
      <c r="B620" t="s">
        <v>2553</v>
      </c>
      <c r="C620">
        <v>2010</v>
      </c>
      <c r="D620" s="8">
        <f>FLOOR(Table1[[#This Row],[Year]],10)</f>
        <v>2010</v>
      </c>
      <c r="E620" t="s">
        <v>285</v>
      </c>
      <c r="F620">
        <v>142</v>
      </c>
      <c r="G620" t="str">
        <f>IF(Table1[[#This Row],[Runtime_minutes]]&lt;90,"Short",IF(Table1[[#This Row],[Runtime_minutes]]&lt;=120,"Medium","Long"))</f>
        <v>Long</v>
      </c>
      <c r="H620" t="s">
        <v>157</v>
      </c>
      <c r="K620">
        <v>6.6</v>
      </c>
      <c r="L620">
        <v>53</v>
      </c>
      <c r="M620" t="s">
        <v>2554</v>
      </c>
      <c r="N620" t="s">
        <v>547</v>
      </c>
      <c r="O620" t="s">
        <v>2555</v>
      </c>
      <c r="P620">
        <v>11386</v>
      </c>
      <c r="Q620" s="3">
        <v>118.19</v>
      </c>
      <c r="R620" s="3">
        <f>IF(Table1[[#This Row],[Gross_millions]]=" ",0,Table1[[#This Row],[Gross_millions]])</f>
        <v>118.19</v>
      </c>
      <c r="S620" t="str">
        <f>IF(Table1[[#This Row],[Gross_millions_Clean]]&gt;200,"Blockbuster",IF(Table1[[#This Row],[Gross_millions_Clean]]&gt;100,"Hit","Average"))</f>
        <v>Hit</v>
      </c>
    </row>
    <row r="621" spans="1:19" x14ac:dyDescent="0.3">
      <c r="A621" t="s">
        <v>2556</v>
      </c>
      <c r="B621" t="s">
        <v>2557</v>
      </c>
      <c r="C621">
        <v>2022</v>
      </c>
      <c r="D621" s="8">
        <f>FLOOR(Table1[[#This Row],[Year]],10)</f>
        <v>2020</v>
      </c>
      <c r="E621" t="s">
        <v>24</v>
      </c>
      <c r="F621">
        <v>134</v>
      </c>
      <c r="G621" t="str">
        <f>IF(Table1[[#This Row],[Runtime_minutes]]&lt;90,"Short",IF(Table1[[#This Row],[Runtime_minutes]]&lt;=120,"Medium","Long"))</f>
        <v>Long</v>
      </c>
      <c r="H621" t="s">
        <v>868</v>
      </c>
      <c r="I621" t="s">
        <v>3984</v>
      </c>
      <c r="J621" t="s">
        <v>3991</v>
      </c>
      <c r="K621">
        <v>6.6</v>
      </c>
      <c r="L621">
        <v>77</v>
      </c>
      <c r="M621" t="s">
        <v>350</v>
      </c>
      <c r="N621" t="s">
        <v>221</v>
      </c>
      <c r="O621" t="s">
        <v>2559</v>
      </c>
      <c r="P621">
        <v>529607</v>
      </c>
      <c r="Q621" s="3">
        <v>413.19</v>
      </c>
      <c r="R621" s="3">
        <f>IF(Table1[[#This Row],[Gross_millions]]=" ",0,Table1[[#This Row],[Gross_millions]])</f>
        <v>413.19</v>
      </c>
      <c r="S621" t="str">
        <f>IF(Table1[[#This Row],[Gross_millions_Clean]]&gt;200,"Blockbuster",IF(Table1[[#This Row],[Gross_millions_Clean]]&gt;100,"Hit","Average"))</f>
        <v>Blockbuster</v>
      </c>
    </row>
    <row r="622" spans="1:19" x14ac:dyDescent="0.3">
      <c r="A622" t="s">
        <v>2560</v>
      </c>
      <c r="B622" t="s">
        <v>2561</v>
      </c>
      <c r="C622">
        <v>2022</v>
      </c>
      <c r="D622" s="8">
        <f>FLOOR(Table1[[#This Row],[Year]],10)</f>
        <v>2020</v>
      </c>
      <c r="E622" t="s">
        <v>54</v>
      </c>
      <c r="F622">
        <v>115</v>
      </c>
      <c r="G622" t="str">
        <f>IF(Table1[[#This Row],[Runtime_minutes]]&lt;90,"Short",IF(Table1[[#This Row],[Runtime_minutes]]&lt;=120,"Medium","Long"))</f>
        <v>Medium</v>
      </c>
      <c r="H622" t="s">
        <v>868</v>
      </c>
      <c r="I622" t="s">
        <v>3976</v>
      </c>
      <c r="K622">
        <v>6.6</v>
      </c>
      <c r="M622" t="s">
        <v>355</v>
      </c>
      <c r="N622" t="s">
        <v>74</v>
      </c>
      <c r="O622" t="s">
        <v>2562</v>
      </c>
      <c r="P622">
        <v>94950</v>
      </c>
      <c r="Q622" s="3">
        <v>330.77</v>
      </c>
      <c r="R622" s="3">
        <f>IF(Table1[[#This Row],[Gross_millions]]=" ",0,Table1[[#This Row],[Gross_millions]])</f>
        <v>330.77</v>
      </c>
      <c r="S622" t="str">
        <f>IF(Table1[[#This Row],[Gross_millions_Clean]]&gt;200,"Blockbuster",IF(Table1[[#This Row],[Gross_millions_Clean]]&gt;100,"Hit","Average"))</f>
        <v>Blockbuster</v>
      </c>
    </row>
    <row r="623" spans="1:19" x14ac:dyDescent="0.3">
      <c r="A623" t="s">
        <v>2563</v>
      </c>
      <c r="B623" t="s">
        <v>2564</v>
      </c>
      <c r="C623">
        <v>2008</v>
      </c>
      <c r="D623" s="8">
        <f>FLOOR(Table1[[#This Row],[Year]],10)</f>
        <v>2000</v>
      </c>
      <c r="E623" t="s">
        <v>54</v>
      </c>
      <c r="F623">
        <v>143</v>
      </c>
      <c r="G623" t="str">
        <f>IF(Table1[[#This Row],[Runtime_minutes]]&lt;90,"Short",IF(Table1[[#This Row],[Runtime_minutes]]&lt;=120,"Medium","Long"))</f>
        <v>Long</v>
      </c>
      <c r="H623" t="s">
        <v>277</v>
      </c>
      <c r="I623" t="s">
        <v>3993</v>
      </c>
      <c r="J623" t="s">
        <v>3983</v>
      </c>
      <c r="K623">
        <v>6.6</v>
      </c>
      <c r="L623">
        <v>60</v>
      </c>
      <c r="M623" t="s">
        <v>395</v>
      </c>
      <c r="N623" t="s">
        <v>39</v>
      </c>
      <c r="O623" t="s">
        <v>2566</v>
      </c>
      <c r="P623">
        <v>56094</v>
      </c>
      <c r="Q623" s="3">
        <v>275.58</v>
      </c>
      <c r="R623" s="3">
        <f>IF(Table1[[#This Row],[Gross_millions]]=" ",0,Table1[[#This Row],[Gross_millions]])</f>
        <v>275.58</v>
      </c>
      <c r="S623" t="str">
        <f>IF(Table1[[#This Row],[Gross_millions_Clean]]&gt;200,"Blockbuster",IF(Table1[[#This Row],[Gross_millions_Clean]]&gt;100,"Hit","Average"))</f>
        <v>Blockbuster</v>
      </c>
    </row>
    <row r="624" spans="1:19" x14ac:dyDescent="0.3">
      <c r="A624" t="s">
        <v>2567</v>
      </c>
      <c r="B624" t="s">
        <v>2568</v>
      </c>
      <c r="C624">
        <v>2010</v>
      </c>
      <c r="D624" s="8">
        <f>FLOOR(Table1[[#This Row],[Year]],10)</f>
        <v>2010</v>
      </c>
      <c r="E624" t="s">
        <v>17</v>
      </c>
      <c r="F624">
        <v>104</v>
      </c>
      <c r="G624" t="str">
        <f>IF(Table1[[#This Row],[Runtime_minutes]]&lt;90,"Short",IF(Table1[[#This Row],[Runtime_minutes]]&lt;=120,"Medium","Long"))</f>
        <v>Medium</v>
      </c>
      <c r="H624" t="s">
        <v>606</v>
      </c>
      <c r="I624" t="s">
        <v>3983</v>
      </c>
      <c r="K624">
        <v>6.6</v>
      </c>
      <c r="L624">
        <v>54</v>
      </c>
      <c r="M624" t="s">
        <v>1718</v>
      </c>
      <c r="N624" t="s">
        <v>80</v>
      </c>
      <c r="O624" t="s">
        <v>2569</v>
      </c>
      <c r="P624">
        <v>14967</v>
      </c>
      <c r="Q624" s="3"/>
      <c r="R624" s="3">
        <f>IF(Table1[[#This Row],[Gross_millions]]=" ",0,Table1[[#This Row],[Gross_millions]])</f>
        <v>0</v>
      </c>
      <c r="S624" t="str">
        <f>IF(Table1[[#This Row],[Gross_millions_Clean]]&gt;200,"Blockbuster",IF(Table1[[#This Row],[Gross_millions_Clean]]&gt;100,"Hit","Average"))</f>
        <v>Average</v>
      </c>
    </row>
    <row r="625" spans="1:19" x14ac:dyDescent="0.3">
      <c r="A625" t="s">
        <v>2570</v>
      </c>
      <c r="B625" t="s">
        <v>2571</v>
      </c>
      <c r="C625">
        <v>2009</v>
      </c>
      <c r="D625" s="8">
        <f>FLOOR(Table1[[#This Row],[Year]],10)</f>
        <v>2000</v>
      </c>
      <c r="E625" t="s">
        <v>24</v>
      </c>
      <c r="F625">
        <v>93</v>
      </c>
      <c r="G625" t="str">
        <f>IF(Table1[[#This Row],[Runtime_minutes]]&lt;90,"Short",IF(Table1[[#This Row],[Runtime_minutes]]&lt;=120,"Medium","Long"))</f>
        <v>Medium</v>
      </c>
      <c r="H625" t="s">
        <v>43</v>
      </c>
      <c r="I625" t="s">
        <v>3984</v>
      </c>
      <c r="K625">
        <v>6.6</v>
      </c>
      <c r="L625">
        <v>55</v>
      </c>
      <c r="M625" t="s">
        <v>136</v>
      </c>
      <c r="N625" t="s">
        <v>103</v>
      </c>
      <c r="O625" t="s">
        <v>2572</v>
      </c>
      <c r="P625">
        <v>18032</v>
      </c>
      <c r="Q625" s="3">
        <v>110.81</v>
      </c>
      <c r="R625" s="3">
        <f>IF(Table1[[#This Row],[Gross_millions]]=" ",0,Table1[[#This Row],[Gross_millions]])</f>
        <v>110.81</v>
      </c>
      <c r="S625" t="str">
        <f>IF(Table1[[#This Row],[Gross_millions_Clean]]&gt;200,"Blockbuster",IF(Table1[[#This Row],[Gross_millions_Clean]]&gt;100,"Hit","Average"))</f>
        <v>Hit</v>
      </c>
    </row>
    <row r="626" spans="1:19" x14ac:dyDescent="0.3">
      <c r="A626" t="s">
        <v>2573</v>
      </c>
      <c r="B626" t="s">
        <v>2574</v>
      </c>
      <c r="C626">
        <v>2003</v>
      </c>
      <c r="D626" s="8">
        <f>FLOOR(Table1[[#This Row],[Year]],10)</f>
        <v>2000</v>
      </c>
      <c r="E626" t="s">
        <v>17</v>
      </c>
      <c r="F626">
        <v>156</v>
      </c>
      <c r="G626" t="str">
        <f>IF(Table1[[#This Row],[Runtime_minutes]]&lt;90,"Short",IF(Table1[[#This Row],[Runtime_minutes]]&lt;=120,"Medium","Long"))</f>
        <v>Long</v>
      </c>
      <c r="H626" t="s">
        <v>37</v>
      </c>
      <c r="I626" t="s">
        <v>3988</v>
      </c>
      <c r="K626">
        <v>6.6</v>
      </c>
      <c r="M626" t="s">
        <v>561</v>
      </c>
      <c r="N626" t="s">
        <v>147</v>
      </c>
      <c r="O626" t="s">
        <v>2575</v>
      </c>
      <c r="P626">
        <v>16790</v>
      </c>
      <c r="Q626" s="3">
        <v>212.08</v>
      </c>
      <c r="R626" s="3">
        <f>IF(Table1[[#This Row],[Gross_millions]]=" ",0,Table1[[#This Row],[Gross_millions]])</f>
        <v>212.08</v>
      </c>
      <c r="S626" t="str">
        <f>IF(Table1[[#This Row],[Gross_millions_Clean]]&gt;200,"Blockbuster",IF(Table1[[#This Row],[Gross_millions_Clean]]&gt;100,"Hit","Average"))</f>
        <v>Blockbuster</v>
      </c>
    </row>
    <row r="627" spans="1:19" x14ac:dyDescent="0.3">
      <c r="A627" t="s">
        <v>2576</v>
      </c>
      <c r="B627" t="s">
        <v>2577</v>
      </c>
      <c r="C627">
        <v>2012</v>
      </c>
      <c r="D627" s="8">
        <f>FLOOR(Table1[[#This Row],[Year]],10)</f>
        <v>2010</v>
      </c>
      <c r="E627" t="s">
        <v>54</v>
      </c>
      <c r="F627">
        <v>149</v>
      </c>
      <c r="G627" t="str">
        <f>IF(Table1[[#This Row],[Runtime_minutes]]&lt;90,"Short",IF(Table1[[#This Row],[Runtime_minutes]]&lt;=120,"Medium","Long"))</f>
        <v>Long</v>
      </c>
      <c r="H627" t="s">
        <v>230</v>
      </c>
      <c r="I627" t="s">
        <v>3983</v>
      </c>
      <c r="J627" t="s">
        <v>3979</v>
      </c>
      <c r="K627">
        <v>6.6</v>
      </c>
      <c r="M627" t="s">
        <v>124</v>
      </c>
      <c r="N627" t="s">
        <v>63</v>
      </c>
      <c r="O627" t="s">
        <v>2579</v>
      </c>
      <c r="P627">
        <v>21947</v>
      </c>
      <c r="Q627" s="3">
        <v>297.22000000000003</v>
      </c>
      <c r="R627" s="3">
        <f>IF(Table1[[#This Row],[Gross_millions]]=" ",0,Table1[[#This Row],[Gross_millions]])</f>
        <v>297.22000000000003</v>
      </c>
      <c r="S627" t="str">
        <f>IF(Table1[[#This Row],[Gross_millions_Clean]]&gt;200,"Blockbuster",IF(Table1[[#This Row],[Gross_millions_Clean]]&gt;100,"Hit","Average"))</f>
        <v>Blockbuster</v>
      </c>
    </row>
    <row r="628" spans="1:19" x14ac:dyDescent="0.3">
      <c r="A628" t="s">
        <v>2580</v>
      </c>
      <c r="B628" t="s">
        <v>2581</v>
      </c>
      <c r="C628">
        <v>2024</v>
      </c>
      <c r="D628" s="8">
        <f>FLOOR(Table1[[#This Row],[Year]],10)</f>
        <v>2020</v>
      </c>
      <c r="E628" t="s">
        <v>169</v>
      </c>
      <c r="F628">
        <v>94</v>
      </c>
      <c r="G628" t="str">
        <f>IF(Table1[[#This Row],[Runtime_minutes]]&lt;90,"Short",IF(Table1[[#This Row],[Runtime_minutes]]&lt;=120,"Medium","Long"))</f>
        <v>Medium</v>
      </c>
      <c r="H628" t="s">
        <v>72</v>
      </c>
      <c r="I628" t="s">
        <v>3991</v>
      </c>
      <c r="K628">
        <v>6.6</v>
      </c>
      <c r="L628">
        <v>69</v>
      </c>
      <c r="M628" t="s">
        <v>1155</v>
      </c>
      <c r="N628" t="s">
        <v>27</v>
      </c>
      <c r="O628" t="s">
        <v>2583</v>
      </c>
      <c r="P628">
        <v>37694</v>
      </c>
      <c r="Q628" s="3"/>
      <c r="R628" s="3">
        <f>IF(Table1[[#This Row],[Gross_millions]]=" ",0,Table1[[#This Row],[Gross_millions]])</f>
        <v>0</v>
      </c>
      <c r="S628" t="str">
        <f>IF(Table1[[#This Row],[Gross_millions_Clean]]&gt;200,"Blockbuster",IF(Table1[[#This Row],[Gross_millions_Clean]]&gt;100,"Hit","Average"))</f>
        <v>Average</v>
      </c>
    </row>
    <row r="629" spans="1:19" x14ac:dyDescent="0.3">
      <c r="A629" t="s">
        <v>2584</v>
      </c>
      <c r="B629" t="s">
        <v>2585</v>
      </c>
      <c r="C629">
        <v>2002</v>
      </c>
      <c r="D629" s="8">
        <f>FLOOR(Table1[[#This Row],[Year]],10)</f>
        <v>2000</v>
      </c>
      <c r="E629" t="s">
        <v>17</v>
      </c>
      <c r="F629">
        <v>75</v>
      </c>
      <c r="G629" t="str">
        <f>IF(Table1[[#This Row],[Runtime_minutes]]&lt;90,"Short",IF(Table1[[#This Row],[Runtime_minutes]]&lt;=120,"Medium","Long"))</f>
        <v>Short</v>
      </c>
      <c r="H629" t="s">
        <v>37</v>
      </c>
      <c r="I629" t="s">
        <v>3990</v>
      </c>
      <c r="K629">
        <v>6.6</v>
      </c>
      <c r="L629">
        <v>77</v>
      </c>
      <c r="M629" t="s">
        <v>38</v>
      </c>
      <c r="N629" t="s">
        <v>119</v>
      </c>
      <c r="O629" t="s">
        <v>2586</v>
      </c>
      <c r="P629">
        <v>16695</v>
      </c>
      <c r="Q629" s="3">
        <v>443.54</v>
      </c>
      <c r="R629" s="3">
        <f>IF(Table1[[#This Row],[Gross_millions]]=" ",0,Table1[[#This Row],[Gross_millions]])</f>
        <v>443.54</v>
      </c>
      <c r="S629" t="str">
        <f>IF(Table1[[#This Row],[Gross_millions_Clean]]&gt;200,"Blockbuster",IF(Table1[[#This Row],[Gross_millions_Clean]]&gt;100,"Hit","Average"))</f>
        <v>Blockbuster</v>
      </c>
    </row>
    <row r="630" spans="1:19" x14ac:dyDescent="0.3">
      <c r="A630" t="s">
        <v>2587</v>
      </c>
      <c r="B630" t="s">
        <v>2588</v>
      </c>
      <c r="C630">
        <v>2010</v>
      </c>
      <c r="D630" s="8">
        <f>FLOOR(Table1[[#This Row],[Year]],10)</f>
        <v>2010</v>
      </c>
      <c r="E630" t="s">
        <v>17</v>
      </c>
      <c r="F630">
        <v>112</v>
      </c>
      <c r="G630" t="str">
        <f>IF(Table1[[#This Row],[Runtime_minutes]]&lt;90,"Short",IF(Table1[[#This Row],[Runtime_minutes]]&lt;=120,"Medium","Long"))</f>
        <v>Medium</v>
      </c>
      <c r="H630" t="s">
        <v>72</v>
      </c>
      <c r="I630" t="s">
        <v>3988</v>
      </c>
      <c r="K630">
        <v>6.6</v>
      </c>
      <c r="L630">
        <v>55</v>
      </c>
      <c r="M630" t="s">
        <v>2590</v>
      </c>
      <c r="N630" t="s">
        <v>196</v>
      </c>
      <c r="O630" t="s">
        <v>2591</v>
      </c>
      <c r="P630">
        <v>469429</v>
      </c>
      <c r="Q630" s="3">
        <v>392.75</v>
      </c>
      <c r="R630" s="3">
        <f>IF(Table1[[#This Row],[Gross_millions]]=" ",0,Table1[[#This Row],[Gross_millions]])</f>
        <v>392.75</v>
      </c>
      <c r="S630" t="str">
        <f>IF(Table1[[#This Row],[Gross_millions_Clean]]&gt;200,"Blockbuster",IF(Table1[[#This Row],[Gross_millions_Clean]]&gt;100,"Hit","Average"))</f>
        <v>Blockbuster</v>
      </c>
    </row>
    <row r="631" spans="1:19" x14ac:dyDescent="0.3">
      <c r="A631" t="s">
        <v>2592</v>
      </c>
      <c r="B631" t="s">
        <v>2593</v>
      </c>
      <c r="C631">
        <v>2000</v>
      </c>
      <c r="D631" s="8">
        <f>FLOOR(Table1[[#This Row],[Year]],10)</f>
        <v>2000</v>
      </c>
      <c r="E631" t="s">
        <v>54</v>
      </c>
      <c r="F631">
        <v>105</v>
      </c>
      <c r="G631" t="str">
        <f>IF(Table1[[#This Row],[Runtime_minutes]]&lt;90,"Short",IF(Table1[[#This Row],[Runtime_minutes]]&lt;=120,"Medium","Long"))</f>
        <v>Medium</v>
      </c>
      <c r="H631" t="s">
        <v>55</v>
      </c>
      <c r="I631" t="s">
        <v>3983</v>
      </c>
      <c r="K631">
        <v>6.6</v>
      </c>
      <c r="M631" t="s">
        <v>2594</v>
      </c>
      <c r="N631" t="s">
        <v>57</v>
      </c>
      <c r="O631" t="s">
        <v>2595</v>
      </c>
      <c r="P631">
        <v>95450</v>
      </c>
      <c r="Q631" s="3">
        <v>86.68</v>
      </c>
      <c r="R631" s="3">
        <f>IF(Table1[[#This Row],[Gross_millions]]=" ",0,Table1[[#This Row],[Gross_millions]])</f>
        <v>86.68</v>
      </c>
      <c r="S631" t="str">
        <f>IF(Table1[[#This Row],[Gross_millions_Clean]]&gt;200,"Blockbuster",IF(Table1[[#This Row],[Gross_millions_Clean]]&gt;100,"Hit","Average"))</f>
        <v>Average</v>
      </c>
    </row>
    <row r="632" spans="1:19" x14ac:dyDescent="0.3">
      <c r="A632" t="s">
        <v>2596</v>
      </c>
      <c r="B632" t="s">
        <v>2597</v>
      </c>
      <c r="C632">
        <v>2013</v>
      </c>
      <c r="D632" s="8">
        <f>FLOOR(Table1[[#This Row],[Year]],10)</f>
        <v>2010</v>
      </c>
      <c r="E632" t="s">
        <v>24</v>
      </c>
      <c r="F632">
        <v>119</v>
      </c>
      <c r="G632" t="str">
        <f>IF(Table1[[#This Row],[Runtime_minutes]]&lt;90,"Short",IF(Table1[[#This Row],[Runtime_minutes]]&lt;=120,"Medium","Long"))</f>
        <v>Medium</v>
      </c>
      <c r="H632" t="s">
        <v>767</v>
      </c>
      <c r="I632" t="s">
        <v>3985</v>
      </c>
      <c r="K632">
        <v>6.6</v>
      </c>
      <c r="L632">
        <v>78</v>
      </c>
      <c r="M632" t="s">
        <v>2598</v>
      </c>
      <c r="N632" t="s">
        <v>221</v>
      </c>
      <c r="O632" t="s">
        <v>2599</v>
      </c>
      <c r="P632">
        <v>30338</v>
      </c>
      <c r="Q632" s="3">
        <v>84.72</v>
      </c>
      <c r="R632" s="3">
        <f>IF(Table1[[#This Row],[Gross_millions]]=" ",0,Table1[[#This Row],[Gross_millions]])</f>
        <v>84.72</v>
      </c>
      <c r="S632" t="str">
        <f>IF(Table1[[#This Row],[Gross_millions_Clean]]&gt;200,"Blockbuster",IF(Table1[[#This Row],[Gross_millions_Clean]]&gt;100,"Hit","Average"))</f>
        <v>Average</v>
      </c>
    </row>
    <row r="633" spans="1:19" x14ac:dyDescent="0.3">
      <c r="A633" t="s">
        <v>2600</v>
      </c>
      <c r="B633" t="s">
        <v>2601</v>
      </c>
      <c r="C633">
        <v>2024</v>
      </c>
      <c r="D633" s="8">
        <f>FLOOR(Table1[[#This Row],[Year]],10)</f>
        <v>2020</v>
      </c>
      <c r="E633" t="s">
        <v>17</v>
      </c>
      <c r="F633">
        <v>131</v>
      </c>
      <c r="G633" t="str">
        <f>IF(Table1[[#This Row],[Runtime_minutes]]&lt;90,"Short",IF(Table1[[#This Row],[Runtime_minutes]]&lt;=120,"Medium","Long"))</f>
        <v>Long</v>
      </c>
      <c r="H633" t="s">
        <v>48</v>
      </c>
      <c r="K633">
        <v>6.6</v>
      </c>
      <c r="L633">
        <v>67</v>
      </c>
      <c r="M633" t="s">
        <v>2602</v>
      </c>
      <c r="N633" t="s">
        <v>221</v>
      </c>
      <c r="O633" t="s">
        <v>2603</v>
      </c>
      <c r="P633">
        <v>14197</v>
      </c>
      <c r="Q633" s="3">
        <v>363.18</v>
      </c>
      <c r="R633" s="3">
        <f>IF(Table1[[#This Row],[Gross_millions]]=" ",0,Table1[[#This Row],[Gross_millions]])</f>
        <v>363.18</v>
      </c>
      <c r="S633" t="str">
        <f>IF(Table1[[#This Row],[Gross_millions_Clean]]&gt;200,"Blockbuster",IF(Table1[[#This Row],[Gross_millions_Clean]]&gt;100,"Hit","Average"))</f>
        <v>Blockbuster</v>
      </c>
    </row>
    <row r="634" spans="1:19" x14ac:dyDescent="0.3">
      <c r="A634" t="s">
        <v>2604</v>
      </c>
      <c r="B634" t="s">
        <v>2605</v>
      </c>
      <c r="C634">
        <v>2022</v>
      </c>
      <c r="D634" s="8">
        <f>FLOOR(Table1[[#This Row],[Year]],10)</f>
        <v>2020</v>
      </c>
      <c r="E634" t="s">
        <v>54</v>
      </c>
      <c r="F634">
        <v>128</v>
      </c>
      <c r="G634" t="str">
        <f>IF(Table1[[#This Row],[Runtime_minutes]]&lt;90,"Short",IF(Table1[[#This Row],[Runtime_minutes]]&lt;=120,"Medium","Long"))</f>
        <v>Long</v>
      </c>
      <c r="H634" t="s">
        <v>1044</v>
      </c>
      <c r="K634">
        <v>6.6</v>
      </c>
      <c r="M634" t="s">
        <v>2606</v>
      </c>
      <c r="N634" t="s">
        <v>608</v>
      </c>
      <c r="O634" t="s">
        <v>2607</v>
      </c>
      <c r="P634">
        <v>164203</v>
      </c>
      <c r="Q634" s="3"/>
      <c r="R634" s="3">
        <f>IF(Table1[[#This Row],[Gross_millions]]=" ",0,Table1[[#This Row],[Gross_millions]])</f>
        <v>0</v>
      </c>
      <c r="S634" t="str">
        <f>IF(Table1[[#This Row],[Gross_millions_Clean]]&gt;200,"Blockbuster",IF(Table1[[#This Row],[Gross_millions_Clean]]&gt;100,"Hit","Average"))</f>
        <v>Average</v>
      </c>
    </row>
    <row r="635" spans="1:19" x14ac:dyDescent="0.3">
      <c r="A635" t="s">
        <v>2608</v>
      </c>
      <c r="B635" t="s">
        <v>2609</v>
      </c>
      <c r="C635">
        <v>2022</v>
      </c>
      <c r="D635" s="8">
        <f>FLOOR(Table1[[#This Row],[Year]],10)</f>
        <v>2020</v>
      </c>
      <c r="E635" t="s">
        <v>17</v>
      </c>
      <c r="F635">
        <v>109</v>
      </c>
      <c r="G635" t="str">
        <f>IF(Table1[[#This Row],[Runtime_minutes]]&lt;90,"Short",IF(Table1[[#This Row],[Runtime_minutes]]&lt;=120,"Medium","Long"))</f>
        <v>Medium</v>
      </c>
      <c r="H635" t="s">
        <v>767</v>
      </c>
      <c r="I635" t="s">
        <v>3985</v>
      </c>
      <c r="K635">
        <v>6.6</v>
      </c>
      <c r="L635">
        <v>60</v>
      </c>
      <c r="M635" t="s">
        <v>2610</v>
      </c>
      <c r="N635" t="s">
        <v>137</v>
      </c>
      <c r="O635" t="s">
        <v>2611</v>
      </c>
      <c r="P635">
        <v>13473</v>
      </c>
      <c r="Q635" s="3">
        <v>450.61</v>
      </c>
      <c r="R635" s="3">
        <f>IF(Table1[[#This Row],[Gross_millions]]=" ",0,Table1[[#This Row],[Gross_millions]])</f>
        <v>450.61</v>
      </c>
      <c r="S635" t="str">
        <f>IF(Table1[[#This Row],[Gross_millions_Clean]]&gt;200,"Blockbuster",IF(Table1[[#This Row],[Gross_millions_Clean]]&gt;100,"Hit","Average"))</f>
        <v>Blockbuster</v>
      </c>
    </row>
    <row r="636" spans="1:19" x14ac:dyDescent="0.3">
      <c r="A636" t="s">
        <v>2612</v>
      </c>
      <c r="B636" t="s">
        <v>2613</v>
      </c>
      <c r="C636">
        <v>2000</v>
      </c>
      <c r="D636" s="8">
        <f>FLOOR(Table1[[#This Row],[Year]],10)</f>
        <v>2000</v>
      </c>
      <c r="E636" t="s">
        <v>293</v>
      </c>
      <c r="F636">
        <v>70</v>
      </c>
      <c r="G636" t="str">
        <f>IF(Table1[[#This Row],[Runtime_minutes]]&lt;90,"Short",IF(Table1[[#This Row],[Runtime_minutes]]&lt;=120,"Medium","Long"))</f>
        <v>Short</v>
      </c>
      <c r="H636" t="s">
        <v>55</v>
      </c>
      <c r="I636" t="s">
        <v>3982</v>
      </c>
      <c r="K636">
        <v>6.6</v>
      </c>
      <c r="L636">
        <v>60</v>
      </c>
      <c r="M636" t="s">
        <v>2615</v>
      </c>
      <c r="N636" t="s">
        <v>236</v>
      </c>
      <c r="O636" t="s">
        <v>2616</v>
      </c>
      <c r="P636">
        <v>2233148</v>
      </c>
      <c r="Q636" s="3">
        <v>114.4</v>
      </c>
      <c r="R636" s="3">
        <f>IF(Table1[[#This Row],[Gross_millions]]=" ",0,Table1[[#This Row],[Gross_millions]])</f>
        <v>114.4</v>
      </c>
      <c r="S636" t="str">
        <f>IF(Table1[[#This Row],[Gross_millions_Clean]]&gt;200,"Blockbuster",IF(Table1[[#This Row],[Gross_millions_Clean]]&gt;100,"Hit","Average"))</f>
        <v>Hit</v>
      </c>
    </row>
    <row r="637" spans="1:19" x14ac:dyDescent="0.3">
      <c r="A637" t="s">
        <v>2617</v>
      </c>
      <c r="B637" t="s">
        <v>2618</v>
      </c>
      <c r="C637">
        <v>2009</v>
      </c>
      <c r="D637" s="8">
        <f>FLOOR(Table1[[#This Row],[Year]],10)</f>
        <v>2000</v>
      </c>
      <c r="E637" t="s">
        <v>24</v>
      </c>
      <c r="F637">
        <v>127</v>
      </c>
      <c r="G637" t="str">
        <f>IF(Table1[[#This Row],[Runtime_minutes]]&lt;90,"Short",IF(Table1[[#This Row],[Runtime_minutes]]&lt;=120,"Medium","Long"))</f>
        <v>Long</v>
      </c>
      <c r="H637" t="s">
        <v>78</v>
      </c>
      <c r="K637">
        <v>6.6</v>
      </c>
      <c r="M637" t="s">
        <v>305</v>
      </c>
      <c r="N637" t="s">
        <v>27</v>
      </c>
      <c r="O637" t="s">
        <v>2619</v>
      </c>
      <c r="P637">
        <v>833353</v>
      </c>
      <c r="Q637" s="3">
        <v>22.81</v>
      </c>
      <c r="R637" s="3">
        <f>IF(Table1[[#This Row],[Gross_millions]]=" ",0,Table1[[#This Row],[Gross_millions]])</f>
        <v>22.81</v>
      </c>
      <c r="S637" t="str">
        <f>IF(Table1[[#This Row],[Gross_millions_Clean]]&gt;200,"Blockbuster",IF(Table1[[#This Row],[Gross_millions_Clean]]&gt;100,"Hit","Average"))</f>
        <v>Average</v>
      </c>
    </row>
    <row r="638" spans="1:19" x14ac:dyDescent="0.3">
      <c r="A638" t="s">
        <v>2620</v>
      </c>
      <c r="B638" t="s">
        <v>2621</v>
      </c>
      <c r="C638">
        <v>2009</v>
      </c>
      <c r="D638" s="8">
        <f>FLOOR(Table1[[#This Row],[Year]],10)</f>
        <v>2000</v>
      </c>
      <c r="E638" t="s">
        <v>54</v>
      </c>
      <c r="F638">
        <v>126</v>
      </c>
      <c r="G638" t="str">
        <f>IF(Table1[[#This Row],[Runtime_minutes]]&lt;90,"Short",IF(Table1[[#This Row],[Runtime_minutes]]&lt;=120,"Medium","Long"))</f>
        <v>Long</v>
      </c>
      <c r="H638" t="s">
        <v>1044</v>
      </c>
      <c r="I638" t="s">
        <v>3976</v>
      </c>
      <c r="K638">
        <v>6.6</v>
      </c>
      <c r="L638">
        <v>62</v>
      </c>
      <c r="M638" t="s">
        <v>164</v>
      </c>
      <c r="N638" t="s">
        <v>39</v>
      </c>
      <c r="O638" t="s">
        <v>2623</v>
      </c>
      <c r="P638">
        <v>38649</v>
      </c>
      <c r="Q638" s="3">
        <v>484.78</v>
      </c>
      <c r="R638" s="3">
        <f>IF(Table1[[#This Row],[Gross_millions]]=" ",0,Table1[[#This Row],[Gross_millions]])</f>
        <v>484.78</v>
      </c>
      <c r="S638" t="str">
        <f>IF(Table1[[#This Row],[Gross_millions_Clean]]&gt;200,"Blockbuster",IF(Table1[[#This Row],[Gross_millions_Clean]]&gt;100,"Hit","Average"))</f>
        <v>Blockbuster</v>
      </c>
    </row>
    <row r="639" spans="1:19" x14ac:dyDescent="0.3">
      <c r="A639" t="s">
        <v>2624</v>
      </c>
      <c r="B639" t="s">
        <v>2625</v>
      </c>
      <c r="C639">
        <v>2023</v>
      </c>
      <c r="D639" s="8">
        <f>FLOOR(Table1[[#This Row],[Year]],10)</f>
        <v>2020</v>
      </c>
      <c r="E639" t="s">
        <v>24</v>
      </c>
      <c r="F639">
        <v>105</v>
      </c>
      <c r="G639" t="str">
        <f>IF(Table1[[#This Row],[Runtime_minutes]]&lt;90,"Short",IF(Table1[[#This Row],[Runtime_minutes]]&lt;=120,"Medium","Long"))</f>
        <v>Medium</v>
      </c>
      <c r="H639" t="s">
        <v>43</v>
      </c>
      <c r="I639" t="s">
        <v>3979</v>
      </c>
      <c r="K639">
        <v>6.6</v>
      </c>
      <c r="L639">
        <v>78</v>
      </c>
      <c r="M639" t="s">
        <v>136</v>
      </c>
      <c r="N639" t="s">
        <v>326</v>
      </c>
      <c r="O639" t="s">
        <v>2627</v>
      </c>
      <c r="P639">
        <v>470859</v>
      </c>
      <c r="Q639" s="3">
        <v>73.459999999999994</v>
      </c>
      <c r="R639" s="3">
        <f>IF(Table1[[#This Row],[Gross_millions]]=" ",0,Table1[[#This Row],[Gross_millions]])</f>
        <v>73.459999999999994</v>
      </c>
      <c r="S639" t="str">
        <f>IF(Table1[[#This Row],[Gross_millions_Clean]]&gt;200,"Blockbuster",IF(Table1[[#This Row],[Gross_millions_Clean]]&gt;100,"Hit","Average"))</f>
        <v>Average</v>
      </c>
    </row>
    <row r="640" spans="1:19" x14ac:dyDescent="0.3">
      <c r="A640" t="s">
        <v>2628</v>
      </c>
      <c r="B640" t="s">
        <v>2629</v>
      </c>
      <c r="C640">
        <v>1999</v>
      </c>
      <c r="D640" s="8">
        <f>FLOOR(Table1[[#This Row],[Year]],10)</f>
        <v>1990</v>
      </c>
      <c r="E640" t="s">
        <v>24</v>
      </c>
      <c r="F640">
        <v>152</v>
      </c>
      <c r="G640" t="str">
        <f>IF(Table1[[#This Row],[Runtime_minutes]]&lt;90,"Short",IF(Table1[[#This Row],[Runtime_minutes]]&lt;=120,"Medium","Long"))</f>
        <v>Long</v>
      </c>
      <c r="H640" t="s">
        <v>37</v>
      </c>
      <c r="K640">
        <v>6.6</v>
      </c>
      <c r="M640" t="s">
        <v>2630</v>
      </c>
      <c r="N640" t="s">
        <v>63</v>
      </c>
      <c r="O640" t="s">
        <v>2631</v>
      </c>
      <c r="P640">
        <v>142178</v>
      </c>
      <c r="Q640" s="3">
        <v>209.57</v>
      </c>
      <c r="R640" s="3">
        <f>IF(Table1[[#This Row],[Gross_millions]]=" ",0,Table1[[#This Row],[Gross_millions]])</f>
        <v>209.57</v>
      </c>
      <c r="S640" t="str">
        <f>IF(Table1[[#This Row],[Gross_millions_Clean]]&gt;200,"Blockbuster",IF(Table1[[#This Row],[Gross_millions_Clean]]&gt;100,"Hit","Average"))</f>
        <v>Blockbuster</v>
      </c>
    </row>
    <row r="641" spans="1:19" x14ac:dyDescent="0.3">
      <c r="A641" t="s">
        <v>2632</v>
      </c>
      <c r="B641" t="s">
        <v>2633</v>
      </c>
      <c r="C641">
        <v>1991</v>
      </c>
      <c r="D641" s="8">
        <f>FLOOR(Table1[[#This Row],[Year]],10)</f>
        <v>1990</v>
      </c>
      <c r="E641" t="s">
        <v>24</v>
      </c>
      <c r="F641">
        <v>115</v>
      </c>
      <c r="G641" t="str">
        <f>IF(Table1[[#This Row],[Runtime_minutes]]&lt;90,"Short",IF(Table1[[#This Row],[Runtime_minutes]]&lt;=120,"Medium","Long"))</f>
        <v>Medium</v>
      </c>
      <c r="H641" t="s">
        <v>129</v>
      </c>
      <c r="I641" t="s">
        <v>3987</v>
      </c>
      <c r="K641">
        <v>6.6</v>
      </c>
      <c r="M641" t="s">
        <v>634</v>
      </c>
      <c r="N641" t="s">
        <v>547</v>
      </c>
      <c r="O641" t="s">
        <v>2634</v>
      </c>
      <c r="P641">
        <v>311191</v>
      </c>
      <c r="Q641" s="3">
        <v>18.16</v>
      </c>
      <c r="R641" s="3">
        <f>IF(Table1[[#This Row],[Gross_millions]]=" ",0,Table1[[#This Row],[Gross_millions]])</f>
        <v>18.16</v>
      </c>
      <c r="S641" t="str">
        <f>IF(Table1[[#This Row],[Gross_millions_Clean]]&gt;200,"Blockbuster",IF(Table1[[#This Row],[Gross_millions_Clean]]&gt;100,"Hit","Average"))</f>
        <v>Average</v>
      </c>
    </row>
    <row r="642" spans="1:19" x14ac:dyDescent="0.3">
      <c r="A642" t="s">
        <v>2635</v>
      </c>
      <c r="B642" t="s">
        <v>2636</v>
      </c>
      <c r="C642">
        <v>2003</v>
      </c>
      <c r="D642" s="8">
        <f>FLOOR(Table1[[#This Row],[Year]],10)</f>
        <v>2000</v>
      </c>
      <c r="E642" t="s">
        <v>17</v>
      </c>
      <c r="F642">
        <v>93</v>
      </c>
      <c r="G642" t="str">
        <f>IF(Table1[[#This Row],[Runtime_minutes]]&lt;90,"Short",IF(Table1[[#This Row],[Runtime_minutes]]&lt;=120,"Medium","Long"))</f>
        <v>Medium</v>
      </c>
      <c r="H642" t="s">
        <v>606</v>
      </c>
      <c r="I642" t="s">
        <v>3983</v>
      </c>
      <c r="K642">
        <v>6.6</v>
      </c>
      <c r="M642" t="s">
        <v>1176</v>
      </c>
      <c r="N642" t="s">
        <v>33</v>
      </c>
      <c r="O642" t="s">
        <v>2637</v>
      </c>
      <c r="P642">
        <v>238583</v>
      </c>
      <c r="Q642" s="3"/>
      <c r="R642" s="3">
        <f>IF(Table1[[#This Row],[Gross_millions]]=" ",0,Table1[[#This Row],[Gross_millions]])</f>
        <v>0</v>
      </c>
      <c r="S642" t="str">
        <f>IF(Table1[[#This Row],[Gross_millions_Clean]]&gt;200,"Blockbuster",IF(Table1[[#This Row],[Gross_millions_Clean]]&gt;100,"Hit","Average"))</f>
        <v>Average</v>
      </c>
    </row>
    <row r="643" spans="1:19" x14ac:dyDescent="0.3">
      <c r="A643" t="s">
        <v>2638</v>
      </c>
      <c r="B643" t="s">
        <v>2639</v>
      </c>
      <c r="C643">
        <v>2012</v>
      </c>
      <c r="D643" s="8">
        <f>FLOOR(Table1[[#This Row],[Year]],10)</f>
        <v>2010</v>
      </c>
      <c r="E643" t="s">
        <v>17</v>
      </c>
      <c r="F643">
        <v>135</v>
      </c>
      <c r="G643" t="str">
        <f>IF(Table1[[#This Row],[Runtime_minutes]]&lt;90,"Short",IF(Table1[[#This Row],[Runtime_minutes]]&lt;=120,"Medium","Long"))</f>
        <v>Long</v>
      </c>
      <c r="H643" t="s">
        <v>37</v>
      </c>
      <c r="I643" t="s">
        <v>3985</v>
      </c>
      <c r="K643">
        <v>6.6</v>
      </c>
      <c r="M643" t="s">
        <v>2640</v>
      </c>
      <c r="N643" t="s">
        <v>608</v>
      </c>
      <c r="O643" t="s">
        <v>2641</v>
      </c>
      <c r="P643">
        <v>24434</v>
      </c>
      <c r="Q643" s="3"/>
      <c r="R643" s="3">
        <f>IF(Table1[[#This Row],[Gross_millions]]=" ",0,Table1[[#This Row],[Gross_millions]])</f>
        <v>0</v>
      </c>
      <c r="S643" t="str">
        <f>IF(Table1[[#This Row],[Gross_millions_Clean]]&gt;200,"Blockbuster",IF(Table1[[#This Row],[Gross_millions_Clean]]&gt;100,"Hit","Average"))</f>
        <v>Average</v>
      </c>
    </row>
    <row r="644" spans="1:19" x14ac:dyDescent="0.3">
      <c r="A644" t="s">
        <v>2642</v>
      </c>
      <c r="B644" t="s">
        <v>2643</v>
      </c>
      <c r="C644">
        <v>2023</v>
      </c>
      <c r="D644" s="8">
        <f>FLOOR(Table1[[#This Row],[Year]],10)</f>
        <v>2020</v>
      </c>
      <c r="E644" t="s">
        <v>17</v>
      </c>
      <c r="F644">
        <v>121</v>
      </c>
      <c r="G644" t="str">
        <f>IF(Table1[[#This Row],[Runtime_minutes]]&lt;90,"Short",IF(Table1[[#This Row],[Runtime_minutes]]&lt;=120,"Medium","Long"))</f>
        <v>Long</v>
      </c>
      <c r="H644" t="s">
        <v>230</v>
      </c>
      <c r="I644" t="s">
        <v>3978</v>
      </c>
      <c r="K644">
        <v>6.6</v>
      </c>
      <c r="L644">
        <v>59</v>
      </c>
      <c r="M644" t="s">
        <v>124</v>
      </c>
      <c r="N644" t="s">
        <v>608</v>
      </c>
      <c r="O644" t="s">
        <v>2644</v>
      </c>
      <c r="P644">
        <v>47719</v>
      </c>
      <c r="Q644" s="3"/>
      <c r="R644" s="3">
        <f>IF(Table1[[#This Row],[Gross_millions]]=" ",0,Table1[[#This Row],[Gross_millions]])</f>
        <v>0</v>
      </c>
      <c r="S644" t="str">
        <f>IF(Table1[[#This Row],[Gross_millions_Clean]]&gt;200,"Blockbuster",IF(Table1[[#This Row],[Gross_millions_Clean]]&gt;100,"Hit","Average"))</f>
        <v>Average</v>
      </c>
    </row>
    <row r="645" spans="1:19" x14ac:dyDescent="0.3">
      <c r="A645" t="s">
        <v>2645</v>
      </c>
      <c r="B645" t="s">
        <v>2646</v>
      </c>
      <c r="C645">
        <v>2000</v>
      </c>
      <c r="D645" s="8">
        <f>FLOOR(Table1[[#This Row],[Year]],10)</f>
        <v>2000</v>
      </c>
      <c r="E645" t="s">
        <v>24</v>
      </c>
      <c r="F645">
        <v>117</v>
      </c>
      <c r="G645" t="str">
        <f>IF(Table1[[#This Row],[Runtime_minutes]]&lt;90,"Short",IF(Table1[[#This Row],[Runtime_minutes]]&lt;=120,"Medium","Long"))</f>
        <v>Medium</v>
      </c>
      <c r="H645" t="s">
        <v>230</v>
      </c>
      <c r="I645" t="s">
        <v>3982</v>
      </c>
      <c r="J645" t="s">
        <v>3984</v>
      </c>
      <c r="K645">
        <v>6.6</v>
      </c>
      <c r="M645" t="s">
        <v>231</v>
      </c>
      <c r="N645" t="s">
        <v>159</v>
      </c>
      <c r="O645" t="s">
        <v>2648</v>
      </c>
      <c r="P645">
        <v>66508</v>
      </c>
      <c r="Q645" s="3">
        <v>297.17</v>
      </c>
      <c r="R645" s="3">
        <f>IF(Table1[[#This Row],[Gross_millions]]=" ",0,Table1[[#This Row],[Gross_millions]])</f>
        <v>297.17</v>
      </c>
      <c r="S645" t="str">
        <f>IF(Table1[[#This Row],[Gross_millions_Clean]]&gt;200,"Blockbuster",IF(Table1[[#This Row],[Gross_millions_Clean]]&gt;100,"Hit","Average"))</f>
        <v>Blockbuster</v>
      </c>
    </row>
    <row r="646" spans="1:19" x14ac:dyDescent="0.3">
      <c r="A646" t="s">
        <v>2649</v>
      </c>
      <c r="B646" t="s">
        <v>2650</v>
      </c>
      <c r="C646">
        <v>2005</v>
      </c>
      <c r="D646" s="8">
        <f>FLOOR(Table1[[#This Row],[Year]],10)</f>
        <v>2000</v>
      </c>
      <c r="E646" t="s">
        <v>293</v>
      </c>
      <c r="F646">
        <v>122</v>
      </c>
      <c r="G646" t="str">
        <f>IF(Table1[[#This Row],[Runtime_minutes]]&lt;90,"Short",IF(Table1[[#This Row],[Runtime_minutes]]&lt;=120,"Medium","Long"))</f>
        <v>Long</v>
      </c>
      <c r="H646" t="s">
        <v>606</v>
      </c>
      <c r="K646">
        <v>6.6</v>
      </c>
      <c r="M646" t="s">
        <v>250</v>
      </c>
      <c r="N646" t="s">
        <v>125</v>
      </c>
      <c r="O646" t="s">
        <v>2651</v>
      </c>
      <c r="P646">
        <v>61289</v>
      </c>
      <c r="Q646" s="3">
        <v>202.7</v>
      </c>
      <c r="R646" s="3">
        <f>IF(Table1[[#This Row],[Gross_millions]]=" ",0,Table1[[#This Row],[Gross_millions]])</f>
        <v>202.7</v>
      </c>
      <c r="S646" t="str">
        <f>IF(Table1[[#This Row],[Gross_millions_Clean]]&gt;200,"Blockbuster",IF(Table1[[#This Row],[Gross_millions_Clean]]&gt;100,"Hit","Average"))</f>
        <v>Blockbuster</v>
      </c>
    </row>
    <row r="647" spans="1:19" x14ac:dyDescent="0.3">
      <c r="A647" t="s">
        <v>2652</v>
      </c>
      <c r="B647" t="s">
        <v>2653</v>
      </c>
      <c r="C647">
        <v>2008</v>
      </c>
      <c r="D647" s="8">
        <f>FLOOR(Table1[[#This Row],[Year]],10)</f>
        <v>2000</v>
      </c>
      <c r="E647" t="s">
        <v>24</v>
      </c>
      <c r="F647">
        <v>116</v>
      </c>
      <c r="G647" t="str">
        <f>IF(Table1[[#This Row],[Runtime_minutes]]&lt;90,"Short",IF(Table1[[#This Row],[Runtime_minutes]]&lt;=120,"Medium","Long"))</f>
        <v>Medium</v>
      </c>
      <c r="H647" t="s">
        <v>277</v>
      </c>
      <c r="I647" t="s">
        <v>3987</v>
      </c>
      <c r="J647" t="s">
        <v>3989</v>
      </c>
      <c r="K647">
        <v>6.6</v>
      </c>
      <c r="M647" t="s">
        <v>2655</v>
      </c>
      <c r="N647" t="s">
        <v>593</v>
      </c>
      <c r="O647" t="s">
        <v>2656</v>
      </c>
      <c r="P647">
        <v>19538</v>
      </c>
      <c r="Q647" s="3">
        <v>292.54000000000002</v>
      </c>
      <c r="R647" s="3">
        <f>IF(Table1[[#This Row],[Gross_millions]]=" ",0,Table1[[#This Row],[Gross_millions]])</f>
        <v>292.54000000000002</v>
      </c>
      <c r="S647" t="str">
        <f>IF(Table1[[#This Row],[Gross_millions_Clean]]&gt;200,"Blockbuster",IF(Table1[[#This Row],[Gross_millions_Clean]]&gt;100,"Hit","Average"))</f>
        <v>Blockbuster</v>
      </c>
    </row>
    <row r="648" spans="1:19" x14ac:dyDescent="0.3">
      <c r="A648" t="s">
        <v>2657</v>
      </c>
      <c r="B648" t="s">
        <v>2658</v>
      </c>
      <c r="C648">
        <v>2003</v>
      </c>
      <c r="D648" s="8">
        <f>FLOOR(Table1[[#This Row],[Year]],10)</f>
        <v>2000</v>
      </c>
      <c r="E648" t="s">
        <v>24</v>
      </c>
      <c r="F648">
        <v>114</v>
      </c>
      <c r="G648" t="str">
        <f>IF(Table1[[#This Row],[Runtime_minutes]]&lt;90,"Short",IF(Table1[[#This Row],[Runtime_minutes]]&lt;=120,"Medium","Long"))</f>
        <v>Medium</v>
      </c>
      <c r="H648" t="s">
        <v>72</v>
      </c>
      <c r="I648" t="s">
        <v>3977</v>
      </c>
      <c r="K648">
        <v>6.6</v>
      </c>
      <c r="L648">
        <v>72</v>
      </c>
      <c r="M648" t="s">
        <v>491</v>
      </c>
      <c r="N648" t="s">
        <v>33</v>
      </c>
      <c r="O648" t="s">
        <v>2659</v>
      </c>
      <c r="P648">
        <v>41679</v>
      </c>
      <c r="Q648" s="3"/>
      <c r="R648" s="3">
        <f>IF(Table1[[#This Row],[Gross_millions]]=" ",0,Table1[[#This Row],[Gross_millions]])</f>
        <v>0</v>
      </c>
      <c r="S648" t="str">
        <f>IF(Table1[[#This Row],[Gross_millions_Clean]]&gt;200,"Blockbuster",IF(Table1[[#This Row],[Gross_millions_Clean]]&gt;100,"Hit","Average"))</f>
        <v>Average</v>
      </c>
    </row>
    <row r="649" spans="1:19" x14ac:dyDescent="0.3">
      <c r="A649" t="s">
        <v>2660</v>
      </c>
      <c r="B649" t="s">
        <v>2661</v>
      </c>
      <c r="C649">
        <v>2008</v>
      </c>
      <c r="D649" s="8">
        <f>FLOOR(Table1[[#This Row],[Year]],10)</f>
        <v>2000</v>
      </c>
      <c r="E649" t="s">
        <v>17</v>
      </c>
      <c r="F649">
        <v>144</v>
      </c>
      <c r="G649" t="str">
        <f>IF(Table1[[#This Row],[Runtime_minutes]]&lt;90,"Short",IF(Table1[[#This Row],[Runtime_minutes]]&lt;=120,"Medium","Long"))</f>
        <v>Long</v>
      </c>
      <c r="H649" t="s">
        <v>375</v>
      </c>
      <c r="K649">
        <v>6.6</v>
      </c>
      <c r="M649" t="s">
        <v>2662</v>
      </c>
      <c r="N649" t="s">
        <v>103</v>
      </c>
      <c r="O649" t="s">
        <v>2663</v>
      </c>
      <c r="P649">
        <v>101595</v>
      </c>
      <c r="Q649" s="3">
        <v>487.1</v>
      </c>
      <c r="R649" s="3">
        <f>IF(Table1[[#This Row],[Gross_millions]]=" ",0,Table1[[#This Row],[Gross_millions]])</f>
        <v>487.1</v>
      </c>
      <c r="S649" t="str">
        <f>IF(Table1[[#This Row],[Gross_millions_Clean]]&gt;200,"Blockbuster",IF(Table1[[#This Row],[Gross_millions_Clean]]&gt;100,"Hit","Average"))</f>
        <v>Blockbuster</v>
      </c>
    </row>
    <row r="650" spans="1:19" x14ac:dyDescent="0.3">
      <c r="A650" t="s">
        <v>2664</v>
      </c>
      <c r="B650" t="s">
        <v>2665</v>
      </c>
      <c r="C650">
        <v>2001</v>
      </c>
      <c r="D650" s="8">
        <f>FLOOR(Table1[[#This Row],[Year]],10)</f>
        <v>2000</v>
      </c>
      <c r="E650" t="s">
        <v>24</v>
      </c>
      <c r="F650">
        <v>111</v>
      </c>
      <c r="G650" t="str">
        <f>IF(Table1[[#This Row],[Runtime_minutes]]&lt;90,"Short",IF(Table1[[#This Row],[Runtime_minutes]]&lt;=120,"Medium","Long"))</f>
        <v>Medium</v>
      </c>
      <c r="H650" t="s">
        <v>606</v>
      </c>
      <c r="K650">
        <v>6.5</v>
      </c>
      <c r="L650">
        <v>58</v>
      </c>
      <c r="M650" t="s">
        <v>250</v>
      </c>
      <c r="N650" t="s">
        <v>191</v>
      </c>
      <c r="O650" t="s">
        <v>2666</v>
      </c>
      <c r="P650">
        <v>83550</v>
      </c>
      <c r="Q650" s="3">
        <v>51.36</v>
      </c>
      <c r="R650" s="3">
        <f>IF(Table1[[#This Row],[Gross_millions]]=" ",0,Table1[[#This Row],[Gross_millions]])</f>
        <v>51.36</v>
      </c>
      <c r="S650" t="str">
        <f>IF(Table1[[#This Row],[Gross_millions_Clean]]&gt;200,"Blockbuster",IF(Table1[[#This Row],[Gross_millions_Clean]]&gt;100,"Hit","Average"))</f>
        <v>Average</v>
      </c>
    </row>
    <row r="651" spans="1:19" x14ac:dyDescent="0.3">
      <c r="A651" t="s">
        <v>2667</v>
      </c>
      <c r="B651" t="s">
        <v>2668</v>
      </c>
      <c r="C651">
        <v>2000</v>
      </c>
      <c r="D651" s="8">
        <f>FLOOR(Table1[[#This Row],[Year]],10)</f>
        <v>2000</v>
      </c>
      <c r="E651" t="s">
        <v>285</v>
      </c>
      <c r="F651">
        <v>94</v>
      </c>
      <c r="G651" t="str">
        <f>IF(Table1[[#This Row],[Runtime_minutes]]&lt;90,"Short",IF(Table1[[#This Row],[Runtime_minutes]]&lt;=120,"Medium","Long"))</f>
        <v>Medium</v>
      </c>
      <c r="H651" t="s">
        <v>235</v>
      </c>
      <c r="I651" t="s">
        <v>3986</v>
      </c>
      <c r="J651" t="s">
        <v>3989</v>
      </c>
      <c r="K651">
        <v>6.5</v>
      </c>
      <c r="L651">
        <v>76</v>
      </c>
      <c r="M651" t="s">
        <v>673</v>
      </c>
      <c r="N651" t="s">
        <v>153</v>
      </c>
      <c r="O651" t="s">
        <v>2670</v>
      </c>
      <c r="P651">
        <v>731997</v>
      </c>
      <c r="Q651" s="3"/>
      <c r="R651" s="3">
        <f>IF(Table1[[#This Row],[Gross_millions]]=" ",0,Table1[[#This Row],[Gross_millions]])</f>
        <v>0</v>
      </c>
      <c r="S651" t="str">
        <f>IF(Table1[[#This Row],[Gross_millions_Clean]]&gt;200,"Blockbuster",IF(Table1[[#This Row],[Gross_millions_Clean]]&gt;100,"Hit","Average"))</f>
        <v>Average</v>
      </c>
    </row>
    <row r="652" spans="1:19" x14ac:dyDescent="0.3">
      <c r="A652" t="s">
        <v>2671</v>
      </c>
      <c r="B652" t="s">
        <v>2672</v>
      </c>
      <c r="C652">
        <v>2013</v>
      </c>
      <c r="D652" s="8">
        <f>FLOOR(Table1[[#This Row],[Year]],10)</f>
        <v>2010</v>
      </c>
      <c r="E652" t="s">
        <v>17</v>
      </c>
      <c r="F652">
        <v>119</v>
      </c>
      <c r="G652" t="str">
        <f>IF(Table1[[#This Row],[Runtime_minutes]]&lt;90,"Short",IF(Table1[[#This Row],[Runtime_minutes]]&lt;=120,"Medium","Long"))</f>
        <v>Medium</v>
      </c>
      <c r="H652" t="s">
        <v>157</v>
      </c>
      <c r="I652" t="s">
        <v>3985</v>
      </c>
      <c r="K652">
        <v>6.5</v>
      </c>
      <c r="L652">
        <v>68</v>
      </c>
      <c r="M652" t="s">
        <v>158</v>
      </c>
      <c r="N652" t="s">
        <v>147</v>
      </c>
      <c r="O652" t="s">
        <v>2673</v>
      </c>
      <c r="P652">
        <v>323246</v>
      </c>
      <c r="Q652" s="3">
        <v>159.82</v>
      </c>
      <c r="R652" s="3">
        <f>IF(Table1[[#This Row],[Gross_millions]]=" ",0,Table1[[#This Row],[Gross_millions]])</f>
        <v>159.82</v>
      </c>
      <c r="S652" t="str">
        <f>IF(Table1[[#This Row],[Gross_millions_Clean]]&gt;200,"Blockbuster",IF(Table1[[#This Row],[Gross_millions_Clean]]&gt;100,"Hit","Average"))</f>
        <v>Hit</v>
      </c>
    </row>
    <row r="653" spans="1:19" x14ac:dyDescent="0.3">
      <c r="A653" t="s">
        <v>2674</v>
      </c>
      <c r="B653" t="s">
        <v>2675</v>
      </c>
      <c r="C653">
        <v>2021</v>
      </c>
      <c r="D653" s="8">
        <f>FLOOR(Table1[[#This Row],[Year]],10)</f>
        <v>2020</v>
      </c>
      <c r="E653" t="s">
        <v>24</v>
      </c>
      <c r="F653">
        <v>114</v>
      </c>
      <c r="G653" t="str">
        <f>IF(Table1[[#This Row],[Runtime_minutes]]&lt;90,"Short",IF(Table1[[#This Row],[Runtime_minutes]]&lt;=120,"Medium","Long"))</f>
        <v>Medium</v>
      </c>
      <c r="H653" t="s">
        <v>277</v>
      </c>
      <c r="K653">
        <v>6.5</v>
      </c>
      <c r="M653" t="s">
        <v>395</v>
      </c>
      <c r="N653" t="s">
        <v>315</v>
      </c>
      <c r="O653" t="s">
        <v>2676</v>
      </c>
      <c r="P653">
        <v>195938</v>
      </c>
      <c r="Q653" s="3"/>
      <c r="R653" s="3">
        <f>IF(Table1[[#This Row],[Gross_millions]]=" ",0,Table1[[#This Row],[Gross_millions]])</f>
        <v>0</v>
      </c>
      <c r="S653" t="str">
        <f>IF(Table1[[#This Row],[Gross_millions_Clean]]&gt;200,"Blockbuster",IF(Table1[[#This Row],[Gross_millions_Clean]]&gt;100,"Hit","Average"))</f>
        <v>Average</v>
      </c>
    </row>
    <row r="654" spans="1:19" x14ac:dyDescent="0.3">
      <c r="A654" t="s">
        <v>2677</v>
      </c>
      <c r="B654" t="s">
        <v>2678</v>
      </c>
      <c r="C654">
        <v>2010</v>
      </c>
      <c r="D654" s="8">
        <f>FLOOR(Table1[[#This Row],[Year]],10)</f>
        <v>2010</v>
      </c>
      <c r="E654" t="s">
        <v>17</v>
      </c>
      <c r="F654">
        <v>98</v>
      </c>
      <c r="G654" t="str">
        <f>IF(Table1[[#This Row],[Runtime_minutes]]&lt;90,"Short",IF(Table1[[#This Row],[Runtime_minutes]]&lt;=120,"Medium","Long"))</f>
        <v>Medium</v>
      </c>
      <c r="H654" t="s">
        <v>453</v>
      </c>
      <c r="I654" t="s">
        <v>3982</v>
      </c>
      <c r="K654">
        <v>6.5</v>
      </c>
      <c r="L654">
        <v>59</v>
      </c>
      <c r="M654" t="s">
        <v>2679</v>
      </c>
      <c r="N654" t="s">
        <v>50</v>
      </c>
      <c r="O654" t="s">
        <v>2680</v>
      </c>
      <c r="P654">
        <v>369404</v>
      </c>
      <c r="Q654" s="3"/>
      <c r="R654" s="3">
        <f>IF(Table1[[#This Row],[Gross_millions]]=" ",0,Table1[[#This Row],[Gross_millions]])</f>
        <v>0</v>
      </c>
      <c r="S654" t="str">
        <f>IF(Table1[[#This Row],[Gross_millions_Clean]]&gt;200,"Blockbuster",IF(Table1[[#This Row],[Gross_millions_Clean]]&gt;100,"Hit","Average"))</f>
        <v>Average</v>
      </c>
    </row>
    <row r="655" spans="1:19" x14ac:dyDescent="0.3">
      <c r="A655" t="s">
        <v>2681</v>
      </c>
      <c r="B655" t="s">
        <v>2682</v>
      </c>
      <c r="C655">
        <v>2014</v>
      </c>
      <c r="D655" s="8">
        <f>FLOOR(Table1[[#This Row],[Year]],10)</f>
        <v>2010</v>
      </c>
      <c r="E655" t="s">
        <v>17</v>
      </c>
      <c r="F655">
        <v>123</v>
      </c>
      <c r="G655" t="str">
        <f>IF(Table1[[#This Row],[Runtime_minutes]]&lt;90,"Short",IF(Table1[[#This Row],[Runtime_minutes]]&lt;=120,"Medium","Long"))</f>
        <v>Long</v>
      </c>
      <c r="H655" t="s">
        <v>72</v>
      </c>
      <c r="I655" t="s">
        <v>3982</v>
      </c>
      <c r="K655">
        <v>6.5</v>
      </c>
      <c r="L655">
        <v>70</v>
      </c>
      <c r="M655" t="s">
        <v>1155</v>
      </c>
      <c r="N655" t="s">
        <v>103</v>
      </c>
      <c r="O655" t="s">
        <v>2683</v>
      </c>
      <c r="P655">
        <v>73153</v>
      </c>
      <c r="Q655" s="3">
        <v>174.82</v>
      </c>
      <c r="R655" s="3">
        <f>IF(Table1[[#This Row],[Gross_millions]]=" ",0,Table1[[#This Row],[Gross_millions]])</f>
        <v>174.82</v>
      </c>
      <c r="S655" t="str">
        <f>IF(Table1[[#This Row],[Gross_millions_Clean]]&gt;200,"Blockbuster",IF(Table1[[#This Row],[Gross_millions_Clean]]&gt;100,"Hit","Average"))</f>
        <v>Hit</v>
      </c>
    </row>
    <row r="656" spans="1:19" x14ac:dyDescent="0.3">
      <c r="A656" t="s">
        <v>2684</v>
      </c>
      <c r="B656" t="s">
        <v>2685</v>
      </c>
      <c r="C656">
        <v>2002</v>
      </c>
      <c r="D656" s="8">
        <f>FLOOR(Table1[[#This Row],[Year]],10)</f>
        <v>2000</v>
      </c>
      <c r="E656" t="s">
        <v>17</v>
      </c>
      <c r="F656">
        <v>138</v>
      </c>
      <c r="G656" t="str">
        <f>IF(Table1[[#This Row],[Runtime_minutes]]&lt;90,"Short",IF(Table1[[#This Row],[Runtime_minutes]]&lt;=120,"Medium","Long"))</f>
        <v>Long</v>
      </c>
      <c r="H656" t="s">
        <v>868</v>
      </c>
      <c r="K656">
        <v>6.5</v>
      </c>
      <c r="L656">
        <v>72</v>
      </c>
      <c r="M656" t="s">
        <v>2686</v>
      </c>
      <c r="N656" t="s">
        <v>153</v>
      </c>
      <c r="O656" t="s">
        <v>2687</v>
      </c>
      <c r="P656">
        <v>89419</v>
      </c>
      <c r="Q656" s="3">
        <v>102.29</v>
      </c>
      <c r="R656" s="3">
        <f>IF(Table1[[#This Row],[Gross_millions]]=" ",0,Table1[[#This Row],[Gross_millions]])</f>
        <v>102.29</v>
      </c>
      <c r="S656" t="str">
        <f>IF(Table1[[#This Row],[Gross_millions_Clean]]&gt;200,"Blockbuster",IF(Table1[[#This Row],[Gross_millions_Clean]]&gt;100,"Hit","Average"))</f>
        <v>Hit</v>
      </c>
    </row>
    <row r="657" spans="1:19" x14ac:dyDescent="0.3">
      <c r="A657" t="s">
        <v>2688</v>
      </c>
      <c r="B657" t="s">
        <v>2689</v>
      </c>
      <c r="C657">
        <v>2009</v>
      </c>
      <c r="D657" s="8">
        <f>FLOOR(Table1[[#This Row],[Year]],10)</f>
        <v>2000</v>
      </c>
      <c r="E657" t="s">
        <v>17</v>
      </c>
      <c r="F657">
        <v>90</v>
      </c>
      <c r="G657" t="str">
        <f>IF(Table1[[#This Row],[Runtime_minutes]]&lt;90,"Short",IF(Table1[[#This Row],[Runtime_minutes]]&lt;=120,"Medium","Long"))</f>
        <v>Medium</v>
      </c>
      <c r="H657" t="s">
        <v>129</v>
      </c>
      <c r="I657" t="s">
        <v>3977</v>
      </c>
      <c r="K657">
        <v>6.5</v>
      </c>
      <c r="L657">
        <v>68</v>
      </c>
      <c r="M657" t="s">
        <v>634</v>
      </c>
      <c r="N657" t="s">
        <v>159</v>
      </c>
      <c r="O657" t="s">
        <v>2690</v>
      </c>
      <c r="P657">
        <v>19375</v>
      </c>
      <c r="Q657" s="3">
        <v>479.95</v>
      </c>
      <c r="R657" s="3">
        <f>IF(Table1[[#This Row],[Gross_millions]]=" ",0,Table1[[#This Row],[Gross_millions]])</f>
        <v>479.95</v>
      </c>
      <c r="S657" t="str">
        <f>IF(Table1[[#This Row],[Gross_millions_Clean]]&gt;200,"Blockbuster",IF(Table1[[#This Row],[Gross_millions_Clean]]&gt;100,"Hit","Average"))</f>
        <v>Blockbuster</v>
      </c>
    </row>
    <row r="658" spans="1:19" x14ac:dyDescent="0.3">
      <c r="A658" t="s">
        <v>2691</v>
      </c>
      <c r="B658" t="s">
        <v>2692</v>
      </c>
      <c r="C658">
        <v>2007</v>
      </c>
      <c r="D658" s="8">
        <f>FLOOR(Table1[[#This Row],[Year]],10)</f>
        <v>2000</v>
      </c>
      <c r="E658" t="s">
        <v>24</v>
      </c>
      <c r="F658">
        <v>91</v>
      </c>
      <c r="G658" t="str">
        <f>IF(Table1[[#This Row],[Runtime_minutes]]&lt;90,"Short",IF(Table1[[#This Row],[Runtime_minutes]]&lt;=120,"Medium","Long"))</f>
        <v>Medium</v>
      </c>
      <c r="H658" t="s">
        <v>230</v>
      </c>
      <c r="K658">
        <v>6.5</v>
      </c>
      <c r="L658">
        <v>50</v>
      </c>
      <c r="M658" t="s">
        <v>2693</v>
      </c>
      <c r="N658" t="s">
        <v>236</v>
      </c>
      <c r="O658" t="s">
        <v>2694</v>
      </c>
      <c r="P658">
        <v>55530</v>
      </c>
      <c r="Q658" s="3"/>
      <c r="R658" s="3">
        <f>IF(Table1[[#This Row],[Gross_millions]]=" ",0,Table1[[#This Row],[Gross_millions]])</f>
        <v>0</v>
      </c>
      <c r="S658" t="str">
        <f>IF(Table1[[#This Row],[Gross_millions_Clean]]&gt;200,"Blockbuster",IF(Table1[[#This Row],[Gross_millions_Clean]]&gt;100,"Hit","Average"))</f>
        <v>Average</v>
      </c>
    </row>
    <row r="659" spans="1:19" x14ac:dyDescent="0.3">
      <c r="A659" t="s">
        <v>2695</v>
      </c>
      <c r="B659" t="s">
        <v>2696</v>
      </c>
      <c r="C659">
        <v>2004</v>
      </c>
      <c r="D659" s="8">
        <f>FLOOR(Table1[[#This Row],[Year]],10)</f>
        <v>2000</v>
      </c>
      <c r="E659" t="s">
        <v>54</v>
      </c>
      <c r="F659">
        <v>111</v>
      </c>
      <c r="G659" t="str">
        <f>IF(Table1[[#This Row],[Runtime_minutes]]&lt;90,"Short",IF(Table1[[#This Row],[Runtime_minutes]]&lt;=120,"Medium","Long"))</f>
        <v>Medium</v>
      </c>
      <c r="H659" t="s">
        <v>157</v>
      </c>
      <c r="K659">
        <v>6.5</v>
      </c>
      <c r="L659">
        <v>73</v>
      </c>
      <c r="M659" t="s">
        <v>629</v>
      </c>
      <c r="N659" t="s">
        <v>113</v>
      </c>
      <c r="O659" t="s">
        <v>2697</v>
      </c>
      <c r="P659">
        <v>7969</v>
      </c>
      <c r="Q659" s="3">
        <v>10.43</v>
      </c>
      <c r="R659" s="3">
        <f>IF(Table1[[#This Row],[Gross_millions]]=" ",0,Table1[[#This Row],[Gross_millions]])</f>
        <v>10.43</v>
      </c>
      <c r="S659" t="str">
        <f>IF(Table1[[#This Row],[Gross_millions_Clean]]&gt;200,"Blockbuster",IF(Table1[[#This Row],[Gross_millions_Clean]]&gt;100,"Hit","Average"))</f>
        <v>Average</v>
      </c>
    </row>
    <row r="660" spans="1:19" x14ac:dyDescent="0.3">
      <c r="A660" t="s">
        <v>2698</v>
      </c>
      <c r="B660" t="s">
        <v>2699</v>
      </c>
      <c r="C660">
        <v>2008</v>
      </c>
      <c r="D660" s="8">
        <f>FLOOR(Table1[[#This Row],[Year]],10)</f>
        <v>2000</v>
      </c>
      <c r="E660" t="s">
        <v>54</v>
      </c>
      <c r="F660">
        <v>165</v>
      </c>
      <c r="G660" t="str">
        <f>IF(Table1[[#This Row],[Runtime_minutes]]&lt;90,"Short",IF(Table1[[#This Row],[Runtime_minutes]]&lt;=120,"Medium","Long"))</f>
        <v>Long</v>
      </c>
      <c r="H660" t="s">
        <v>43</v>
      </c>
      <c r="I660" t="s">
        <v>3980</v>
      </c>
      <c r="K660">
        <v>6.5</v>
      </c>
      <c r="L660">
        <v>55</v>
      </c>
      <c r="M660" t="s">
        <v>391</v>
      </c>
      <c r="N660" t="s">
        <v>221</v>
      </c>
      <c r="O660" t="s">
        <v>2700</v>
      </c>
      <c r="P660">
        <v>30691</v>
      </c>
      <c r="Q660" s="3"/>
      <c r="R660" s="3">
        <f>IF(Table1[[#This Row],[Gross_millions]]=" ",0,Table1[[#This Row],[Gross_millions]])</f>
        <v>0</v>
      </c>
      <c r="S660" t="str">
        <f>IF(Table1[[#This Row],[Gross_millions_Clean]]&gt;200,"Blockbuster",IF(Table1[[#This Row],[Gross_millions_Clean]]&gt;100,"Hit","Average"))</f>
        <v>Average</v>
      </c>
    </row>
    <row r="661" spans="1:19" x14ac:dyDescent="0.3">
      <c r="A661" t="s">
        <v>2701</v>
      </c>
      <c r="B661" t="s">
        <v>2702</v>
      </c>
      <c r="C661">
        <v>2016</v>
      </c>
      <c r="D661" s="8">
        <f>FLOOR(Table1[[#This Row],[Year]],10)</f>
        <v>2010</v>
      </c>
      <c r="E661" t="s">
        <v>17</v>
      </c>
      <c r="F661">
        <v>113</v>
      </c>
      <c r="G661" t="str">
        <f>IF(Table1[[#This Row],[Runtime_minutes]]&lt;90,"Short",IF(Table1[[#This Row],[Runtime_minutes]]&lt;=120,"Medium","Long"))</f>
        <v>Medium</v>
      </c>
      <c r="H661" t="s">
        <v>43</v>
      </c>
      <c r="K661">
        <v>6.5</v>
      </c>
      <c r="L661">
        <v>72</v>
      </c>
      <c r="M661" t="s">
        <v>136</v>
      </c>
      <c r="N661" t="s">
        <v>119</v>
      </c>
      <c r="O661" t="s">
        <v>2703</v>
      </c>
      <c r="P661">
        <v>7249</v>
      </c>
      <c r="Q661" s="3"/>
      <c r="R661" s="3">
        <f>IF(Table1[[#This Row],[Gross_millions]]=" ",0,Table1[[#This Row],[Gross_millions]])</f>
        <v>0</v>
      </c>
      <c r="S661" t="str">
        <f>IF(Table1[[#This Row],[Gross_millions_Clean]]&gt;200,"Blockbuster",IF(Table1[[#This Row],[Gross_millions_Clean]]&gt;100,"Hit","Average"))</f>
        <v>Average</v>
      </c>
    </row>
    <row r="662" spans="1:19" x14ac:dyDescent="0.3">
      <c r="A662" t="s">
        <v>2704</v>
      </c>
      <c r="B662" t="s">
        <v>2705</v>
      </c>
      <c r="C662">
        <v>2024</v>
      </c>
      <c r="D662" s="8">
        <f>FLOOR(Table1[[#This Row],[Year]],10)</f>
        <v>2020</v>
      </c>
      <c r="E662" t="s">
        <v>17</v>
      </c>
      <c r="F662">
        <v>150</v>
      </c>
      <c r="G662" t="str">
        <f>IF(Table1[[#This Row],[Runtime_minutes]]&lt;90,"Short",IF(Table1[[#This Row],[Runtime_minutes]]&lt;=120,"Medium","Long"))</f>
        <v>Long</v>
      </c>
      <c r="H662" t="s">
        <v>43</v>
      </c>
      <c r="K662">
        <v>6.5</v>
      </c>
      <c r="L662">
        <v>52</v>
      </c>
      <c r="M662" t="s">
        <v>1363</v>
      </c>
      <c r="N662" t="s">
        <v>251</v>
      </c>
      <c r="O662" t="s">
        <v>2706</v>
      </c>
      <c r="P662">
        <v>41099</v>
      </c>
      <c r="Q662" s="3"/>
      <c r="R662" s="3">
        <f>IF(Table1[[#This Row],[Gross_millions]]=" ",0,Table1[[#This Row],[Gross_millions]])</f>
        <v>0</v>
      </c>
      <c r="S662" t="str">
        <f>IF(Table1[[#This Row],[Gross_millions_Clean]]&gt;200,"Blockbuster",IF(Table1[[#This Row],[Gross_millions_Clean]]&gt;100,"Hit","Average"))</f>
        <v>Average</v>
      </c>
    </row>
    <row r="663" spans="1:19" x14ac:dyDescent="0.3">
      <c r="A663" t="s">
        <v>2707</v>
      </c>
      <c r="B663" t="s">
        <v>2708</v>
      </c>
      <c r="C663">
        <v>2017</v>
      </c>
      <c r="D663" s="8">
        <f>FLOOR(Table1[[#This Row],[Year]],10)</f>
        <v>2010</v>
      </c>
      <c r="E663" t="s">
        <v>24</v>
      </c>
      <c r="F663">
        <v>132</v>
      </c>
      <c r="G663" t="str">
        <f>IF(Table1[[#This Row],[Runtime_minutes]]&lt;90,"Short",IF(Table1[[#This Row],[Runtime_minutes]]&lt;=120,"Medium","Long"))</f>
        <v>Long</v>
      </c>
      <c r="H663" t="s">
        <v>157</v>
      </c>
      <c r="I663" t="s">
        <v>3983</v>
      </c>
      <c r="K663">
        <v>6.5</v>
      </c>
      <c r="L663">
        <v>53</v>
      </c>
      <c r="M663" t="s">
        <v>158</v>
      </c>
      <c r="N663" t="s">
        <v>153</v>
      </c>
      <c r="O663" t="s">
        <v>2710</v>
      </c>
      <c r="P663">
        <v>105413</v>
      </c>
      <c r="Q663" s="3">
        <v>84.41</v>
      </c>
      <c r="R663" s="3">
        <f>IF(Table1[[#This Row],[Gross_millions]]=" ",0,Table1[[#This Row],[Gross_millions]])</f>
        <v>84.41</v>
      </c>
      <c r="S663" t="str">
        <f>IF(Table1[[#This Row],[Gross_millions_Clean]]&gt;200,"Blockbuster",IF(Table1[[#This Row],[Gross_millions_Clean]]&gt;100,"Hit","Average"))</f>
        <v>Average</v>
      </c>
    </row>
    <row r="664" spans="1:19" x14ac:dyDescent="0.3">
      <c r="A664" t="s">
        <v>2711</v>
      </c>
      <c r="B664" t="s">
        <v>2712</v>
      </c>
      <c r="C664">
        <v>2000</v>
      </c>
      <c r="D664" s="8">
        <f>FLOOR(Table1[[#This Row],[Year]],10)</f>
        <v>2000</v>
      </c>
      <c r="E664" t="s">
        <v>17</v>
      </c>
      <c r="F664">
        <v>106</v>
      </c>
      <c r="G664" t="str">
        <f>IF(Table1[[#This Row],[Runtime_minutes]]&lt;90,"Short",IF(Table1[[#This Row],[Runtime_minutes]]&lt;=120,"Medium","Long"))</f>
        <v>Medium</v>
      </c>
      <c r="H664" t="s">
        <v>210</v>
      </c>
      <c r="I664" t="s">
        <v>3981</v>
      </c>
      <c r="K664">
        <v>6.5</v>
      </c>
      <c r="L664">
        <v>55</v>
      </c>
      <c r="M664" t="s">
        <v>19</v>
      </c>
      <c r="N664" t="s">
        <v>524</v>
      </c>
      <c r="O664" t="s">
        <v>2713</v>
      </c>
      <c r="P664">
        <v>7952</v>
      </c>
      <c r="Q664" s="3">
        <v>288.18</v>
      </c>
      <c r="R664" s="3">
        <f>IF(Table1[[#This Row],[Gross_millions]]=" ",0,Table1[[#This Row],[Gross_millions]])</f>
        <v>288.18</v>
      </c>
      <c r="S664" t="str">
        <f>IF(Table1[[#This Row],[Gross_millions_Clean]]&gt;200,"Blockbuster",IF(Table1[[#This Row],[Gross_millions_Clean]]&gt;100,"Hit","Average"))</f>
        <v>Blockbuster</v>
      </c>
    </row>
    <row r="665" spans="1:19" x14ac:dyDescent="0.3">
      <c r="A665" t="s">
        <v>2714</v>
      </c>
      <c r="B665" t="s">
        <v>2715</v>
      </c>
      <c r="C665">
        <v>2022</v>
      </c>
      <c r="D665" s="8">
        <f>FLOOR(Table1[[#This Row],[Year]],10)</f>
        <v>2020</v>
      </c>
      <c r="E665" t="s">
        <v>169</v>
      </c>
      <c r="F665">
        <v>70</v>
      </c>
      <c r="G665" t="str">
        <f>IF(Table1[[#This Row],[Runtime_minutes]]&lt;90,"Short",IF(Table1[[#This Row],[Runtime_minutes]]&lt;=120,"Medium","Long"))</f>
        <v>Short</v>
      </c>
      <c r="H665" t="s">
        <v>453</v>
      </c>
      <c r="I665" t="s">
        <v>3979</v>
      </c>
      <c r="J665" t="s">
        <v>3987</v>
      </c>
      <c r="K665">
        <v>6.5</v>
      </c>
      <c r="M665" t="s">
        <v>435</v>
      </c>
      <c r="N665" t="s">
        <v>33</v>
      </c>
      <c r="O665" t="s">
        <v>2717</v>
      </c>
      <c r="P665">
        <v>312212</v>
      </c>
      <c r="Q665" s="3">
        <v>442.26</v>
      </c>
      <c r="R665" s="3">
        <f>IF(Table1[[#This Row],[Gross_millions]]=" ",0,Table1[[#This Row],[Gross_millions]])</f>
        <v>442.26</v>
      </c>
      <c r="S665" t="str">
        <f>IF(Table1[[#This Row],[Gross_millions_Clean]]&gt;200,"Blockbuster",IF(Table1[[#This Row],[Gross_millions_Clean]]&gt;100,"Hit","Average"))</f>
        <v>Blockbuster</v>
      </c>
    </row>
    <row r="666" spans="1:19" x14ac:dyDescent="0.3">
      <c r="A666" t="s">
        <v>2718</v>
      </c>
      <c r="B666" t="s">
        <v>2719</v>
      </c>
      <c r="C666">
        <v>2022</v>
      </c>
      <c r="D666" s="8">
        <f>FLOOR(Table1[[#This Row],[Year]],10)</f>
        <v>2020</v>
      </c>
      <c r="E666" t="s">
        <v>17</v>
      </c>
      <c r="F666">
        <v>139</v>
      </c>
      <c r="G666" t="str">
        <f>IF(Table1[[#This Row],[Runtime_minutes]]&lt;90,"Short",IF(Table1[[#This Row],[Runtime_minutes]]&lt;=120,"Medium","Long"))</f>
        <v>Long</v>
      </c>
      <c r="H666" t="s">
        <v>767</v>
      </c>
      <c r="I666" t="s">
        <v>3991</v>
      </c>
      <c r="K666">
        <v>6.5</v>
      </c>
      <c r="L666">
        <v>51</v>
      </c>
      <c r="M666" t="s">
        <v>85</v>
      </c>
      <c r="N666" t="s">
        <v>147</v>
      </c>
      <c r="O666" t="s">
        <v>2720</v>
      </c>
      <c r="P666">
        <v>1409</v>
      </c>
      <c r="Q666" s="3">
        <v>78.59</v>
      </c>
      <c r="R666" s="3">
        <f>IF(Table1[[#This Row],[Gross_millions]]=" ",0,Table1[[#This Row],[Gross_millions]])</f>
        <v>78.59</v>
      </c>
      <c r="S666" t="str">
        <f>IF(Table1[[#This Row],[Gross_millions_Clean]]&gt;200,"Blockbuster",IF(Table1[[#This Row],[Gross_millions_Clean]]&gt;100,"Hit","Average"))</f>
        <v>Average</v>
      </c>
    </row>
    <row r="667" spans="1:19" x14ac:dyDescent="0.3">
      <c r="A667" t="s">
        <v>2721</v>
      </c>
      <c r="B667" t="s">
        <v>2722</v>
      </c>
      <c r="C667">
        <v>2008</v>
      </c>
      <c r="D667" s="8">
        <f>FLOOR(Table1[[#This Row],[Year]],10)</f>
        <v>2000</v>
      </c>
      <c r="E667" t="s">
        <v>54</v>
      </c>
      <c r="F667">
        <v>110</v>
      </c>
      <c r="G667" t="str">
        <f>IF(Table1[[#This Row],[Runtime_minutes]]&lt;90,"Short",IF(Table1[[#This Row],[Runtime_minutes]]&lt;=120,"Medium","Long"))</f>
        <v>Medium</v>
      </c>
      <c r="H667" t="s">
        <v>129</v>
      </c>
      <c r="I667" t="s">
        <v>3984</v>
      </c>
      <c r="J667" t="s">
        <v>3976</v>
      </c>
      <c r="K667">
        <v>6.5</v>
      </c>
      <c r="M667" t="s">
        <v>2724</v>
      </c>
      <c r="N667" t="s">
        <v>27</v>
      </c>
      <c r="O667" t="s">
        <v>2725</v>
      </c>
      <c r="P667">
        <v>18863</v>
      </c>
      <c r="Q667" s="3"/>
      <c r="R667" s="3">
        <f>IF(Table1[[#This Row],[Gross_millions]]=" ",0,Table1[[#This Row],[Gross_millions]])</f>
        <v>0</v>
      </c>
      <c r="S667" t="str">
        <f>IF(Table1[[#This Row],[Gross_millions_Clean]]&gt;200,"Blockbuster",IF(Table1[[#This Row],[Gross_millions_Clean]]&gt;100,"Hit","Average"))</f>
        <v>Average</v>
      </c>
    </row>
    <row r="668" spans="1:19" x14ac:dyDescent="0.3">
      <c r="A668" t="s">
        <v>2726</v>
      </c>
      <c r="B668" t="s">
        <v>2727</v>
      </c>
      <c r="C668">
        <v>2008</v>
      </c>
      <c r="D668" s="8">
        <f>FLOOR(Table1[[#This Row],[Year]],10)</f>
        <v>2000</v>
      </c>
      <c r="E668" t="s">
        <v>54</v>
      </c>
      <c r="F668">
        <v>113</v>
      </c>
      <c r="G668" t="str">
        <f>IF(Table1[[#This Row],[Runtime_minutes]]&lt;90,"Short",IF(Table1[[#This Row],[Runtime_minutes]]&lt;=120,"Medium","Long"))</f>
        <v>Medium</v>
      </c>
      <c r="H668" t="s">
        <v>868</v>
      </c>
      <c r="I668" t="s">
        <v>3978</v>
      </c>
      <c r="J668" t="s">
        <v>3989</v>
      </c>
      <c r="K668">
        <v>6.5</v>
      </c>
      <c r="L668">
        <v>58</v>
      </c>
      <c r="M668" t="s">
        <v>102</v>
      </c>
      <c r="N668" t="s">
        <v>125</v>
      </c>
      <c r="O668" t="s">
        <v>2729</v>
      </c>
      <c r="P668">
        <v>36958</v>
      </c>
      <c r="Q668" s="3">
        <v>12.84</v>
      </c>
      <c r="R668" s="3">
        <f>IF(Table1[[#This Row],[Gross_millions]]=" ",0,Table1[[#This Row],[Gross_millions]])</f>
        <v>12.84</v>
      </c>
      <c r="S668" t="str">
        <f>IF(Table1[[#This Row],[Gross_millions_Clean]]&gt;200,"Blockbuster",IF(Table1[[#This Row],[Gross_millions_Clean]]&gt;100,"Hit","Average"))</f>
        <v>Average</v>
      </c>
    </row>
    <row r="669" spans="1:19" x14ac:dyDescent="0.3">
      <c r="A669" t="s">
        <v>2730</v>
      </c>
      <c r="B669" t="s">
        <v>2731</v>
      </c>
      <c r="C669">
        <v>2008</v>
      </c>
      <c r="D669" s="8">
        <f>FLOOR(Table1[[#This Row],[Year]],10)</f>
        <v>2000</v>
      </c>
      <c r="E669" t="s">
        <v>17</v>
      </c>
      <c r="F669">
        <v>152</v>
      </c>
      <c r="G669" t="str">
        <f>IF(Table1[[#This Row],[Runtime_minutes]]&lt;90,"Short",IF(Table1[[#This Row],[Runtime_minutes]]&lt;=120,"Medium","Long"))</f>
        <v>Long</v>
      </c>
      <c r="H669" t="s">
        <v>235</v>
      </c>
      <c r="K669">
        <v>6.5</v>
      </c>
      <c r="L669">
        <v>52</v>
      </c>
      <c r="M669" t="s">
        <v>673</v>
      </c>
      <c r="N669" t="s">
        <v>718</v>
      </c>
      <c r="O669" t="s">
        <v>2732</v>
      </c>
      <c r="P669">
        <v>371661</v>
      </c>
      <c r="Q669" s="3"/>
      <c r="R669" s="3">
        <f>IF(Table1[[#This Row],[Gross_millions]]=" ",0,Table1[[#This Row],[Gross_millions]])</f>
        <v>0</v>
      </c>
      <c r="S669" t="str">
        <f>IF(Table1[[#This Row],[Gross_millions_Clean]]&gt;200,"Blockbuster",IF(Table1[[#This Row],[Gross_millions_Clean]]&gt;100,"Hit","Average"))</f>
        <v>Average</v>
      </c>
    </row>
    <row r="670" spans="1:19" x14ac:dyDescent="0.3">
      <c r="A670" t="s">
        <v>2733</v>
      </c>
      <c r="B670" t="s">
        <v>2734</v>
      </c>
      <c r="C670">
        <v>2021</v>
      </c>
      <c r="D670" s="8">
        <f>FLOOR(Table1[[#This Row],[Year]],10)</f>
        <v>2020</v>
      </c>
      <c r="E670" t="s">
        <v>54</v>
      </c>
      <c r="F670">
        <v>107</v>
      </c>
      <c r="G670" t="str">
        <f>IF(Table1[[#This Row],[Runtime_minutes]]&lt;90,"Short",IF(Table1[[#This Row],[Runtime_minutes]]&lt;=120,"Medium","Long"))</f>
        <v>Medium</v>
      </c>
      <c r="H670" t="s">
        <v>37</v>
      </c>
      <c r="K670">
        <v>6.5</v>
      </c>
      <c r="M670" t="s">
        <v>2735</v>
      </c>
      <c r="N670" t="s">
        <v>63</v>
      </c>
      <c r="O670" t="s">
        <v>2736</v>
      </c>
      <c r="P670">
        <v>91931</v>
      </c>
      <c r="Q670" s="3"/>
      <c r="R670" s="3">
        <f>IF(Table1[[#This Row],[Gross_millions]]=" ",0,Table1[[#This Row],[Gross_millions]])</f>
        <v>0</v>
      </c>
      <c r="S670" t="str">
        <f>IF(Table1[[#This Row],[Gross_millions_Clean]]&gt;200,"Blockbuster",IF(Table1[[#This Row],[Gross_millions_Clean]]&gt;100,"Hit","Average"))</f>
        <v>Average</v>
      </c>
    </row>
    <row r="671" spans="1:19" x14ac:dyDescent="0.3">
      <c r="A671" t="s">
        <v>2737</v>
      </c>
      <c r="B671" t="s">
        <v>2738</v>
      </c>
      <c r="C671">
        <v>1986</v>
      </c>
      <c r="D671" s="8">
        <f>FLOOR(Table1[[#This Row],[Year]],10)</f>
        <v>1980</v>
      </c>
      <c r="E671" t="s">
        <v>54</v>
      </c>
      <c r="F671">
        <v>103</v>
      </c>
      <c r="G671" t="str">
        <f>IF(Table1[[#This Row],[Runtime_minutes]]&lt;90,"Short",IF(Table1[[#This Row],[Runtime_minutes]]&lt;=120,"Medium","Long"))</f>
        <v>Medium</v>
      </c>
      <c r="H671" t="s">
        <v>277</v>
      </c>
      <c r="I671" t="s">
        <v>3988</v>
      </c>
      <c r="K671">
        <v>6.5</v>
      </c>
      <c r="L671">
        <v>78</v>
      </c>
      <c r="M671" t="s">
        <v>278</v>
      </c>
      <c r="N671" t="s">
        <v>103</v>
      </c>
      <c r="O671" t="s">
        <v>2740</v>
      </c>
      <c r="P671">
        <v>66740</v>
      </c>
      <c r="Q671" s="3">
        <v>247.93</v>
      </c>
      <c r="R671" s="3">
        <f>IF(Table1[[#This Row],[Gross_millions]]=" ",0,Table1[[#This Row],[Gross_millions]])</f>
        <v>247.93</v>
      </c>
      <c r="S671" t="str">
        <f>IF(Table1[[#This Row],[Gross_millions_Clean]]&gt;200,"Blockbuster",IF(Table1[[#This Row],[Gross_millions_Clean]]&gt;100,"Hit","Average"))</f>
        <v>Blockbuster</v>
      </c>
    </row>
    <row r="672" spans="1:19" x14ac:dyDescent="0.3">
      <c r="A672" t="s">
        <v>2741</v>
      </c>
      <c r="B672" t="s">
        <v>2742</v>
      </c>
      <c r="C672">
        <v>2011</v>
      </c>
      <c r="D672" s="8">
        <f>FLOOR(Table1[[#This Row],[Year]],10)</f>
        <v>2010</v>
      </c>
      <c r="E672" t="s">
        <v>17</v>
      </c>
      <c r="F672">
        <v>100</v>
      </c>
      <c r="G672" t="str">
        <f>IF(Table1[[#This Row],[Runtime_minutes]]&lt;90,"Short",IF(Table1[[#This Row],[Runtime_minutes]]&lt;=120,"Medium","Long"))</f>
        <v>Medium</v>
      </c>
      <c r="H672" t="s">
        <v>1044</v>
      </c>
      <c r="K672">
        <v>6.5</v>
      </c>
      <c r="L672">
        <v>53</v>
      </c>
      <c r="M672" t="s">
        <v>1203</v>
      </c>
      <c r="N672" t="s">
        <v>236</v>
      </c>
      <c r="O672" t="s">
        <v>2743</v>
      </c>
      <c r="P672">
        <v>87142</v>
      </c>
      <c r="Q672" s="3">
        <v>389.56</v>
      </c>
      <c r="R672" s="3">
        <f>IF(Table1[[#This Row],[Gross_millions]]=" ",0,Table1[[#This Row],[Gross_millions]])</f>
        <v>389.56</v>
      </c>
      <c r="S672" t="str">
        <f>IF(Table1[[#This Row],[Gross_millions_Clean]]&gt;200,"Blockbuster",IF(Table1[[#This Row],[Gross_millions_Clean]]&gt;100,"Hit","Average"))</f>
        <v>Blockbuster</v>
      </c>
    </row>
    <row r="673" spans="1:19" x14ac:dyDescent="0.3">
      <c r="A673" t="s">
        <v>2744</v>
      </c>
      <c r="B673" t="s">
        <v>2745</v>
      </c>
      <c r="C673">
        <v>2019</v>
      </c>
      <c r="D673" s="8">
        <f>FLOOR(Table1[[#This Row],[Year]],10)</f>
        <v>2010</v>
      </c>
      <c r="E673" t="s">
        <v>285</v>
      </c>
      <c r="F673">
        <v>163</v>
      </c>
      <c r="G673" t="str">
        <f>IF(Table1[[#This Row],[Runtime_minutes]]&lt;90,"Short",IF(Table1[[#This Row],[Runtime_minutes]]&lt;=120,"Medium","Long"))</f>
        <v>Long</v>
      </c>
      <c r="H673" t="s">
        <v>55</v>
      </c>
      <c r="I673" t="s">
        <v>3984</v>
      </c>
      <c r="K673">
        <v>6.5</v>
      </c>
      <c r="L673">
        <v>64</v>
      </c>
      <c r="M673" t="s">
        <v>898</v>
      </c>
      <c r="N673" t="s">
        <v>74</v>
      </c>
      <c r="O673" t="s">
        <v>2746</v>
      </c>
      <c r="P673">
        <v>83176</v>
      </c>
      <c r="Q673" s="3"/>
      <c r="R673" s="3">
        <f>IF(Table1[[#This Row],[Gross_millions]]=" ",0,Table1[[#This Row],[Gross_millions]])</f>
        <v>0</v>
      </c>
      <c r="S673" t="str">
        <f>IF(Table1[[#This Row],[Gross_millions_Clean]]&gt;200,"Blockbuster",IF(Table1[[#This Row],[Gross_millions_Clean]]&gt;100,"Hit","Average"))</f>
        <v>Average</v>
      </c>
    </row>
    <row r="674" spans="1:19" x14ac:dyDescent="0.3">
      <c r="A674" t="s">
        <v>2747</v>
      </c>
      <c r="B674" t="s">
        <v>2748</v>
      </c>
      <c r="C674">
        <v>2005</v>
      </c>
      <c r="D674" s="8">
        <f>FLOOR(Table1[[#This Row],[Year]],10)</f>
        <v>2000</v>
      </c>
      <c r="E674" t="s">
        <v>285</v>
      </c>
      <c r="F674">
        <v>123</v>
      </c>
      <c r="G674" t="str">
        <f>IF(Table1[[#This Row],[Runtime_minutes]]&lt;90,"Short",IF(Table1[[#This Row],[Runtime_minutes]]&lt;=120,"Medium","Long"))</f>
        <v>Long</v>
      </c>
      <c r="H674" t="s">
        <v>375</v>
      </c>
      <c r="I674" t="s">
        <v>3984</v>
      </c>
      <c r="K674">
        <v>6.5</v>
      </c>
      <c r="M674" t="s">
        <v>381</v>
      </c>
      <c r="N674" t="s">
        <v>608</v>
      </c>
      <c r="O674" t="s">
        <v>2750</v>
      </c>
      <c r="P674">
        <v>54972</v>
      </c>
      <c r="Q674" s="3">
        <v>149.35</v>
      </c>
      <c r="R674" s="3">
        <f>IF(Table1[[#This Row],[Gross_millions]]=" ",0,Table1[[#This Row],[Gross_millions]])</f>
        <v>149.35</v>
      </c>
      <c r="S674" t="str">
        <f>IF(Table1[[#This Row],[Gross_millions_Clean]]&gt;200,"Blockbuster",IF(Table1[[#This Row],[Gross_millions_Clean]]&gt;100,"Hit","Average"))</f>
        <v>Hit</v>
      </c>
    </row>
    <row r="675" spans="1:19" x14ac:dyDescent="0.3">
      <c r="A675" t="s">
        <v>2751</v>
      </c>
      <c r="B675" t="s">
        <v>2752</v>
      </c>
      <c r="C675">
        <v>2021</v>
      </c>
      <c r="D675" s="8">
        <f>FLOOR(Table1[[#This Row],[Year]],10)</f>
        <v>2020</v>
      </c>
      <c r="E675" t="s">
        <v>17</v>
      </c>
      <c r="F675">
        <v>152</v>
      </c>
      <c r="G675" t="str">
        <f>IF(Table1[[#This Row],[Runtime_minutes]]&lt;90,"Short",IF(Table1[[#This Row],[Runtime_minutes]]&lt;=120,"Medium","Long"))</f>
        <v>Long</v>
      </c>
      <c r="H675" t="s">
        <v>72</v>
      </c>
      <c r="I675" t="s">
        <v>3991</v>
      </c>
      <c r="K675">
        <v>6.5</v>
      </c>
      <c r="L675">
        <v>72</v>
      </c>
      <c r="M675" t="s">
        <v>2753</v>
      </c>
      <c r="N675" t="s">
        <v>315</v>
      </c>
      <c r="O675" t="s">
        <v>2754</v>
      </c>
      <c r="P675">
        <v>44118</v>
      </c>
      <c r="Q675" s="3">
        <v>232.17</v>
      </c>
      <c r="R675" s="3">
        <f>IF(Table1[[#This Row],[Gross_millions]]=" ",0,Table1[[#This Row],[Gross_millions]])</f>
        <v>232.17</v>
      </c>
      <c r="S675" t="str">
        <f>IF(Table1[[#This Row],[Gross_millions_Clean]]&gt;200,"Blockbuster",IF(Table1[[#This Row],[Gross_millions_Clean]]&gt;100,"Hit","Average"))</f>
        <v>Blockbuster</v>
      </c>
    </row>
    <row r="676" spans="1:19" x14ac:dyDescent="0.3">
      <c r="A676" t="s">
        <v>2755</v>
      </c>
      <c r="B676" t="s">
        <v>2756</v>
      </c>
      <c r="C676">
        <v>2008</v>
      </c>
      <c r="D676" s="8">
        <f>FLOOR(Table1[[#This Row],[Year]],10)</f>
        <v>2000</v>
      </c>
      <c r="E676" t="s">
        <v>17</v>
      </c>
      <c r="F676">
        <v>125</v>
      </c>
      <c r="G676" t="str">
        <f>IF(Table1[[#This Row],[Runtime_minutes]]&lt;90,"Short",IF(Table1[[#This Row],[Runtime_minutes]]&lt;=120,"Medium","Long"))</f>
        <v>Long</v>
      </c>
      <c r="H676" t="s">
        <v>48</v>
      </c>
      <c r="I676" t="s">
        <v>3980</v>
      </c>
      <c r="K676">
        <v>6.5</v>
      </c>
      <c r="L676">
        <v>73</v>
      </c>
      <c r="M676" t="s">
        <v>2758</v>
      </c>
      <c r="N676" t="s">
        <v>74</v>
      </c>
      <c r="O676" t="s">
        <v>2759</v>
      </c>
      <c r="P676">
        <v>74241</v>
      </c>
      <c r="Q676" s="3"/>
      <c r="R676" s="3">
        <f>IF(Table1[[#This Row],[Gross_millions]]=" ",0,Table1[[#This Row],[Gross_millions]])</f>
        <v>0</v>
      </c>
      <c r="S676" t="str">
        <f>IF(Table1[[#This Row],[Gross_millions_Clean]]&gt;200,"Blockbuster",IF(Table1[[#This Row],[Gross_millions_Clean]]&gt;100,"Hit","Average"))</f>
        <v>Average</v>
      </c>
    </row>
    <row r="677" spans="1:19" x14ac:dyDescent="0.3">
      <c r="A677" t="s">
        <v>2760</v>
      </c>
      <c r="B677" t="s">
        <v>2761</v>
      </c>
      <c r="C677">
        <v>2007</v>
      </c>
      <c r="D677" s="8">
        <f>FLOOR(Table1[[#This Row],[Year]],10)</f>
        <v>2000</v>
      </c>
      <c r="E677" t="s">
        <v>24</v>
      </c>
      <c r="F677">
        <v>110</v>
      </c>
      <c r="G677" t="str">
        <f>IF(Table1[[#This Row],[Runtime_minutes]]&lt;90,"Short",IF(Table1[[#This Row],[Runtime_minutes]]&lt;=120,"Medium","Long"))</f>
        <v>Medium</v>
      </c>
      <c r="H677" t="s">
        <v>767</v>
      </c>
      <c r="K677">
        <v>6.5</v>
      </c>
      <c r="L677">
        <v>54</v>
      </c>
      <c r="M677" t="s">
        <v>2762</v>
      </c>
      <c r="N677" t="s">
        <v>153</v>
      </c>
      <c r="O677" t="s">
        <v>2763</v>
      </c>
      <c r="P677">
        <v>113125</v>
      </c>
      <c r="Q677" s="3">
        <v>65.64</v>
      </c>
      <c r="R677" s="3">
        <f>IF(Table1[[#This Row],[Gross_millions]]=" ",0,Table1[[#This Row],[Gross_millions]])</f>
        <v>65.64</v>
      </c>
      <c r="S677" t="str">
        <f>IF(Table1[[#This Row],[Gross_millions_Clean]]&gt;200,"Blockbuster",IF(Table1[[#This Row],[Gross_millions_Clean]]&gt;100,"Hit","Average"))</f>
        <v>Average</v>
      </c>
    </row>
    <row r="678" spans="1:19" x14ac:dyDescent="0.3">
      <c r="A678" t="s">
        <v>2764</v>
      </c>
      <c r="B678" t="s">
        <v>2765</v>
      </c>
      <c r="C678">
        <v>2014</v>
      </c>
      <c r="D678" s="8">
        <f>FLOOR(Table1[[#This Row],[Year]],10)</f>
        <v>2010</v>
      </c>
      <c r="E678" t="s">
        <v>54</v>
      </c>
      <c r="F678">
        <v>131</v>
      </c>
      <c r="G678" t="str">
        <f>IF(Table1[[#This Row],[Runtime_minutes]]&lt;90,"Short",IF(Table1[[#This Row],[Runtime_minutes]]&lt;=120,"Medium","Long"))</f>
        <v>Long</v>
      </c>
      <c r="H678" t="s">
        <v>129</v>
      </c>
      <c r="K678">
        <v>6.5</v>
      </c>
      <c r="L678">
        <v>68</v>
      </c>
      <c r="M678" t="s">
        <v>2766</v>
      </c>
      <c r="N678" t="s">
        <v>147</v>
      </c>
      <c r="O678" t="s">
        <v>2767</v>
      </c>
      <c r="P678">
        <v>25326</v>
      </c>
      <c r="Q678" s="3">
        <v>489.89</v>
      </c>
      <c r="R678" s="3">
        <f>IF(Table1[[#This Row],[Gross_millions]]=" ",0,Table1[[#This Row],[Gross_millions]])</f>
        <v>489.89</v>
      </c>
      <c r="S678" t="str">
        <f>IF(Table1[[#This Row],[Gross_millions_Clean]]&gt;200,"Blockbuster",IF(Table1[[#This Row],[Gross_millions_Clean]]&gt;100,"Hit","Average"))</f>
        <v>Blockbuster</v>
      </c>
    </row>
    <row r="679" spans="1:19" x14ac:dyDescent="0.3">
      <c r="A679" t="s">
        <v>2768</v>
      </c>
      <c r="B679" t="s">
        <v>2769</v>
      </c>
      <c r="C679">
        <v>2001</v>
      </c>
      <c r="D679" s="8">
        <f>FLOOR(Table1[[#This Row],[Year]],10)</f>
        <v>2000</v>
      </c>
      <c r="E679" t="s">
        <v>293</v>
      </c>
      <c r="F679">
        <v>154</v>
      </c>
      <c r="G679" t="str">
        <f>IF(Table1[[#This Row],[Runtime_minutes]]&lt;90,"Short",IF(Table1[[#This Row],[Runtime_minutes]]&lt;=120,"Medium","Long"))</f>
        <v>Long</v>
      </c>
      <c r="H679" t="s">
        <v>277</v>
      </c>
      <c r="I679" t="s">
        <v>3978</v>
      </c>
      <c r="K679">
        <v>6.4</v>
      </c>
      <c r="L679">
        <v>69</v>
      </c>
      <c r="M679" t="s">
        <v>2770</v>
      </c>
      <c r="N679" t="s">
        <v>57</v>
      </c>
      <c r="O679" t="s">
        <v>2771</v>
      </c>
      <c r="P679">
        <v>83870</v>
      </c>
      <c r="Q679" s="3">
        <v>195.76</v>
      </c>
      <c r="R679" s="3">
        <f>IF(Table1[[#This Row],[Gross_millions]]=" ",0,Table1[[#This Row],[Gross_millions]])</f>
        <v>195.76</v>
      </c>
      <c r="S679" t="str">
        <f>IF(Table1[[#This Row],[Gross_millions_Clean]]&gt;200,"Blockbuster",IF(Table1[[#This Row],[Gross_millions_Clean]]&gt;100,"Hit","Average"))</f>
        <v>Hit</v>
      </c>
    </row>
    <row r="680" spans="1:19" x14ac:dyDescent="0.3">
      <c r="A680" t="s">
        <v>2772</v>
      </c>
      <c r="B680" t="s">
        <v>2773</v>
      </c>
      <c r="C680">
        <v>2020</v>
      </c>
      <c r="D680" s="8">
        <f>FLOOR(Table1[[#This Row],[Year]],10)</f>
        <v>2020</v>
      </c>
      <c r="E680" t="s">
        <v>293</v>
      </c>
      <c r="F680">
        <v>112</v>
      </c>
      <c r="G680" t="str">
        <f>IF(Table1[[#This Row],[Runtime_minutes]]&lt;90,"Short",IF(Table1[[#This Row],[Runtime_minutes]]&lt;=120,"Medium","Long"))</f>
        <v>Medium</v>
      </c>
      <c r="H680" t="s">
        <v>78</v>
      </c>
      <c r="I680" t="s">
        <v>3981</v>
      </c>
      <c r="J680" t="s">
        <v>3988</v>
      </c>
      <c r="K680">
        <v>6.4</v>
      </c>
      <c r="L680">
        <v>72</v>
      </c>
      <c r="M680" t="s">
        <v>2775</v>
      </c>
      <c r="N680" t="s">
        <v>547</v>
      </c>
      <c r="O680" t="s">
        <v>2776</v>
      </c>
      <c r="P680">
        <v>15008</v>
      </c>
      <c r="Q680" s="3"/>
      <c r="R680" s="3">
        <f>IF(Table1[[#This Row],[Gross_millions]]=" ",0,Table1[[#This Row],[Gross_millions]])</f>
        <v>0</v>
      </c>
      <c r="S680" t="str">
        <f>IF(Table1[[#This Row],[Gross_millions_Clean]]&gt;200,"Blockbuster",IF(Table1[[#This Row],[Gross_millions_Clean]]&gt;100,"Hit","Average"))</f>
        <v>Average</v>
      </c>
    </row>
    <row r="681" spans="1:19" x14ac:dyDescent="0.3">
      <c r="A681" t="s">
        <v>2777</v>
      </c>
      <c r="B681" t="s">
        <v>2778</v>
      </c>
      <c r="C681">
        <v>2001</v>
      </c>
      <c r="D681" s="8">
        <f>FLOOR(Table1[[#This Row],[Year]],10)</f>
        <v>2000</v>
      </c>
      <c r="E681" t="s">
        <v>54</v>
      </c>
      <c r="F681">
        <v>118</v>
      </c>
      <c r="G681" t="str">
        <f>IF(Table1[[#This Row],[Runtime_minutes]]&lt;90,"Short",IF(Table1[[#This Row],[Runtime_minutes]]&lt;=120,"Medium","Long"))</f>
        <v>Medium</v>
      </c>
      <c r="H681" t="s">
        <v>43</v>
      </c>
      <c r="K681">
        <v>6.4</v>
      </c>
      <c r="M681" t="s">
        <v>2779</v>
      </c>
      <c r="N681" t="s">
        <v>125</v>
      </c>
      <c r="O681" t="s">
        <v>2780</v>
      </c>
      <c r="P681">
        <v>80220</v>
      </c>
      <c r="Q681" s="3">
        <v>440.2</v>
      </c>
      <c r="R681" s="3">
        <f>IF(Table1[[#This Row],[Gross_millions]]=" ",0,Table1[[#This Row],[Gross_millions]])</f>
        <v>440.2</v>
      </c>
      <c r="S681" t="str">
        <f>IF(Table1[[#This Row],[Gross_millions_Clean]]&gt;200,"Blockbuster",IF(Table1[[#This Row],[Gross_millions_Clean]]&gt;100,"Hit","Average"))</f>
        <v>Blockbuster</v>
      </c>
    </row>
    <row r="682" spans="1:19" x14ac:dyDescent="0.3">
      <c r="A682" t="s">
        <v>2781</v>
      </c>
      <c r="B682" t="s">
        <v>2782</v>
      </c>
      <c r="C682">
        <v>2013</v>
      </c>
      <c r="D682" s="8">
        <f>FLOOR(Table1[[#This Row],[Year]],10)</f>
        <v>2010</v>
      </c>
      <c r="E682" t="s">
        <v>24</v>
      </c>
      <c r="F682">
        <v>116</v>
      </c>
      <c r="G682" t="str">
        <f>IF(Table1[[#This Row],[Runtime_minutes]]&lt;90,"Short",IF(Table1[[#This Row],[Runtime_minutes]]&lt;=120,"Medium","Long"))</f>
        <v>Medium</v>
      </c>
      <c r="H682" t="s">
        <v>43</v>
      </c>
      <c r="I682" t="s">
        <v>3986</v>
      </c>
      <c r="K682">
        <v>6.4</v>
      </c>
      <c r="L682">
        <v>57</v>
      </c>
      <c r="M682" t="s">
        <v>1363</v>
      </c>
      <c r="N682" t="s">
        <v>131</v>
      </c>
      <c r="O682" t="s">
        <v>2784</v>
      </c>
      <c r="P682">
        <v>524639</v>
      </c>
      <c r="Q682" s="3">
        <v>464.34</v>
      </c>
      <c r="R682" s="3">
        <f>IF(Table1[[#This Row],[Gross_millions]]=" ",0,Table1[[#This Row],[Gross_millions]])</f>
        <v>464.34</v>
      </c>
      <c r="S682" t="str">
        <f>IF(Table1[[#This Row],[Gross_millions_Clean]]&gt;200,"Blockbuster",IF(Table1[[#This Row],[Gross_millions_Clean]]&gt;100,"Hit","Average"))</f>
        <v>Blockbuster</v>
      </c>
    </row>
    <row r="683" spans="1:19" x14ac:dyDescent="0.3">
      <c r="A683" t="s">
        <v>2785</v>
      </c>
      <c r="B683" t="s">
        <v>2786</v>
      </c>
      <c r="C683">
        <v>2014</v>
      </c>
      <c r="D683" s="8">
        <f>FLOOR(Table1[[#This Row],[Year]],10)</f>
        <v>2010</v>
      </c>
      <c r="E683" t="s">
        <v>54</v>
      </c>
      <c r="F683">
        <v>139</v>
      </c>
      <c r="G683" t="str">
        <f>IF(Table1[[#This Row],[Runtime_minutes]]&lt;90,"Short",IF(Table1[[#This Row],[Runtime_minutes]]&lt;=120,"Medium","Long"))</f>
        <v>Long</v>
      </c>
      <c r="H683" t="s">
        <v>37</v>
      </c>
      <c r="K683">
        <v>6.4</v>
      </c>
      <c r="L683">
        <v>71</v>
      </c>
      <c r="M683" t="s">
        <v>561</v>
      </c>
      <c r="N683" t="s">
        <v>33</v>
      </c>
      <c r="O683" t="s">
        <v>2787</v>
      </c>
      <c r="P683">
        <v>156485</v>
      </c>
      <c r="Q683" s="3">
        <v>317.22000000000003</v>
      </c>
      <c r="R683" s="3">
        <f>IF(Table1[[#This Row],[Gross_millions]]=" ",0,Table1[[#This Row],[Gross_millions]])</f>
        <v>317.22000000000003</v>
      </c>
      <c r="S683" t="str">
        <f>IF(Table1[[#This Row],[Gross_millions_Clean]]&gt;200,"Blockbuster",IF(Table1[[#This Row],[Gross_millions_Clean]]&gt;100,"Hit","Average"))</f>
        <v>Blockbuster</v>
      </c>
    </row>
    <row r="684" spans="1:19" x14ac:dyDescent="0.3">
      <c r="A684" t="s">
        <v>2788</v>
      </c>
      <c r="B684" t="s">
        <v>2789</v>
      </c>
      <c r="C684">
        <v>1995</v>
      </c>
      <c r="D684" s="8">
        <f>FLOOR(Table1[[#This Row],[Year]],10)</f>
        <v>1990</v>
      </c>
      <c r="E684" t="s">
        <v>17</v>
      </c>
      <c r="F684">
        <v>100</v>
      </c>
      <c r="G684" t="str">
        <f>IF(Table1[[#This Row],[Runtime_minutes]]&lt;90,"Short",IF(Table1[[#This Row],[Runtime_minutes]]&lt;=120,"Medium","Long"))</f>
        <v>Medium</v>
      </c>
      <c r="H684" t="s">
        <v>453</v>
      </c>
      <c r="I684" t="s">
        <v>3992</v>
      </c>
      <c r="K684">
        <v>6.4</v>
      </c>
      <c r="L684">
        <v>64</v>
      </c>
      <c r="M684" t="s">
        <v>269</v>
      </c>
      <c r="N684" t="s">
        <v>131</v>
      </c>
      <c r="O684" t="s">
        <v>2791</v>
      </c>
      <c r="P684">
        <v>105445</v>
      </c>
      <c r="Q684" s="3">
        <v>128.97</v>
      </c>
      <c r="R684" s="3">
        <f>IF(Table1[[#This Row],[Gross_millions]]=" ",0,Table1[[#This Row],[Gross_millions]])</f>
        <v>128.97</v>
      </c>
      <c r="S684" t="str">
        <f>IF(Table1[[#This Row],[Gross_millions_Clean]]&gt;200,"Blockbuster",IF(Table1[[#This Row],[Gross_millions_Clean]]&gt;100,"Hit","Average"))</f>
        <v>Hit</v>
      </c>
    </row>
    <row r="685" spans="1:19" x14ac:dyDescent="0.3">
      <c r="A685" t="s">
        <v>2792</v>
      </c>
      <c r="B685" t="s">
        <v>2793</v>
      </c>
      <c r="C685">
        <v>2009</v>
      </c>
      <c r="D685" s="8">
        <f>FLOOR(Table1[[#This Row],[Year]],10)</f>
        <v>2000</v>
      </c>
      <c r="E685" t="s">
        <v>17</v>
      </c>
      <c r="F685">
        <v>139</v>
      </c>
      <c r="G685" t="str">
        <f>IF(Table1[[#This Row],[Runtime_minutes]]&lt;90,"Short",IF(Table1[[#This Row],[Runtime_minutes]]&lt;=120,"Medium","Long"))</f>
        <v>Long</v>
      </c>
      <c r="H685" t="s">
        <v>129</v>
      </c>
      <c r="I685" t="s">
        <v>3983</v>
      </c>
      <c r="K685">
        <v>6.4</v>
      </c>
      <c r="M685" t="s">
        <v>2126</v>
      </c>
      <c r="N685" t="s">
        <v>165</v>
      </c>
      <c r="O685" t="s">
        <v>2794</v>
      </c>
      <c r="P685">
        <v>5797</v>
      </c>
      <c r="Q685" s="3">
        <v>92.46</v>
      </c>
      <c r="R685" s="3">
        <f>IF(Table1[[#This Row],[Gross_millions]]=" ",0,Table1[[#This Row],[Gross_millions]])</f>
        <v>92.46</v>
      </c>
      <c r="S685" t="str">
        <f>IF(Table1[[#This Row],[Gross_millions_Clean]]&gt;200,"Blockbuster",IF(Table1[[#This Row],[Gross_millions_Clean]]&gt;100,"Hit","Average"))</f>
        <v>Average</v>
      </c>
    </row>
    <row r="686" spans="1:19" x14ac:dyDescent="0.3">
      <c r="A686" t="s">
        <v>2795</v>
      </c>
      <c r="B686" t="s">
        <v>2796</v>
      </c>
      <c r="C686">
        <v>2002</v>
      </c>
      <c r="D686" s="8">
        <f>FLOOR(Table1[[#This Row],[Year]],10)</f>
        <v>2000</v>
      </c>
      <c r="E686" t="s">
        <v>24</v>
      </c>
      <c r="F686">
        <v>127</v>
      </c>
      <c r="G686" t="str">
        <f>IF(Table1[[#This Row],[Runtime_minutes]]&lt;90,"Short",IF(Table1[[#This Row],[Runtime_minutes]]&lt;=120,"Medium","Long"))</f>
        <v>Long</v>
      </c>
      <c r="H686" t="s">
        <v>453</v>
      </c>
      <c r="I686" t="s">
        <v>3989</v>
      </c>
      <c r="K686">
        <v>6.4</v>
      </c>
      <c r="L686">
        <v>63</v>
      </c>
      <c r="M686" t="s">
        <v>269</v>
      </c>
      <c r="N686" t="s">
        <v>718</v>
      </c>
      <c r="O686" t="s">
        <v>2798</v>
      </c>
      <c r="P686">
        <v>62512</v>
      </c>
      <c r="Q686" s="3">
        <v>145.21</v>
      </c>
      <c r="R686" s="3">
        <f>IF(Table1[[#This Row],[Gross_millions]]=" ",0,Table1[[#This Row],[Gross_millions]])</f>
        <v>145.21</v>
      </c>
      <c r="S686" t="str">
        <f>IF(Table1[[#This Row],[Gross_millions_Clean]]&gt;200,"Blockbuster",IF(Table1[[#This Row],[Gross_millions_Clean]]&gt;100,"Hit","Average"))</f>
        <v>Hit</v>
      </c>
    </row>
    <row r="687" spans="1:19" x14ac:dyDescent="0.3">
      <c r="A687" t="s">
        <v>2799</v>
      </c>
      <c r="B687" t="s">
        <v>2800</v>
      </c>
      <c r="C687">
        <v>2015</v>
      </c>
      <c r="D687" s="8">
        <f>FLOOR(Table1[[#This Row],[Year]],10)</f>
        <v>2010</v>
      </c>
      <c r="E687" t="s">
        <v>24</v>
      </c>
      <c r="F687">
        <v>133</v>
      </c>
      <c r="G687" t="str">
        <f>IF(Table1[[#This Row],[Runtime_minutes]]&lt;90,"Short",IF(Table1[[#This Row],[Runtime_minutes]]&lt;=120,"Medium","Long"))</f>
        <v>Long</v>
      </c>
      <c r="H687" t="s">
        <v>230</v>
      </c>
      <c r="I687" t="s">
        <v>3979</v>
      </c>
      <c r="K687">
        <v>6.4</v>
      </c>
      <c r="L687">
        <v>65</v>
      </c>
      <c r="M687" t="s">
        <v>2316</v>
      </c>
      <c r="N687" t="s">
        <v>63</v>
      </c>
      <c r="O687" t="s">
        <v>2801</v>
      </c>
      <c r="P687">
        <v>1522649</v>
      </c>
      <c r="Q687" s="3">
        <v>44.22</v>
      </c>
      <c r="R687" s="3">
        <f>IF(Table1[[#This Row],[Gross_millions]]=" ",0,Table1[[#This Row],[Gross_millions]])</f>
        <v>44.22</v>
      </c>
      <c r="S687" t="str">
        <f>IF(Table1[[#This Row],[Gross_millions_Clean]]&gt;200,"Blockbuster",IF(Table1[[#This Row],[Gross_millions_Clean]]&gt;100,"Hit","Average"))</f>
        <v>Average</v>
      </c>
    </row>
    <row r="688" spans="1:19" x14ac:dyDescent="0.3">
      <c r="A688" t="s">
        <v>2802</v>
      </c>
      <c r="B688" t="s">
        <v>2803</v>
      </c>
      <c r="C688">
        <v>2004</v>
      </c>
      <c r="D688" s="8">
        <f>FLOOR(Table1[[#This Row],[Year]],10)</f>
        <v>2000</v>
      </c>
      <c r="E688" t="s">
        <v>17</v>
      </c>
      <c r="F688">
        <v>106</v>
      </c>
      <c r="G688" t="str">
        <f>IF(Table1[[#This Row],[Runtime_minutes]]&lt;90,"Short",IF(Table1[[#This Row],[Runtime_minutes]]&lt;=120,"Medium","Long"))</f>
        <v>Medium</v>
      </c>
      <c r="H688" t="s">
        <v>72</v>
      </c>
      <c r="K688">
        <v>6.4</v>
      </c>
      <c r="M688" t="s">
        <v>2804</v>
      </c>
      <c r="N688" t="s">
        <v>119</v>
      </c>
      <c r="O688" t="s">
        <v>2805</v>
      </c>
      <c r="P688">
        <v>27278</v>
      </c>
      <c r="Q688" s="3">
        <v>170.28</v>
      </c>
      <c r="R688" s="3">
        <f>IF(Table1[[#This Row],[Gross_millions]]=" ",0,Table1[[#This Row],[Gross_millions]])</f>
        <v>170.28</v>
      </c>
      <c r="S688" t="str">
        <f>IF(Table1[[#This Row],[Gross_millions_Clean]]&gt;200,"Blockbuster",IF(Table1[[#This Row],[Gross_millions_Clean]]&gt;100,"Hit","Average"))</f>
        <v>Hit</v>
      </c>
    </row>
    <row r="689" spans="1:19" x14ac:dyDescent="0.3">
      <c r="A689" t="s">
        <v>2806</v>
      </c>
      <c r="B689" t="s">
        <v>2807</v>
      </c>
      <c r="C689">
        <v>2023</v>
      </c>
      <c r="D689" s="8">
        <f>FLOOR(Table1[[#This Row],[Year]],10)</f>
        <v>2020</v>
      </c>
      <c r="E689" t="s">
        <v>293</v>
      </c>
      <c r="F689">
        <v>144</v>
      </c>
      <c r="G689" t="str">
        <f>IF(Table1[[#This Row],[Runtime_minutes]]&lt;90,"Short",IF(Table1[[#This Row],[Runtime_minutes]]&lt;=120,"Medium","Long"))</f>
        <v>Long</v>
      </c>
      <c r="H689" t="s">
        <v>129</v>
      </c>
      <c r="K689">
        <v>6.4</v>
      </c>
      <c r="M689" t="s">
        <v>634</v>
      </c>
      <c r="N689" t="s">
        <v>518</v>
      </c>
      <c r="O689" t="s">
        <v>2808</v>
      </c>
      <c r="P689">
        <v>3587</v>
      </c>
      <c r="Q689" s="3">
        <v>220.6</v>
      </c>
      <c r="R689" s="3">
        <f>IF(Table1[[#This Row],[Gross_millions]]=" ",0,Table1[[#This Row],[Gross_millions]])</f>
        <v>220.6</v>
      </c>
      <c r="S689" t="str">
        <f>IF(Table1[[#This Row],[Gross_millions_Clean]]&gt;200,"Blockbuster",IF(Table1[[#This Row],[Gross_millions_Clean]]&gt;100,"Hit","Average"))</f>
        <v>Blockbuster</v>
      </c>
    </row>
    <row r="690" spans="1:19" x14ac:dyDescent="0.3">
      <c r="A690" t="s">
        <v>2809</v>
      </c>
      <c r="B690" t="s">
        <v>2810</v>
      </c>
      <c r="C690">
        <v>2013</v>
      </c>
      <c r="D690" s="8">
        <f>FLOOR(Table1[[#This Row],[Year]],10)</f>
        <v>2010</v>
      </c>
      <c r="E690" t="s">
        <v>17</v>
      </c>
      <c r="F690">
        <v>103</v>
      </c>
      <c r="G690" t="str">
        <f>IF(Table1[[#This Row],[Runtime_minutes]]&lt;90,"Short",IF(Table1[[#This Row],[Runtime_minutes]]&lt;=120,"Medium","Long"))</f>
        <v>Medium</v>
      </c>
      <c r="H690" t="s">
        <v>606</v>
      </c>
      <c r="I690" t="s">
        <v>3988</v>
      </c>
      <c r="K690">
        <v>6.4</v>
      </c>
      <c r="L690">
        <v>50</v>
      </c>
      <c r="M690" t="s">
        <v>2812</v>
      </c>
      <c r="N690" t="s">
        <v>221</v>
      </c>
      <c r="O690" t="s">
        <v>2813</v>
      </c>
      <c r="P690">
        <v>222255</v>
      </c>
      <c r="Q690" s="3">
        <v>197.9</v>
      </c>
      <c r="R690" s="3">
        <f>IF(Table1[[#This Row],[Gross_millions]]=" ",0,Table1[[#This Row],[Gross_millions]])</f>
        <v>197.9</v>
      </c>
      <c r="S690" t="str">
        <f>IF(Table1[[#This Row],[Gross_millions_Clean]]&gt;200,"Blockbuster",IF(Table1[[#This Row],[Gross_millions_Clean]]&gt;100,"Hit","Average"))</f>
        <v>Hit</v>
      </c>
    </row>
    <row r="691" spans="1:19" x14ac:dyDescent="0.3">
      <c r="A691" t="s">
        <v>2814</v>
      </c>
      <c r="B691" t="s">
        <v>2815</v>
      </c>
      <c r="C691">
        <v>2019</v>
      </c>
      <c r="D691" s="8">
        <f>FLOOR(Table1[[#This Row],[Year]],10)</f>
        <v>2010</v>
      </c>
      <c r="E691" t="s">
        <v>54</v>
      </c>
      <c r="F691">
        <v>124</v>
      </c>
      <c r="G691" t="str">
        <f>IF(Table1[[#This Row],[Runtime_minutes]]&lt;90,"Short",IF(Table1[[#This Row],[Runtime_minutes]]&lt;=120,"Medium","Long"))</f>
        <v>Long</v>
      </c>
      <c r="H691" t="s">
        <v>767</v>
      </c>
      <c r="I691" t="s">
        <v>3986</v>
      </c>
      <c r="K691">
        <v>6.4</v>
      </c>
      <c r="M691" t="s">
        <v>62</v>
      </c>
      <c r="N691" t="s">
        <v>63</v>
      </c>
      <c r="O691" t="s">
        <v>2817</v>
      </c>
      <c r="P691">
        <v>200924</v>
      </c>
      <c r="Q691" s="3">
        <v>342.49</v>
      </c>
      <c r="R691" s="3">
        <f>IF(Table1[[#This Row],[Gross_millions]]=" ",0,Table1[[#This Row],[Gross_millions]])</f>
        <v>342.49</v>
      </c>
      <c r="S691" t="str">
        <f>IF(Table1[[#This Row],[Gross_millions_Clean]]&gt;200,"Blockbuster",IF(Table1[[#This Row],[Gross_millions_Clean]]&gt;100,"Hit","Average"))</f>
        <v>Blockbuster</v>
      </c>
    </row>
    <row r="692" spans="1:19" x14ac:dyDescent="0.3">
      <c r="A692" t="s">
        <v>2818</v>
      </c>
      <c r="B692" t="s">
        <v>2819</v>
      </c>
      <c r="C692">
        <v>2017</v>
      </c>
      <c r="D692" s="8">
        <f>FLOOR(Table1[[#This Row],[Year]],10)</f>
        <v>2010</v>
      </c>
      <c r="E692" t="s">
        <v>54</v>
      </c>
      <c r="F692">
        <v>111</v>
      </c>
      <c r="G692" t="str">
        <f>IF(Table1[[#This Row],[Runtime_minutes]]&lt;90,"Short",IF(Table1[[#This Row],[Runtime_minutes]]&lt;=120,"Medium","Long"))</f>
        <v>Medium</v>
      </c>
      <c r="H692" t="s">
        <v>606</v>
      </c>
      <c r="I692" t="s">
        <v>3984</v>
      </c>
      <c r="K692">
        <v>6.4</v>
      </c>
      <c r="L692">
        <v>54</v>
      </c>
      <c r="M692" t="s">
        <v>2821</v>
      </c>
      <c r="N692" t="s">
        <v>165</v>
      </c>
      <c r="O692" t="s">
        <v>2822</v>
      </c>
      <c r="P692">
        <v>93420</v>
      </c>
      <c r="Q692" s="3"/>
      <c r="R692" s="3">
        <f>IF(Table1[[#This Row],[Gross_millions]]=" ",0,Table1[[#This Row],[Gross_millions]])</f>
        <v>0</v>
      </c>
      <c r="S692" t="str">
        <f>IF(Table1[[#This Row],[Gross_millions_Clean]]&gt;200,"Blockbuster",IF(Table1[[#This Row],[Gross_millions_Clean]]&gt;100,"Hit","Average"))</f>
        <v>Average</v>
      </c>
    </row>
    <row r="693" spans="1:19" x14ac:dyDescent="0.3">
      <c r="A693" t="s">
        <v>2823</v>
      </c>
      <c r="B693" t="s">
        <v>2824</v>
      </c>
      <c r="C693">
        <v>1993</v>
      </c>
      <c r="D693" s="8">
        <f>FLOOR(Table1[[#This Row],[Year]],10)</f>
        <v>1990</v>
      </c>
      <c r="E693" t="s">
        <v>17</v>
      </c>
      <c r="F693">
        <v>124</v>
      </c>
      <c r="G693" t="str">
        <f>IF(Table1[[#This Row],[Runtime_minutes]]&lt;90,"Short",IF(Table1[[#This Row],[Runtime_minutes]]&lt;=120,"Medium","Long"))</f>
        <v>Long</v>
      </c>
      <c r="H693" t="s">
        <v>606</v>
      </c>
      <c r="K693">
        <v>6.4</v>
      </c>
      <c r="L693">
        <v>74</v>
      </c>
      <c r="M693" t="s">
        <v>250</v>
      </c>
      <c r="N693" t="s">
        <v>483</v>
      </c>
      <c r="O693" t="s">
        <v>2825</v>
      </c>
      <c r="P693">
        <v>16734</v>
      </c>
      <c r="Q693" s="3">
        <v>94.55</v>
      </c>
      <c r="R693" s="3">
        <f>IF(Table1[[#This Row],[Gross_millions]]=" ",0,Table1[[#This Row],[Gross_millions]])</f>
        <v>94.55</v>
      </c>
      <c r="S693" t="str">
        <f>IF(Table1[[#This Row],[Gross_millions_Clean]]&gt;200,"Blockbuster",IF(Table1[[#This Row],[Gross_millions_Clean]]&gt;100,"Hit","Average"))</f>
        <v>Average</v>
      </c>
    </row>
    <row r="694" spans="1:19" x14ac:dyDescent="0.3">
      <c r="A694" t="s">
        <v>2826</v>
      </c>
      <c r="B694" t="s">
        <v>2827</v>
      </c>
      <c r="C694">
        <v>2019</v>
      </c>
      <c r="D694" s="8">
        <f>FLOOR(Table1[[#This Row],[Year]],10)</f>
        <v>2010</v>
      </c>
      <c r="E694" t="s">
        <v>17</v>
      </c>
      <c r="F694">
        <v>114</v>
      </c>
      <c r="G694" t="str">
        <f>IF(Table1[[#This Row],[Runtime_minutes]]&lt;90,"Short",IF(Table1[[#This Row],[Runtime_minutes]]&lt;=120,"Medium","Long"))</f>
        <v>Medium</v>
      </c>
      <c r="H694" t="s">
        <v>606</v>
      </c>
      <c r="K694">
        <v>6.4</v>
      </c>
      <c r="L694">
        <v>57</v>
      </c>
      <c r="M694" t="s">
        <v>250</v>
      </c>
      <c r="N694" t="s">
        <v>80</v>
      </c>
      <c r="O694" t="s">
        <v>2828</v>
      </c>
      <c r="P694">
        <v>144759</v>
      </c>
      <c r="Q694" s="3"/>
      <c r="R694" s="3">
        <f>IF(Table1[[#This Row],[Gross_millions]]=" ",0,Table1[[#This Row],[Gross_millions]])</f>
        <v>0</v>
      </c>
      <c r="S694" t="str">
        <f>IF(Table1[[#This Row],[Gross_millions_Clean]]&gt;200,"Blockbuster",IF(Table1[[#This Row],[Gross_millions_Clean]]&gt;100,"Hit","Average"))</f>
        <v>Average</v>
      </c>
    </row>
    <row r="695" spans="1:19" x14ac:dyDescent="0.3">
      <c r="A695" t="s">
        <v>2829</v>
      </c>
      <c r="B695" t="s">
        <v>2830</v>
      </c>
      <c r="C695">
        <v>2017</v>
      </c>
      <c r="D695" s="8">
        <f>FLOOR(Table1[[#This Row],[Year]],10)</f>
        <v>2010</v>
      </c>
      <c r="E695" t="s">
        <v>17</v>
      </c>
      <c r="F695">
        <v>94</v>
      </c>
      <c r="G695" t="str">
        <f>IF(Table1[[#This Row],[Runtime_minutes]]&lt;90,"Short",IF(Table1[[#This Row],[Runtime_minutes]]&lt;=120,"Medium","Long"))</f>
        <v>Medium</v>
      </c>
      <c r="H695" t="s">
        <v>37</v>
      </c>
      <c r="K695">
        <v>6.4</v>
      </c>
      <c r="L695">
        <v>77</v>
      </c>
      <c r="M695" t="s">
        <v>2831</v>
      </c>
      <c r="N695" t="s">
        <v>159</v>
      </c>
      <c r="O695" t="s">
        <v>2832</v>
      </c>
      <c r="P695">
        <v>78601</v>
      </c>
      <c r="Q695" s="3">
        <v>467.65</v>
      </c>
      <c r="R695" s="3">
        <f>IF(Table1[[#This Row],[Gross_millions]]=" ",0,Table1[[#This Row],[Gross_millions]])</f>
        <v>467.65</v>
      </c>
      <c r="S695" t="str">
        <f>IF(Table1[[#This Row],[Gross_millions_Clean]]&gt;200,"Blockbuster",IF(Table1[[#This Row],[Gross_millions_Clean]]&gt;100,"Hit","Average"))</f>
        <v>Blockbuster</v>
      </c>
    </row>
    <row r="696" spans="1:19" x14ac:dyDescent="0.3">
      <c r="A696" t="s">
        <v>2833</v>
      </c>
      <c r="B696" t="s">
        <v>2834</v>
      </c>
      <c r="C696">
        <v>2005</v>
      </c>
      <c r="D696" s="8">
        <f>FLOOR(Table1[[#This Row],[Year]],10)</f>
        <v>2000</v>
      </c>
      <c r="E696" t="s">
        <v>54</v>
      </c>
      <c r="F696">
        <v>151</v>
      </c>
      <c r="G696" t="str">
        <f>IF(Table1[[#This Row],[Runtime_minutes]]&lt;90,"Short",IF(Table1[[#This Row],[Runtime_minutes]]&lt;=120,"Medium","Long"))</f>
        <v>Long</v>
      </c>
      <c r="H696" t="s">
        <v>210</v>
      </c>
      <c r="K696">
        <v>6.4</v>
      </c>
      <c r="M696" t="s">
        <v>431</v>
      </c>
      <c r="N696" t="s">
        <v>92</v>
      </c>
      <c r="O696" t="s">
        <v>2835</v>
      </c>
      <c r="P696">
        <v>47750</v>
      </c>
      <c r="Q696" s="3">
        <v>295.29000000000002</v>
      </c>
      <c r="R696" s="3">
        <f>IF(Table1[[#This Row],[Gross_millions]]=" ",0,Table1[[#This Row],[Gross_millions]])</f>
        <v>295.29000000000002</v>
      </c>
      <c r="S696" t="str">
        <f>IF(Table1[[#This Row],[Gross_millions_Clean]]&gt;200,"Blockbuster",IF(Table1[[#This Row],[Gross_millions_Clean]]&gt;100,"Hit","Average"))</f>
        <v>Blockbuster</v>
      </c>
    </row>
    <row r="697" spans="1:19" x14ac:dyDescent="0.3">
      <c r="A697" t="s">
        <v>2836</v>
      </c>
      <c r="B697" t="s">
        <v>2837</v>
      </c>
      <c r="C697">
        <v>2023</v>
      </c>
      <c r="D697" s="8">
        <f>FLOOR(Table1[[#This Row],[Year]],10)</f>
        <v>2020</v>
      </c>
      <c r="E697" t="s">
        <v>17</v>
      </c>
      <c r="F697">
        <v>137</v>
      </c>
      <c r="G697" t="str">
        <f>IF(Table1[[#This Row],[Runtime_minutes]]&lt;90,"Short",IF(Table1[[#This Row],[Runtime_minutes]]&lt;=120,"Medium","Long"))</f>
        <v>Long</v>
      </c>
      <c r="H697" t="s">
        <v>453</v>
      </c>
      <c r="I697" t="s">
        <v>3986</v>
      </c>
      <c r="J697" t="s">
        <v>3992</v>
      </c>
      <c r="K697">
        <v>6.4</v>
      </c>
      <c r="M697" t="s">
        <v>269</v>
      </c>
      <c r="N697" t="s">
        <v>92</v>
      </c>
      <c r="O697" t="s">
        <v>2839</v>
      </c>
      <c r="P697">
        <v>74621</v>
      </c>
      <c r="Q697" s="3">
        <v>253.13</v>
      </c>
      <c r="R697" s="3">
        <f>IF(Table1[[#This Row],[Gross_millions]]=" ",0,Table1[[#This Row],[Gross_millions]])</f>
        <v>253.13</v>
      </c>
      <c r="S697" t="str">
        <f>IF(Table1[[#This Row],[Gross_millions_Clean]]&gt;200,"Blockbuster",IF(Table1[[#This Row],[Gross_millions_Clean]]&gt;100,"Hit","Average"))</f>
        <v>Blockbuster</v>
      </c>
    </row>
    <row r="698" spans="1:19" x14ac:dyDescent="0.3">
      <c r="A698" t="s">
        <v>2840</v>
      </c>
      <c r="B698" t="s">
        <v>2841</v>
      </c>
      <c r="C698">
        <v>2019</v>
      </c>
      <c r="D698" s="8">
        <f>FLOOR(Table1[[#This Row],[Year]],10)</f>
        <v>2010</v>
      </c>
      <c r="E698" t="s">
        <v>17</v>
      </c>
      <c r="F698">
        <v>97</v>
      </c>
      <c r="G698" t="str">
        <f>IF(Table1[[#This Row],[Runtime_minutes]]&lt;90,"Short",IF(Table1[[#This Row],[Runtime_minutes]]&lt;=120,"Medium","Long"))</f>
        <v>Medium</v>
      </c>
      <c r="H698" t="s">
        <v>37</v>
      </c>
      <c r="K698">
        <v>6.4</v>
      </c>
      <c r="L698">
        <v>78</v>
      </c>
      <c r="M698" t="s">
        <v>38</v>
      </c>
      <c r="N698" t="s">
        <v>315</v>
      </c>
      <c r="O698" t="s">
        <v>2842</v>
      </c>
      <c r="P698">
        <v>394637</v>
      </c>
      <c r="Q698" s="3"/>
      <c r="R698" s="3">
        <f>IF(Table1[[#This Row],[Gross_millions]]=" ",0,Table1[[#This Row],[Gross_millions]])</f>
        <v>0</v>
      </c>
      <c r="S698" t="str">
        <f>IF(Table1[[#This Row],[Gross_millions_Clean]]&gt;200,"Blockbuster",IF(Table1[[#This Row],[Gross_millions_Clean]]&gt;100,"Hit","Average"))</f>
        <v>Average</v>
      </c>
    </row>
    <row r="699" spans="1:19" x14ac:dyDescent="0.3">
      <c r="A699" t="s">
        <v>2843</v>
      </c>
      <c r="B699" t="s">
        <v>2844</v>
      </c>
      <c r="C699">
        <v>1995</v>
      </c>
      <c r="D699" s="8">
        <f>FLOOR(Table1[[#This Row],[Year]],10)</f>
        <v>1990</v>
      </c>
      <c r="E699" t="s">
        <v>54</v>
      </c>
      <c r="F699">
        <v>106</v>
      </c>
      <c r="G699" t="str">
        <f>IF(Table1[[#This Row],[Runtime_minutes]]&lt;90,"Short",IF(Table1[[#This Row],[Runtime_minutes]]&lt;=120,"Medium","Long"))</f>
        <v>Medium</v>
      </c>
      <c r="H699" t="s">
        <v>78</v>
      </c>
      <c r="I699" t="s">
        <v>3986</v>
      </c>
      <c r="K699">
        <v>6.4</v>
      </c>
      <c r="L699">
        <v>65</v>
      </c>
      <c r="M699" t="s">
        <v>2845</v>
      </c>
      <c r="N699" t="s">
        <v>113</v>
      </c>
      <c r="O699" t="s">
        <v>2846</v>
      </c>
      <c r="P699">
        <v>24622</v>
      </c>
      <c r="Q699" s="3">
        <v>249.96</v>
      </c>
      <c r="R699" s="3">
        <f>IF(Table1[[#This Row],[Gross_millions]]=" ",0,Table1[[#This Row],[Gross_millions]])</f>
        <v>249.96</v>
      </c>
      <c r="S699" t="str">
        <f>IF(Table1[[#This Row],[Gross_millions_Clean]]&gt;200,"Blockbuster",IF(Table1[[#This Row],[Gross_millions_Clean]]&gt;100,"Hit","Average"))</f>
        <v>Blockbuster</v>
      </c>
    </row>
    <row r="700" spans="1:19" x14ac:dyDescent="0.3">
      <c r="A700" t="s">
        <v>2847</v>
      </c>
      <c r="B700" t="s">
        <v>2848</v>
      </c>
      <c r="C700">
        <v>2004</v>
      </c>
      <c r="D700" s="8">
        <f>FLOOR(Table1[[#This Row],[Year]],10)</f>
        <v>2000</v>
      </c>
      <c r="E700" t="s">
        <v>54</v>
      </c>
      <c r="F700">
        <v>128</v>
      </c>
      <c r="G700" t="str">
        <f>IF(Table1[[#This Row],[Runtime_minutes]]&lt;90,"Short",IF(Table1[[#This Row],[Runtime_minutes]]&lt;=120,"Medium","Long"))</f>
        <v>Long</v>
      </c>
      <c r="H700" t="s">
        <v>235</v>
      </c>
      <c r="I700" t="s">
        <v>3984</v>
      </c>
      <c r="J700" t="s">
        <v>3993</v>
      </c>
      <c r="K700">
        <v>6.4</v>
      </c>
      <c r="M700" t="s">
        <v>2391</v>
      </c>
      <c r="N700" t="s">
        <v>718</v>
      </c>
      <c r="O700" t="s">
        <v>2850</v>
      </c>
      <c r="P700">
        <v>58590</v>
      </c>
      <c r="Q700" s="3"/>
      <c r="R700" s="3">
        <f>IF(Table1[[#This Row],[Gross_millions]]=" ",0,Table1[[#This Row],[Gross_millions]])</f>
        <v>0</v>
      </c>
      <c r="S700" t="str">
        <f>IF(Table1[[#This Row],[Gross_millions_Clean]]&gt;200,"Blockbuster",IF(Table1[[#This Row],[Gross_millions_Clean]]&gt;100,"Hit","Average"))</f>
        <v>Average</v>
      </c>
    </row>
    <row r="701" spans="1:19" x14ac:dyDescent="0.3">
      <c r="A701" t="s">
        <v>2851</v>
      </c>
      <c r="B701" t="s">
        <v>2852</v>
      </c>
      <c r="C701">
        <v>2009</v>
      </c>
      <c r="D701" s="8">
        <f>FLOOR(Table1[[#This Row],[Year]],10)</f>
        <v>2000</v>
      </c>
      <c r="E701" t="s">
        <v>17</v>
      </c>
      <c r="F701">
        <v>117</v>
      </c>
      <c r="G701" t="str">
        <f>IF(Table1[[#This Row],[Runtime_minutes]]&lt;90,"Short",IF(Table1[[#This Row],[Runtime_minutes]]&lt;=120,"Medium","Long"))</f>
        <v>Medium</v>
      </c>
      <c r="H701" t="s">
        <v>606</v>
      </c>
      <c r="I701" t="s">
        <v>3985</v>
      </c>
      <c r="J701" t="s">
        <v>3980</v>
      </c>
      <c r="K701">
        <v>6.4</v>
      </c>
      <c r="L701">
        <v>60</v>
      </c>
      <c r="M701" t="s">
        <v>250</v>
      </c>
      <c r="N701" t="s">
        <v>57</v>
      </c>
      <c r="O701" t="s">
        <v>2854</v>
      </c>
      <c r="P701">
        <v>5474</v>
      </c>
      <c r="Q701" s="3">
        <v>82.59</v>
      </c>
      <c r="R701" s="3">
        <f>IF(Table1[[#This Row],[Gross_millions]]=" ",0,Table1[[#This Row],[Gross_millions]])</f>
        <v>82.59</v>
      </c>
      <c r="S701" t="str">
        <f>IF(Table1[[#This Row],[Gross_millions_Clean]]&gt;200,"Blockbuster",IF(Table1[[#This Row],[Gross_millions_Clean]]&gt;100,"Hit","Average"))</f>
        <v>Average</v>
      </c>
    </row>
    <row r="702" spans="1:19" x14ac:dyDescent="0.3">
      <c r="A702" t="s">
        <v>2855</v>
      </c>
      <c r="B702" t="s">
        <v>2856</v>
      </c>
      <c r="C702">
        <v>2024</v>
      </c>
      <c r="D702" s="8">
        <f>FLOOR(Table1[[#This Row],[Year]],10)</f>
        <v>2020</v>
      </c>
      <c r="E702" t="s">
        <v>54</v>
      </c>
      <c r="F702">
        <v>153</v>
      </c>
      <c r="G702" t="str">
        <f>IF(Table1[[#This Row],[Runtime_minutes]]&lt;90,"Short",IF(Table1[[#This Row],[Runtime_minutes]]&lt;=120,"Medium","Long"))</f>
        <v>Long</v>
      </c>
      <c r="H702" t="s">
        <v>72</v>
      </c>
      <c r="I702" t="s">
        <v>3992</v>
      </c>
      <c r="K702">
        <v>6.4</v>
      </c>
      <c r="M702" t="s">
        <v>2857</v>
      </c>
      <c r="N702" t="s">
        <v>483</v>
      </c>
      <c r="O702" t="s">
        <v>2858</v>
      </c>
      <c r="P702">
        <v>24262</v>
      </c>
      <c r="Q702" s="3">
        <v>228.57</v>
      </c>
      <c r="R702" s="3">
        <f>IF(Table1[[#This Row],[Gross_millions]]=" ",0,Table1[[#This Row],[Gross_millions]])</f>
        <v>228.57</v>
      </c>
      <c r="S702" t="str">
        <f>IF(Table1[[#This Row],[Gross_millions_Clean]]&gt;200,"Blockbuster",IF(Table1[[#This Row],[Gross_millions_Clean]]&gt;100,"Hit","Average"))</f>
        <v>Blockbuster</v>
      </c>
    </row>
    <row r="703" spans="1:19" x14ac:dyDescent="0.3">
      <c r="A703" t="s">
        <v>2859</v>
      </c>
      <c r="B703" t="s">
        <v>2860</v>
      </c>
      <c r="C703">
        <v>2006</v>
      </c>
      <c r="D703" s="8">
        <f>FLOOR(Table1[[#This Row],[Year]],10)</f>
        <v>2000</v>
      </c>
      <c r="E703" t="s">
        <v>17</v>
      </c>
      <c r="F703">
        <v>100</v>
      </c>
      <c r="G703" t="str">
        <f>IF(Table1[[#This Row],[Runtime_minutes]]&lt;90,"Short",IF(Table1[[#This Row],[Runtime_minutes]]&lt;=120,"Medium","Long"))</f>
        <v>Medium</v>
      </c>
      <c r="H703" t="s">
        <v>453</v>
      </c>
      <c r="I703" t="s">
        <v>3990</v>
      </c>
      <c r="J703" t="s">
        <v>3979</v>
      </c>
      <c r="K703">
        <v>6.4</v>
      </c>
      <c r="L703">
        <v>77</v>
      </c>
      <c r="M703" t="s">
        <v>269</v>
      </c>
      <c r="N703" t="s">
        <v>547</v>
      </c>
      <c r="O703" t="s">
        <v>2862</v>
      </c>
      <c r="P703">
        <v>119741</v>
      </c>
      <c r="Q703" s="3">
        <v>155.43</v>
      </c>
      <c r="R703" s="3">
        <f>IF(Table1[[#This Row],[Gross_millions]]=" ",0,Table1[[#This Row],[Gross_millions]])</f>
        <v>155.43</v>
      </c>
      <c r="S703" t="str">
        <f>IF(Table1[[#This Row],[Gross_millions_Clean]]&gt;200,"Blockbuster",IF(Table1[[#This Row],[Gross_millions_Clean]]&gt;100,"Hit","Average"))</f>
        <v>Hit</v>
      </c>
    </row>
    <row r="704" spans="1:19" x14ac:dyDescent="0.3">
      <c r="A704" t="s">
        <v>2863</v>
      </c>
      <c r="B704" t="s">
        <v>2864</v>
      </c>
      <c r="C704">
        <v>1988</v>
      </c>
      <c r="D704" s="8">
        <f>FLOOR(Table1[[#This Row],[Year]],10)</f>
        <v>1980</v>
      </c>
      <c r="E704" t="s">
        <v>17</v>
      </c>
      <c r="F704">
        <v>111</v>
      </c>
      <c r="G704" t="str">
        <f>IF(Table1[[#This Row],[Runtime_minutes]]&lt;90,"Short",IF(Table1[[#This Row],[Runtime_minutes]]&lt;=120,"Medium","Long"))</f>
        <v>Medium</v>
      </c>
      <c r="H704" t="s">
        <v>43</v>
      </c>
      <c r="K704">
        <v>6.4</v>
      </c>
      <c r="L704">
        <v>67</v>
      </c>
      <c r="M704" t="s">
        <v>1363</v>
      </c>
      <c r="N704" t="s">
        <v>103</v>
      </c>
      <c r="O704" t="s">
        <v>2865</v>
      </c>
      <c r="P704">
        <v>18775</v>
      </c>
      <c r="Q704" s="3">
        <v>82.54</v>
      </c>
      <c r="R704" s="3">
        <f>IF(Table1[[#This Row],[Gross_millions]]=" ",0,Table1[[#This Row],[Gross_millions]])</f>
        <v>82.54</v>
      </c>
      <c r="S704" t="str">
        <f>IF(Table1[[#This Row],[Gross_millions_Clean]]&gt;200,"Blockbuster",IF(Table1[[#This Row],[Gross_millions_Clean]]&gt;100,"Hit","Average"))</f>
        <v>Average</v>
      </c>
    </row>
    <row r="705" spans="1:19" x14ac:dyDescent="0.3">
      <c r="A705" t="s">
        <v>2866</v>
      </c>
      <c r="B705" t="s">
        <v>2867</v>
      </c>
      <c r="C705">
        <v>1983</v>
      </c>
      <c r="D705" s="8">
        <f>FLOOR(Table1[[#This Row],[Year]],10)</f>
        <v>1980</v>
      </c>
      <c r="E705" t="s">
        <v>17</v>
      </c>
      <c r="F705">
        <v>144</v>
      </c>
      <c r="G705" t="str">
        <f>IF(Table1[[#This Row],[Runtime_minutes]]&lt;90,"Short",IF(Table1[[#This Row],[Runtime_minutes]]&lt;=120,"Medium","Long"))</f>
        <v>Long</v>
      </c>
      <c r="H705" t="s">
        <v>375</v>
      </c>
      <c r="I705" t="s">
        <v>3985</v>
      </c>
      <c r="K705">
        <v>6.4</v>
      </c>
      <c r="M705" t="s">
        <v>2868</v>
      </c>
      <c r="N705" t="s">
        <v>191</v>
      </c>
      <c r="O705" t="s">
        <v>2869</v>
      </c>
      <c r="P705">
        <v>1689</v>
      </c>
      <c r="Q705" s="3">
        <v>103.72</v>
      </c>
      <c r="R705" s="3">
        <f>IF(Table1[[#This Row],[Gross_millions]]=" ",0,Table1[[#This Row],[Gross_millions]])</f>
        <v>103.72</v>
      </c>
      <c r="S705" t="str">
        <f>IF(Table1[[#This Row],[Gross_millions_Clean]]&gt;200,"Blockbuster",IF(Table1[[#This Row],[Gross_millions_Clean]]&gt;100,"Hit","Average"))</f>
        <v>Hit</v>
      </c>
    </row>
    <row r="706" spans="1:19" x14ac:dyDescent="0.3">
      <c r="A706" t="s">
        <v>2870</v>
      </c>
      <c r="B706" t="s">
        <v>2871</v>
      </c>
      <c r="C706">
        <v>1984</v>
      </c>
      <c r="D706" s="8">
        <f>FLOOR(Table1[[#This Row],[Year]],10)</f>
        <v>1980</v>
      </c>
      <c r="E706" t="s">
        <v>24</v>
      </c>
      <c r="F706">
        <v>127</v>
      </c>
      <c r="G706" t="str">
        <f>IF(Table1[[#This Row],[Runtime_minutes]]&lt;90,"Short",IF(Table1[[#This Row],[Runtime_minutes]]&lt;=120,"Medium","Long"))</f>
        <v>Long</v>
      </c>
      <c r="H706" t="s">
        <v>277</v>
      </c>
      <c r="I706" t="s">
        <v>3985</v>
      </c>
      <c r="K706">
        <v>6.4</v>
      </c>
      <c r="L706">
        <v>64</v>
      </c>
      <c r="M706" t="s">
        <v>2873</v>
      </c>
      <c r="N706" t="s">
        <v>92</v>
      </c>
      <c r="O706" t="s">
        <v>2874</v>
      </c>
      <c r="P706">
        <v>55483</v>
      </c>
      <c r="Q706" s="3"/>
      <c r="R706" s="3">
        <f>IF(Table1[[#This Row],[Gross_millions]]=" ",0,Table1[[#This Row],[Gross_millions]])</f>
        <v>0</v>
      </c>
      <c r="S706" t="str">
        <f>IF(Table1[[#This Row],[Gross_millions_Clean]]&gt;200,"Blockbuster",IF(Table1[[#This Row],[Gross_millions_Clean]]&gt;100,"Hit","Average"))</f>
        <v>Average</v>
      </c>
    </row>
    <row r="707" spans="1:19" x14ac:dyDescent="0.3">
      <c r="A707" t="s">
        <v>2875</v>
      </c>
      <c r="B707" t="s">
        <v>2876</v>
      </c>
      <c r="C707">
        <v>2012</v>
      </c>
      <c r="D707" s="8">
        <f>FLOOR(Table1[[#This Row],[Year]],10)</f>
        <v>2010</v>
      </c>
      <c r="E707" t="s">
        <v>24</v>
      </c>
      <c r="F707">
        <v>82</v>
      </c>
      <c r="G707" t="str">
        <f>IF(Table1[[#This Row],[Runtime_minutes]]&lt;90,"Short",IF(Table1[[#This Row],[Runtime_minutes]]&lt;=120,"Medium","Long"))</f>
        <v>Short</v>
      </c>
      <c r="H707" t="s">
        <v>129</v>
      </c>
      <c r="I707" t="s">
        <v>3982</v>
      </c>
      <c r="K707">
        <v>6.4</v>
      </c>
      <c r="L707">
        <v>63</v>
      </c>
      <c r="M707" t="s">
        <v>634</v>
      </c>
      <c r="N707" t="s">
        <v>50</v>
      </c>
      <c r="O707" t="s">
        <v>2878</v>
      </c>
      <c r="P707">
        <v>1578</v>
      </c>
      <c r="Q707" s="3">
        <v>420.67</v>
      </c>
      <c r="R707" s="3">
        <f>IF(Table1[[#This Row],[Gross_millions]]=" ",0,Table1[[#This Row],[Gross_millions]])</f>
        <v>420.67</v>
      </c>
      <c r="S707" t="str">
        <f>IF(Table1[[#This Row],[Gross_millions_Clean]]&gt;200,"Blockbuster",IF(Table1[[#This Row],[Gross_millions_Clean]]&gt;100,"Hit","Average"))</f>
        <v>Blockbuster</v>
      </c>
    </row>
    <row r="708" spans="1:19" x14ac:dyDescent="0.3">
      <c r="A708" t="s">
        <v>2879</v>
      </c>
      <c r="B708" t="s">
        <v>2880</v>
      </c>
      <c r="C708">
        <v>2015</v>
      </c>
      <c r="D708" s="8">
        <f>FLOOR(Table1[[#This Row],[Year]],10)</f>
        <v>2010</v>
      </c>
      <c r="E708" t="s">
        <v>17</v>
      </c>
      <c r="F708">
        <v>122</v>
      </c>
      <c r="G708" t="str">
        <f>IF(Table1[[#This Row],[Runtime_minutes]]&lt;90,"Short",IF(Table1[[#This Row],[Runtime_minutes]]&lt;=120,"Medium","Long"))</f>
        <v>Long</v>
      </c>
      <c r="H708" t="s">
        <v>37</v>
      </c>
      <c r="I708" t="s">
        <v>3983</v>
      </c>
      <c r="K708">
        <v>6.4</v>
      </c>
      <c r="L708">
        <v>71</v>
      </c>
      <c r="M708" t="s">
        <v>38</v>
      </c>
      <c r="N708" t="s">
        <v>326</v>
      </c>
      <c r="O708" t="s">
        <v>2881</v>
      </c>
      <c r="P708">
        <v>71929</v>
      </c>
      <c r="Q708" s="3">
        <v>132.94</v>
      </c>
      <c r="R708" s="3">
        <f>IF(Table1[[#This Row],[Gross_millions]]=" ",0,Table1[[#This Row],[Gross_millions]])</f>
        <v>132.94</v>
      </c>
      <c r="S708" t="str">
        <f>IF(Table1[[#This Row],[Gross_millions_Clean]]&gt;200,"Blockbuster",IF(Table1[[#This Row],[Gross_millions_Clean]]&gt;100,"Hit","Average"))</f>
        <v>Hit</v>
      </c>
    </row>
    <row r="709" spans="1:19" x14ac:dyDescent="0.3">
      <c r="A709" t="s">
        <v>2882</v>
      </c>
      <c r="B709" t="s">
        <v>2883</v>
      </c>
      <c r="C709">
        <v>2021</v>
      </c>
      <c r="D709" s="8">
        <f>FLOOR(Table1[[#This Row],[Year]],10)</f>
        <v>2020</v>
      </c>
      <c r="E709" t="s">
        <v>24</v>
      </c>
      <c r="F709">
        <v>104</v>
      </c>
      <c r="G709" t="str">
        <f>IF(Table1[[#This Row],[Runtime_minutes]]&lt;90,"Short",IF(Table1[[#This Row],[Runtime_minutes]]&lt;=120,"Medium","Long"))</f>
        <v>Medium</v>
      </c>
      <c r="H709" t="s">
        <v>767</v>
      </c>
      <c r="K709">
        <v>6.4</v>
      </c>
      <c r="L709">
        <v>61</v>
      </c>
      <c r="M709" t="s">
        <v>85</v>
      </c>
      <c r="N709" t="s">
        <v>92</v>
      </c>
      <c r="O709" t="s">
        <v>2884</v>
      </c>
      <c r="P709">
        <v>335262</v>
      </c>
      <c r="Q709" s="3">
        <v>488.94</v>
      </c>
      <c r="R709" s="3">
        <f>IF(Table1[[#This Row],[Gross_millions]]=" ",0,Table1[[#This Row],[Gross_millions]])</f>
        <v>488.94</v>
      </c>
      <c r="S709" t="str">
        <f>IF(Table1[[#This Row],[Gross_millions_Clean]]&gt;200,"Blockbuster",IF(Table1[[#This Row],[Gross_millions_Clean]]&gt;100,"Hit","Average"))</f>
        <v>Blockbuster</v>
      </c>
    </row>
    <row r="710" spans="1:19" x14ac:dyDescent="0.3">
      <c r="A710" t="s">
        <v>2885</v>
      </c>
      <c r="B710" t="s">
        <v>2886</v>
      </c>
      <c r="C710">
        <v>2003</v>
      </c>
      <c r="D710" s="8">
        <f>FLOOR(Table1[[#This Row],[Year]],10)</f>
        <v>2000</v>
      </c>
      <c r="E710" t="s">
        <v>293</v>
      </c>
      <c r="F710">
        <v>137</v>
      </c>
      <c r="G710" t="str">
        <f>IF(Table1[[#This Row],[Runtime_minutes]]&lt;90,"Short",IF(Table1[[#This Row],[Runtime_minutes]]&lt;=120,"Medium","Long"))</f>
        <v>Long</v>
      </c>
      <c r="H710" t="s">
        <v>129</v>
      </c>
      <c r="K710">
        <v>6.4</v>
      </c>
      <c r="L710">
        <v>74</v>
      </c>
      <c r="M710" t="s">
        <v>2887</v>
      </c>
      <c r="N710" t="s">
        <v>326</v>
      </c>
      <c r="O710" t="s">
        <v>2888</v>
      </c>
      <c r="P710">
        <v>1204</v>
      </c>
      <c r="Q710" s="3"/>
      <c r="R710" s="3">
        <f>IF(Table1[[#This Row],[Gross_millions]]=" ",0,Table1[[#This Row],[Gross_millions]])</f>
        <v>0</v>
      </c>
      <c r="S710" t="str">
        <f>IF(Table1[[#This Row],[Gross_millions_Clean]]&gt;200,"Blockbuster",IF(Table1[[#This Row],[Gross_millions_Clean]]&gt;100,"Hit","Average"))</f>
        <v>Average</v>
      </c>
    </row>
    <row r="711" spans="1:19" x14ac:dyDescent="0.3">
      <c r="A711" t="s">
        <v>2889</v>
      </c>
      <c r="B711" t="s">
        <v>2890</v>
      </c>
      <c r="C711">
        <v>2016</v>
      </c>
      <c r="D711" s="8">
        <f>FLOOR(Table1[[#This Row],[Year]],10)</f>
        <v>2010</v>
      </c>
      <c r="E711" t="s">
        <v>17</v>
      </c>
      <c r="F711">
        <v>150</v>
      </c>
      <c r="G711" t="str">
        <f>IF(Table1[[#This Row],[Runtime_minutes]]&lt;90,"Short",IF(Table1[[#This Row],[Runtime_minutes]]&lt;=120,"Medium","Long"))</f>
        <v>Long</v>
      </c>
      <c r="H711" t="s">
        <v>230</v>
      </c>
      <c r="K711">
        <v>6.4</v>
      </c>
      <c r="L711">
        <v>67</v>
      </c>
      <c r="M711" t="s">
        <v>2891</v>
      </c>
      <c r="N711" t="s">
        <v>251</v>
      </c>
      <c r="O711" t="s">
        <v>2892</v>
      </c>
      <c r="P711">
        <v>11165</v>
      </c>
      <c r="Q711" s="3"/>
      <c r="R711" s="3">
        <f>IF(Table1[[#This Row],[Gross_millions]]=" ",0,Table1[[#This Row],[Gross_millions]])</f>
        <v>0</v>
      </c>
      <c r="S711" t="str">
        <f>IF(Table1[[#This Row],[Gross_millions_Clean]]&gt;200,"Blockbuster",IF(Table1[[#This Row],[Gross_millions_Clean]]&gt;100,"Hit","Average"))</f>
        <v>Average</v>
      </c>
    </row>
    <row r="712" spans="1:19" x14ac:dyDescent="0.3">
      <c r="A712" t="s">
        <v>2893</v>
      </c>
      <c r="B712" t="s">
        <v>2894</v>
      </c>
      <c r="C712">
        <v>2013</v>
      </c>
      <c r="D712" s="8">
        <f>FLOOR(Table1[[#This Row],[Year]],10)</f>
        <v>2010</v>
      </c>
      <c r="E712" t="s">
        <v>54</v>
      </c>
      <c r="F712">
        <v>97</v>
      </c>
      <c r="G712" t="str">
        <f>IF(Table1[[#This Row],[Runtime_minutes]]&lt;90,"Short",IF(Table1[[#This Row],[Runtime_minutes]]&lt;=120,"Medium","Long"))</f>
        <v>Medium</v>
      </c>
      <c r="H712" t="s">
        <v>43</v>
      </c>
      <c r="I712" t="s">
        <v>3990</v>
      </c>
      <c r="J712" t="s">
        <v>3989</v>
      </c>
      <c r="K712">
        <v>6.3</v>
      </c>
      <c r="L712">
        <v>77</v>
      </c>
      <c r="M712" t="s">
        <v>2896</v>
      </c>
      <c r="N712" t="s">
        <v>27</v>
      </c>
      <c r="O712" t="s">
        <v>2897</v>
      </c>
      <c r="P712">
        <v>124749</v>
      </c>
      <c r="Q712" s="3"/>
      <c r="R712" s="3">
        <f>IF(Table1[[#This Row],[Gross_millions]]=" ",0,Table1[[#This Row],[Gross_millions]])</f>
        <v>0</v>
      </c>
      <c r="S712" t="str">
        <f>IF(Table1[[#This Row],[Gross_millions_Clean]]&gt;200,"Blockbuster",IF(Table1[[#This Row],[Gross_millions_Clean]]&gt;100,"Hit","Average"))</f>
        <v>Average</v>
      </c>
    </row>
    <row r="713" spans="1:19" x14ac:dyDescent="0.3">
      <c r="A713" t="s">
        <v>2898</v>
      </c>
      <c r="B713" t="s">
        <v>2899</v>
      </c>
      <c r="C713">
        <v>2020</v>
      </c>
      <c r="D713" s="8">
        <f>FLOOR(Table1[[#This Row],[Year]],10)</f>
        <v>2020</v>
      </c>
      <c r="E713" t="s">
        <v>293</v>
      </c>
      <c r="F713">
        <v>125</v>
      </c>
      <c r="G713" t="str">
        <f>IF(Table1[[#This Row],[Runtime_minutes]]&lt;90,"Short",IF(Table1[[#This Row],[Runtime_minutes]]&lt;=120,"Medium","Long"))</f>
        <v>Long</v>
      </c>
      <c r="H713" t="s">
        <v>868</v>
      </c>
      <c r="I713" t="s">
        <v>3987</v>
      </c>
      <c r="K713">
        <v>6.3</v>
      </c>
      <c r="L713">
        <v>71</v>
      </c>
      <c r="M713" t="s">
        <v>2900</v>
      </c>
      <c r="N713" t="s">
        <v>718</v>
      </c>
      <c r="O713" t="s">
        <v>2901</v>
      </c>
      <c r="P713">
        <v>1543</v>
      </c>
      <c r="Q713" s="3">
        <v>447.43</v>
      </c>
      <c r="R713" s="3">
        <f>IF(Table1[[#This Row],[Gross_millions]]=" ",0,Table1[[#This Row],[Gross_millions]])</f>
        <v>447.43</v>
      </c>
      <c r="S713" t="str">
        <f>IF(Table1[[#This Row],[Gross_millions_Clean]]&gt;200,"Blockbuster",IF(Table1[[#This Row],[Gross_millions_Clean]]&gt;100,"Hit","Average"))</f>
        <v>Blockbuster</v>
      </c>
    </row>
    <row r="714" spans="1:19" x14ac:dyDescent="0.3">
      <c r="A714" t="s">
        <v>2902</v>
      </c>
      <c r="B714" t="s">
        <v>2903</v>
      </c>
      <c r="C714">
        <v>2001</v>
      </c>
      <c r="D714" s="8">
        <f>FLOOR(Table1[[#This Row],[Year]],10)</f>
        <v>2000</v>
      </c>
      <c r="E714" t="s">
        <v>54</v>
      </c>
      <c r="F714">
        <v>135</v>
      </c>
      <c r="G714" t="str">
        <f>IF(Table1[[#This Row],[Runtime_minutes]]&lt;90,"Short",IF(Table1[[#This Row],[Runtime_minutes]]&lt;=120,"Medium","Long"))</f>
        <v>Long</v>
      </c>
      <c r="H714" t="s">
        <v>1044</v>
      </c>
      <c r="K714">
        <v>6.3</v>
      </c>
      <c r="M714" t="s">
        <v>226</v>
      </c>
      <c r="N714" t="s">
        <v>92</v>
      </c>
      <c r="O714" t="s">
        <v>2904</v>
      </c>
      <c r="P714">
        <v>1228</v>
      </c>
      <c r="Q714" s="3">
        <v>79.349999999999994</v>
      </c>
      <c r="R714" s="3">
        <f>IF(Table1[[#This Row],[Gross_millions]]=" ",0,Table1[[#This Row],[Gross_millions]])</f>
        <v>79.349999999999994</v>
      </c>
      <c r="S714" t="str">
        <f>IF(Table1[[#This Row],[Gross_millions_Clean]]&gt;200,"Blockbuster",IF(Table1[[#This Row],[Gross_millions_Clean]]&gt;100,"Hit","Average"))</f>
        <v>Average</v>
      </c>
    </row>
    <row r="715" spans="1:19" x14ac:dyDescent="0.3">
      <c r="A715" t="s">
        <v>2905</v>
      </c>
      <c r="B715" t="s">
        <v>2906</v>
      </c>
      <c r="C715">
        <v>2020</v>
      </c>
      <c r="D715" s="8">
        <f>FLOOR(Table1[[#This Row],[Year]],10)</f>
        <v>2020</v>
      </c>
      <c r="E715" t="s">
        <v>17</v>
      </c>
      <c r="F715">
        <v>141</v>
      </c>
      <c r="G715" t="str">
        <f>IF(Table1[[#This Row],[Runtime_minutes]]&lt;90,"Short",IF(Table1[[#This Row],[Runtime_minutes]]&lt;=120,"Medium","Long"))</f>
        <v>Long</v>
      </c>
      <c r="H715" t="s">
        <v>78</v>
      </c>
      <c r="I715" t="s">
        <v>3985</v>
      </c>
      <c r="J715" t="s">
        <v>3981</v>
      </c>
      <c r="K715">
        <v>6.3</v>
      </c>
      <c r="M715" t="s">
        <v>2908</v>
      </c>
      <c r="N715" t="s">
        <v>80</v>
      </c>
      <c r="O715" t="s">
        <v>2909</v>
      </c>
      <c r="P715">
        <v>495846</v>
      </c>
      <c r="Q715" s="3">
        <v>483.91</v>
      </c>
      <c r="R715" s="3">
        <f>IF(Table1[[#This Row],[Gross_millions]]=" ",0,Table1[[#This Row],[Gross_millions]])</f>
        <v>483.91</v>
      </c>
      <c r="S715" t="str">
        <f>IF(Table1[[#This Row],[Gross_millions_Clean]]&gt;200,"Blockbuster",IF(Table1[[#This Row],[Gross_millions_Clean]]&gt;100,"Hit","Average"))</f>
        <v>Blockbuster</v>
      </c>
    </row>
    <row r="716" spans="1:19" x14ac:dyDescent="0.3">
      <c r="A716" t="s">
        <v>2910</v>
      </c>
      <c r="B716" t="s">
        <v>2911</v>
      </c>
      <c r="C716">
        <v>2024</v>
      </c>
      <c r="D716" s="8">
        <f>FLOOR(Table1[[#This Row],[Year]],10)</f>
        <v>2020</v>
      </c>
      <c r="E716" t="s">
        <v>17</v>
      </c>
      <c r="F716">
        <v>140</v>
      </c>
      <c r="G716" t="str">
        <f>IF(Table1[[#This Row],[Runtime_minutes]]&lt;90,"Short",IF(Table1[[#This Row],[Runtime_minutes]]&lt;=120,"Medium","Long"))</f>
        <v>Long</v>
      </c>
      <c r="H716" t="s">
        <v>1044</v>
      </c>
      <c r="I716" t="s">
        <v>3991</v>
      </c>
      <c r="K716">
        <v>6.3</v>
      </c>
      <c r="L716">
        <v>53</v>
      </c>
      <c r="M716" t="s">
        <v>164</v>
      </c>
      <c r="N716" t="s">
        <v>518</v>
      </c>
      <c r="O716" t="s">
        <v>2912</v>
      </c>
      <c r="P716">
        <v>926356</v>
      </c>
      <c r="Q716" s="3"/>
      <c r="R716" s="3">
        <f>IF(Table1[[#This Row],[Gross_millions]]=" ",0,Table1[[#This Row],[Gross_millions]])</f>
        <v>0</v>
      </c>
      <c r="S716" t="str">
        <f>IF(Table1[[#This Row],[Gross_millions_Clean]]&gt;200,"Blockbuster",IF(Table1[[#This Row],[Gross_millions_Clean]]&gt;100,"Hit","Average"))</f>
        <v>Average</v>
      </c>
    </row>
    <row r="717" spans="1:19" x14ac:dyDescent="0.3">
      <c r="A717" t="s">
        <v>2913</v>
      </c>
      <c r="B717" t="s">
        <v>2914</v>
      </c>
      <c r="C717">
        <v>2008</v>
      </c>
      <c r="D717" s="8">
        <f>FLOOR(Table1[[#This Row],[Year]],10)</f>
        <v>2000</v>
      </c>
      <c r="E717" t="s">
        <v>293</v>
      </c>
      <c r="F717">
        <v>75</v>
      </c>
      <c r="G717" t="str">
        <f>IF(Table1[[#This Row],[Runtime_minutes]]&lt;90,"Short",IF(Table1[[#This Row],[Runtime_minutes]]&lt;=120,"Medium","Long"))</f>
        <v>Short</v>
      </c>
      <c r="H717" t="s">
        <v>277</v>
      </c>
      <c r="K717">
        <v>6.3</v>
      </c>
      <c r="L717">
        <v>67</v>
      </c>
      <c r="M717" t="s">
        <v>2915</v>
      </c>
      <c r="N717" t="s">
        <v>63</v>
      </c>
      <c r="O717" t="s">
        <v>2916</v>
      </c>
      <c r="P717">
        <v>82201</v>
      </c>
      <c r="Q717" s="3">
        <v>272.26</v>
      </c>
      <c r="R717" s="3">
        <f>IF(Table1[[#This Row],[Gross_millions]]=" ",0,Table1[[#This Row],[Gross_millions]])</f>
        <v>272.26</v>
      </c>
      <c r="S717" t="str">
        <f>IF(Table1[[#This Row],[Gross_millions_Clean]]&gt;200,"Blockbuster",IF(Table1[[#This Row],[Gross_millions_Clean]]&gt;100,"Hit","Average"))</f>
        <v>Blockbuster</v>
      </c>
    </row>
    <row r="718" spans="1:19" x14ac:dyDescent="0.3">
      <c r="A718" t="s">
        <v>2917</v>
      </c>
      <c r="B718" t="s">
        <v>2918</v>
      </c>
      <c r="C718">
        <v>2016</v>
      </c>
      <c r="D718" s="8">
        <f>FLOOR(Table1[[#This Row],[Year]],10)</f>
        <v>2010</v>
      </c>
      <c r="E718" t="s">
        <v>17</v>
      </c>
      <c r="F718">
        <v>147</v>
      </c>
      <c r="G718" t="str">
        <f>IF(Table1[[#This Row],[Runtime_minutes]]&lt;90,"Short",IF(Table1[[#This Row],[Runtime_minutes]]&lt;=120,"Medium","Long"))</f>
        <v>Long</v>
      </c>
      <c r="H718" t="s">
        <v>230</v>
      </c>
      <c r="I718" t="s">
        <v>3982</v>
      </c>
      <c r="K718">
        <v>6.3</v>
      </c>
      <c r="M718" t="s">
        <v>2919</v>
      </c>
      <c r="N718" t="s">
        <v>33</v>
      </c>
      <c r="O718" t="s">
        <v>2920</v>
      </c>
      <c r="P718">
        <v>43746</v>
      </c>
      <c r="Q718" s="3"/>
      <c r="R718" s="3">
        <f>IF(Table1[[#This Row],[Gross_millions]]=" ",0,Table1[[#This Row],[Gross_millions]])</f>
        <v>0</v>
      </c>
      <c r="S718" t="str">
        <f>IF(Table1[[#This Row],[Gross_millions_Clean]]&gt;200,"Blockbuster",IF(Table1[[#This Row],[Gross_millions_Clean]]&gt;100,"Hit","Average"))</f>
        <v>Average</v>
      </c>
    </row>
    <row r="719" spans="1:19" x14ac:dyDescent="0.3">
      <c r="A719" t="s">
        <v>2921</v>
      </c>
      <c r="B719" t="s">
        <v>2922</v>
      </c>
      <c r="C719">
        <v>2004</v>
      </c>
      <c r="D719" s="8">
        <f>FLOOR(Table1[[#This Row],[Year]],10)</f>
        <v>2000</v>
      </c>
      <c r="E719" t="s">
        <v>24</v>
      </c>
      <c r="F719">
        <v>106</v>
      </c>
      <c r="G719" t="str">
        <f>IF(Table1[[#This Row],[Runtime_minutes]]&lt;90,"Short",IF(Table1[[#This Row],[Runtime_minutes]]&lt;=120,"Medium","Long"))</f>
        <v>Medium</v>
      </c>
      <c r="H719" t="s">
        <v>277</v>
      </c>
      <c r="I719" t="s">
        <v>3984</v>
      </c>
      <c r="J719" t="s">
        <v>3983</v>
      </c>
      <c r="K719">
        <v>6.3</v>
      </c>
      <c r="L719">
        <v>63</v>
      </c>
      <c r="M719" t="s">
        <v>2924</v>
      </c>
      <c r="N719" t="s">
        <v>103</v>
      </c>
      <c r="O719" t="s">
        <v>2925</v>
      </c>
      <c r="P719">
        <v>470549</v>
      </c>
      <c r="Q719" s="3"/>
      <c r="R719" s="3">
        <f>IF(Table1[[#This Row],[Gross_millions]]=" ",0,Table1[[#This Row],[Gross_millions]])</f>
        <v>0</v>
      </c>
      <c r="S719" t="str">
        <f>IF(Table1[[#This Row],[Gross_millions_Clean]]&gt;200,"Blockbuster",IF(Table1[[#This Row],[Gross_millions_Clean]]&gt;100,"Hit","Average"))</f>
        <v>Average</v>
      </c>
    </row>
    <row r="720" spans="1:19" x14ac:dyDescent="0.3">
      <c r="A720" t="s">
        <v>2926</v>
      </c>
      <c r="B720" t="s">
        <v>2927</v>
      </c>
      <c r="C720">
        <v>2013</v>
      </c>
      <c r="D720" s="8">
        <f>FLOOR(Table1[[#This Row],[Year]],10)</f>
        <v>2010</v>
      </c>
      <c r="E720" t="s">
        <v>17</v>
      </c>
      <c r="F720">
        <v>111</v>
      </c>
      <c r="G720" t="str">
        <f>IF(Table1[[#This Row],[Runtime_minutes]]&lt;90,"Short",IF(Table1[[#This Row],[Runtime_minutes]]&lt;=120,"Medium","Long"))</f>
        <v>Medium</v>
      </c>
      <c r="H720" t="s">
        <v>453</v>
      </c>
      <c r="I720" t="s">
        <v>3982</v>
      </c>
      <c r="K720">
        <v>6.3</v>
      </c>
      <c r="L720">
        <v>57</v>
      </c>
      <c r="M720" t="s">
        <v>999</v>
      </c>
      <c r="N720" t="s">
        <v>92</v>
      </c>
      <c r="O720" t="s">
        <v>2928</v>
      </c>
      <c r="P720">
        <v>98151</v>
      </c>
      <c r="Q720" s="3">
        <v>99.87</v>
      </c>
      <c r="R720" s="3">
        <f>IF(Table1[[#This Row],[Gross_millions]]=" ",0,Table1[[#This Row],[Gross_millions]])</f>
        <v>99.87</v>
      </c>
      <c r="S720" t="str">
        <f>IF(Table1[[#This Row],[Gross_millions_Clean]]&gt;200,"Blockbuster",IF(Table1[[#This Row],[Gross_millions_Clean]]&gt;100,"Hit","Average"))</f>
        <v>Average</v>
      </c>
    </row>
    <row r="721" spans="1:19" x14ac:dyDescent="0.3">
      <c r="A721" t="s">
        <v>2929</v>
      </c>
      <c r="B721" t="s">
        <v>2930</v>
      </c>
      <c r="C721">
        <v>1999</v>
      </c>
      <c r="D721" s="8">
        <f>FLOOR(Table1[[#This Row],[Year]],10)</f>
        <v>1990</v>
      </c>
      <c r="E721" t="s">
        <v>169</v>
      </c>
      <c r="F721">
        <v>140</v>
      </c>
      <c r="G721" t="str">
        <f>IF(Table1[[#This Row],[Runtime_minutes]]&lt;90,"Short",IF(Table1[[#This Row],[Runtime_minutes]]&lt;=120,"Medium","Long"))</f>
        <v>Long</v>
      </c>
      <c r="H721" t="s">
        <v>375</v>
      </c>
      <c r="K721">
        <v>6.3</v>
      </c>
      <c r="L721">
        <v>48</v>
      </c>
      <c r="M721" t="s">
        <v>2931</v>
      </c>
      <c r="N721" t="s">
        <v>159</v>
      </c>
      <c r="O721" t="s">
        <v>2932</v>
      </c>
      <c r="P721">
        <v>39942</v>
      </c>
      <c r="Q721" s="3">
        <v>99.59</v>
      </c>
      <c r="R721" s="3">
        <f>IF(Table1[[#This Row],[Gross_millions]]=" ",0,Table1[[#This Row],[Gross_millions]])</f>
        <v>99.59</v>
      </c>
      <c r="S721" t="str">
        <f>IF(Table1[[#This Row],[Gross_millions_Clean]]&gt;200,"Blockbuster",IF(Table1[[#This Row],[Gross_millions_Clean]]&gt;100,"Hit","Average"))</f>
        <v>Average</v>
      </c>
    </row>
    <row r="722" spans="1:19" x14ac:dyDescent="0.3">
      <c r="A722" t="s">
        <v>2933</v>
      </c>
      <c r="B722" t="s">
        <v>2934</v>
      </c>
      <c r="C722">
        <v>2008</v>
      </c>
      <c r="D722" s="8">
        <f>FLOOR(Table1[[#This Row],[Year]],10)</f>
        <v>2000</v>
      </c>
      <c r="E722" t="s">
        <v>17</v>
      </c>
      <c r="F722">
        <v>113</v>
      </c>
      <c r="G722" t="str">
        <f>IF(Table1[[#This Row],[Runtime_minutes]]&lt;90,"Short",IF(Table1[[#This Row],[Runtime_minutes]]&lt;=120,"Medium","Long"))</f>
        <v>Medium</v>
      </c>
      <c r="H722" t="s">
        <v>868</v>
      </c>
      <c r="K722">
        <v>6.3</v>
      </c>
      <c r="L722">
        <v>77</v>
      </c>
      <c r="M722" t="s">
        <v>355</v>
      </c>
      <c r="N722" t="s">
        <v>50</v>
      </c>
      <c r="O722" t="s">
        <v>2935</v>
      </c>
      <c r="P722">
        <v>45231</v>
      </c>
      <c r="Q722" s="3">
        <v>31.87</v>
      </c>
      <c r="R722" s="3">
        <f>IF(Table1[[#This Row],[Gross_millions]]=" ",0,Table1[[#This Row],[Gross_millions]])</f>
        <v>31.87</v>
      </c>
      <c r="S722" t="str">
        <f>IF(Table1[[#This Row],[Gross_millions_Clean]]&gt;200,"Blockbuster",IF(Table1[[#This Row],[Gross_millions_Clean]]&gt;100,"Hit","Average"))</f>
        <v>Average</v>
      </c>
    </row>
    <row r="723" spans="1:19" x14ac:dyDescent="0.3">
      <c r="A723" t="s">
        <v>2936</v>
      </c>
      <c r="B723" t="s">
        <v>2937</v>
      </c>
      <c r="C723">
        <v>2014</v>
      </c>
      <c r="D723" s="8">
        <f>FLOOR(Table1[[#This Row],[Year]],10)</f>
        <v>2010</v>
      </c>
      <c r="E723" t="s">
        <v>293</v>
      </c>
      <c r="F723">
        <v>107</v>
      </c>
      <c r="G723" t="str">
        <f>IF(Table1[[#This Row],[Runtime_minutes]]&lt;90,"Short",IF(Table1[[#This Row],[Runtime_minutes]]&lt;=120,"Medium","Long"))</f>
        <v>Medium</v>
      </c>
      <c r="H723" t="s">
        <v>230</v>
      </c>
      <c r="I723" t="s">
        <v>3984</v>
      </c>
      <c r="K723">
        <v>6.3</v>
      </c>
      <c r="L723">
        <v>54</v>
      </c>
      <c r="M723" t="s">
        <v>2938</v>
      </c>
      <c r="N723" t="s">
        <v>80</v>
      </c>
      <c r="O723" t="s">
        <v>2939</v>
      </c>
      <c r="P723">
        <v>12273</v>
      </c>
      <c r="Q723" s="3"/>
      <c r="R723" s="3">
        <f>IF(Table1[[#This Row],[Gross_millions]]=" ",0,Table1[[#This Row],[Gross_millions]])</f>
        <v>0</v>
      </c>
      <c r="S723" t="str">
        <f>IF(Table1[[#This Row],[Gross_millions_Clean]]&gt;200,"Blockbuster",IF(Table1[[#This Row],[Gross_millions_Clean]]&gt;100,"Hit","Average"))</f>
        <v>Average</v>
      </c>
    </row>
    <row r="724" spans="1:19" x14ac:dyDescent="0.3">
      <c r="A724" t="s">
        <v>2940</v>
      </c>
      <c r="B724" t="s">
        <v>2941</v>
      </c>
      <c r="C724">
        <v>2003</v>
      </c>
      <c r="D724" s="8">
        <f>FLOOR(Table1[[#This Row],[Year]],10)</f>
        <v>2000</v>
      </c>
      <c r="E724" t="s">
        <v>17</v>
      </c>
      <c r="F724">
        <v>151</v>
      </c>
      <c r="G724" t="str">
        <f>IF(Table1[[#This Row],[Runtime_minutes]]&lt;90,"Short",IF(Table1[[#This Row],[Runtime_minutes]]&lt;=120,"Medium","Long"))</f>
        <v>Long</v>
      </c>
      <c r="H724" t="s">
        <v>453</v>
      </c>
      <c r="I724" t="s">
        <v>3986</v>
      </c>
      <c r="K724">
        <v>6.3</v>
      </c>
      <c r="M724" t="s">
        <v>557</v>
      </c>
      <c r="N724" t="s">
        <v>221</v>
      </c>
      <c r="O724" t="s">
        <v>2942</v>
      </c>
      <c r="P724">
        <v>13569</v>
      </c>
      <c r="Q724" s="3">
        <v>324.45999999999998</v>
      </c>
      <c r="R724" s="3">
        <f>IF(Table1[[#This Row],[Gross_millions]]=" ",0,Table1[[#This Row],[Gross_millions]])</f>
        <v>324.45999999999998</v>
      </c>
      <c r="S724" t="str">
        <f>IF(Table1[[#This Row],[Gross_millions_Clean]]&gt;200,"Blockbuster",IF(Table1[[#This Row],[Gross_millions_Clean]]&gt;100,"Hit","Average"))</f>
        <v>Blockbuster</v>
      </c>
    </row>
    <row r="725" spans="1:19" x14ac:dyDescent="0.3">
      <c r="A725" t="s">
        <v>2943</v>
      </c>
      <c r="B725" t="s">
        <v>2944</v>
      </c>
      <c r="C725">
        <v>2003</v>
      </c>
      <c r="D725" s="8">
        <f>FLOOR(Table1[[#This Row],[Year]],10)</f>
        <v>2000</v>
      </c>
      <c r="E725" t="s">
        <v>17</v>
      </c>
      <c r="F725">
        <v>93</v>
      </c>
      <c r="G725" t="str">
        <f>IF(Table1[[#This Row],[Runtime_minutes]]&lt;90,"Short",IF(Table1[[#This Row],[Runtime_minutes]]&lt;=120,"Medium","Long"))</f>
        <v>Medium</v>
      </c>
      <c r="H725" t="s">
        <v>767</v>
      </c>
      <c r="I725" t="s">
        <v>3976</v>
      </c>
      <c r="K725">
        <v>6.3</v>
      </c>
      <c r="L725">
        <v>50</v>
      </c>
      <c r="M725" t="s">
        <v>85</v>
      </c>
      <c r="N725" t="s">
        <v>326</v>
      </c>
      <c r="O725" t="s">
        <v>2946</v>
      </c>
      <c r="P725">
        <v>96729</v>
      </c>
      <c r="Q725" s="3">
        <v>127.42</v>
      </c>
      <c r="R725" s="3">
        <f>IF(Table1[[#This Row],[Gross_millions]]=" ",0,Table1[[#This Row],[Gross_millions]])</f>
        <v>127.42</v>
      </c>
      <c r="S725" t="str">
        <f>IF(Table1[[#This Row],[Gross_millions_Clean]]&gt;200,"Blockbuster",IF(Table1[[#This Row],[Gross_millions_Clean]]&gt;100,"Hit","Average"))</f>
        <v>Hit</v>
      </c>
    </row>
    <row r="726" spans="1:19" x14ac:dyDescent="0.3">
      <c r="A726" t="s">
        <v>2947</v>
      </c>
      <c r="B726" t="s">
        <v>2948</v>
      </c>
      <c r="C726">
        <v>2001</v>
      </c>
      <c r="D726" s="8">
        <f>FLOOR(Table1[[#This Row],[Year]],10)</f>
        <v>2000</v>
      </c>
      <c r="E726" t="s">
        <v>24</v>
      </c>
      <c r="F726">
        <v>132</v>
      </c>
      <c r="G726" t="str">
        <f>IF(Table1[[#This Row],[Runtime_minutes]]&lt;90,"Short",IF(Table1[[#This Row],[Runtime_minutes]]&lt;=120,"Medium","Long"))</f>
        <v>Long</v>
      </c>
      <c r="H726" t="s">
        <v>210</v>
      </c>
      <c r="I726" t="s">
        <v>3992</v>
      </c>
      <c r="J726" t="s">
        <v>3977</v>
      </c>
      <c r="K726">
        <v>6.3</v>
      </c>
      <c r="M726" t="s">
        <v>19</v>
      </c>
      <c r="N726" t="s">
        <v>326</v>
      </c>
      <c r="O726" t="s">
        <v>2950</v>
      </c>
      <c r="P726">
        <v>46901</v>
      </c>
      <c r="Q726" s="3">
        <v>205.21</v>
      </c>
      <c r="R726" s="3">
        <f>IF(Table1[[#This Row],[Gross_millions]]=" ",0,Table1[[#This Row],[Gross_millions]])</f>
        <v>205.21</v>
      </c>
      <c r="S726" t="str">
        <f>IF(Table1[[#This Row],[Gross_millions_Clean]]&gt;200,"Blockbuster",IF(Table1[[#This Row],[Gross_millions_Clean]]&gt;100,"Hit","Average"))</f>
        <v>Blockbuster</v>
      </c>
    </row>
    <row r="727" spans="1:19" x14ac:dyDescent="0.3">
      <c r="A727" t="s">
        <v>2951</v>
      </c>
      <c r="B727" t="s">
        <v>2952</v>
      </c>
      <c r="C727">
        <v>2011</v>
      </c>
      <c r="D727" s="8">
        <f>FLOOR(Table1[[#This Row],[Year]],10)</f>
        <v>2010</v>
      </c>
      <c r="E727" t="s">
        <v>17</v>
      </c>
      <c r="F727">
        <v>108</v>
      </c>
      <c r="G727" t="str">
        <f>IF(Table1[[#This Row],[Runtime_minutes]]&lt;90,"Short",IF(Table1[[#This Row],[Runtime_minutes]]&lt;=120,"Medium","Long"))</f>
        <v>Medium</v>
      </c>
      <c r="H727" t="s">
        <v>37</v>
      </c>
      <c r="I727" t="s">
        <v>3990</v>
      </c>
      <c r="K727">
        <v>6.3</v>
      </c>
      <c r="M727" t="s">
        <v>1709</v>
      </c>
      <c r="N727" t="s">
        <v>137</v>
      </c>
      <c r="O727" t="s">
        <v>2953</v>
      </c>
      <c r="P727">
        <v>57003</v>
      </c>
      <c r="Q727" s="3">
        <v>21.86</v>
      </c>
      <c r="R727" s="3">
        <f>IF(Table1[[#This Row],[Gross_millions]]=" ",0,Table1[[#This Row],[Gross_millions]])</f>
        <v>21.86</v>
      </c>
      <c r="S727" t="str">
        <f>IF(Table1[[#This Row],[Gross_millions_Clean]]&gt;200,"Blockbuster",IF(Table1[[#This Row],[Gross_millions_Clean]]&gt;100,"Hit","Average"))</f>
        <v>Average</v>
      </c>
    </row>
    <row r="728" spans="1:19" x14ac:dyDescent="0.3">
      <c r="A728" t="s">
        <v>2954</v>
      </c>
      <c r="B728" t="s">
        <v>2955</v>
      </c>
      <c r="C728">
        <v>1980</v>
      </c>
      <c r="D728" s="8">
        <f>FLOOR(Table1[[#This Row],[Year]],10)</f>
        <v>1980</v>
      </c>
      <c r="E728" t="s">
        <v>54</v>
      </c>
      <c r="F728">
        <v>124</v>
      </c>
      <c r="G728" t="str">
        <f>IF(Table1[[#This Row],[Runtime_minutes]]&lt;90,"Short",IF(Table1[[#This Row],[Runtime_minutes]]&lt;=120,"Medium","Long"))</f>
        <v>Long</v>
      </c>
      <c r="H728" t="s">
        <v>235</v>
      </c>
      <c r="K728">
        <v>6.3</v>
      </c>
      <c r="L728">
        <v>57</v>
      </c>
      <c r="M728" t="s">
        <v>673</v>
      </c>
      <c r="N728" t="s">
        <v>153</v>
      </c>
      <c r="O728" t="s">
        <v>2956</v>
      </c>
      <c r="P728">
        <v>17722</v>
      </c>
      <c r="Q728" s="3">
        <v>44.03</v>
      </c>
      <c r="R728" s="3">
        <f>IF(Table1[[#This Row],[Gross_millions]]=" ",0,Table1[[#This Row],[Gross_millions]])</f>
        <v>44.03</v>
      </c>
      <c r="S728" t="str">
        <f>IF(Table1[[#This Row],[Gross_millions_Clean]]&gt;200,"Blockbuster",IF(Table1[[#This Row],[Gross_millions_Clean]]&gt;100,"Hit","Average"))</f>
        <v>Average</v>
      </c>
    </row>
    <row r="729" spans="1:19" x14ac:dyDescent="0.3">
      <c r="A729" t="s">
        <v>2957</v>
      </c>
      <c r="B729" t="s">
        <v>2958</v>
      </c>
      <c r="C729">
        <v>2007</v>
      </c>
      <c r="D729" s="8">
        <f>FLOOR(Table1[[#This Row],[Year]],10)</f>
        <v>2000</v>
      </c>
      <c r="E729" t="s">
        <v>54</v>
      </c>
      <c r="F729">
        <v>136</v>
      </c>
      <c r="G729" t="str">
        <f>IF(Table1[[#This Row],[Runtime_minutes]]&lt;90,"Short",IF(Table1[[#This Row],[Runtime_minutes]]&lt;=120,"Medium","Long"))</f>
        <v>Long</v>
      </c>
      <c r="H729" t="s">
        <v>1044</v>
      </c>
      <c r="K729">
        <v>6.3</v>
      </c>
      <c r="L729">
        <v>51</v>
      </c>
      <c r="M729" t="s">
        <v>226</v>
      </c>
      <c r="N729" t="s">
        <v>103</v>
      </c>
      <c r="O729" t="s">
        <v>2959</v>
      </c>
      <c r="P729">
        <v>52271</v>
      </c>
      <c r="Q729" s="3">
        <v>370.28</v>
      </c>
      <c r="R729" s="3">
        <f>IF(Table1[[#This Row],[Gross_millions]]=" ",0,Table1[[#This Row],[Gross_millions]])</f>
        <v>370.28</v>
      </c>
      <c r="S729" t="str">
        <f>IF(Table1[[#This Row],[Gross_millions_Clean]]&gt;200,"Blockbuster",IF(Table1[[#This Row],[Gross_millions_Clean]]&gt;100,"Hit","Average"))</f>
        <v>Blockbuster</v>
      </c>
    </row>
    <row r="730" spans="1:19" x14ac:dyDescent="0.3">
      <c r="A730" t="s">
        <v>2960</v>
      </c>
      <c r="B730" t="s">
        <v>2961</v>
      </c>
      <c r="C730">
        <v>2020</v>
      </c>
      <c r="D730" s="8">
        <f>FLOOR(Table1[[#This Row],[Year]],10)</f>
        <v>2020</v>
      </c>
      <c r="E730" t="s">
        <v>17</v>
      </c>
      <c r="F730">
        <v>148</v>
      </c>
      <c r="G730" t="str">
        <f>IF(Table1[[#This Row],[Runtime_minutes]]&lt;90,"Short",IF(Table1[[#This Row],[Runtime_minutes]]&lt;=120,"Medium","Long"))</f>
        <v>Long</v>
      </c>
      <c r="H730" t="s">
        <v>43</v>
      </c>
      <c r="I730" t="s">
        <v>3984</v>
      </c>
      <c r="J730" t="s">
        <v>3985</v>
      </c>
      <c r="K730">
        <v>6.3</v>
      </c>
      <c r="M730" t="s">
        <v>2963</v>
      </c>
      <c r="N730" t="s">
        <v>103</v>
      </c>
      <c r="O730" t="s">
        <v>2964</v>
      </c>
      <c r="P730">
        <v>3641</v>
      </c>
      <c r="Q730" s="3"/>
      <c r="R730" s="3">
        <f>IF(Table1[[#This Row],[Gross_millions]]=" ",0,Table1[[#This Row],[Gross_millions]])</f>
        <v>0</v>
      </c>
      <c r="S730" t="str">
        <f>IF(Table1[[#This Row],[Gross_millions_Clean]]&gt;200,"Blockbuster",IF(Table1[[#This Row],[Gross_millions_Clean]]&gt;100,"Hit","Average"))</f>
        <v>Average</v>
      </c>
    </row>
    <row r="731" spans="1:19" x14ac:dyDescent="0.3">
      <c r="A731" t="s">
        <v>2965</v>
      </c>
      <c r="B731" t="s">
        <v>2966</v>
      </c>
      <c r="C731">
        <v>2024</v>
      </c>
      <c r="D731" s="8">
        <f>FLOOR(Table1[[#This Row],[Year]],10)</f>
        <v>2020</v>
      </c>
      <c r="E731" t="s">
        <v>24</v>
      </c>
      <c r="F731">
        <v>116</v>
      </c>
      <c r="G731" t="str">
        <f>IF(Table1[[#This Row],[Runtime_minutes]]&lt;90,"Short",IF(Table1[[#This Row],[Runtime_minutes]]&lt;=120,"Medium","Long"))</f>
        <v>Medium</v>
      </c>
      <c r="H731" t="s">
        <v>157</v>
      </c>
      <c r="K731">
        <v>6.3</v>
      </c>
      <c r="L731">
        <v>68</v>
      </c>
      <c r="M731" t="s">
        <v>2967</v>
      </c>
      <c r="N731" t="s">
        <v>196</v>
      </c>
      <c r="O731" t="s">
        <v>2968</v>
      </c>
      <c r="P731">
        <v>288806</v>
      </c>
      <c r="Q731" s="3">
        <v>34.15</v>
      </c>
      <c r="R731" s="3">
        <f>IF(Table1[[#This Row],[Gross_millions]]=" ",0,Table1[[#This Row],[Gross_millions]])</f>
        <v>34.15</v>
      </c>
      <c r="S731" t="str">
        <f>IF(Table1[[#This Row],[Gross_millions_Clean]]&gt;200,"Blockbuster",IF(Table1[[#This Row],[Gross_millions_Clean]]&gt;100,"Hit","Average"))</f>
        <v>Average</v>
      </c>
    </row>
    <row r="732" spans="1:19" x14ac:dyDescent="0.3">
      <c r="A732" t="s">
        <v>2969</v>
      </c>
      <c r="B732" t="s">
        <v>2970</v>
      </c>
      <c r="C732">
        <v>2016</v>
      </c>
      <c r="D732" s="8">
        <f>FLOOR(Table1[[#This Row],[Year]],10)</f>
        <v>2010</v>
      </c>
      <c r="E732" t="s">
        <v>24</v>
      </c>
      <c r="F732">
        <v>141</v>
      </c>
      <c r="G732" t="str">
        <f>IF(Table1[[#This Row],[Runtime_minutes]]&lt;90,"Short",IF(Table1[[#This Row],[Runtime_minutes]]&lt;=120,"Medium","Long"))</f>
        <v>Long</v>
      </c>
      <c r="H732" t="s">
        <v>210</v>
      </c>
      <c r="I732" t="s">
        <v>3977</v>
      </c>
      <c r="K732">
        <v>6.3</v>
      </c>
      <c r="L732">
        <v>64</v>
      </c>
      <c r="M732" t="s">
        <v>2972</v>
      </c>
      <c r="N732" t="s">
        <v>63</v>
      </c>
      <c r="O732" t="s">
        <v>2973</v>
      </c>
      <c r="P732">
        <v>201206</v>
      </c>
      <c r="Q732" s="3">
        <v>226.26</v>
      </c>
      <c r="R732" s="3">
        <f>IF(Table1[[#This Row],[Gross_millions]]=" ",0,Table1[[#This Row],[Gross_millions]])</f>
        <v>226.26</v>
      </c>
      <c r="S732" t="str">
        <f>IF(Table1[[#This Row],[Gross_millions_Clean]]&gt;200,"Blockbuster",IF(Table1[[#This Row],[Gross_millions_Clean]]&gt;100,"Hit","Average"))</f>
        <v>Blockbuster</v>
      </c>
    </row>
    <row r="733" spans="1:19" x14ac:dyDescent="0.3">
      <c r="A733" t="s">
        <v>2974</v>
      </c>
      <c r="B733" t="s">
        <v>2975</v>
      </c>
      <c r="C733">
        <v>2008</v>
      </c>
      <c r="D733" s="8">
        <f>FLOOR(Table1[[#This Row],[Year]],10)</f>
        <v>2000</v>
      </c>
      <c r="E733" t="s">
        <v>54</v>
      </c>
      <c r="F733">
        <v>143</v>
      </c>
      <c r="G733" t="str">
        <f>IF(Table1[[#This Row],[Runtime_minutes]]&lt;90,"Short",IF(Table1[[#This Row],[Runtime_minutes]]&lt;=120,"Medium","Long"))</f>
        <v>Long</v>
      </c>
      <c r="H733" t="s">
        <v>767</v>
      </c>
      <c r="I733" t="s">
        <v>3979</v>
      </c>
      <c r="J733" t="s">
        <v>3990</v>
      </c>
      <c r="K733">
        <v>6.3</v>
      </c>
      <c r="L733">
        <v>75</v>
      </c>
      <c r="M733" t="s">
        <v>2977</v>
      </c>
      <c r="N733" t="s">
        <v>518</v>
      </c>
      <c r="O733" t="s">
        <v>2978</v>
      </c>
      <c r="P733">
        <v>48970</v>
      </c>
      <c r="Q733" s="3">
        <v>365.46</v>
      </c>
      <c r="R733" s="3">
        <f>IF(Table1[[#This Row],[Gross_millions]]=" ",0,Table1[[#This Row],[Gross_millions]])</f>
        <v>365.46</v>
      </c>
      <c r="S733" t="str">
        <f>IF(Table1[[#This Row],[Gross_millions_Clean]]&gt;200,"Blockbuster",IF(Table1[[#This Row],[Gross_millions_Clean]]&gt;100,"Hit","Average"))</f>
        <v>Blockbuster</v>
      </c>
    </row>
    <row r="734" spans="1:19" x14ac:dyDescent="0.3">
      <c r="A734" t="s">
        <v>2979</v>
      </c>
      <c r="B734" t="s">
        <v>2980</v>
      </c>
      <c r="C734">
        <v>2006</v>
      </c>
      <c r="D734" s="8">
        <f>FLOOR(Table1[[#This Row],[Year]],10)</f>
        <v>2000</v>
      </c>
      <c r="E734" t="s">
        <v>24</v>
      </c>
      <c r="F734">
        <v>118</v>
      </c>
      <c r="G734" t="str">
        <f>IF(Table1[[#This Row],[Runtime_minutes]]&lt;90,"Short",IF(Table1[[#This Row],[Runtime_minutes]]&lt;=120,"Medium","Long"))</f>
        <v>Medium</v>
      </c>
      <c r="H734" t="s">
        <v>453</v>
      </c>
      <c r="K734">
        <v>6.3</v>
      </c>
      <c r="L734">
        <v>62</v>
      </c>
      <c r="M734" t="s">
        <v>269</v>
      </c>
      <c r="N734" t="s">
        <v>119</v>
      </c>
      <c r="O734" t="s">
        <v>2981</v>
      </c>
      <c r="P734">
        <v>108956</v>
      </c>
      <c r="Q734" s="3">
        <v>385.04</v>
      </c>
      <c r="R734" s="3">
        <f>IF(Table1[[#This Row],[Gross_millions]]=" ",0,Table1[[#This Row],[Gross_millions]])</f>
        <v>385.04</v>
      </c>
      <c r="S734" t="str">
        <f>IF(Table1[[#This Row],[Gross_millions_Clean]]&gt;200,"Blockbuster",IF(Table1[[#This Row],[Gross_millions_Clean]]&gt;100,"Hit","Average"))</f>
        <v>Blockbuster</v>
      </c>
    </row>
    <row r="735" spans="1:19" x14ac:dyDescent="0.3">
      <c r="A735" t="s">
        <v>2982</v>
      </c>
      <c r="B735" t="s">
        <v>2983</v>
      </c>
      <c r="C735">
        <v>2001</v>
      </c>
      <c r="D735" s="8">
        <f>FLOOR(Table1[[#This Row],[Year]],10)</f>
        <v>2000</v>
      </c>
      <c r="E735" t="s">
        <v>54</v>
      </c>
      <c r="F735">
        <v>153</v>
      </c>
      <c r="G735" t="str">
        <f>IF(Table1[[#This Row],[Runtime_minutes]]&lt;90,"Short",IF(Table1[[#This Row],[Runtime_minutes]]&lt;=120,"Medium","Long"))</f>
        <v>Long</v>
      </c>
      <c r="H735" t="s">
        <v>55</v>
      </c>
      <c r="I735" t="s">
        <v>3979</v>
      </c>
      <c r="K735">
        <v>6.3</v>
      </c>
      <c r="L735">
        <v>67</v>
      </c>
      <c r="M735" t="s">
        <v>852</v>
      </c>
      <c r="N735" t="s">
        <v>125</v>
      </c>
      <c r="O735" t="s">
        <v>2984</v>
      </c>
      <c r="P735">
        <v>140571</v>
      </c>
      <c r="Q735" s="3"/>
      <c r="R735" s="3">
        <f>IF(Table1[[#This Row],[Gross_millions]]=" ",0,Table1[[#This Row],[Gross_millions]])</f>
        <v>0</v>
      </c>
      <c r="S735" t="str">
        <f>IF(Table1[[#This Row],[Gross_millions_Clean]]&gt;200,"Blockbuster",IF(Table1[[#This Row],[Gross_millions_Clean]]&gt;100,"Hit","Average"))</f>
        <v>Average</v>
      </c>
    </row>
    <row r="736" spans="1:19" x14ac:dyDescent="0.3">
      <c r="A736" t="s">
        <v>2985</v>
      </c>
      <c r="B736" t="s">
        <v>2986</v>
      </c>
      <c r="C736">
        <v>2004</v>
      </c>
      <c r="D736" s="8">
        <f>FLOOR(Table1[[#This Row],[Year]],10)</f>
        <v>2000</v>
      </c>
      <c r="E736" t="s">
        <v>24</v>
      </c>
      <c r="F736">
        <v>116</v>
      </c>
      <c r="G736" t="str">
        <f>IF(Table1[[#This Row],[Runtime_minutes]]&lt;90,"Short",IF(Table1[[#This Row],[Runtime_minutes]]&lt;=120,"Medium","Long"))</f>
        <v>Medium</v>
      </c>
      <c r="H736" t="s">
        <v>767</v>
      </c>
      <c r="I736" t="s">
        <v>3977</v>
      </c>
      <c r="J736" t="s">
        <v>3989</v>
      </c>
      <c r="K736">
        <v>6.3</v>
      </c>
      <c r="L736">
        <v>60</v>
      </c>
      <c r="M736" t="s">
        <v>85</v>
      </c>
      <c r="N736" t="s">
        <v>518</v>
      </c>
      <c r="O736" t="s">
        <v>2988</v>
      </c>
      <c r="P736">
        <v>76117</v>
      </c>
      <c r="Q736" s="3">
        <v>211.08</v>
      </c>
      <c r="R736" s="3">
        <f>IF(Table1[[#This Row],[Gross_millions]]=" ",0,Table1[[#This Row],[Gross_millions]])</f>
        <v>211.08</v>
      </c>
      <c r="S736" t="str">
        <f>IF(Table1[[#This Row],[Gross_millions_Clean]]&gt;200,"Blockbuster",IF(Table1[[#This Row],[Gross_millions_Clean]]&gt;100,"Hit","Average"))</f>
        <v>Blockbuster</v>
      </c>
    </row>
    <row r="737" spans="1:19" x14ac:dyDescent="0.3">
      <c r="A737" t="s">
        <v>2989</v>
      </c>
      <c r="B737" t="s">
        <v>2990</v>
      </c>
      <c r="C737">
        <v>2000</v>
      </c>
      <c r="D737" s="8">
        <f>FLOOR(Table1[[#This Row],[Year]],10)</f>
        <v>2000</v>
      </c>
      <c r="E737" t="s">
        <v>17</v>
      </c>
      <c r="F737">
        <v>171</v>
      </c>
      <c r="G737" t="str">
        <f>IF(Table1[[#This Row],[Runtime_minutes]]&lt;90,"Short",IF(Table1[[#This Row],[Runtime_minutes]]&lt;=120,"Medium","Long"))</f>
        <v>Long</v>
      </c>
      <c r="H737" t="s">
        <v>157</v>
      </c>
      <c r="K737">
        <v>6.3</v>
      </c>
      <c r="M737" t="s">
        <v>629</v>
      </c>
      <c r="N737" t="s">
        <v>608</v>
      </c>
      <c r="O737" t="s">
        <v>2991</v>
      </c>
      <c r="P737">
        <v>78970</v>
      </c>
      <c r="Q737" s="3">
        <v>198.71</v>
      </c>
      <c r="R737" s="3">
        <f>IF(Table1[[#This Row],[Gross_millions]]=" ",0,Table1[[#This Row],[Gross_millions]])</f>
        <v>198.71</v>
      </c>
      <c r="S737" t="str">
        <f>IF(Table1[[#This Row],[Gross_millions_Clean]]&gt;200,"Blockbuster",IF(Table1[[#This Row],[Gross_millions_Clean]]&gt;100,"Hit","Average"))</f>
        <v>Hit</v>
      </c>
    </row>
    <row r="738" spans="1:19" x14ac:dyDescent="0.3">
      <c r="A738" t="s">
        <v>2992</v>
      </c>
      <c r="B738" t="s">
        <v>2993</v>
      </c>
      <c r="C738">
        <v>2014</v>
      </c>
      <c r="D738" s="8">
        <f>FLOOR(Table1[[#This Row],[Year]],10)</f>
        <v>2010</v>
      </c>
      <c r="E738" t="s">
        <v>17</v>
      </c>
      <c r="F738">
        <v>95</v>
      </c>
      <c r="G738" t="str">
        <f>IF(Table1[[#This Row],[Runtime_minutes]]&lt;90,"Short",IF(Table1[[#This Row],[Runtime_minutes]]&lt;=120,"Medium","Long"))</f>
        <v>Medium</v>
      </c>
      <c r="H738" t="s">
        <v>78</v>
      </c>
      <c r="I738" t="s">
        <v>3992</v>
      </c>
      <c r="K738">
        <v>6.3</v>
      </c>
      <c r="L738">
        <v>65</v>
      </c>
      <c r="M738" t="s">
        <v>995</v>
      </c>
      <c r="N738" t="s">
        <v>191</v>
      </c>
      <c r="O738" t="s">
        <v>2994</v>
      </c>
      <c r="P738">
        <v>47969</v>
      </c>
      <c r="Q738" s="3">
        <v>24.49</v>
      </c>
      <c r="R738" s="3">
        <f>IF(Table1[[#This Row],[Gross_millions]]=" ",0,Table1[[#This Row],[Gross_millions]])</f>
        <v>24.49</v>
      </c>
      <c r="S738" t="str">
        <f>IF(Table1[[#This Row],[Gross_millions_Clean]]&gt;200,"Blockbuster",IF(Table1[[#This Row],[Gross_millions_Clean]]&gt;100,"Hit","Average"))</f>
        <v>Average</v>
      </c>
    </row>
    <row r="739" spans="1:19" x14ac:dyDescent="0.3">
      <c r="A739" t="s">
        <v>2995</v>
      </c>
      <c r="B739" t="s">
        <v>2996</v>
      </c>
      <c r="C739">
        <v>1982</v>
      </c>
      <c r="D739" s="8">
        <f>FLOOR(Table1[[#This Row],[Year]],10)</f>
        <v>1980</v>
      </c>
      <c r="E739" t="s">
        <v>24</v>
      </c>
      <c r="F739">
        <v>145</v>
      </c>
      <c r="G739" t="str">
        <f>IF(Table1[[#This Row],[Runtime_minutes]]&lt;90,"Short",IF(Table1[[#This Row],[Runtime_minutes]]&lt;=120,"Medium","Long"))</f>
        <v>Long</v>
      </c>
      <c r="H739" t="s">
        <v>453</v>
      </c>
      <c r="I739" t="s">
        <v>3982</v>
      </c>
      <c r="K739">
        <v>6.3</v>
      </c>
      <c r="M739" t="s">
        <v>435</v>
      </c>
      <c r="N739" t="s">
        <v>221</v>
      </c>
      <c r="O739" t="s">
        <v>2997</v>
      </c>
      <c r="P739">
        <v>81619</v>
      </c>
      <c r="Q739" s="3">
        <v>39.08</v>
      </c>
      <c r="R739" s="3">
        <f>IF(Table1[[#This Row],[Gross_millions]]=" ",0,Table1[[#This Row],[Gross_millions]])</f>
        <v>39.08</v>
      </c>
      <c r="S739" t="str">
        <f>IF(Table1[[#This Row],[Gross_millions_Clean]]&gt;200,"Blockbuster",IF(Table1[[#This Row],[Gross_millions_Clean]]&gt;100,"Hit","Average"))</f>
        <v>Average</v>
      </c>
    </row>
    <row r="740" spans="1:19" x14ac:dyDescent="0.3">
      <c r="A740" t="s">
        <v>2998</v>
      </c>
      <c r="B740" t="s">
        <v>2999</v>
      </c>
      <c r="C740">
        <v>2000</v>
      </c>
      <c r="D740" s="8">
        <f>FLOOR(Table1[[#This Row],[Year]],10)</f>
        <v>2000</v>
      </c>
      <c r="E740" t="s">
        <v>54</v>
      </c>
      <c r="F740">
        <v>135</v>
      </c>
      <c r="G740" t="str">
        <f>IF(Table1[[#This Row],[Runtime_minutes]]&lt;90,"Short",IF(Table1[[#This Row],[Runtime_minutes]]&lt;=120,"Medium","Long"))</f>
        <v>Long</v>
      </c>
      <c r="H740" t="s">
        <v>767</v>
      </c>
      <c r="K740">
        <v>6.3</v>
      </c>
      <c r="L740">
        <v>72</v>
      </c>
      <c r="M740" t="s">
        <v>320</v>
      </c>
      <c r="N740" t="s">
        <v>113</v>
      </c>
      <c r="O740" t="s">
        <v>3000</v>
      </c>
      <c r="P740">
        <v>17548</v>
      </c>
      <c r="Q740" s="3">
        <v>106.52</v>
      </c>
      <c r="R740" s="3">
        <f>IF(Table1[[#This Row],[Gross_millions]]=" ",0,Table1[[#This Row],[Gross_millions]])</f>
        <v>106.52</v>
      </c>
      <c r="S740" t="str">
        <f>IF(Table1[[#This Row],[Gross_millions_Clean]]&gt;200,"Blockbuster",IF(Table1[[#This Row],[Gross_millions_Clean]]&gt;100,"Hit","Average"))</f>
        <v>Hit</v>
      </c>
    </row>
    <row r="741" spans="1:19" x14ac:dyDescent="0.3">
      <c r="A741" t="s">
        <v>3001</v>
      </c>
      <c r="B741" t="s">
        <v>3002</v>
      </c>
      <c r="C741">
        <v>1985</v>
      </c>
      <c r="D741" s="8">
        <f>FLOOR(Table1[[#This Row],[Year]],10)</f>
        <v>1980</v>
      </c>
      <c r="E741" t="s">
        <v>54</v>
      </c>
      <c r="F741">
        <v>103</v>
      </c>
      <c r="G741" t="str">
        <f>IF(Table1[[#This Row],[Runtime_minutes]]&lt;90,"Short",IF(Table1[[#This Row],[Runtime_minutes]]&lt;=120,"Medium","Long"))</f>
        <v>Medium</v>
      </c>
      <c r="H741" t="s">
        <v>43</v>
      </c>
      <c r="K741">
        <v>6.3</v>
      </c>
      <c r="L741">
        <v>49</v>
      </c>
      <c r="M741" t="s">
        <v>1363</v>
      </c>
      <c r="N741" t="s">
        <v>147</v>
      </c>
      <c r="O741" t="s">
        <v>3003</v>
      </c>
      <c r="P741">
        <v>110206</v>
      </c>
      <c r="Q741" s="3">
        <v>133.09</v>
      </c>
      <c r="R741" s="3">
        <f>IF(Table1[[#This Row],[Gross_millions]]=" ",0,Table1[[#This Row],[Gross_millions]])</f>
        <v>133.09</v>
      </c>
      <c r="S741" t="str">
        <f>IF(Table1[[#This Row],[Gross_millions_Clean]]&gt;200,"Blockbuster",IF(Table1[[#This Row],[Gross_millions_Clean]]&gt;100,"Hit","Average"))</f>
        <v>Hit</v>
      </c>
    </row>
    <row r="742" spans="1:19" x14ac:dyDescent="0.3">
      <c r="A742" t="s">
        <v>3004</v>
      </c>
      <c r="B742" t="s">
        <v>3005</v>
      </c>
      <c r="C742">
        <v>1996</v>
      </c>
      <c r="D742" s="8">
        <f>FLOOR(Table1[[#This Row],[Year]],10)</f>
        <v>1990</v>
      </c>
      <c r="E742" t="s">
        <v>54</v>
      </c>
      <c r="F742">
        <v>109</v>
      </c>
      <c r="G742" t="str">
        <f>IF(Table1[[#This Row],[Runtime_minutes]]&lt;90,"Short",IF(Table1[[#This Row],[Runtime_minutes]]&lt;=120,"Medium","Long"))</f>
        <v>Medium</v>
      </c>
      <c r="H742" t="s">
        <v>129</v>
      </c>
      <c r="I742" t="s">
        <v>3983</v>
      </c>
      <c r="K742">
        <v>6.3</v>
      </c>
      <c r="M742" t="s">
        <v>634</v>
      </c>
      <c r="N742" t="s">
        <v>547</v>
      </c>
      <c r="O742" t="s">
        <v>3006</v>
      </c>
      <c r="P742">
        <v>39633</v>
      </c>
      <c r="Q742" s="3">
        <v>59.28</v>
      </c>
      <c r="R742" s="3">
        <f>IF(Table1[[#This Row],[Gross_millions]]=" ",0,Table1[[#This Row],[Gross_millions]])</f>
        <v>59.28</v>
      </c>
      <c r="S742" t="str">
        <f>IF(Table1[[#This Row],[Gross_millions_Clean]]&gt;200,"Blockbuster",IF(Table1[[#This Row],[Gross_millions_Clean]]&gt;100,"Hit","Average"))</f>
        <v>Average</v>
      </c>
    </row>
    <row r="743" spans="1:19" x14ac:dyDescent="0.3">
      <c r="A743" t="s">
        <v>3007</v>
      </c>
      <c r="B743" t="s">
        <v>3008</v>
      </c>
      <c r="C743">
        <v>1999</v>
      </c>
      <c r="D743" s="8">
        <f>FLOOR(Table1[[#This Row],[Year]],10)</f>
        <v>1990</v>
      </c>
      <c r="E743" t="s">
        <v>17</v>
      </c>
      <c r="F743">
        <v>101</v>
      </c>
      <c r="G743" t="str">
        <f>IF(Table1[[#This Row],[Runtime_minutes]]&lt;90,"Short",IF(Table1[[#This Row],[Runtime_minutes]]&lt;=120,"Medium","Long"))</f>
        <v>Medium</v>
      </c>
      <c r="H743" t="s">
        <v>235</v>
      </c>
      <c r="I743" t="s">
        <v>3991</v>
      </c>
      <c r="J743" t="s">
        <v>3992</v>
      </c>
      <c r="K743">
        <v>6.3</v>
      </c>
      <c r="L743">
        <v>71</v>
      </c>
      <c r="M743" t="s">
        <v>201</v>
      </c>
      <c r="N743" t="s">
        <v>57</v>
      </c>
      <c r="O743" t="s">
        <v>3010</v>
      </c>
      <c r="P743">
        <v>12224</v>
      </c>
      <c r="Q743" s="3">
        <v>299.01</v>
      </c>
      <c r="R743" s="3">
        <f>IF(Table1[[#This Row],[Gross_millions]]=" ",0,Table1[[#This Row],[Gross_millions]])</f>
        <v>299.01</v>
      </c>
      <c r="S743" t="str">
        <f>IF(Table1[[#This Row],[Gross_millions_Clean]]&gt;200,"Blockbuster",IF(Table1[[#This Row],[Gross_millions_Clean]]&gt;100,"Hit","Average"))</f>
        <v>Blockbuster</v>
      </c>
    </row>
    <row r="744" spans="1:19" x14ac:dyDescent="0.3">
      <c r="A744" t="s">
        <v>3011</v>
      </c>
      <c r="B744" t="s">
        <v>3012</v>
      </c>
      <c r="C744">
        <v>1997</v>
      </c>
      <c r="D744" s="8">
        <f>FLOOR(Table1[[#This Row],[Year]],10)</f>
        <v>1990</v>
      </c>
      <c r="E744" t="s">
        <v>24</v>
      </c>
      <c r="F744">
        <v>130</v>
      </c>
      <c r="G744" t="str">
        <f>IF(Table1[[#This Row],[Runtime_minutes]]&lt;90,"Short",IF(Table1[[#This Row],[Runtime_minutes]]&lt;=120,"Medium","Long"))</f>
        <v>Long</v>
      </c>
      <c r="H744" t="s">
        <v>48</v>
      </c>
      <c r="K744">
        <v>6.3</v>
      </c>
      <c r="M744" t="s">
        <v>3013</v>
      </c>
      <c r="N744" t="s">
        <v>63</v>
      </c>
      <c r="O744" t="s">
        <v>3014</v>
      </c>
      <c r="P744">
        <v>18227</v>
      </c>
      <c r="Q744" s="3">
        <v>189.95</v>
      </c>
      <c r="R744" s="3">
        <f>IF(Table1[[#This Row],[Gross_millions]]=" ",0,Table1[[#This Row],[Gross_millions]])</f>
        <v>189.95</v>
      </c>
      <c r="S744" t="str">
        <f>IF(Table1[[#This Row],[Gross_millions_Clean]]&gt;200,"Blockbuster",IF(Table1[[#This Row],[Gross_millions_Clean]]&gt;100,"Hit","Average"))</f>
        <v>Hit</v>
      </c>
    </row>
    <row r="745" spans="1:19" x14ac:dyDescent="0.3">
      <c r="A745" t="s">
        <v>3015</v>
      </c>
      <c r="B745" t="s">
        <v>3016</v>
      </c>
      <c r="C745">
        <v>2010</v>
      </c>
      <c r="D745" s="8">
        <f>FLOOR(Table1[[#This Row],[Year]],10)</f>
        <v>2010</v>
      </c>
      <c r="E745" t="s">
        <v>24</v>
      </c>
      <c r="F745">
        <v>130</v>
      </c>
      <c r="G745" t="str">
        <f>IF(Table1[[#This Row],[Runtime_minutes]]&lt;90,"Short",IF(Table1[[#This Row],[Runtime_minutes]]&lt;=120,"Medium","Long"))</f>
        <v>Long</v>
      </c>
      <c r="H745" t="s">
        <v>606</v>
      </c>
      <c r="I745" t="s">
        <v>3979</v>
      </c>
      <c r="K745">
        <v>6.3</v>
      </c>
      <c r="L745">
        <v>48</v>
      </c>
      <c r="M745" t="s">
        <v>250</v>
      </c>
      <c r="N745" t="s">
        <v>196</v>
      </c>
      <c r="O745" t="s">
        <v>3018</v>
      </c>
      <c r="P745">
        <v>10353</v>
      </c>
      <c r="Q745" s="3">
        <v>355.68</v>
      </c>
      <c r="R745" s="3">
        <f>IF(Table1[[#This Row],[Gross_millions]]=" ",0,Table1[[#This Row],[Gross_millions]])</f>
        <v>355.68</v>
      </c>
      <c r="S745" t="str">
        <f>IF(Table1[[#This Row],[Gross_millions_Clean]]&gt;200,"Blockbuster",IF(Table1[[#This Row],[Gross_millions_Clean]]&gt;100,"Hit","Average"))</f>
        <v>Blockbuster</v>
      </c>
    </row>
    <row r="746" spans="1:19" x14ac:dyDescent="0.3">
      <c r="A746" t="s">
        <v>3019</v>
      </c>
      <c r="B746" t="s">
        <v>3020</v>
      </c>
      <c r="C746">
        <v>2004</v>
      </c>
      <c r="D746" s="8">
        <f>FLOOR(Table1[[#This Row],[Year]],10)</f>
        <v>2000</v>
      </c>
      <c r="E746" t="s">
        <v>24</v>
      </c>
      <c r="F746">
        <v>77</v>
      </c>
      <c r="G746" t="str">
        <f>IF(Table1[[#This Row],[Runtime_minutes]]&lt;90,"Short",IF(Table1[[#This Row],[Runtime_minutes]]&lt;=120,"Medium","Long"))</f>
        <v>Short</v>
      </c>
      <c r="H746" t="s">
        <v>1044</v>
      </c>
      <c r="I746" t="s">
        <v>3977</v>
      </c>
      <c r="J746" t="s">
        <v>3988</v>
      </c>
      <c r="K746">
        <v>6.3</v>
      </c>
      <c r="L746">
        <v>74</v>
      </c>
      <c r="M746" t="s">
        <v>164</v>
      </c>
      <c r="N746" t="s">
        <v>27</v>
      </c>
      <c r="O746" t="s">
        <v>3022</v>
      </c>
      <c r="P746">
        <v>418943</v>
      </c>
      <c r="Q746" s="3">
        <v>356.71</v>
      </c>
      <c r="R746" s="3">
        <f>IF(Table1[[#This Row],[Gross_millions]]=" ",0,Table1[[#This Row],[Gross_millions]])</f>
        <v>356.71</v>
      </c>
      <c r="S746" t="str">
        <f>IF(Table1[[#This Row],[Gross_millions_Clean]]&gt;200,"Blockbuster",IF(Table1[[#This Row],[Gross_millions_Clean]]&gt;100,"Hit","Average"))</f>
        <v>Blockbuster</v>
      </c>
    </row>
    <row r="747" spans="1:19" x14ac:dyDescent="0.3">
      <c r="A747" t="s">
        <v>3023</v>
      </c>
      <c r="B747" t="s">
        <v>3024</v>
      </c>
      <c r="C747">
        <v>2020</v>
      </c>
      <c r="D747" s="8">
        <f>FLOOR(Table1[[#This Row],[Year]],10)</f>
        <v>2020</v>
      </c>
      <c r="E747" t="s">
        <v>24</v>
      </c>
      <c r="F747">
        <v>140</v>
      </c>
      <c r="G747" t="str">
        <f>IF(Table1[[#This Row],[Runtime_minutes]]&lt;90,"Short",IF(Table1[[#This Row],[Runtime_minutes]]&lt;=120,"Medium","Long"))</f>
        <v>Long</v>
      </c>
      <c r="H747" t="s">
        <v>55</v>
      </c>
      <c r="I747" t="s">
        <v>3979</v>
      </c>
      <c r="K747">
        <v>6.3</v>
      </c>
      <c r="M747" t="s">
        <v>852</v>
      </c>
      <c r="N747" t="s">
        <v>39</v>
      </c>
      <c r="O747" t="s">
        <v>3025</v>
      </c>
      <c r="P747">
        <v>431961</v>
      </c>
      <c r="Q747" s="3"/>
      <c r="R747" s="3">
        <f>IF(Table1[[#This Row],[Gross_millions]]=" ",0,Table1[[#This Row],[Gross_millions]])</f>
        <v>0</v>
      </c>
      <c r="S747" t="str">
        <f>IF(Table1[[#This Row],[Gross_millions_Clean]]&gt;200,"Blockbuster",IF(Table1[[#This Row],[Gross_millions_Clean]]&gt;100,"Hit","Average"))</f>
        <v>Average</v>
      </c>
    </row>
    <row r="748" spans="1:19" x14ac:dyDescent="0.3">
      <c r="A748" t="s">
        <v>3026</v>
      </c>
      <c r="B748" t="s">
        <v>3027</v>
      </c>
      <c r="C748">
        <v>2000</v>
      </c>
      <c r="D748" s="8">
        <f>FLOOR(Table1[[#This Row],[Year]],10)</f>
        <v>2000</v>
      </c>
      <c r="E748" t="s">
        <v>285</v>
      </c>
      <c r="F748">
        <v>130</v>
      </c>
      <c r="G748" t="str">
        <f>IF(Table1[[#This Row],[Runtime_minutes]]&lt;90,"Short",IF(Table1[[#This Row],[Runtime_minutes]]&lt;=120,"Medium","Long"))</f>
        <v>Long</v>
      </c>
      <c r="H748" t="s">
        <v>78</v>
      </c>
      <c r="I748" t="s">
        <v>3980</v>
      </c>
      <c r="K748">
        <v>6.3</v>
      </c>
      <c r="M748" t="s">
        <v>305</v>
      </c>
      <c r="N748" t="s">
        <v>103</v>
      </c>
      <c r="O748" t="s">
        <v>3029</v>
      </c>
      <c r="P748">
        <v>57726</v>
      </c>
      <c r="Q748" s="3">
        <v>242.04</v>
      </c>
      <c r="R748" s="3">
        <f>IF(Table1[[#This Row],[Gross_millions]]=" ",0,Table1[[#This Row],[Gross_millions]])</f>
        <v>242.04</v>
      </c>
      <c r="S748" t="str">
        <f>IF(Table1[[#This Row],[Gross_millions_Clean]]&gt;200,"Blockbuster",IF(Table1[[#This Row],[Gross_millions_Clean]]&gt;100,"Hit","Average"))</f>
        <v>Blockbuster</v>
      </c>
    </row>
    <row r="749" spans="1:19" x14ac:dyDescent="0.3">
      <c r="A749" t="s">
        <v>3030</v>
      </c>
      <c r="B749" t="s">
        <v>3031</v>
      </c>
      <c r="C749">
        <v>2022</v>
      </c>
      <c r="D749" s="8">
        <f>FLOOR(Table1[[#This Row],[Year]],10)</f>
        <v>2020</v>
      </c>
      <c r="E749" t="s">
        <v>24</v>
      </c>
      <c r="F749">
        <v>134</v>
      </c>
      <c r="G749" t="str">
        <f>IF(Table1[[#This Row],[Runtime_minutes]]&lt;90,"Short",IF(Table1[[#This Row],[Runtime_minutes]]&lt;=120,"Medium","Long"))</f>
        <v>Long</v>
      </c>
      <c r="H749" t="s">
        <v>767</v>
      </c>
      <c r="I749" t="s">
        <v>3989</v>
      </c>
      <c r="K749">
        <v>6.3</v>
      </c>
      <c r="L749">
        <v>50</v>
      </c>
      <c r="M749" t="s">
        <v>85</v>
      </c>
      <c r="N749" t="s">
        <v>221</v>
      </c>
      <c r="O749" t="s">
        <v>3032</v>
      </c>
      <c r="P749">
        <v>71898</v>
      </c>
      <c r="Q749" s="3"/>
      <c r="R749" s="3">
        <f>IF(Table1[[#This Row],[Gross_millions]]=" ",0,Table1[[#This Row],[Gross_millions]])</f>
        <v>0</v>
      </c>
      <c r="S749" t="str">
        <f>IF(Table1[[#This Row],[Gross_millions_Clean]]&gt;200,"Blockbuster",IF(Table1[[#This Row],[Gross_millions_Clean]]&gt;100,"Hit","Average"))</f>
        <v>Average</v>
      </c>
    </row>
    <row r="750" spans="1:19" x14ac:dyDescent="0.3">
      <c r="A750" t="s">
        <v>3033</v>
      </c>
      <c r="B750" t="s">
        <v>3034</v>
      </c>
      <c r="C750">
        <v>2008</v>
      </c>
      <c r="D750" s="8">
        <f>FLOOR(Table1[[#This Row],[Year]],10)</f>
        <v>2000</v>
      </c>
      <c r="E750" t="s">
        <v>17</v>
      </c>
      <c r="F750">
        <v>125</v>
      </c>
      <c r="G750" t="str">
        <f>IF(Table1[[#This Row],[Runtime_minutes]]&lt;90,"Short",IF(Table1[[#This Row],[Runtime_minutes]]&lt;=120,"Medium","Long"))</f>
        <v>Long</v>
      </c>
      <c r="H750" t="s">
        <v>48</v>
      </c>
      <c r="K750">
        <v>6.3</v>
      </c>
      <c r="M750" t="s">
        <v>67</v>
      </c>
      <c r="N750" t="s">
        <v>196</v>
      </c>
      <c r="O750" t="s">
        <v>3035</v>
      </c>
      <c r="P750">
        <v>21863</v>
      </c>
      <c r="Q750" s="3">
        <v>252.14</v>
      </c>
      <c r="R750" s="3">
        <f>IF(Table1[[#This Row],[Gross_millions]]=" ",0,Table1[[#This Row],[Gross_millions]])</f>
        <v>252.14</v>
      </c>
      <c r="S750" t="str">
        <f>IF(Table1[[#This Row],[Gross_millions_Clean]]&gt;200,"Blockbuster",IF(Table1[[#This Row],[Gross_millions_Clean]]&gt;100,"Hit","Average"))</f>
        <v>Blockbuster</v>
      </c>
    </row>
    <row r="751" spans="1:19" x14ac:dyDescent="0.3">
      <c r="A751" t="s">
        <v>3036</v>
      </c>
      <c r="B751" t="s">
        <v>3037</v>
      </c>
      <c r="C751">
        <v>2016</v>
      </c>
      <c r="D751" s="8">
        <f>FLOOR(Table1[[#This Row],[Year]],10)</f>
        <v>2010</v>
      </c>
      <c r="E751" t="s">
        <v>24</v>
      </c>
      <c r="F751">
        <v>103</v>
      </c>
      <c r="G751" t="str">
        <f>IF(Table1[[#This Row],[Runtime_minutes]]&lt;90,"Short",IF(Table1[[#This Row],[Runtime_minutes]]&lt;=120,"Medium","Long"))</f>
        <v>Medium</v>
      </c>
      <c r="H751" t="s">
        <v>37</v>
      </c>
      <c r="I751" t="s">
        <v>3981</v>
      </c>
      <c r="K751">
        <v>6.3</v>
      </c>
      <c r="L751">
        <v>61</v>
      </c>
      <c r="M751" t="s">
        <v>561</v>
      </c>
      <c r="N751" t="s">
        <v>547</v>
      </c>
      <c r="O751" t="s">
        <v>3038</v>
      </c>
      <c r="P751">
        <v>26670</v>
      </c>
      <c r="Q751" s="3">
        <v>167.6</v>
      </c>
      <c r="R751" s="3">
        <f>IF(Table1[[#This Row],[Gross_millions]]=" ",0,Table1[[#This Row],[Gross_millions]])</f>
        <v>167.6</v>
      </c>
      <c r="S751" t="str">
        <f>IF(Table1[[#This Row],[Gross_millions_Clean]]&gt;200,"Blockbuster",IF(Table1[[#This Row],[Gross_millions_Clean]]&gt;100,"Hit","Average"))</f>
        <v>Hit</v>
      </c>
    </row>
    <row r="752" spans="1:19" x14ac:dyDescent="0.3">
      <c r="A752" t="s">
        <v>3039</v>
      </c>
      <c r="B752" t="s">
        <v>3040</v>
      </c>
      <c r="C752">
        <v>2016</v>
      </c>
      <c r="D752" s="8">
        <f>FLOOR(Table1[[#This Row],[Year]],10)</f>
        <v>2010</v>
      </c>
      <c r="E752" t="s">
        <v>54</v>
      </c>
      <c r="F752">
        <v>123</v>
      </c>
      <c r="G752" t="str">
        <f>IF(Table1[[#This Row],[Runtime_minutes]]&lt;90,"Short",IF(Table1[[#This Row],[Runtime_minutes]]&lt;=120,"Medium","Long"))</f>
        <v>Long</v>
      </c>
      <c r="H752" t="s">
        <v>72</v>
      </c>
      <c r="I752" t="s">
        <v>3981</v>
      </c>
      <c r="K752">
        <v>6.3</v>
      </c>
      <c r="L752">
        <v>78</v>
      </c>
      <c r="M752" t="s">
        <v>3041</v>
      </c>
      <c r="N752" t="s">
        <v>57</v>
      </c>
      <c r="O752" t="s">
        <v>3042</v>
      </c>
      <c r="P752">
        <v>123724</v>
      </c>
      <c r="Q752" s="3">
        <v>338.05</v>
      </c>
      <c r="R752" s="3">
        <f>IF(Table1[[#This Row],[Gross_millions]]=" ",0,Table1[[#This Row],[Gross_millions]])</f>
        <v>338.05</v>
      </c>
      <c r="S752" t="str">
        <f>IF(Table1[[#This Row],[Gross_millions_Clean]]&gt;200,"Blockbuster",IF(Table1[[#This Row],[Gross_millions_Clean]]&gt;100,"Hit","Average"))</f>
        <v>Blockbuster</v>
      </c>
    </row>
    <row r="753" spans="1:19" x14ac:dyDescent="0.3">
      <c r="A753" t="s">
        <v>3043</v>
      </c>
      <c r="B753" t="s">
        <v>3044</v>
      </c>
      <c r="C753">
        <v>1982</v>
      </c>
      <c r="D753" s="8">
        <f>FLOOR(Table1[[#This Row],[Year]],10)</f>
        <v>1980</v>
      </c>
      <c r="E753" t="s">
        <v>24</v>
      </c>
      <c r="F753">
        <v>101</v>
      </c>
      <c r="G753" t="str">
        <f>IF(Table1[[#This Row],[Runtime_minutes]]&lt;90,"Short",IF(Table1[[#This Row],[Runtime_minutes]]&lt;=120,"Medium","Long"))</f>
        <v>Medium</v>
      </c>
      <c r="H753" t="s">
        <v>48</v>
      </c>
      <c r="I753" t="s">
        <v>3988</v>
      </c>
      <c r="K753">
        <v>6.3</v>
      </c>
      <c r="L753">
        <v>51</v>
      </c>
      <c r="M753" t="s">
        <v>67</v>
      </c>
      <c r="N753" t="s">
        <v>165</v>
      </c>
      <c r="O753" t="s">
        <v>3046</v>
      </c>
      <c r="P753">
        <v>111553</v>
      </c>
      <c r="Q753" s="3">
        <v>263.64999999999998</v>
      </c>
      <c r="R753" s="3">
        <f>IF(Table1[[#This Row],[Gross_millions]]=" ",0,Table1[[#This Row],[Gross_millions]])</f>
        <v>263.64999999999998</v>
      </c>
      <c r="S753" t="str">
        <f>IF(Table1[[#This Row],[Gross_millions_Clean]]&gt;200,"Blockbuster",IF(Table1[[#This Row],[Gross_millions_Clean]]&gt;100,"Hit","Average"))</f>
        <v>Blockbuster</v>
      </c>
    </row>
    <row r="754" spans="1:19" x14ac:dyDescent="0.3">
      <c r="A754" t="s">
        <v>3047</v>
      </c>
      <c r="B754" t="s">
        <v>3048</v>
      </c>
      <c r="C754">
        <v>2016</v>
      </c>
      <c r="D754" s="8">
        <f>FLOOR(Table1[[#This Row],[Year]],10)</f>
        <v>2010</v>
      </c>
      <c r="E754" t="s">
        <v>54</v>
      </c>
      <c r="F754">
        <v>83</v>
      </c>
      <c r="G754" t="str">
        <f>IF(Table1[[#This Row],[Runtime_minutes]]&lt;90,"Short",IF(Table1[[#This Row],[Runtime_minutes]]&lt;=120,"Medium","Long"))</f>
        <v>Short</v>
      </c>
      <c r="H754" t="s">
        <v>210</v>
      </c>
      <c r="I754" t="s">
        <v>3988</v>
      </c>
      <c r="K754">
        <v>6.3</v>
      </c>
      <c r="L754">
        <v>53</v>
      </c>
      <c r="M754" t="s">
        <v>3050</v>
      </c>
      <c r="N754" t="s">
        <v>251</v>
      </c>
      <c r="O754" t="s">
        <v>3051</v>
      </c>
      <c r="P754">
        <v>18367</v>
      </c>
      <c r="Q754" s="3">
        <v>422.3</v>
      </c>
      <c r="R754" s="3">
        <f>IF(Table1[[#This Row],[Gross_millions]]=" ",0,Table1[[#This Row],[Gross_millions]])</f>
        <v>422.3</v>
      </c>
      <c r="S754" t="str">
        <f>IF(Table1[[#This Row],[Gross_millions_Clean]]&gt;200,"Blockbuster",IF(Table1[[#This Row],[Gross_millions_Clean]]&gt;100,"Hit","Average"))</f>
        <v>Blockbuster</v>
      </c>
    </row>
    <row r="755" spans="1:19" x14ac:dyDescent="0.3">
      <c r="A755" t="s">
        <v>3052</v>
      </c>
      <c r="B755" t="s">
        <v>3053</v>
      </c>
      <c r="C755">
        <v>2003</v>
      </c>
      <c r="D755" s="8">
        <f>FLOOR(Table1[[#This Row],[Year]],10)</f>
        <v>2000</v>
      </c>
      <c r="E755" t="s">
        <v>17</v>
      </c>
      <c r="F755">
        <v>131</v>
      </c>
      <c r="G755" t="str">
        <f>IF(Table1[[#This Row],[Runtime_minutes]]&lt;90,"Short",IF(Table1[[#This Row],[Runtime_minutes]]&lt;=120,"Medium","Long"))</f>
        <v>Long</v>
      </c>
      <c r="H755" t="s">
        <v>375</v>
      </c>
      <c r="I755" t="s">
        <v>3986</v>
      </c>
      <c r="J755" t="s">
        <v>3984</v>
      </c>
      <c r="K755">
        <v>6.3</v>
      </c>
      <c r="L755">
        <v>48</v>
      </c>
      <c r="M755" t="s">
        <v>422</v>
      </c>
      <c r="N755" t="s">
        <v>718</v>
      </c>
      <c r="O755" t="s">
        <v>3055</v>
      </c>
      <c r="P755">
        <v>32225</v>
      </c>
      <c r="Q755" s="3">
        <v>148.58000000000001</v>
      </c>
      <c r="R755" s="3">
        <f>IF(Table1[[#This Row],[Gross_millions]]=" ",0,Table1[[#This Row],[Gross_millions]])</f>
        <v>148.58000000000001</v>
      </c>
      <c r="S755" t="str">
        <f>IF(Table1[[#This Row],[Gross_millions_Clean]]&gt;200,"Blockbuster",IF(Table1[[#This Row],[Gross_millions_Clean]]&gt;100,"Hit","Average"))</f>
        <v>Hit</v>
      </c>
    </row>
    <row r="756" spans="1:19" x14ac:dyDescent="0.3">
      <c r="A756" t="s">
        <v>3056</v>
      </c>
      <c r="B756" t="s">
        <v>3057</v>
      </c>
      <c r="C756">
        <v>2011</v>
      </c>
      <c r="D756" s="8">
        <f>FLOOR(Table1[[#This Row],[Year]],10)</f>
        <v>2010</v>
      </c>
      <c r="E756" t="s">
        <v>169</v>
      </c>
      <c r="F756">
        <v>138</v>
      </c>
      <c r="G756" t="str">
        <f>IF(Table1[[#This Row],[Runtime_minutes]]&lt;90,"Short",IF(Table1[[#This Row],[Runtime_minutes]]&lt;=120,"Medium","Long"))</f>
        <v>Long</v>
      </c>
      <c r="H756" t="s">
        <v>375</v>
      </c>
      <c r="I756" t="s">
        <v>3984</v>
      </c>
      <c r="K756">
        <v>6.3</v>
      </c>
      <c r="M756" t="s">
        <v>2931</v>
      </c>
      <c r="N756" t="s">
        <v>159</v>
      </c>
      <c r="O756" t="s">
        <v>3058</v>
      </c>
      <c r="P756">
        <v>50254</v>
      </c>
      <c r="Q756" s="3"/>
      <c r="R756" s="3">
        <f>IF(Table1[[#This Row],[Gross_millions]]=" ",0,Table1[[#This Row],[Gross_millions]])</f>
        <v>0</v>
      </c>
      <c r="S756" t="str">
        <f>IF(Table1[[#This Row],[Gross_millions_Clean]]&gt;200,"Blockbuster",IF(Table1[[#This Row],[Gross_millions_Clean]]&gt;100,"Hit","Average"))</f>
        <v>Average</v>
      </c>
    </row>
    <row r="757" spans="1:19" x14ac:dyDescent="0.3">
      <c r="A757" t="s">
        <v>3059</v>
      </c>
      <c r="B757" t="s">
        <v>3060</v>
      </c>
      <c r="C757">
        <v>2003</v>
      </c>
      <c r="D757" s="8">
        <f>FLOOR(Table1[[#This Row],[Year]],10)</f>
        <v>2000</v>
      </c>
      <c r="E757" t="s">
        <v>17</v>
      </c>
      <c r="F757">
        <v>140</v>
      </c>
      <c r="G757" t="str">
        <f>IF(Table1[[#This Row],[Runtime_minutes]]&lt;90,"Short",IF(Table1[[#This Row],[Runtime_minutes]]&lt;=120,"Medium","Long"))</f>
        <v>Long</v>
      </c>
      <c r="H757" t="s">
        <v>55</v>
      </c>
      <c r="K757">
        <v>6.2</v>
      </c>
      <c r="L757">
        <v>68</v>
      </c>
      <c r="M757" t="s">
        <v>898</v>
      </c>
      <c r="N757" t="s">
        <v>165</v>
      </c>
      <c r="O757" t="s">
        <v>3061</v>
      </c>
      <c r="P757">
        <v>1756183</v>
      </c>
      <c r="Q757" s="3">
        <v>328.97</v>
      </c>
      <c r="R757" s="3">
        <f>IF(Table1[[#This Row],[Gross_millions]]=" ",0,Table1[[#This Row],[Gross_millions]])</f>
        <v>328.97</v>
      </c>
      <c r="S757" t="str">
        <f>IF(Table1[[#This Row],[Gross_millions_Clean]]&gt;200,"Blockbuster",IF(Table1[[#This Row],[Gross_millions_Clean]]&gt;100,"Hit","Average"))</f>
        <v>Blockbuster</v>
      </c>
    </row>
    <row r="758" spans="1:19" x14ac:dyDescent="0.3">
      <c r="A758" t="s">
        <v>3062</v>
      </c>
      <c r="B758" t="s">
        <v>3063</v>
      </c>
      <c r="C758">
        <v>2014</v>
      </c>
      <c r="D758" s="8">
        <f>FLOOR(Table1[[#This Row],[Year]],10)</f>
        <v>2010</v>
      </c>
      <c r="E758" t="s">
        <v>54</v>
      </c>
      <c r="F758">
        <v>125</v>
      </c>
      <c r="G758" t="str">
        <f>IF(Table1[[#This Row],[Runtime_minutes]]&lt;90,"Short",IF(Table1[[#This Row],[Runtime_minutes]]&lt;=120,"Medium","Long"))</f>
        <v>Long</v>
      </c>
      <c r="H758" t="s">
        <v>767</v>
      </c>
      <c r="I758" t="s">
        <v>3981</v>
      </c>
      <c r="K758">
        <v>6.2</v>
      </c>
      <c r="L758">
        <v>70</v>
      </c>
      <c r="M758" t="s">
        <v>3064</v>
      </c>
      <c r="N758" t="s">
        <v>50</v>
      </c>
      <c r="O758" t="s">
        <v>3065</v>
      </c>
      <c r="P758">
        <v>102976</v>
      </c>
      <c r="Q758" s="3">
        <v>31.42</v>
      </c>
      <c r="R758" s="3">
        <f>IF(Table1[[#This Row],[Gross_millions]]=" ",0,Table1[[#This Row],[Gross_millions]])</f>
        <v>31.42</v>
      </c>
      <c r="S758" t="str">
        <f>IF(Table1[[#This Row],[Gross_millions_Clean]]&gt;200,"Blockbuster",IF(Table1[[#This Row],[Gross_millions_Clean]]&gt;100,"Hit","Average"))</f>
        <v>Average</v>
      </c>
    </row>
    <row r="759" spans="1:19" x14ac:dyDescent="0.3">
      <c r="A759" t="s">
        <v>3066</v>
      </c>
      <c r="B759" t="s">
        <v>3067</v>
      </c>
      <c r="C759">
        <v>2003</v>
      </c>
      <c r="D759" s="8">
        <f>FLOOR(Table1[[#This Row],[Year]],10)</f>
        <v>2000</v>
      </c>
      <c r="E759" t="s">
        <v>17</v>
      </c>
      <c r="F759">
        <v>145</v>
      </c>
      <c r="G759" t="str">
        <f>IF(Table1[[#This Row],[Runtime_minutes]]&lt;90,"Short",IF(Table1[[#This Row],[Runtime_minutes]]&lt;=120,"Medium","Long"))</f>
        <v>Long</v>
      </c>
      <c r="H759" t="s">
        <v>868</v>
      </c>
      <c r="I759" t="s">
        <v>3984</v>
      </c>
      <c r="J759" t="s">
        <v>3983</v>
      </c>
      <c r="K759">
        <v>6.2</v>
      </c>
      <c r="M759" t="s">
        <v>3069</v>
      </c>
      <c r="N759" t="s">
        <v>593</v>
      </c>
      <c r="O759" t="s">
        <v>3070</v>
      </c>
      <c r="P759">
        <v>183048</v>
      </c>
      <c r="Q759" s="3">
        <v>214.67</v>
      </c>
      <c r="R759" s="3">
        <f>IF(Table1[[#This Row],[Gross_millions]]=" ",0,Table1[[#This Row],[Gross_millions]])</f>
        <v>214.67</v>
      </c>
      <c r="S759" t="str">
        <f>IF(Table1[[#This Row],[Gross_millions_Clean]]&gt;200,"Blockbuster",IF(Table1[[#This Row],[Gross_millions_Clean]]&gt;100,"Hit","Average"))</f>
        <v>Blockbuster</v>
      </c>
    </row>
    <row r="760" spans="1:19" x14ac:dyDescent="0.3">
      <c r="A760" t="s">
        <v>3071</v>
      </c>
      <c r="B760" t="s">
        <v>3072</v>
      </c>
      <c r="C760">
        <v>2022</v>
      </c>
      <c r="D760" s="8">
        <f>FLOOR(Table1[[#This Row],[Year]],10)</f>
        <v>2020</v>
      </c>
      <c r="E760" t="s">
        <v>17</v>
      </c>
      <c r="F760">
        <v>98</v>
      </c>
      <c r="G760" t="str">
        <f>IF(Table1[[#This Row],[Runtime_minutes]]&lt;90,"Short",IF(Table1[[#This Row],[Runtime_minutes]]&lt;=120,"Medium","Long"))</f>
        <v>Medium</v>
      </c>
      <c r="H760" t="s">
        <v>48</v>
      </c>
      <c r="I760" t="s">
        <v>3976</v>
      </c>
      <c r="J760" t="s">
        <v>3989</v>
      </c>
      <c r="K760">
        <v>6.2</v>
      </c>
      <c r="L760">
        <v>47</v>
      </c>
      <c r="M760" t="s">
        <v>3074</v>
      </c>
      <c r="N760" t="s">
        <v>63</v>
      </c>
      <c r="O760" t="s">
        <v>3075</v>
      </c>
      <c r="P760">
        <v>1057107</v>
      </c>
      <c r="Q760" s="3"/>
      <c r="R760" s="3">
        <f>IF(Table1[[#This Row],[Gross_millions]]=" ",0,Table1[[#This Row],[Gross_millions]])</f>
        <v>0</v>
      </c>
      <c r="S760" t="str">
        <f>IF(Table1[[#This Row],[Gross_millions_Clean]]&gt;200,"Blockbuster",IF(Table1[[#This Row],[Gross_millions_Clean]]&gt;100,"Hit","Average"))</f>
        <v>Average</v>
      </c>
    </row>
    <row r="761" spans="1:19" x14ac:dyDescent="0.3">
      <c r="A761" t="s">
        <v>3076</v>
      </c>
      <c r="B761" t="s">
        <v>3077</v>
      </c>
      <c r="C761">
        <v>2021</v>
      </c>
      <c r="D761" s="8">
        <f>FLOOR(Table1[[#This Row],[Year]],10)</f>
        <v>2020</v>
      </c>
      <c r="E761" t="s">
        <v>17</v>
      </c>
      <c r="F761">
        <v>112</v>
      </c>
      <c r="G761" t="str">
        <f>IF(Table1[[#This Row],[Runtime_minutes]]&lt;90,"Short",IF(Table1[[#This Row],[Runtime_minutes]]&lt;=120,"Medium","Long"))</f>
        <v>Medium</v>
      </c>
      <c r="H761" t="s">
        <v>129</v>
      </c>
      <c r="I761" t="s">
        <v>3989</v>
      </c>
      <c r="J761" t="s">
        <v>3978</v>
      </c>
      <c r="K761">
        <v>6.2</v>
      </c>
      <c r="L761">
        <v>48</v>
      </c>
      <c r="M761" t="s">
        <v>3079</v>
      </c>
      <c r="N761" t="s">
        <v>74</v>
      </c>
      <c r="O761" t="s">
        <v>3080</v>
      </c>
      <c r="P761">
        <v>182825</v>
      </c>
      <c r="Q761" s="3">
        <v>263.27999999999997</v>
      </c>
      <c r="R761" s="3">
        <f>IF(Table1[[#This Row],[Gross_millions]]=" ",0,Table1[[#This Row],[Gross_millions]])</f>
        <v>263.27999999999997</v>
      </c>
      <c r="S761" t="str">
        <f>IF(Table1[[#This Row],[Gross_millions_Clean]]&gt;200,"Blockbuster",IF(Table1[[#This Row],[Gross_millions_Clean]]&gt;100,"Hit","Average"))</f>
        <v>Blockbuster</v>
      </c>
    </row>
    <row r="762" spans="1:19" x14ac:dyDescent="0.3">
      <c r="A762" t="s">
        <v>3081</v>
      </c>
      <c r="B762" t="s">
        <v>3082</v>
      </c>
      <c r="C762">
        <v>2010</v>
      </c>
      <c r="D762" s="8">
        <f>FLOOR(Table1[[#This Row],[Year]],10)</f>
        <v>2010</v>
      </c>
      <c r="E762" t="s">
        <v>24</v>
      </c>
      <c r="F762">
        <v>94</v>
      </c>
      <c r="G762" t="str">
        <f>IF(Table1[[#This Row],[Runtime_minutes]]&lt;90,"Short",IF(Table1[[#This Row],[Runtime_minutes]]&lt;=120,"Medium","Long"))</f>
        <v>Medium</v>
      </c>
      <c r="H762" t="s">
        <v>72</v>
      </c>
      <c r="I762" t="s">
        <v>3988</v>
      </c>
      <c r="K762">
        <v>6.2</v>
      </c>
      <c r="M762" t="s">
        <v>1155</v>
      </c>
      <c r="N762" t="s">
        <v>50</v>
      </c>
      <c r="O762" t="s">
        <v>3083</v>
      </c>
      <c r="P762">
        <v>34105</v>
      </c>
      <c r="Q762" s="3">
        <v>218.4</v>
      </c>
      <c r="R762" s="3">
        <f>IF(Table1[[#This Row],[Gross_millions]]=" ",0,Table1[[#This Row],[Gross_millions]])</f>
        <v>218.4</v>
      </c>
      <c r="S762" t="str">
        <f>IF(Table1[[#This Row],[Gross_millions_Clean]]&gt;200,"Blockbuster",IF(Table1[[#This Row],[Gross_millions_Clean]]&gt;100,"Hit","Average"))</f>
        <v>Blockbuster</v>
      </c>
    </row>
    <row r="763" spans="1:19" x14ac:dyDescent="0.3">
      <c r="A763" t="s">
        <v>3084</v>
      </c>
      <c r="B763" t="s">
        <v>3085</v>
      </c>
      <c r="C763">
        <v>2000</v>
      </c>
      <c r="D763" s="8">
        <f>FLOOR(Table1[[#This Row],[Year]],10)</f>
        <v>2000</v>
      </c>
      <c r="E763" t="s">
        <v>54</v>
      </c>
      <c r="F763">
        <v>113</v>
      </c>
      <c r="G763" t="str">
        <f>IF(Table1[[#This Row],[Runtime_minutes]]&lt;90,"Short",IF(Table1[[#This Row],[Runtime_minutes]]&lt;=120,"Medium","Long"))</f>
        <v>Medium</v>
      </c>
      <c r="H763" t="s">
        <v>868</v>
      </c>
      <c r="I763" t="s">
        <v>3987</v>
      </c>
      <c r="K763">
        <v>6.2</v>
      </c>
      <c r="M763" t="s">
        <v>355</v>
      </c>
      <c r="N763" t="s">
        <v>33</v>
      </c>
      <c r="O763" t="s">
        <v>3086</v>
      </c>
      <c r="P763">
        <v>38036</v>
      </c>
      <c r="Q763" s="3">
        <v>98.29</v>
      </c>
      <c r="R763" s="3">
        <f>IF(Table1[[#This Row],[Gross_millions]]=" ",0,Table1[[#This Row],[Gross_millions]])</f>
        <v>98.29</v>
      </c>
      <c r="S763" t="str">
        <f>IF(Table1[[#This Row],[Gross_millions_Clean]]&gt;200,"Blockbuster",IF(Table1[[#This Row],[Gross_millions_Clean]]&gt;100,"Hit","Average"))</f>
        <v>Average</v>
      </c>
    </row>
    <row r="764" spans="1:19" x14ac:dyDescent="0.3">
      <c r="A764" t="s">
        <v>3087</v>
      </c>
      <c r="B764" t="s">
        <v>3088</v>
      </c>
      <c r="C764">
        <v>2005</v>
      </c>
      <c r="D764" s="8">
        <f>FLOOR(Table1[[#This Row],[Year]],10)</f>
        <v>2000</v>
      </c>
      <c r="E764" t="s">
        <v>54</v>
      </c>
      <c r="F764">
        <v>132</v>
      </c>
      <c r="G764" t="str">
        <f>IF(Table1[[#This Row],[Runtime_minutes]]&lt;90,"Short",IF(Table1[[#This Row],[Runtime_minutes]]&lt;=120,"Medium","Long"))</f>
        <v>Long</v>
      </c>
      <c r="H764" t="s">
        <v>48</v>
      </c>
      <c r="I764" t="s">
        <v>3988</v>
      </c>
      <c r="J764" t="s">
        <v>3984</v>
      </c>
      <c r="K764">
        <v>6.2</v>
      </c>
      <c r="L764">
        <v>66</v>
      </c>
      <c r="M764" t="s">
        <v>3090</v>
      </c>
      <c r="N764" t="s">
        <v>33</v>
      </c>
      <c r="O764" t="s">
        <v>3091</v>
      </c>
      <c r="P764">
        <v>10051</v>
      </c>
      <c r="Q764" s="3"/>
      <c r="R764" s="3">
        <f>IF(Table1[[#This Row],[Gross_millions]]=" ",0,Table1[[#This Row],[Gross_millions]])</f>
        <v>0</v>
      </c>
      <c r="S764" t="str">
        <f>IF(Table1[[#This Row],[Gross_millions_Clean]]&gt;200,"Blockbuster",IF(Table1[[#This Row],[Gross_millions_Clean]]&gt;100,"Hit","Average"))</f>
        <v>Average</v>
      </c>
    </row>
    <row r="765" spans="1:19" x14ac:dyDescent="0.3">
      <c r="A765" t="s">
        <v>3092</v>
      </c>
      <c r="B765" t="s">
        <v>3093</v>
      </c>
      <c r="C765">
        <v>2012</v>
      </c>
      <c r="D765" s="8">
        <f>FLOOR(Table1[[#This Row],[Year]],10)</f>
        <v>2010</v>
      </c>
      <c r="E765" t="s">
        <v>293</v>
      </c>
      <c r="F765">
        <v>144</v>
      </c>
      <c r="G765" t="str">
        <f>IF(Table1[[#This Row],[Runtime_minutes]]&lt;90,"Short",IF(Table1[[#This Row],[Runtime_minutes]]&lt;=120,"Medium","Long"))</f>
        <v>Long</v>
      </c>
      <c r="H765" t="s">
        <v>37</v>
      </c>
      <c r="I765" t="s">
        <v>3979</v>
      </c>
      <c r="K765">
        <v>6.2</v>
      </c>
      <c r="L765">
        <v>72</v>
      </c>
      <c r="M765" t="s">
        <v>2640</v>
      </c>
      <c r="N765" t="s">
        <v>483</v>
      </c>
      <c r="O765" t="s">
        <v>3095</v>
      </c>
      <c r="P765">
        <v>12451</v>
      </c>
      <c r="Q765" s="3"/>
      <c r="R765" s="3">
        <f>IF(Table1[[#This Row],[Gross_millions]]=" ",0,Table1[[#This Row],[Gross_millions]])</f>
        <v>0</v>
      </c>
      <c r="S765" t="str">
        <f>IF(Table1[[#This Row],[Gross_millions_Clean]]&gt;200,"Blockbuster",IF(Table1[[#This Row],[Gross_millions_Clean]]&gt;100,"Hit","Average"))</f>
        <v>Average</v>
      </c>
    </row>
    <row r="766" spans="1:19" x14ac:dyDescent="0.3">
      <c r="A766" t="s">
        <v>3096</v>
      </c>
      <c r="B766" t="s">
        <v>3097</v>
      </c>
      <c r="C766">
        <v>2002</v>
      </c>
      <c r="D766" s="8">
        <f>FLOOR(Table1[[#This Row],[Year]],10)</f>
        <v>2000</v>
      </c>
      <c r="E766" t="s">
        <v>17</v>
      </c>
      <c r="F766">
        <v>109</v>
      </c>
      <c r="G766" t="str">
        <f>IF(Table1[[#This Row],[Runtime_minutes]]&lt;90,"Short",IF(Table1[[#This Row],[Runtime_minutes]]&lt;=120,"Medium","Long"))</f>
        <v>Medium</v>
      </c>
      <c r="H766" t="s">
        <v>606</v>
      </c>
      <c r="I766" t="s">
        <v>3981</v>
      </c>
      <c r="J766" t="s">
        <v>3988</v>
      </c>
      <c r="K766">
        <v>6.2</v>
      </c>
      <c r="M766" t="s">
        <v>3099</v>
      </c>
      <c r="N766" t="s">
        <v>524</v>
      </c>
      <c r="O766" t="s">
        <v>3100</v>
      </c>
      <c r="P766">
        <v>70238</v>
      </c>
      <c r="Q766" s="3">
        <v>36.72</v>
      </c>
      <c r="R766" s="3">
        <f>IF(Table1[[#This Row],[Gross_millions]]=" ",0,Table1[[#This Row],[Gross_millions]])</f>
        <v>36.72</v>
      </c>
      <c r="S766" t="str">
        <f>IF(Table1[[#This Row],[Gross_millions_Clean]]&gt;200,"Blockbuster",IF(Table1[[#This Row],[Gross_millions_Clean]]&gt;100,"Hit","Average"))</f>
        <v>Average</v>
      </c>
    </row>
    <row r="767" spans="1:19" x14ac:dyDescent="0.3">
      <c r="A767" t="s">
        <v>3101</v>
      </c>
      <c r="B767" t="s">
        <v>3102</v>
      </c>
      <c r="C767">
        <v>2004</v>
      </c>
      <c r="D767" s="8">
        <f>FLOOR(Table1[[#This Row],[Year]],10)</f>
        <v>2000</v>
      </c>
      <c r="E767" t="s">
        <v>285</v>
      </c>
      <c r="F767">
        <v>128</v>
      </c>
      <c r="G767" t="str">
        <f>IF(Table1[[#This Row],[Runtime_minutes]]&lt;90,"Short",IF(Table1[[#This Row],[Runtime_minutes]]&lt;=120,"Medium","Long"))</f>
        <v>Long</v>
      </c>
      <c r="H767" t="s">
        <v>37</v>
      </c>
      <c r="I767" t="s">
        <v>3980</v>
      </c>
      <c r="K767">
        <v>6.2</v>
      </c>
      <c r="M767" t="s">
        <v>38</v>
      </c>
      <c r="N767" t="s">
        <v>147</v>
      </c>
      <c r="O767" t="s">
        <v>3103</v>
      </c>
      <c r="P767">
        <v>55069</v>
      </c>
      <c r="Q767" s="3">
        <v>105.26</v>
      </c>
      <c r="R767" s="3">
        <f>IF(Table1[[#This Row],[Gross_millions]]=" ",0,Table1[[#This Row],[Gross_millions]])</f>
        <v>105.26</v>
      </c>
      <c r="S767" t="str">
        <f>IF(Table1[[#This Row],[Gross_millions_Clean]]&gt;200,"Blockbuster",IF(Table1[[#This Row],[Gross_millions_Clean]]&gt;100,"Hit","Average"))</f>
        <v>Hit</v>
      </c>
    </row>
    <row r="768" spans="1:19" x14ac:dyDescent="0.3">
      <c r="A768" t="s">
        <v>3104</v>
      </c>
      <c r="B768" t="s">
        <v>3105</v>
      </c>
      <c r="C768">
        <v>2006</v>
      </c>
      <c r="D768" s="8">
        <f>FLOOR(Table1[[#This Row],[Year]],10)</f>
        <v>2000</v>
      </c>
      <c r="E768" t="s">
        <v>17</v>
      </c>
      <c r="F768">
        <v>123</v>
      </c>
      <c r="G768" t="str">
        <f>IF(Table1[[#This Row],[Runtime_minutes]]&lt;90,"Short",IF(Table1[[#This Row],[Runtime_minutes]]&lt;=120,"Medium","Long"))</f>
        <v>Long</v>
      </c>
      <c r="H768" t="s">
        <v>78</v>
      </c>
      <c r="I768" t="s">
        <v>3985</v>
      </c>
      <c r="K768">
        <v>6.2</v>
      </c>
      <c r="L768">
        <v>72</v>
      </c>
      <c r="M768" t="s">
        <v>412</v>
      </c>
      <c r="N768" t="s">
        <v>131</v>
      </c>
      <c r="O768" t="s">
        <v>3107</v>
      </c>
      <c r="P768">
        <v>37268</v>
      </c>
      <c r="Q768" s="3"/>
      <c r="R768" s="3">
        <f>IF(Table1[[#This Row],[Gross_millions]]=" ",0,Table1[[#This Row],[Gross_millions]])</f>
        <v>0</v>
      </c>
      <c r="S768" t="str">
        <f>IF(Table1[[#This Row],[Gross_millions_Clean]]&gt;200,"Blockbuster",IF(Table1[[#This Row],[Gross_millions_Clean]]&gt;100,"Hit","Average"))</f>
        <v>Average</v>
      </c>
    </row>
    <row r="769" spans="1:19" x14ac:dyDescent="0.3">
      <c r="A769" t="s">
        <v>3108</v>
      </c>
      <c r="B769" t="s">
        <v>3109</v>
      </c>
      <c r="C769">
        <v>2011</v>
      </c>
      <c r="D769" s="8">
        <f>FLOOR(Table1[[#This Row],[Year]],10)</f>
        <v>2010</v>
      </c>
      <c r="E769" t="s">
        <v>54</v>
      </c>
      <c r="F769">
        <v>144</v>
      </c>
      <c r="G769" t="str">
        <f>IF(Table1[[#This Row],[Runtime_minutes]]&lt;90,"Short",IF(Table1[[#This Row],[Runtime_minutes]]&lt;=120,"Medium","Long"))</f>
        <v>Long</v>
      </c>
      <c r="H769" t="s">
        <v>48</v>
      </c>
      <c r="I769" t="s">
        <v>3988</v>
      </c>
      <c r="K769">
        <v>6.2</v>
      </c>
      <c r="L769">
        <v>68</v>
      </c>
      <c r="M769" t="s">
        <v>3110</v>
      </c>
      <c r="N769" t="s">
        <v>50</v>
      </c>
      <c r="O769" t="s">
        <v>3111</v>
      </c>
      <c r="P769">
        <v>90988</v>
      </c>
      <c r="Q769" s="3">
        <v>251.49</v>
      </c>
      <c r="R769" s="3">
        <f>IF(Table1[[#This Row],[Gross_millions]]=" ",0,Table1[[#This Row],[Gross_millions]])</f>
        <v>251.49</v>
      </c>
      <c r="S769" t="str">
        <f>IF(Table1[[#This Row],[Gross_millions_Clean]]&gt;200,"Blockbuster",IF(Table1[[#This Row],[Gross_millions_Clean]]&gt;100,"Hit","Average"))</f>
        <v>Blockbuster</v>
      </c>
    </row>
    <row r="770" spans="1:19" x14ac:dyDescent="0.3">
      <c r="A770" t="s">
        <v>3112</v>
      </c>
      <c r="B770" t="s">
        <v>3113</v>
      </c>
      <c r="C770">
        <v>2003</v>
      </c>
      <c r="D770" s="8">
        <f>FLOOR(Table1[[#This Row],[Year]],10)</f>
        <v>2000</v>
      </c>
      <c r="E770" t="s">
        <v>17</v>
      </c>
      <c r="F770">
        <v>94</v>
      </c>
      <c r="G770" t="str">
        <f>IF(Table1[[#This Row],[Runtime_minutes]]&lt;90,"Short",IF(Table1[[#This Row],[Runtime_minutes]]&lt;=120,"Medium","Long"))</f>
        <v>Medium</v>
      </c>
      <c r="H770" t="s">
        <v>1044</v>
      </c>
      <c r="K770">
        <v>6.2</v>
      </c>
      <c r="M770" t="s">
        <v>226</v>
      </c>
      <c r="N770" t="s">
        <v>315</v>
      </c>
      <c r="O770" t="s">
        <v>3114</v>
      </c>
      <c r="P770">
        <v>62263</v>
      </c>
      <c r="Q770" s="3">
        <v>28.32</v>
      </c>
      <c r="R770" s="3">
        <f>IF(Table1[[#This Row],[Gross_millions]]=" ",0,Table1[[#This Row],[Gross_millions]])</f>
        <v>28.32</v>
      </c>
      <c r="S770" t="str">
        <f>IF(Table1[[#This Row],[Gross_millions_Clean]]&gt;200,"Blockbuster",IF(Table1[[#This Row],[Gross_millions_Clean]]&gt;100,"Hit","Average"))</f>
        <v>Average</v>
      </c>
    </row>
    <row r="771" spans="1:19" x14ac:dyDescent="0.3">
      <c r="A771" t="s">
        <v>3115</v>
      </c>
      <c r="B771" t="s">
        <v>3116</v>
      </c>
      <c r="C771">
        <v>2015</v>
      </c>
      <c r="D771" s="8">
        <f>FLOOR(Table1[[#This Row],[Year]],10)</f>
        <v>2010</v>
      </c>
      <c r="E771" t="s">
        <v>54</v>
      </c>
      <c r="F771">
        <v>136</v>
      </c>
      <c r="G771" t="str">
        <f>IF(Table1[[#This Row],[Runtime_minutes]]&lt;90,"Short",IF(Table1[[#This Row],[Runtime_minutes]]&lt;=120,"Medium","Long"))</f>
        <v>Long</v>
      </c>
      <c r="H771" t="s">
        <v>1044</v>
      </c>
      <c r="I771" t="s">
        <v>3991</v>
      </c>
      <c r="K771">
        <v>6.2</v>
      </c>
      <c r="L771">
        <v>74</v>
      </c>
      <c r="M771" t="s">
        <v>164</v>
      </c>
      <c r="N771" t="s">
        <v>50</v>
      </c>
      <c r="O771" t="s">
        <v>3117</v>
      </c>
      <c r="P771">
        <v>30660</v>
      </c>
      <c r="Q771" s="3">
        <v>204.22</v>
      </c>
      <c r="R771" s="3">
        <f>IF(Table1[[#This Row],[Gross_millions]]=" ",0,Table1[[#This Row],[Gross_millions]])</f>
        <v>204.22</v>
      </c>
      <c r="S771" t="str">
        <f>IF(Table1[[#This Row],[Gross_millions_Clean]]&gt;200,"Blockbuster",IF(Table1[[#This Row],[Gross_millions_Clean]]&gt;100,"Hit","Average"))</f>
        <v>Blockbuster</v>
      </c>
    </row>
    <row r="772" spans="1:19" x14ac:dyDescent="0.3">
      <c r="A772" t="s">
        <v>3118</v>
      </c>
      <c r="B772" t="s">
        <v>3119</v>
      </c>
      <c r="C772">
        <v>2010</v>
      </c>
      <c r="D772" s="8">
        <f>FLOOR(Table1[[#This Row],[Year]],10)</f>
        <v>2010</v>
      </c>
      <c r="E772" t="s">
        <v>17</v>
      </c>
      <c r="F772">
        <v>105</v>
      </c>
      <c r="G772" t="str">
        <f>IF(Table1[[#This Row],[Runtime_minutes]]&lt;90,"Short",IF(Table1[[#This Row],[Runtime_minutes]]&lt;=120,"Medium","Long"))</f>
        <v>Medium</v>
      </c>
      <c r="H772" t="s">
        <v>235</v>
      </c>
      <c r="I772" t="s">
        <v>3989</v>
      </c>
      <c r="K772">
        <v>6.2</v>
      </c>
      <c r="M772" t="s">
        <v>201</v>
      </c>
      <c r="N772" t="s">
        <v>165</v>
      </c>
      <c r="O772" t="s">
        <v>3121</v>
      </c>
      <c r="P772">
        <v>7303</v>
      </c>
      <c r="Q772" s="3">
        <v>235.3</v>
      </c>
      <c r="R772" s="3">
        <f>IF(Table1[[#This Row],[Gross_millions]]=" ",0,Table1[[#This Row],[Gross_millions]])</f>
        <v>235.3</v>
      </c>
      <c r="S772" t="str">
        <f>IF(Table1[[#This Row],[Gross_millions_Clean]]&gt;200,"Blockbuster",IF(Table1[[#This Row],[Gross_millions_Clean]]&gt;100,"Hit","Average"))</f>
        <v>Blockbuster</v>
      </c>
    </row>
    <row r="773" spans="1:19" x14ac:dyDescent="0.3">
      <c r="A773" t="s">
        <v>3122</v>
      </c>
      <c r="B773" t="s">
        <v>3123</v>
      </c>
      <c r="C773">
        <v>2007</v>
      </c>
      <c r="D773" s="8">
        <f>FLOOR(Table1[[#This Row],[Year]],10)</f>
        <v>2000</v>
      </c>
      <c r="E773" t="s">
        <v>54</v>
      </c>
      <c r="F773">
        <v>116</v>
      </c>
      <c r="G773" t="str">
        <f>IF(Table1[[#This Row],[Runtime_minutes]]&lt;90,"Short",IF(Table1[[#This Row],[Runtime_minutes]]&lt;=120,"Medium","Long"))</f>
        <v>Medium</v>
      </c>
      <c r="H773" t="s">
        <v>453</v>
      </c>
      <c r="I773" t="s">
        <v>3992</v>
      </c>
      <c r="K773">
        <v>6.2</v>
      </c>
      <c r="L773">
        <v>55</v>
      </c>
      <c r="M773" t="s">
        <v>269</v>
      </c>
      <c r="N773" t="s">
        <v>547</v>
      </c>
      <c r="O773" t="s">
        <v>3124</v>
      </c>
      <c r="P773">
        <v>434502</v>
      </c>
      <c r="Q773" s="3">
        <v>168.04</v>
      </c>
      <c r="R773" s="3">
        <f>IF(Table1[[#This Row],[Gross_millions]]=" ",0,Table1[[#This Row],[Gross_millions]])</f>
        <v>168.04</v>
      </c>
      <c r="S773" t="str">
        <f>IF(Table1[[#This Row],[Gross_millions_Clean]]&gt;200,"Blockbuster",IF(Table1[[#This Row],[Gross_millions_Clean]]&gt;100,"Hit","Average"))</f>
        <v>Hit</v>
      </c>
    </row>
    <row r="774" spans="1:19" x14ac:dyDescent="0.3">
      <c r="A774" t="s">
        <v>3125</v>
      </c>
      <c r="B774" t="s">
        <v>3126</v>
      </c>
      <c r="C774">
        <v>2014</v>
      </c>
      <c r="D774" s="8">
        <f>FLOOR(Table1[[#This Row],[Year]],10)</f>
        <v>2010</v>
      </c>
      <c r="E774" t="s">
        <v>293</v>
      </c>
      <c r="F774">
        <v>136</v>
      </c>
      <c r="G774" t="str">
        <f>IF(Table1[[#This Row],[Runtime_minutes]]&lt;90,"Short",IF(Table1[[#This Row],[Runtime_minutes]]&lt;=120,"Medium","Long"))</f>
        <v>Long</v>
      </c>
      <c r="H774" t="s">
        <v>277</v>
      </c>
      <c r="I774" t="s">
        <v>3981</v>
      </c>
      <c r="K774">
        <v>6.2</v>
      </c>
      <c r="L774">
        <v>51</v>
      </c>
      <c r="M774" t="s">
        <v>395</v>
      </c>
      <c r="N774" t="s">
        <v>159</v>
      </c>
      <c r="O774" t="s">
        <v>3128</v>
      </c>
      <c r="P774">
        <v>25914</v>
      </c>
      <c r="Q774" s="3">
        <v>29</v>
      </c>
      <c r="R774" s="3">
        <f>IF(Table1[[#This Row],[Gross_millions]]=" ",0,Table1[[#This Row],[Gross_millions]])</f>
        <v>29</v>
      </c>
      <c r="S774" t="str">
        <f>IF(Table1[[#This Row],[Gross_millions_Clean]]&gt;200,"Blockbuster",IF(Table1[[#This Row],[Gross_millions_Clean]]&gt;100,"Hit","Average"))</f>
        <v>Average</v>
      </c>
    </row>
    <row r="775" spans="1:19" x14ac:dyDescent="0.3">
      <c r="A775" t="s">
        <v>3129</v>
      </c>
      <c r="B775" t="s">
        <v>3130</v>
      </c>
      <c r="C775">
        <v>2013</v>
      </c>
      <c r="D775" s="8">
        <f>FLOOR(Table1[[#This Row],[Year]],10)</f>
        <v>2010</v>
      </c>
      <c r="E775" t="s">
        <v>285</v>
      </c>
      <c r="F775">
        <v>140</v>
      </c>
      <c r="G775" t="str">
        <f>IF(Table1[[#This Row],[Runtime_minutes]]&lt;90,"Short",IF(Table1[[#This Row],[Runtime_minutes]]&lt;=120,"Medium","Long"))</f>
        <v>Long</v>
      </c>
      <c r="H775" t="s">
        <v>767</v>
      </c>
      <c r="K775">
        <v>6.2</v>
      </c>
      <c r="L775">
        <v>60</v>
      </c>
      <c r="M775" t="s">
        <v>320</v>
      </c>
      <c r="N775" t="s">
        <v>524</v>
      </c>
      <c r="O775" t="s">
        <v>3131</v>
      </c>
      <c r="P775">
        <v>196013</v>
      </c>
      <c r="Q775" s="3">
        <v>482.73</v>
      </c>
      <c r="R775" s="3">
        <f>IF(Table1[[#This Row],[Gross_millions]]=" ",0,Table1[[#This Row],[Gross_millions]])</f>
        <v>482.73</v>
      </c>
      <c r="S775" t="str">
        <f>IF(Table1[[#This Row],[Gross_millions_Clean]]&gt;200,"Blockbuster",IF(Table1[[#This Row],[Gross_millions_Clean]]&gt;100,"Hit","Average"))</f>
        <v>Blockbuster</v>
      </c>
    </row>
    <row r="776" spans="1:19" x14ac:dyDescent="0.3">
      <c r="A776" t="s">
        <v>3132</v>
      </c>
      <c r="B776" t="s">
        <v>3133</v>
      </c>
      <c r="C776">
        <v>2010</v>
      </c>
      <c r="D776" s="8">
        <f>FLOOR(Table1[[#This Row],[Year]],10)</f>
        <v>2010</v>
      </c>
      <c r="E776" t="s">
        <v>17</v>
      </c>
      <c r="F776">
        <v>85</v>
      </c>
      <c r="G776" t="str">
        <f>IF(Table1[[#This Row],[Runtime_minutes]]&lt;90,"Short",IF(Table1[[#This Row],[Runtime_minutes]]&lt;=120,"Medium","Long"))</f>
        <v>Short</v>
      </c>
      <c r="H776" t="s">
        <v>210</v>
      </c>
      <c r="I776" t="s">
        <v>3987</v>
      </c>
      <c r="K776">
        <v>6.2</v>
      </c>
      <c r="L776">
        <v>72</v>
      </c>
      <c r="M776" t="s">
        <v>32</v>
      </c>
      <c r="N776" t="s">
        <v>33</v>
      </c>
      <c r="O776" t="s">
        <v>3134</v>
      </c>
      <c r="P776">
        <v>359031</v>
      </c>
      <c r="Q776" s="3"/>
      <c r="R776" s="3">
        <f>IF(Table1[[#This Row],[Gross_millions]]=" ",0,Table1[[#This Row],[Gross_millions]])</f>
        <v>0</v>
      </c>
      <c r="S776" t="str">
        <f>IF(Table1[[#This Row],[Gross_millions_Clean]]&gt;200,"Blockbuster",IF(Table1[[#This Row],[Gross_millions_Clean]]&gt;100,"Hit","Average"))</f>
        <v>Average</v>
      </c>
    </row>
    <row r="777" spans="1:19" x14ac:dyDescent="0.3">
      <c r="A777" t="s">
        <v>3135</v>
      </c>
      <c r="B777" t="s">
        <v>3136</v>
      </c>
      <c r="C777">
        <v>2007</v>
      </c>
      <c r="D777" s="8">
        <f>FLOOR(Table1[[#This Row],[Year]],10)</f>
        <v>2000</v>
      </c>
      <c r="E777" t="s">
        <v>17</v>
      </c>
      <c r="F777">
        <v>110</v>
      </c>
      <c r="G777" t="str">
        <f>IF(Table1[[#This Row],[Runtime_minutes]]&lt;90,"Short",IF(Table1[[#This Row],[Runtime_minutes]]&lt;=120,"Medium","Long"))</f>
        <v>Medium</v>
      </c>
      <c r="H777" t="s">
        <v>1044</v>
      </c>
      <c r="I777" t="s">
        <v>3977</v>
      </c>
      <c r="J777" t="s">
        <v>3978</v>
      </c>
      <c r="K777">
        <v>6.2</v>
      </c>
      <c r="M777" t="s">
        <v>164</v>
      </c>
      <c r="N777" t="s">
        <v>368</v>
      </c>
      <c r="O777" t="s">
        <v>3138</v>
      </c>
      <c r="P777">
        <v>63021</v>
      </c>
      <c r="Q777" s="3">
        <v>159.86000000000001</v>
      </c>
      <c r="R777" s="3">
        <f>IF(Table1[[#This Row],[Gross_millions]]=" ",0,Table1[[#This Row],[Gross_millions]])</f>
        <v>159.86000000000001</v>
      </c>
      <c r="S777" t="str">
        <f>IF(Table1[[#This Row],[Gross_millions_Clean]]&gt;200,"Blockbuster",IF(Table1[[#This Row],[Gross_millions_Clean]]&gt;100,"Hit","Average"))</f>
        <v>Hit</v>
      </c>
    </row>
    <row r="778" spans="1:19" x14ac:dyDescent="0.3">
      <c r="A778" t="s">
        <v>3139</v>
      </c>
      <c r="B778" t="s">
        <v>3140</v>
      </c>
      <c r="C778">
        <v>2013</v>
      </c>
      <c r="D778" s="8">
        <f>FLOOR(Table1[[#This Row],[Year]],10)</f>
        <v>2010</v>
      </c>
      <c r="E778" t="s">
        <v>54</v>
      </c>
      <c r="F778">
        <v>109</v>
      </c>
      <c r="G778" t="str">
        <f>IF(Table1[[#This Row],[Runtime_minutes]]&lt;90,"Short",IF(Table1[[#This Row],[Runtime_minutes]]&lt;=120,"Medium","Long"))</f>
        <v>Medium</v>
      </c>
      <c r="H778" t="s">
        <v>157</v>
      </c>
      <c r="I778" t="s">
        <v>3978</v>
      </c>
      <c r="K778">
        <v>6.2</v>
      </c>
      <c r="L778">
        <v>55</v>
      </c>
      <c r="M778" t="s">
        <v>158</v>
      </c>
      <c r="N778" t="s">
        <v>547</v>
      </c>
      <c r="O778" t="s">
        <v>3141</v>
      </c>
      <c r="P778">
        <v>26024</v>
      </c>
      <c r="Q778" s="3">
        <v>419.59</v>
      </c>
      <c r="R778" s="3">
        <f>IF(Table1[[#This Row],[Gross_millions]]=" ",0,Table1[[#This Row],[Gross_millions]])</f>
        <v>419.59</v>
      </c>
      <c r="S778" t="str">
        <f>IF(Table1[[#This Row],[Gross_millions_Clean]]&gt;200,"Blockbuster",IF(Table1[[#This Row],[Gross_millions_Clean]]&gt;100,"Hit","Average"))</f>
        <v>Blockbuster</v>
      </c>
    </row>
    <row r="779" spans="1:19" x14ac:dyDescent="0.3">
      <c r="A779" t="s">
        <v>3142</v>
      </c>
      <c r="B779" t="s">
        <v>3143</v>
      </c>
      <c r="C779">
        <v>2001</v>
      </c>
      <c r="D779" s="8">
        <f>FLOOR(Table1[[#This Row],[Year]],10)</f>
        <v>2000</v>
      </c>
      <c r="E779" t="s">
        <v>24</v>
      </c>
      <c r="F779">
        <v>104</v>
      </c>
      <c r="G779" t="str">
        <f>IF(Table1[[#This Row],[Runtime_minutes]]&lt;90,"Short",IF(Table1[[#This Row],[Runtime_minutes]]&lt;=120,"Medium","Long"))</f>
        <v>Medium</v>
      </c>
      <c r="H779" t="s">
        <v>868</v>
      </c>
      <c r="K779">
        <v>6.2</v>
      </c>
      <c r="L779">
        <v>64</v>
      </c>
      <c r="M779" t="s">
        <v>1150</v>
      </c>
      <c r="N779" t="s">
        <v>159</v>
      </c>
      <c r="O779" t="s">
        <v>3144</v>
      </c>
      <c r="P779">
        <v>7259</v>
      </c>
      <c r="Q779" s="3">
        <v>301.2</v>
      </c>
      <c r="R779" s="3">
        <f>IF(Table1[[#This Row],[Gross_millions]]=" ",0,Table1[[#This Row],[Gross_millions]])</f>
        <v>301.2</v>
      </c>
      <c r="S779" t="str">
        <f>IF(Table1[[#This Row],[Gross_millions_Clean]]&gt;200,"Blockbuster",IF(Table1[[#This Row],[Gross_millions_Clean]]&gt;100,"Hit","Average"))</f>
        <v>Blockbuster</v>
      </c>
    </row>
    <row r="780" spans="1:19" x14ac:dyDescent="0.3">
      <c r="A780" t="s">
        <v>3145</v>
      </c>
      <c r="B780" t="s">
        <v>3146</v>
      </c>
      <c r="C780">
        <v>2011</v>
      </c>
      <c r="D780" s="8">
        <f>FLOOR(Table1[[#This Row],[Year]],10)</f>
        <v>2010</v>
      </c>
      <c r="E780" t="s">
        <v>24</v>
      </c>
      <c r="F780">
        <v>121</v>
      </c>
      <c r="G780" t="str">
        <f>IF(Table1[[#This Row],[Runtime_minutes]]&lt;90,"Short",IF(Table1[[#This Row],[Runtime_minutes]]&lt;=120,"Medium","Long"))</f>
        <v>Long</v>
      </c>
      <c r="H780" t="s">
        <v>1044</v>
      </c>
      <c r="K780">
        <v>6.2</v>
      </c>
      <c r="M780" t="s">
        <v>164</v>
      </c>
      <c r="N780" t="s">
        <v>119</v>
      </c>
      <c r="O780" t="s">
        <v>3147</v>
      </c>
      <c r="P780">
        <v>170644</v>
      </c>
      <c r="Q780" s="3"/>
      <c r="R780" s="3">
        <f>IF(Table1[[#This Row],[Gross_millions]]=" ",0,Table1[[#This Row],[Gross_millions]])</f>
        <v>0</v>
      </c>
      <c r="S780" t="str">
        <f>IF(Table1[[#This Row],[Gross_millions_Clean]]&gt;200,"Blockbuster",IF(Table1[[#This Row],[Gross_millions_Clean]]&gt;100,"Hit","Average"))</f>
        <v>Average</v>
      </c>
    </row>
    <row r="781" spans="1:19" x14ac:dyDescent="0.3">
      <c r="A781" t="s">
        <v>3148</v>
      </c>
      <c r="B781" t="s">
        <v>3149</v>
      </c>
      <c r="C781">
        <v>2010</v>
      </c>
      <c r="D781" s="8">
        <f>FLOOR(Table1[[#This Row],[Year]],10)</f>
        <v>2010</v>
      </c>
      <c r="E781" t="s">
        <v>24</v>
      </c>
      <c r="F781">
        <v>163</v>
      </c>
      <c r="G781" t="str">
        <f>IF(Table1[[#This Row],[Runtime_minutes]]&lt;90,"Short",IF(Table1[[#This Row],[Runtime_minutes]]&lt;=120,"Medium","Long"))</f>
        <v>Long</v>
      </c>
      <c r="H781" t="s">
        <v>606</v>
      </c>
      <c r="I781" t="s">
        <v>3986</v>
      </c>
      <c r="K781">
        <v>6.2</v>
      </c>
      <c r="L781">
        <v>73</v>
      </c>
      <c r="M781" t="s">
        <v>220</v>
      </c>
      <c r="N781" t="s">
        <v>593</v>
      </c>
      <c r="O781" t="s">
        <v>3150</v>
      </c>
      <c r="P781">
        <v>240809</v>
      </c>
      <c r="Q781" s="3"/>
      <c r="R781" s="3">
        <f>IF(Table1[[#This Row],[Gross_millions]]=" ",0,Table1[[#This Row],[Gross_millions]])</f>
        <v>0</v>
      </c>
      <c r="S781" t="str">
        <f>IF(Table1[[#This Row],[Gross_millions_Clean]]&gt;200,"Blockbuster",IF(Table1[[#This Row],[Gross_millions_Clean]]&gt;100,"Hit","Average"))</f>
        <v>Average</v>
      </c>
    </row>
    <row r="782" spans="1:19" x14ac:dyDescent="0.3">
      <c r="A782" t="s">
        <v>3151</v>
      </c>
      <c r="B782" t="s">
        <v>3152</v>
      </c>
      <c r="C782">
        <v>2006</v>
      </c>
      <c r="D782" s="8">
        <f>FLOOR(Table1[[#This Row],[Year]],10)</f>
        <v>2000</v>
      </c>
      <c r="E782" t="s">
        <v>169</v>
      </c>
      <c r="F782">
        <v>113</v>
      </c>
      <c r="G782" t="str">
        <f>IF(Table1[[#This Row],[Runtime_minutes]]&lt;90,"Short",IF(Table1[[#This Row],[Runtime_minutes]]&lt;=120,"Medium","Long"))</f>
        <v>Medium</v>
      </c>
      <c r="H782" t="s">
        <v>235</v>
      </c>
      <c r="I782" t="s">
        <v>3976</v>
      </c>
      <c r="J782" t="s">
        <v>3984</v>
      </c>
      <c r="K782">
        <v>6.2</v>
      </c>
      <c r="L782">
        <v>69</v>
      </c>
      <c r="M782" t="s">
        <v>201</v>
      </c>
      <c r="N782" t="s">
        <v>86</v>
      </c>
      <c r="O782" t="s">
        <v>3154</v>
      </c>
      <c r="P782">
        <v>11757</v>
      </c>
      <c r="Q782" s="3">
        <v>321.99</v>
      </c>
      <c r="R782" s="3">
        <f>IF(Table1[[#This Row],[Gross_millions]]=" ",0,Table1[[#This Row],[Gross_millions]])</f>
        <v>321.99</v>
      </c>
      <c r="S782" t="str">
        <f>IF(Table1[[#This Row],[Gross_millions_Clean]]&gt;200,"Blockbuster",IF(Table1[[#This Row],[Gross_millions_Clean]]&gt;100,"Hit","Average"))</f>
        <v>Blockbuster</v>
      </c>
    </row>
    <row r="783" spans="1:19" x14ac:dyDescent="0.3">
      <c r="A783" t="s">
        <v>3155</v>
      </c>
      <c r="B783" t="s">
        <v>3156</v>
      </c>
      <c r="C783">
        <v>2006</v>
      </c>
      <c r="D783" s="8">
        <f>FLOOR(Table1[[#This Row],[Year]],10)</f>
        <v>2000</v>
      </c>
      <c r="E783" t="s">
        <v>24</v>
      </c>
      <c r="F783">
        <v>104</v>
      </c>
      <c r="G783" t="str">
        <f>IF(Table1[[#This Row],[Runtime_minutes]]&lt;90,"Short",IF(Table1[[#This Row],[Runtime_minutes]]&lt;=120,"Medium","Long"))</f>
        <v>Medium</v>
      </c>
      <c r="H783" t="s">
        <v>43</v>
      </c>
      <c r="I783" t="s">
        <v>3976</v>
      </c>
      <c r="K783">
        <v>6.2</v>
      </c>
      <c r="M783" t="s">
        <v>3157</v>
      </c>
      <c r="N783" t="s">
        <v>92</v>
      </c>
      <c r="O783" t="s">
        <v>3158</v>
      </c>
      <c r="P783">
        <v>15149</v>
      </c>
      <c r="Q783" s="3"/>
      <c r="R783" s="3">
        <f>IF(Table1[[#This Row],[Gross_millions]]=" ",0,Table1[[#This Row],[Gross_millions]])</f>
        <v>0</v>
      </c>
      <c r="S783" t="str">
        <f>IF(Table1[[#This Row],[Gross_millions_Clean]]&gt;200,"Blockbuster",IF(Table1[[#This Row],[Gross_millions_Clean]]&gt;100,"Hit","Average"))</f>
        <v>Average</v>
      </c>
    </row>
    <row r="784" spans="1:19" x14ac:dyDescent="0.3">
      <c r="A784" t="s">
        <v>3159</v>
      </c>
      <c r="B784" t="s">
        <v>3160</v>
      </c>
      <c r="C784">
        <v>2006</v>
      </c>
      <c r="D784" s="8">
        <f>FLOOR(Table1[[#This Row],[Year]],10)</f>
        <v>2000</v>
      </c>
      <c r="E784" t="s">
        <v>17</v>
      </c>
      <c r="F784">
        <v>119</v>
      </c>
      <c r="G784" t="str">
        <f>IF(Table1[[#This Row],[Runtime_minutes]]&lt;90,"Short",IF(Table1[[#This Row],[Runtime_minutes]]&lt;=120,"Medium","Long"))</f>
        <v>Medium</v>
      </c>
      <c r="H784" t="s">
        <v>48</v>
      </c>
      <c r="I784" t="s">
        <v>3981</v>
      </c>
      <c r="K784">
        <v>6.2</v>
      </c>
      <c r="L784">
        <v>73</v>
      </c>
      <c r="M784" t="s">
        <v>67</v>
      </c>
      <c r="N784" t="s">
        <v>125</v>
      </c>
      <c r="O784" t="s">
        <v>3162</v>
      </c>
      <c r="P784">
        <v>28575</v>
      </c>
      <c r="Q784" s="3">
        <v>289.39999999999998</v>
      </c>
      <c r="R784" s="3">
        <f>IF(Table1[[#This Row],[Gross_millions]]=" ",0,Table1[[#This Row],[Gross_millions]])</f>
        <v>289.39999999999998</v>
      </c>
      <c r="S784" t="str">
        <f>IF(Table1[[#This Row],[Gross_millions_Clean]]&gt;200,"Blockbuster",IF(Table1[[#This Row],[Gross_millions_Clean]]&gt;100,"Hit","Average"))</f>
        <v>Blockbuster</v>
      </c>
    </row>
    <row r="785" spans="1:19" x14ac:dyDescent="0.3">
      <c r="A785" t="s">
        <v>3163</v>
      </c>
      <c r="B785" t="s">
        <v>3164</v>
      </c>
      <c r="C785">
        <v>2019</v>
      </c>
      <c r="D785" s="8">
        <f>FLOOR(Table1[[#This Row],[Year]],10)</f>
        <v>2010</v>
      </c>
      <c r="E785" t="s">
        <v>54</v>
      </c>
      <c r="F785">
        <v>126</v>
      </c>
      <c r="G785" t="str">
        <f>IF(Table1[[#This Row],[Runtime_minutes]]&lt;90,"Short",IF(Table1[[#This Row],[Runtime_minutes]]&lt;=120,"Medium","Long"))</f>
        <v>Long</v>
      </c>
      <c r="H785" t="s">
        <v>157</v>
      </c>
      <c r="K785">
        <v>6.2</v>
      </c>
      <c r="L785">
        <v>52</v>
      </c>
      <c r="M785" t="s">
        <v>158</v>
      </c>
      <c r="N785" t="s">
        <v>593</v>
      </c>
      <c r="O785" t="s">
        <v>3165</v>
      </c>
      <c r="P785">
        <v>265153</v>
      </c>
      <c r="Q785" s="3">
        <v>101.48</v>
      </c>
      <c r="R785" s="3">
        <f>IF(Table1[[#This Row],[Gross_millions]]=" ",0,Table1[[#This Row],[Gross_millions]])</f>
        <v>101.48</v>
      </c>
      <c r="S785" t="str">
        <f>IF(Table1[[#This Row],[Gross_millions_Clean]]&gt;200,"Blockbuster",IF(Table1[[#This Row],[Gross_millions_Clean]]&gt;100,"Hit","Average"))</f>
        <v>Hit</v>
      </c>
    </row>
    <row r="786" spans="1:19" x14ac:dyDescent="0.3">
      <c r="A786" t="s">
        <v>3166</v>
      </c>
      <c r="B786" t="s">
        <v>3167</v>
      </c>
      <c r="C786">
        <v>2024</v>
      </c>
      <c r="D786" s="8">
        <f>FLOOR(Table1[[#This Row],[Year]],10)</f>
        <v>2020</v>
      </c>
      <c r="E786" t="s">
        <v>54</v>
      </c>
      <c r="F786">
        <v>140</v>
      </c>
      <c r="G786" t="str">
        <f>IF(Table1[[#This Row],[Runtime_minutes]]&lt;90,"Short",IF(Table1[[#This Row],[Runtime_minutes]]&lt;=120,"Medium","Long"))</f>
        <v>Long</v>
      </c>
      <c r="H786" t="s">
        <v>129</v>
      </c>
      <c r="I786" t="s">
        <v>3992</v>
      </c>
      <c r="K786">
        <v>6.2</v>
      </c>
      <c r="L786">
        <v>47</v>
      </c>
      <c r="M786" t="s">
        <v>3168</v>
      </c>
      <c r="N786" t="s">
        <v>221</v>
      </c>
      <c r="O786" t="s">
        <v>3169</v>
      </c>
      <c r="P786">
        <v>483447</v>
      </c>
      <c r="Q786" s="3">
        <v>175.39</v>
      </c>
      <c r="R786" s="3">
        <f>IF(Table1[[#This Row],[Gross_millions]]=" ",0,Table1[[#This Row],[Gross_millions]])</f>
        <v>175.39</v>
      </c>
      <c r="S786" t="str">
        <f>IF(Table1[[#This Row],[Gross_millions_Clean]]&gt;200,"Blockbuster",IF(Table1[[#This Row],[Gross_millions_Clean]]&gt;100,"Hit","Average"))</f>
        <v>Hit</v>
      </c>
    </row>
    <row r="787" spans="1:19" x14ac:dyDescent="0.3">
      <c r="A787" t="s">
        <v>3170</v>
      </c>
      <c r="B787" t="s">
        <v>3171</v>
      </c>
      <c r="C787">
        <v>2016</v>
      </c>
      <c r="D787" s="8">
        <f>FLOOR(Table1[[#This Row],[Year]],10)</f>
        <v>2010</v>
      </c>
      <c r="E787" t="s">
        <v>24</v>
      </c>
      <c r="F787">
        <v>130</v>
      </c>
      <c r="G787" t="str">
        <f>IF(Table1[[#This Row],[Runtime_minutes]]&lt;90,"Short",IF(Table1[[#This Row],[Runtime_minutes]]&lt;=120,"Medium","Long"))</f>
        <v>Long</v>
      </c>
      <c r="H787" t="s">
        <v>277</v>
      </c>
      <c r="I787" t="s">
        <v>3986</v>
      </c>
      <c r="K787">
        <v>6.1</v>
      </c>
      <c r="L787">
        <v>75</v>
      </c>
      <c r="M787" t="s">
        <v>3173</v>
      </c>
      <c r="N787" t="s">
        <v>27</v>
      </c>
      <c r="O787" t="s">
        <v>3174</v>
      </c>
      <c r="P787">
        <v>79233</v>
      </c>
      <c r="Q787" s="3">
        <v>170.4</v>
      </c>
      <c r="R787" s="3">
        <f>IF(Table1[[#This Row],[Gross_millions]]=" ",0,Table1[[#This Row],[Gross_millions]])</f>
        <v>170.4</v>
      </c>
      <c r="S787" t="str">
        <f>IF(Table1[[#This Row],[Gross_millions_Clean]]&gt;200,"Blockbuster",IF(Table1[[#This Row],[Gross_millions_Clean]]&gt;100,"Hit","Average"))</f>
        <v>Hit</v>
      </c>
    </row>
    <row r="788" spans="1:19" x14ac:dyDescent="0.3">
      <c r="A788" t="s">
        <v>3175</v>
      </c>
      <c r="B788" t="s">
        <v>3176</v>
      </c>
      <c r="C788">
        <v>2005</v>
      </c>
      <c r="D788" s="8">
        <f>FLOOR(Table1[[#This Row],[Year]],10)</f>
        <v>2000</v>
      </c>
      <c r="E788" t="s">
        <v>24</v>
      </c>
      <c r="F788">
        <v>123</v>
      </c>
      <c r="G788" t="str">
        <f>IF(Table1[[#This Row],[Runtime_minutes]]&lt;90,"Short",IF(Table1[[#This Row],[Runtime_minutes]]&lt;=120,"Medium","Long"))</f>
        <v>Long</v>
      </c>
      <c r="H788" t="s">
        <v>43</v>
      </c>
      <c r="I788" t="s">
        <v>3986</v>
      </c>
      <c r="K788">
        <v>6.1</v>
      </c>
      <c r="L788">
        <v>55</v>
      </c>
      <c r="M788" t="s">
        <v>3177</v>
      </c>
      <c r="N788" t="s">
        <v>50</v>
      </c>
      <c r="O788" t="s">
        <v>3178</v>
      </c>
      <c r="P788">
        <v>321755</v>
      </c>
      <c r="Q788" s="3"/>
      <c r="R788" s="3">
        <f>IF(Table1[[#This Row],[Gross_millions]]=" ",0,Table1[[#This Row],[Gross_millions]])</f>
        <v>0</v>
      </c>
      <c r="S788" t="str">
        <f>IF(Table1[[#This Row],[Gross_millions_Clean]]&gt;200,"Blockbuster",IF(Table1[[#This Row],[Gross_millions_Clean]]&gt;100,"Hit","Average"))</f>
        <v>Average</v>
      </c>
    </row>
    <row r="789" spans="1:19" x14ac:dyDescent="0.3">
      <c r="A789" t="s">
        <v>3179</v>
      </c>
      <c r="B789" t="s">
        <v>3180</v>
      </c>
      <c r="C789">
        <v>2016</v>
      </c>
      <c r="D789" s="8">
        <f>FLOOR(Table1[[#This Row],[Year]],10)</f>
        <v>2010</v>
      </c>
      <c r="E789" t="s">
        <v>17</v>
      </c>
      <c r="F789">
        <v>123</v>
      </c>
      <c r="G789" t="str">
        <f>IF(Table1[[#This Row],[Runtime_minutes]]&lt;90,"Short",IF(Table1[[#This Row],[Runtime_minutes]]&lt;=120,"Medium","Long"))</f>
        <v>Long</v>
      </c>
      <c r="H789" t="s">
        <v>277</v>
      </c>
      <c r="K789">
        <v>6.1</v>
      </c>
      <c r="M789" t="s">
        <v>3173</v>
      </c>
      <c r="N789" t="s">
        <v>159</v>
      </c>
      <c r="O789" t="s">
        <v>3181</v>
      </c>
      <c r="P789">
        <v>8266</v>
      </c>
      <c r="Q789" s="3">
        <v>36.630000000000003</v>
      </c>
      <c r="R789" s="3">
        <f>IF(Table1[[#This Row],[Gross_millions]]=" ",0,Table1[[#This Row],[Gross_millions]])</f>
        <v>36.630000000000003</v>
      </c>
      <c r="S789" t="str">
        <f>IF(Table1[[#This Row],[Gross_millions_Clean]]&gt;200,"Blockbuster",IF(Table1[[#This Row],[Gross_millions_Clean]]&gt;100,"Hit","Average"))</f>
        <v>Average</v>
      </c>
    </row>
    <row r="790" spans="1:19" x14ac:dyDescent="0.3">
      <c r="A790" t="s">
        <v>3182</v>
      </c>
      <c r="B790" t="s">
        <v>3183</v>
      </c>
      <c r="C790">
        <v>2023</v>
      </c>
      <c r="D790" s="8">
        <f>FLOOR(Table1[[#This Row],[Year]],10)</f>
        <v>2020</v>
      </c>
      <c r="E790" t="s">
        <v>54</v>
      </c>
      <c r="F790">
        <v>116</v>
      </c>
      <c r="G790" t="str">
        <f>IF(Table1[[#This Row],[Runtime_minutes]]&lt;90,"Short",IF(Table1[[#This Row],[Runtime_minutes]]&lt;=120,"Medium","Long"))</f>
        <v>Medium</v>
      </c>
      <c r="H790" t="s">
        <v>1044</v>
      </c>
      <c r="I790" t="s">
        <v>3976</v>
      </c>
      <c r="J790" t="s">
        <v>3986</v>
      </c>
      <c r="K790">
        <v>6.1</v>
      </c>
      <c r="L790">
        <v>60</v>
      </c>
      <c r="M790" t="s">
        <v>226</v>
      </c>
      <c r="N790" t="s">
        <v>63</v>
      </c>
      <c r="O790" t="s">
        <v>3185</v>
      </c>
      <c r="P790">
        <v>7562</v>
      </c>
      <c r="Q790" s="3">
        <v>107.98</v>
      </c>
      <c r="R790" s="3">
        <f>IF(Table1[[#This Row],[Gross_millions]]=" ",0,Table1[[#This Row],[Gross_millions]])</f>
        <v>107.98</v>
      </c>
      <c r="S790" t="str">
        <f>IF(Table1[[#This Row],[Gross_millions_Clean]]&gt;200,"Blockbuster",IF(Table1[[#This Row],[Gross_millions_Clean]]&gt;100,"Hit","Average"))</f>
        <v>Hit</v>
      </c>
    </row>
    <row r="791" spans="1:19" x14ac:dyDescent="0.3">
      <c r="A791" t="s">
        <v>3186</v>
      </c>
      <c r="B791" t="s">
        <v>3187</v>
      </c>
      <c r="C791">
        <v>2003</v>
      </c>
      <c r="D791" s="8">
        <f>FLOOR(Table1[[#This Row],[Year]],10)</f>
        <v>2000</v>
      </c>
      <c r="E791" t="s">
        <v>17</v>
      </c>
      <c r="F791">
        <v>138</v>
      </c>
      <c r="G791" t="str">
        <f>IF(Table1[[#This Row],[Runtime_minutes]]&lt;90,"Short",IF(Table1[[#This Row],[Runtime_minutes]]&lt;=120,"Medium","Long"))</f>
        <v>Long</v>
      </c>
      <c r="H791" t="s">
        <v>157</v>
      </c>
      <c r="I791" t="s">
        <v>3978</v>
      </c>
      <c r="K791">
        <v>6.1</v>
      </c>
      <c r="L791">
        <v>71</v>
      </c>
      <c r="M791" t="s">
        <v>3188</v>
      </c>
      <c r="N791" t="s">
        <v>33</v>
      </c>
      <c r="O791" t="s">
        <v>3189</v>
      </c>
      <c r="P791">
        <v>110258</v>
      </c>
      <c r="Q791" s="3">
        <v>265.94</v>
      </c>
      <c r="R791" s="3">
        <f>IF(Table1[[#This Row],[Gross_millions]]=" ",0,Table1[[#This Row],[Gross_millions]])</f>
        <v>265.94</v>
      </c>
      <c r="S791" t="str">
        <f>IF(Table1[[#This Row],[Gross_millions_Clean]]&gt;200,"Blockbuster",IF(Table1[[#This Row],[Gross_millions_Clean]]&gt;100,"Hit","Average"))</f>
        <v>Blockbuster</v>
      </c>
    </row>
    <row r="792" spans="1:19" x14ac:dyDescent="0.3">
      <c r="A792" t="s">
        <v>3190</v>
      </c>
      <c r="B792" t="s">
        <v>3191</v>
      </c>
      <c r="C792">
        <v>2008</v>
      </c>
      <c r="D792" s="8">
        <f>FLOOR(Table1[[#This Row],[Year]],10)</f>
        <v>2000</v>
      </c>
      <c r="E792" t="s">
        <v>17</v>
      </c>
      <c r="F792">
        <v>117</v>
      </c>
      <c r="G792" t="str">
        <f>IF(Table1[[#This Row],[Runtime_minutes]]&lt;90,"Short",IF(Table1[[#This Row],[Runtime_minutes]]&lt;=120,"Medium","Long"))</f>
        <v>Medium</v>
      </c>
      <c r="H792" t="s">
        <v>235</v>
      </c>
      <c r="K792">
        <v>6.1</v>
      </c>
      <c r="M792" t="s">
        <v>201</v>
      </c>
      <c r="N792" t="s">
        <v>39</v>
      </c>
      <c r="O792" t="s">
        <v>3192</v>
      </c>
      <c r="P792">
        <v>37724</v>
      </c>
      <c r="Q792" s="3"/>
      <c r="R792" s="3">
        <f>IF(Table1[[#This Row],[Gross_millions]]=" ",0,Table1[[#This Row],[Gross_millions]])</f>
        <v>0</v>
      </c>
      <c r="S792" t="str">
        <f>IF(Table1[[#This Row],[Gross_millions_Clean]]&gt;200,"Blockbuster",IF(Table1[[#This Row],[Gross_millions_Clean]]&gt;100,"Hit","Average"))</f>
        <v>Average</v>
      </c>
    </row>
    <row r="793" spans="1:19" x14ac:dyDescent="0.3">
      <c r="A793" t="s">
        <v>3193</v>
      </c>
      <c r="B793" t="s">
        <v>3194</v>
      </c>
      <c r="C793">
        <v>2002</v>
      </c>
      <c r="D793" s="8">
        <f>FLOOR(Table1[[#This Row],[Year]],10)</f>
        <v>2000</v>
      </c>
      <c r="E793" t="s">
        <v>17</v>
      </c>
      <c r="F793">
        <v>124</v>
      </c>
      <c r="G793" t="str">
        <f>IF(Table1[[#This Row],[Runtime_minutes]]&lt;90,"Short",IF(Table1[[#This Row],[Runtime_minutes]]&lt;=120,"Medium","Long"))</f>
        <v>Long</v>
      </c>
      <c r="H793" t="s">
        <v>157</v>
      </c>
      <c r="I793" t="s">
        <v>3976</v>
      </c>
      <c r="K793">
        <v>6.1</v>
      </c>
      <c r="L793">
        <v>72</v>
      </c>
      <c r="M793" t="s">
        <v>158</v>
      </c>
      <c r="N793" t="s">
        <v>368</v>
      </c>
      <c r="O793" t="s">
        <v>3195</v>
      </c>
      <c r="P793">
        <v>37101</v>
      </c>
      <c r="Q793" s="3"/>
      <c r="R793" s="3">
        <f>IF(Table1[[#This Row],[Gross_millions]]=" ",0,Table1[[#This Row],[Gross_millions]])</f>
        <v>0</v>
      </c>
      <c r="S793" t="str">
        <f>IF(Table1[[#This Row],[Gross_millions_Clean]]&gt;200,"Blockbuster",IF(Table1[[#This Row],[Gross_millions_Clean]]&gt;100,"Hit","Average"))</f>
        <v>Average</v>
      </c>
    </row>
    <row r="794" spans="1:19" x14ac:dyDescent="0.3">
      <c r="A794" t="s">
        <v>3196</v>
      </c>
      <c r="B794" t="s">
        <v>3197</v>
      </c>
      <c r="C794">
        <v>2010</v>
      </c>
      <c r="D794" s="8">
        <f>FLOOR(Table1[[#This Row],[Year]],10)</f>
        <v>2010</v>
      </c>
      <c r="E794" t="s">
        <v>54</v>
      </c>
      <c r="F794">
        <v>116</v>
      </c>
      <c r="G794" t="str">
        <f>IF(Table1[[#This Row],[Runtime_minutes]]&lt;90,"Short",IF(Table1[[#This Row],[Runtime_minutes]]&lt;=120,"Medium","Long"))</f>
        <v>Medium</v>
      </c>
      <c r="H794" t="s">
        <v>78</v>
      </c>
      <c r="I794" t="s">
        <v>3991</v>
      </c>
      <c r="K794">
        <v>6.1</v>
      </c>
      <c r="L794">
        <v>72</v>
      </c>
      <c r="M794" t="s">
        <v>995</v>
      </c>
      <c r="N794" t="s">
        <v>191</v>
      </c>
      <c r="O794" t="s">
        <v>3198</v>
      </c>
      <c r="P794">
        <v>133888</v>
      </c>
      <c r="Q794" s="3"/>
      <c r="R794" s="3">
        <f>IF(Table1[[#This Row],[Gross_millions]]=" ",0,Table1[[#This Row],[Gross_millions]])</f>
        <v>0</v>
      </c>
      <c r="S794" t="str">
        <f>IF(Table1[[#This Row],[Gross_millions_Clean]]&gt;200,"Blockbuster",IF(Table1[[#This Row],[Gross_millions_Clean]]&gt;100,"Hit","Average"))</f>
        <v>Average</v>
      </c>
    </row>
    <row r="795" spans="1:19" x14ac:dyDescent="0.3">
      <c r="A795" t="s">
        <v>3199</v>
      </c>
      <c r="B795" t="s">
        <v>3200</v>
      </c>
      <c r="C795">
        <v>2011</v>
      </c>
      <c r="D795" s="8">
        <f>FLOOR(Table1[[#This Row],[Year]],10)</f>
        <v>2010</v>
      </c>
      <c r="E795" t="s">
        <v>17</v>
      </c>
      <c r="F795">
        <v>86</v>
      </c>
      <c r="G795" t="str">
        <f>IF(Table1[[#This Row],[Runtime_minutes]]&lt;90,"Short",IF(Table1[[#This Row],[Runtime_minutes]]&lt;=120,"Medium","Long"))</f>
        <v>Short</v>
      </c>
      <c r="H795" t="s">
        <v>767</v>
      </c>
      <c r="I795" t="s">
        <v>3990</v>
      </c>
      <c r="J795" t="s">
        <v>3979</v>
      </c>
      <c r="K795">
        <v>6.1</v>
      </c>
      <c r="M795" t="s">
        <v>85</v>
      </c>
      <c r="N795" t="s">
        <v>518</v>
      </c>
      <c r="O795" t="s">
        <v>3202</v>
      </c>
      <c r="P795">
        <v>254556</v>
      </c>
      <c r="Q795" s="3">
        <v>164.26</v>
      </c>
      <c r="R795" s="3">
        <f>IF(Table1[[#This Row],[Gross_millions]]=" ",0,Table1[[#This Row],[Gross_millions]])</f>
        <v>164.26</v>
      </c>
      <c r="S795" t="str">
        <f>IF(Table1[[#This Row],[Gross_millions_Clean]]&gt;200,"Blockbuster",IF(Table1[[#This Row],[Gross_millions_Clean]]&gt;100,"Hit","Average"))</f>
        <v>Hit</v>
      </c>
    </row>
    <row r="796" spans="1:19" x14ac:dyDescent="0.3">
      <c r="A796" t="s">
        <v>3203</v>
      </c>
      <c r="B796" t="s">
        <v>3204</v>
      </c>
      <c r="C796">
        <v>2023</v>
      </c>
      <c r="D796" s="8">
        <f>FLOOR(Table1[[#This Row],[Year]],10)</f>
        <v>2020</v>
      </c>
      <c r="E796" t="s">
        <v>24</v>
      </c>
      <c r="F796">
        <v>151</v>
      </c>
      <c r="G796" t="str">
        <f>IF(Table1[[#This Row],[Runtime_minutes]]&lt;90,"Short",IF(Table1[[#This Row],[Runtime_minutes]]&lt;=120,"Medium","Long"))</f>
        <v>Long</v>
      </c>
      <c r="H796" t="s">
        <v>157</v>
      </c>
      <c r="K796">
        <v>6.1</v>
      </c>
      <c r="L796">
        <v>56</v>
      </c>
      <c r="M796" t="s">
        <v>629</v>
      </c>
      <c r="N796" t="s">
        <v>147</v>
      </c>
      <c r="O796" t="s">
        <v>3205</v>
      </c>
      <c r="P796">
        <v>596331</v>
      </c>
      <c r="Q796" s="3"/>
      <c r="R796" s="3">
        <f>IF(Table1[[#This Row],[Gross_millions]]=" ",0,Table1[[#This Row],[Gross_millions]])</f>
        <v>0</v>
      </c>
      <c r="S796" t="str">
        <f>IF(Table1[[#This Row],[Gross_millions_Clean]]&gt;200,"Blockbuster",IF(Table1[[#This Row],[Gross_millions_Clean]]&gt;100,"Hit","Average"))</f>
        <v>Average</v>
      </c>
    </row>
    <row r="797" spans="1:19" x14ac:dyDescent="0.3">
      <c r="A797" t="s">
        <v>3206</v>
      </c>
      <c r="B797" t="s">
        <v>3207</v>
      </c>
      <c r="C797">
        <v>2009</v>
      </c>
      <c r="D797" s="8">
        <f>FLOOR(Table1[[#This Row],[Year]],10)</f>
        <v>2000</v>
      </c>
      <c r="E797" t="s">
        <v>285</v>
      </c>
      <c r="F797">
        <v>146</v>
      </c>
      <c r="G797" t="str">
        <f>IF(Table1[[#This Row],[Runtime_minutes]]&lt;90,"Short",IF(Table1[[#This Row],[Runtime_minutes]]&lt;=120,"Medium","Long"))</f>
        <v>Long</v>
      </c>
      <c r="H797" t="s">
        <v>1044</v>
      </c>
      <c r="I797" t="s">
        <v>3982</v>
      </c>
      <c r="K797">
        <v>6.1</v>
      </c>
      <c r="L797">
        <v>60</v>
      </c>
      <c r="M797" t="s">
        <v>3208</v>
      </c>
      <c r="N797" t="s">
        <v>524</v>
      </c>
      <c r="O797" t="s">
        <v>3209</v>
      </c>
      <c r="P797">
        <v>28912</v>
      </c>
      <c r="Q797" s="3">
        <v>275.74</v>
      </c>
      <c r="R797" s="3">
        <f>IF(Table1[[#This Row],[Gross_millions]]=" ",0,Table1[[#This Row],[Gross_millions]])</f>
        <v>275.74</v>
      </c>
      <c r="S797" t="str">
        <f>IF(Table1[[#This Row],[Gross_millions_Clean]]&gt;200,"Blockbuster",IF(Table1[[#This Row],[Gross_millions_Clean]]&gt;100,"Hit","Average"))</f>
        <v>Blockbuster</v>
      </c>
    </row>
    <row r="798" spans="1:19" x14ac:dyDescent="0.3">
      <c r="A798" t="s">
        <v>3210</v>
      </c>
      <c r="B798" t="s">
        <v>3211</v>
      </c>
      <c r="C798">
        <v>1996</v>
      </c>
      <c r="D798" s="8">
        <f>FLOOR(Table1[[#This Row],[Year]],10)</f>
        <v>1990</v>
      </c>
      <c r="E798" t="s">
        <v>54</v>
      </c>
      <c r="F798">
        <v>131</v>
      </c>
      <c r="G798" t="str">
        <f>IF(Table1[[#This Row],[Runtime_minutes]]&lt;90,"Short",IF(Table1[[#This Row],[Runtime_minutes]]&lt;=120,"Medium","Long"))</f>
        <v>Long</v>
      </c>
      <c r="H798" t="s">
        <v>230</v>
      </c>
      <c r="I798" t="s">
        <v>3979</v>
      </c>
      <c r="K798">
        <v>6.1</v>
      </c>
      <c r="M798" t="s">
        <v>124</v>
      </c>
      <c r="N798" t="s">
        <v>74</v>
      </c>
      <c r="O798" t="s">
        <v>3212</v>
      </c>
      <c r="P798">
        <v>1381362</v>
      </c>
      <c r="Q798" s="3">
        <v>262.67</v>
      </c>
      <c r="R798" s="3">
        <f>IF(Table1[[#This Row],[Gross_millions]]=" ",0,Table1[[#This Row],[Gross_millions]])</f>
        <v>262.67</v>
      </c>
      <c r="S798" t="str">
        <f>IF(Table1[[#This Row],[Gross_millions_Clean]]&gt;200,"Blockbuster",IF(Table1[[#This Row],[Gross_millions_Clean]]&gt;100,"Hit","Average"))</f>
        <v>Blockbuster</v>
      </c>
    </row>
    <row r="799" spans="1:19" x14ac:dyDescent="0.3">
      <c r="A799" t="s">
        <v>3213</v>
      </c>
      <c r="B799" t="s">
        <v>3214</v>
      </c>
      <c r="C799">
        <v>1989</v>
      </c>
      <c r="D799" s="8">
        <f>FLOOR(Table1[[#This Row],[Year]],10)</f>
        <v>1980</v>
      </c>
      <c r="E799" t="s">
        <v>17</v>
      </c>
      <c r="F799">
        <v>126</v>
      </c>
      <c r="G799" t="str">
        <f>IF(Table1[[#This Row],[Runtime_minutes]]&lt;90,"Short",IF(Table1[[#This Row],[Runtime_minutes]]&lt;=120,"Medium","Long"))</f>
        <v>Long</v>
      </c>
      <c r="H799" t="s">
        <v>78</v>
      </c>
      <c r="K799">
        <v>6.1</v>
      </c>
      <c r="L799">
        <v>72</v>
      </c>
      <c r="M799" t="s">
        <v>412</v>
      </c>
      <c r="N799" t="s">
        <v>191</v>
      </c>
      <c r="O799" t="s">
        <v>3215</v>
      </c>
      <c r="P799">
        <v>368023</v>
      </c>
      <c r="Q799" s="3">
        <v>115.3</v>
      </c>
      <c r="R799" s="3">
        <f>IF(Table1[[#This Row],[Gross_millions]]=" ",0,Table1[[#This Row],[Gross_millions]])</f>
        <v>115.3</v>
      </c>
      <c r="S799" t="str">
        <f>IF(Table1[[#This Row],[Gross_millions_Clean]]&gt;200,"Blockbuster",IF(Table1[[#This Row],[Gross_millions_Clean]]&gt;100,"Hit","Average"))</f>
        <v>Hit</v>
      </c>
    </row>
    <row r="800" spans="1:19" x14ac:dyDescent="0.3">
      <c r="A800" t="s">
        <v>3216</v>
      </c>
      <c r="B800" t="s">
        <v>3217</v>
      </c>
      <c r="C800">
        <v>2000</v>
      </c>
      <c r="D800" s="8">
        <f>FLOOR(Table1[[#This Row],[Year]],10)</f>
        <v>2000</v>
      </c>
      <c r="E800" t="s">
        <v>24</v>
      </c>
      <c r="F800">
        <v>139</v>
      </c>
      <c r="G800" t="str">
        <f>IF(Table1[[#This Row],[Runtime_minutes]]&lt;90,"Short",IF(Table1[[#This Row],[Runtime_minutes]]&lt;=120,"Medium","Long"))</f>
        <v>Long</v>
      </c>
      <c r="H800" t="s">
        <v>129</v>
      </c>
      <c r="I800" t="s">
        <v>3987</v>
      </c>
      <c r="J800" t="s">
        <v>3982</v>
      </c>
      <c r="K800">
        <v>6.1</v>
      </c>
      <c r="M800" t="s">
        <v>3219</v>
      </c>
      <c r="N800" t="s">
        <v>524</v>
      </c>
      <c r="O800" t="s">
        <v>3220</v>
      </c>
      <c r="P800">
        <v>7095</v>
      </c>
      <c r="Q800" s="3">
        <v>279.05</v>
      </c>
      <c r="R800" s="3">
        <f>IF(Table1[[#This Row],[Gross_millions]]=" ",0,Table1[[#This Row],[Gross_millions]])</f>
        <v>279.05</v>
      </c>
      <c r="S800" t="str">
        <f>IF(Table1[[#This Row],[Gross_millions_Clean]]&gt;200,"Blockbuster",IF(Table1[[#This Row],[Gross_millions_Clean]]&gt;100,"Hit","Average"))</f>
        <v>Blockbuster</v>
      </c>
    </row>
    <row r="801" spans="1:19" x14ac:dyDescent="0.3">
      <c r="A801" t="s">
        <v>3221</v>
      </c>
      <c r="B801" t="s">
        <v>3222</v>
      </c>
      <c r="C801">
        <v>2000</v>
      </c>
      <c r="D801" s="8">
        <f>FLOOR(Table1[[#This Row],[Year]],10)</f>
        <v>2000</v>
      </c>
      <c r="E801" t="s">
        <v>17</v>
      </c>
      <c r="F801">
        <v>87</v>
      </c>
      <c r="G801" t="str">
        <f>IF(Table1[[#This Row],[Runtime_minutes]]&lt;90,"Short",IF(Table1[[#This Row],[Runtime_minutes]]&lt;=120,"Medium","Long"))</f>
        <v>Short</v>
      </c>
      <c r="H801" t="s">
        <v>767</v>
      </c>
      <c r="K801">
        <v>6.1</v>
      </c>
      <c r="L801">
        <v>64</v>
      </c>
      <c r="M801" t="s">
        <v>3223</v>
      </c>
      <c r="N801" t="s">
        <v>147</v>
      </c>
      <c r="O801" t="s">
        <v>3224</v>
      </c>
      <c r="P801">
        <v>18888</v>
      </c>
      <c r="Q801" s="3">
        <v>115.49</v>
      </c>
      <c r="R801" s="3">
        <f>IF(Table1[[#This Row],[Gross_millions]]=" ",0,Table1[[#This Row],[Gross_millions]])</f>
        <v>115.49</v>
      </c>
      <c r="S801" t="str">
        <f>IF(Table1[[#This Row],[Gross_millions_Clean]]&gt;200,"Blockbuster",IF(Table1[[#This Row],[Gross_millions_Clean]]&gt;100,"Hit","Average"))</f>
        <v>Hit</v>
      </c>
    </row>
    <row r="802" spans="1:19" x14ac:dyDescent="0.3">
      <c r="A802" t="s">
        <v>3225</v>
      </c>
      <c r="B802" t="s">
        <v>3226</v>
      </c>
      <c r="C802">
        <v>2013</v>
      </c>
      <c r="D802" s="8">
        <f>FLOOR(Table1[[#This Row],[Year]],10)</f>
        <v>2010</v>
      </c>
      <c r="E802" t="s">
        <v>17</v>
      </c>
      <c r="F802">
        <v>112</v>
      </c>
      <c r="G802" t="str">
        <f>IF(Table1[[#This Row],[Runtime_minutes]]&lt;90,"Short",IF(Table1[[#This Row],[Runtime_minutes]]&lt;=120,"Medium","Long"))</f>
        <v>Medium</v>
      </c>
      <c r="H802" t="s">
        <v>1044</v>
      </c>
      <c r="K802">
        <v>6.1</v>
      </c>
      <c r="M802" t="s">
        <v>3227</v>
      </c>
      <c r="N802" t="s">
        <v>27</v>
      </c>
      <c r="O802" t="s">
        <v>3228</v>
      </c>
      <c r="P802">
        <v>68132</v>
      </c>
      <c r="Q802" s="3"/>
      <c r="R802" s="3">
        <f>IF(Table1[[#This Row],[Gross_millions]]=" ",0,Table1[[#This Row],[Gross_millions]])</f>
        <v>0</v>
      </c>
      <c r="S802" t="str">
        <f>IF(Table1[[#This Row],[Gross_millions_Clean]]&gt;200,"Blockbuster",IF(Table1[[#This Row],[Gross_millions_Clean]]&gt;100,"Hit","Average"))</f>
        <v>Average</v>
      </c>
    </row>
    <row r="803" spans="1:19" x14ac:dyDescent="0.3">
      <c r="A803" t="s">
        <v>3229</v>
      </c>
      <c r="B803" t="s">
        <v>3230</v>
      </c>
      <c r="C803">
        <v>2022</v>
      </c>
      <c r="D803" s="8">
        <f>FLOOR(Table1[[#This Row],[Year]],10)</f>
        <v>2020</v>
      </c>
      <c r="E803" t="s">
        <v>54</v>
      </c>
      <c r="F803">
        <v>132</v>
      </c>
      <c r="G803" t="str">
        <f>IF(Table1[[#This Row],[Runtime_minutes]]&lt;90,"Short",IF(Table1[[#This Row],[Runtime_minutes]]&lt;=120,"Medium","Long"))</f>
        <v>Long</v>
      </c>
      <c r="H803" t="s">
        <v>235</v>
      </c>
      <c r="I803" t="s">
        <v>3976</v>
      </c>
      <c r="K803">
        <v>6.1</v>
      </c>
      <c r="M803" t="s">
        <v>3231</v>
      </c>
      <c r="N803" t="s">
        <v>27</v>
      </c>
      <c r="O803" t="s">
        <v>3232</v>
      </c>
      <c r="P803">
        <v>229356</v>
      </c>
      <c r="Q803" s="3"/>
      <c r="R803" s="3">
        <f>IF(Table1[[#This Row],[Gross_millions]]=" ",0,Table1[[#This Row],[Gross_millions]])</f>
        <v>0</v>
      </c>
      <c r="S803" t="str">
        <f>IF(Table1[[#This Row],[Gross_millions_Clean]]&gt;200,"Blockbuster",IF(Table1[[#This Row],[Gross_millions_Clean]]&gt;100,"Hit","Average"))</f>
        <v>Average</v>
      </c>
    </row>
    <row r="804" spans="1:19" x14ac:dyDescent="0.3">
      <c r="A804" t="s">
        <v>3233</v>
      </c>
      <c r="B804" t="s">
        <v>3234</v>
      </c>
      <c r="C804">
        <v>2001</v>
      </c>
      <c r="D804" s="8">
        <f>FLOOR(Table1[[#This Row],[Year]],10)</f>
        <v>2000</v>
      </c>
      <c r="E804" t="s">
        <v>17</v>
      </c>
      <c r="F804">
        <v>118</v>
      </c>
      <c r="G804" t="str">
        <f>IF(Table1[[#This Row],[Runtime_minutes]]&lt;90,"Short",IF(Table1[[#This Row],[Runtime_minutes]]&lt;=120,"Medium","Long"))</f>
        <v>Medium</v>
      </c>
      <c r="H804" t="s">
        <v>43</v>
      </c>
      <c r="I804" t="s">
        <v>3977</v>
      </c>
      <c r="K804">
        <v>6.1</v>
      </c>
      <c r="L804">
        <v>69</v>
      </c>
      <c r="M804" t="s">
        <v>136</v>
      </c>
      <c r="N804" t="s">
        <v>27</v>
      </c>
      <c r="O804" t="s">
        <v>3236</v>
      </c>
      <c r="P804">
        <v>39300</v>
      </c>
      <c r="Q804" s="3">
        <v>290.8</v>
      </c>
      <c r="R804" s="3">
        <f>IF(Table1[[#This Row],[Gross_millions]]=" ",0,Table1[[#This Row],[Gross_millions]])</f>
        <v>290.8</v>
      </c>
      <c r="S804" t="str">
        <f>IF(Table1[[#This Row],[Gross_millions_Clean]]&gt;200,"Blockbuster",IF(Table1[[#This Row],[Gross_millions_Clean]]&gt;100,"Hit","Average"))</f>
        <v>Blockbuster</v>
      </c>
    </row>
    <row r="805" spans="1:19" x14ac:dyDescent="0.3">
      <c r="A805" t="s">
        <v>3237</v>
      </c>
      <c r="B805" t="s">
        <v>3238</v>
      </c>
      <c r="C805">
        <v>2024</v>
      </c>
      <c r="D805" s="8">
        <f>FLOOR(Table1[[#This Row],[Year]],10)</f>
        <v>2020</v>
      </c>
      <c r="E805" t="s">
        <v>17</v>
      </c>
      <c r="F805">
        <v>171</v>
      </c>
      <c r="G805" t="str">
        <f>IF(Table1[[#This Row],[Runtime_minutes]]&lt;90,"Short",IF(Table1[[#This Row],[Runtime_minutes]]&lt;=120,"Medium","Long"))</f>
        <v>Long</v>
      </c>
      <c r="H805" t="s">
        <v>868</v>
      </c>
      <c r="K805">
        <v>6.1</v>
      </c>
      <c r="M805" t="s">
        <v>3239</v>
      </c>
      <c r="N805" t="s">
        <v>86</v>
      </c>
      <c r="O805" t="s">
        <v>3240</v>
      </c>
      <c r="P805">
        <v>699887</v>
      </c>
      <c r="Q805" s="3">
        <v>224.88</v>
      </c>
      <c r="R805" s="3">
        <f>IF(Table1[[#This Row],[Gross_millions]]=" ",0,Table1[[#This Row],[Gross_millions]])</f>
        <v>224.88</v>
      </c>
      <c r="S805" t="str">
        <f>IF(Table1[[#This Row],[Gross_millions_Clean]]&gt;200,"Blockbuster",IF(Table1[[#This Row],[Gross_millions_Clean]]&gt;100,"Hit","Average"))</f>
        <v>Blockbuster</v>
      </c>
    </row>
    <row r="806" spans="1:19" x14ac:dyDescent="0.3">
      <c r="A806" t="s">
        <v>3241</v>
      </c>
      <c r="B806" t="s">
        <v>3242</v>
      </c>
      <c r="C806">
        <v>2002</v>
      </c>
      <c r="D806" s="8">
        <f>FLOOR(Table1[[#This Row],[Year]],10)</f>
        <v>2000</v>
      </c>
      <c r="E806" t="s">
        <v>17</v>
      </c>
      <c r="F806">
        <v>120</v>
      </c>
      <c r="G806" t="str">
        <f>IF(Table1[[#This Row],[Runtime_minutes]]&lt;90,"Short",IF(Table1[[#This Row],[Runtime_minutes]]&lt;=120,"Medium","Long"))</f>
        <v>Medium</v>
      </c>
      <c r="H806" t="s">
        <v>43</v>
      </c>
      <c r="I806" t="s">
        <v>3993</v>
      </c>
      <c r="K806">
        <v>6.1</v>
      </c>
      <c r="M806" t="s">
        <v>136</v>
      </c>
      <c r="N806" t="s">
        <v>80</v>
      </c>
      <c r="O806" t="s">
        <v>3244</v>
      </c>
      <c r="P806">
        <v>158327</v>
      </c>
      <c r="Q806" s="3"/>
      <c r="R806" s="3">
        <f>IF(Table1[[#This Row],[Gross_millions]]=" ",0,Table1[[#This Row],[Gross_millions]])</f>
        <v>0</v>
      </c>
      <c r="S806" t="str">
        <f>IF(Table1[[#This Row],[Gross_millions_Clean]]&gt;200,"Blockbuster",IF(Table1[[#This Row],[Gross_millions_Clean]]&gt;100,"Hit","Average"))</f>
        <v>Average</v>
      </c>
    </row>
    <row r="807" spans="1:19" x14ac:dyDescent="0.3">
      <c r="A807" t="s">
        <v>3245</v>
      </c>
      <c r="B807" t="s">
        <v>3246</v>
      </c>
      <c r="C807">
        <v>1997</v>
      </c>
      <c r="D807" s="8">
        <f>FLOOR(Table1[[#This Row],[Year]],10)</f>
        <v>1990</v>
      </c>
      <c r="E807" t="s">
        <v>54</v>
      </c>
      <c r="F807">
        <v>124</v>
      </c>
      <c r="G807" t="str">
        <f>IF(Table1[[#This Row],[Runtime_minutes]]&lt;90,"Short",IF(Table1[[#This Row],[Runtime_minutes]]&lt;=120,"Medium","Long"))</f>
        <v>Long</v>
      </c>
      <c r="H807" t="s">
        <v>767</v>
      </c>
      <c r="I807" t="s">
        <v>3981</v>
      </c>
      <c r="K807">
        <v>6.1</v>
      </c>
      <c r="M807" t="s">
        <v>3247</v>
      </c>
      <c r="N807" t="s">
        <v>326</v>
      </c>
      <c r="O807" t="s">
        <v>3248</v>
      </c>
      <c r="P807">
        <v>7091</v>
      </c>
      <c r="Q807" s="3">
        <v>233.68</v>
      </c>
      <c r="R807" s="3">
        <f>IF(Table1[[#This Row],[Gross_millions]]=" ",0,Table1[[#This Row],[Gross_millions]])</f>
        <v>233.68</v>
      </c>
      <c r="S807" t="str">
        <f>IF(Table1[[#This Row],[Gross_millions_Clean]]&gt;200,"Blockbuster",IF(Table1[[#This Row],[Gross_millions_Clean]]&gt;100,"Hit","Average"))</f>
        <v>Blockbuster</v>
      </c>
    </row>
    <row r="808" spans="1:19" x14ac:dyDescent="0.3">
      <c r="A808" t="s">
        <v>3249</v>
      </c>
      <c r="B808" t="s">
        <v>3250</v>
      </c>
      <c r="C808">
        <v>2007</v>
      </c>
      <c r="D808" s="8">
        <f>FLOOR(Table1[[#This Row],[Year]],10)</f>
        <v>2000</v>
      </c>
      <c r="E808" t="s">
        <v>17</v>
      </c>
      <c r="F808">
        <v>119</v>
      </c>
      <c r="G808" t="str">
        <f>IF(Table1[[#This Row],[Runtime_minutes]]&lt;90,"Short",IF(Table1[[#This Row],[Runtime_minutes]]&lt;=120,"Medium","Long"))</f>
        <v>Medium</v>
      </c>
      <c r="H808" t="s">
        <v>43</v>
      </c>
      <c r="I808" t="s">
        <v>3991</v>
      </c>
      <c r="K808">
        <v>6.1</v>
      </c>
      <c r="L808">
        <v>67</v>
      </c>
      <c r="M808" t="s">
        <v>1363</v>
      </c>
      <c r="N808" t="s">
        <v>86</v>
      </c>
      <c r="O808" t="s">
        <v>3251</v>
      </c>
      <c r="P808">
        <v>1577</v>
      </c>
      <c r="Q808" s="3">
        <v>478.37</v>
      </c>
      <c r="R808" s="3">
        <f>IF(Table1[[#This Row],[Gross_millions]]=" ",0,Table1[[#This Row],[Gross_millions]])</f>
        <v>478.37</v>
      </c>
      <c r="S808" t="str">
        <f>IF(Table1[[#This Row],[Gross_millions_Clean]]&gt;200,"Blockbuster",IF(Table1[[#This Row],[Gross_millions_Clean]]&gt;100,"Hit","Average"))</f>
        <v>Blockbuster</v>
      </c>
    </row>
    <row r="809" spans="1:19" x14ac:dyDescent="0.3">
      <c r="A809" t="s">
        <v>3252</v>
      </c>
      <c r="B809" t="s">
        <v>3253</v>
      </c>
      <c r="C809">
        <v>2001</v>
      </c>
      <c r="D809" s="8">
        <f>FLOOR(Table1[[#This Row],[Year]],10)</f>
        <v>2000</v>
      </c>
      <c r="E809" t="s">
        <v>24</v>
      </c>
      <c r="F809">
        <v>107</v>
      </c>
      <c r="G809" t="str">
        <f>IF(Table1[[#This Row],[Runtime_minutes]]&lt;90,"Short",IF(Table1[[#This Row],[Runtime_minutes]]&lt;=120,"Medium","Long"))</f>
        <v>Medium</v>
      </c>
      <c r="H809" t="s">
        <v>1044</v>
      </c>
      <c r="I809" t="s">
        <v>3987</v>
      </c>
      <c r="K809">
        <v>6.1</v>
      </c>
      <c r="L809">
        <v>57</v>
      </c>
      <c r="M809" t="s">
        <v>3254</v>
      </c>
      <c r="N809" t="s">
        <v>74</v>
      </c>
      <c r="O809" t="s">
        <v>3255</v>
      </c>
      <c r="P809">
        <v>29024</v>
      </c>
      <c r="Q809" s="3">
        <v>84.25</v>
      </c>
      <c r="R809" s="3">
        <f>IF(Table1[[#This Row],[Gross_millions]]=" ",0,Table1[[#This Row],[Gross_millions]])</f>
        <v>84.25</v>
      </c>
      <c r="S809" t="str">
        <f>IF(Table1[[#This Row],[Gross_millions_Clean]]&gt;200,"Blockbuster",IF(Table1[[#This Row],[Gross_millions_Clean]]&gt;100,"Hit","Average"))</f>
        <v>Average</v>
      </c>
    </row>
    <row r="810" spans="1:19" x14ac:dyDescent="0.3">
      <c r="A810" t="s">
        <v>3256</v>
      </c>
      <c r="B810" t="s">
        <v>3257</v>
      </c>
      <c r="C810">
        <v>1988</v>
      </c>
      <c r="D810" s="8">
        <f>FLOOR(Table1[[#This Row],[Year]],10)</f>
        <v>1980</v>
      </c>
      <c r="E810" t="s">
        <v>17</v>
      </c>
      <c r="F810">
        <v>163</v>
      </c>
      <c r="G810" t="str">
        <f>IF(Table1[[#This Row],[Runtime_minutes]]&lt;90,"Short",IF(Table1[[#This Row],[Runtime_minutes]]&lt;=120,"Medium","Long"))</f>
        <v>Long</v>
      </c>
      <c r="H810" t="s">
        <v>235</v>
      </c>
      <c r="I810" t="s">
        <v>3981</v>
      </c>
      <c r="K810">
        <v>6.1</v>
      </c>
      <c r="L810">
        <v>71</v>
      </c>
      <c r="M810" t="s">
        <v>3259</v>
      </c>
      <c r="N810" t="s">
        <v>159</v>
      </c>
      <c r="O810" t="s">
        <v>3260</v>
      </c>
      <c r="P810">
        <v>10194</v>
      </c>
      <c r="Q810" s="3">
        <v>50.17</v>
      </c>
      <c r="R810" s="3">
        <f>IF(Table1[[#This Row],[Gross_millions]]=" ",0,Table1[[#This Row],[Gross_millions]])</f>
        <v>50.17</v>
      </c>
      <c r="S810" t="str">
        <f>IF(Table1[[#This Row],[Gross_millions_Clean]]&gt;200,"Blockbuster",IF(Table1[[#This Row],[Gross_millions_Clean]]&gt;100,"Hit","Average"))</f>
        <v>Average</v>
      </c>
    </row>
    <row r="811" spans="1:19" x14ac:dyDescent="0.3">
      <c r="A811" t="s">
        <v>3261</v>
      </c>
      <c r="B811" t="s">
        <v>3262</v>
      </c>
      <c r="C811">
        <v>2022</v>
      </c>
      <c r="D811" s="8">
        <f>FLOOR(Table1[[#This Row],[Year]],10)</f>
        <v>2020</v>
      </c>
      <c r="E811" t="s">
        <v>54</v>
      </c>
      <c r="F811">
        <v>105</v>
      </c>
      <c r="G811" t="str">
        <f>IF(Table1[[#This Row],[Runtime_minutes]]&lt;90,"Short",IF(Table1[[#This Row],[Runtime_minutes]]&lt;=120,"Medium","Long"))</f>
        <v>Medium</v>
      </c>
      <c r="H811" t="s">
        <v>72</v>
      </c>
      <c r="I811" t="s">
        <v>3992</v>
      </c>
      <c r="K811">
        <v>6.1</v>
      </c>
      <c r="L811">
        <v>53</v>
      </c>
      <c r="M811" t="s">
        <v>491</v>
      </c>
      <c r="N811" t="s">
        <v>159</v>
      </c>
      <c r="O811" t="s">
        <v>3263</v>
      </c>
      <c r="P811">
        <v>80890</v>
      </c>
      <c r="Q811" s="3">
        <v>369.21</v>
      </c>
      <c r="R811" s="3">
        <f>IF(Table1[[#This Row],[Gross_millions]]=" ",0,Table1[[#This Row],[Gross_millions]])</f>
        <v>369.21</v>
      </c>
      <c r="S811" t="str">
        <f>IF(Table1[[#This Row],[Gross_millions_Clean]]&gt;200,"Blockbuster",IF(Table1[[#This Row],[Gross_millions_Clean]]&gt;100,"Hit","Average"))</f>
        <v>Blockbuster</v>
      </c>
    </row>
    <row r="812" spans="1:19" x14ac:dyDescent="0.3">
      <c r="A812" t="s">
        <v>3264</v>
      </c>
      <c r="B812" t="s">
        <v>3265</v>
      </c>
      <c r="C812">
        <v>1988</v>
      </c>
      <c r="D812" s="8">
        <f>FLOOR(Table1[[#This Row],[Year]],10)</f>
        <v>1980</v>
      </c>
      <c r="E812" t="s">
        <v>17</v>
      </c>
      <c r="F812">
        <v>108</v>
      </c>
      <c r="G812" t="str">
        <f>IF(Table1[[#This Row],[Runtime_minutes]]&lt;90,"Short",IF(Table1[[#This Row],[Runtime_minutes]]&lt;=120,"Medium","Long"))</f>
        <v>Medium</v>
      </c>
      <c r="H812" t="s">
        <v>55</v>
      </c>
      <c r="I812" t="s">
        <v>3988</v>
      </c>
      <c r="K812">
        <v>6.1</v>
      </c>
      <c r="M812" t="s">
        <v>3266</v>
      </c>
      <c r="N812" t="s">
        <v>236</v>
      </c>
      <c r="O812" t="s">
        <v>3267</v>
      </c>
      <c r="P812">
        <v>51777</v>
      </c>
      <c r="Q812" s="3"/>
      <c r="R812" s="3">
        <f>IF(Table1[[#This Row],[Gross_millions]]=" ",0,Table1[[#This Row],[Gross_millions]])</f>
        <v>0</v>
      </c>
      <c r="S812" t="str">
        <f>IF(Table1[[#This Row],[Gross_millions_Clean]]&gt;200,"Blockbuster",IF(Table1[[#This Row],[Gross_millions_Clean]]&gt;100,"Hit","Average"))</f>
        <v>Average</v>
      </c>
    </row>
    <row r="813" spans="1:19" x14ac:dyDescent="0.3">
      <c r="A813" t="s">
        <v>3268</v>
      </c>
      <c r="B813" t="s">
        <v>3269</v>
      </c>
      <c r="C813">
        <v>2020</v>
      </c>
      <c r="D813" s="8">
        <f>FLOOR(Table1[[#This Row],[Year]],10)</f>
        <v>2020</v>
      </c>
      <c r="E813" t="s">
        <v>17</v>
      </c>
      <c r="F813">
        <v>121</v>
      </c>
      <c r="G813" t="str">
        <f>IF(Table1[[#This Row],[Runtime_minutes]]&lt;90,"Short",IF(Table1[[#This Row],[Runtime_minutes]]&lt;=120,"Medium","Long"))</f>
        <v>Long</v>
      </c>
      <c r="H813" t="s">
        <v>767</v>
      </c>
      <c r="I813" t="s">
        <v>3990</v>
      </c>
      <c r="J813" t="s">
        <v>3985</v>
      </c>
      <c r="K813">
        <v>6.1</v>
      </c>
      <c r="L813">
        <v>60</v>
      </c>
      <c r="M813" t="s">
        <v>915</v>
      </c>
      <c r="N813" t="s">
        <v>125</v>
      </c>
      <c r="O813" t="s">
        <v>3271</v>
      </c>
      <c r="P813">
        <v>17228</v>
      </c>
      <c r="Q813" s="3"/>
      <c r="R813" s="3">
        <f>IF(Table1[[#This Row],[Gross_millions]]=" ",0,Table1[[#This Row],[Gross_millions]])</f>
        <v>0</v>
      </c>
      <c r="S813" t="str">
        <f>IF(Table1[[#This Row],[Gross_millions_Clean]]&gt;200,"Blockbuster",IF(Table1[[#This Row],[Gross_millions_Clean]]&gt;100,"Hit","Average"))</f>
        <v>Average</v>
      </c>
    </row>
    <row r="814" spans="1:19" x14ac:dyDescent="0.3">
      <c r="A814" t="s">
        <v>3272</v>
      </c>
      <c r="B814" t="s">
        <v>3273</v>
      </c>
      <c r="C814">
        <v>2000</v>
      </c>
      <c r="D814" s="8">
        <f>FLOOR(Table1[[#This Row],[Year]],10)</f>
        <v>2000</v>
      </c>
      <c r="E814" t="s">
        <v>54</v>
      </c>
      <c r="F814">
        <v>108</v>
      </c>
      <c r="G814" t="str">
        <f>IF(Table1[[#This Row],[Runtime_minutes]]&lt;90,"Short",IF(Table1[[#This Row],[Runtime_minutes]]&lt;=120,"Medium","Long"))</f>
        <v>Medium</v>
      </c>
      <c r="H814" t="s">
        <v>235</v>
      </c>
      <c r="K814">
        <v>6.1</v>
      </c>
      <c r="L814">
        <v>62</v>
      </c>
      <c r="M814" t="s">
        <v>683</v>
      </c>
      <c r="N814" t="s">
        <v>86</v>
      </c>
      <c r="O814" t="s">
        <v>3274</v>
      </c>
      <c r="P814">
        <v>121433</v>
      </c>
      <c r="Q814" s="3"/>
      <c r="R814" s="3">
        <f>IF(Table1[[#This Row],[Gross_millions]]=" ",0,Table1[[#This Row],[Gross_millions]])</f>
        <v>0</v>
      </c>
      <c r="S814" t="str">
        <f>IF(Table1[[#This Row],[Gross_millions_Clean]]&gt;200,"Blockbuster",IF(Table1[[#This Row],[Gross_millions_Clean]]&gt;100,"Hit","Average"))</f>
        <v>Average</v>
      </c>
    </row>
    <row r="815" spans="1:19" x14ac:dyDescent="0.3">
      <c r="A815" t="s">
        <v>3275</v>
      </c>
      <c r="B815" t="s">
        <v>3276</v>
      </c>
      <c r="C815">
        <v>2005</v>
      </c>
      <c r="D815" s="8">
        <f>FLOOR(Table1[[#This Row],[Year]],10)</f>
        <v>2000</v>
      </c>
      <c r="E815" t="s">
        <v>24</v>
      </c>
      <c r="F815">
        <v>116</v>
      </c>
      <c r="G815" t="str">
        <f>IF(Table1[[#This Row],[Runtime_minutes]]&lt;90,"Short",IF(Table1[[#This Row],[Runtime_minutes]]&lt;=120,"Medium","Long"))</f>
        <v>Medium</v>
      </c>
      <c r="H815" t="s">
        <v>72</v>
      </c>
      <c r="K815">
        <v>6.1</v>
      </c>
      <c r="M815" t="s">
        <v>3277</v>
      </c>
      <c r="N815" t="s">
        <v>524</v>
      </c>
      <c r="O815" t="s">
        <v>3278</v>
      </c>
      <c r="P815">
        <v>21747</v>
      </c>
      <c r="Q815" s="3"/>
      <c r="R815" s="3">
        <f>IF(Table1[[#This Row],[Gross_millions]]=" ",0,Table1[[#This Row],[Gross_millions]])</f>
        <v>0</v>
      </c>
      <c r="S815" t="str">
        <f>IF(Table1[[#This Row],[Gross_millions_Clean]]&gt;200,"Blockbuster",IF(Table1[[#This Row],[Gross_millions_Clean]]&gt;100,"Hit","Average"))</f>
        <v>Average</v>
      </c>
    </row>
    <row r="816" spans="1:19" x14ac:dyDescent="0.3">
      <c r="A816" t="s">
        <v>3279</v>
      </c>
      <c r="B816" t="s">
        <v>3280</v>
      </c>
      <c r="C816">
        <v>2018</v>
      </c>
      <c r="D816" s="8">
        <f>FLOOR(Table1[[#This Row],[Year]],10)</f>
        <v>2010</v>
      </c>
      <c r="E816" t="s">
        <v>17</v>
      </c>
      <c r="F816">
        <v>110</v>
      </c>
      <c r="G816" t="str">
        <f>IF(Table1[[#This Row],[Runtime_minutes]]&lt;90,"Short",IF(Table1[[#This Row],[Runtime_minutes]]&lt;=120,"Medium","Long"))</f>
        <v>Medium</v>
      </c>
      <c r="H816" t="s">
        <v>230</v>
      </c>
      <c r="I816" t="s">
        <v>3985</v>
      </c>
      <c r="K816">
        <v>6</v>
      </c>
      <c r="L816">
        <v>72</v>
      </c>
      <c r="M816" t="s">
        <v>3281</v>
      </c>
      <c r="N816" t="s">
        <v>131</v>
      </c>
      <c r="O816" t="s">
        <v>3282</v>
      </c>
      <c r="P816">
        <v>250935</v>
      </c>
      <c r="Q816" s="3"/>
      <c r="R816" s="3">
        <f>IF(Table1[[#This Row],[Gross_millions]]=" ",0,Table1[[#This Row],[Gross_millions]])</f>
        <v>0</v>
      </c>
      <c r="S816" t="str">
        <f>IF(Table1[[#This Row],[Gross_millions_Clean]]&gt;200,"Blockbuster",IF(Table1[[#This Row],[Gross_millions_Clean]]&gt;100,"Hit","Average"))</f>
        <v>Average</v>
      </c>
    </row>
    <row r="817" spans="1:19" x14ac:dyDescent="0.3">
      <c r="A817" t="s">
        <v>3283</v>
      </c>
      <c r="B817" t="s">
        <v>3284</v>
      </c>
      <c r="C817">
        <v>2017</v>
      </c>
      <c r="D817" s="8">
        <f>FLOOR(Table1[[#This Row],[Year]],10)</f>
        <v>2010</v>
      </c>
      <c r="E817" t="s">
        <v>17</v>
      </c>
      <c r="F817">
        <v>143</v>
      </c>
      <c r="G817" t="str">
        <f>IF(Table1[[#This Row],[Runtime_minutes]]&lt;90,"Short",IF(Table1[[#This Row],[Runtime_minutes]]&lt;=120,"Medium","Long"))</f>
        <v>Long</v>
      </c>
      <c r="H817" t="s">
        <v>235</v>
      </c>
      <c r="I817" t="s">
        <v>3992</v>
      </c>
      <c r="K817">
        <v>6</v>
      </c>
      <c r="M817" t="s">
        <v>3285</v>
      </c>
      <c r="N817" t="s">
        <v>113</v>
      </c>
      <c r="O817" t="s">
        <v>3286</v>
      </c>
      <c r="P817">
        <v>85609</v>
      </c>
      <c r="Q817" s="3">
        <v>248.38</v>
      </c>
      <c r="R817" s="3">
        <f>IF(Table1[[#This Row],[Gross_millions]]=" ",0,Table1[[#This Row],[Gross_millions]])</f>
        <v>248.38</v>
      </c>
      <c r="S817" t="str">
        <f>IF(Table1[[#This Row],[Gross_millions_Clean]]&gt;200,"Blockbuster",IF(Table1[[#This Row],[Gross_millions_Clean]]&gt;100,"Hit","Average"))</f>
        <v>Blockbuster</v>
      </c>
    </row>
    <row r="818" spans="1:19" x14ac:dyDescent="0.3">
      <c r="A818" t="s">
        <v>3287</v>
      </c>
      <c r="B818" t="s">
        <v>3288</v>
      </c>
      <c r="C818">
        <v>2006</v>
      </c>
      <c r="D818" s="8">
        <f>FLOOR(Table1[[#This Row],[Year]],10)</f>
        <v>2000</v>
      </c>
      <c r="E818" t="s">
        <v>54</v>
      </c>
      <c r="F818">
        <v>115</v>
      </c>
      <c r="G818" t="str">
        <f>IF(Table1[[#This Row],[Runtime_minutes]]&lt;90,"Short",IF(Table1[[#This Row],[Runtime_minutes]]&lt;=120,"Medium","Long"))</f>
        <v>Medium</v>
      </c>
      <c r="H818" t="s">
        <v>55</v>
      </c>
      <c r="K818">
        <v>6</v>
      </c>
      <c r="L818">
        <v>59</v>
      </c>
      <c r="M818" t="s">
        <v>1207</v>
      </c>
      <c r="N818" t="s">
        <v>547</v>
      </c>
      <c r="O818" t="s">
        <v>3289</v>
      </c>
      <c r="P818">
        <v>1554110</v>
      </c>
      <c r="Q818" s="3">
        <v>213.99</v>
      </c>
      <c r="R818" s="3">
        <f>IF(Table1[[#This Row],[Gross_millions]]=" ",0,Table1[[#This Row],[Gross_millions]])</f>
        <v>213.99</v>
      </c>
      <c r="S818" t="str">
        <f>IF(Table1[[#This Row],[Gross_millions_Clean]]&gt;200,"Blockbuster",IF(Table1[[#This Row],[Gross_millions_Clean]]&gt;100,"Hit","Average"))</f>
        <v>Blockbuster</v>
      </c>
    </row>
    <row r="819" spans="1:19" x14ac:dyDescent="0.3">
      <c r="A819" t="s">
        <v>3290</v>
      </c>
      <c r="B819" t="s">
        <v>3291</v>
      </c>
      <c r="C819">
        <v>2003</v>
      </c>
      <c r="D819" s="8">
        <f>FLOOR(Table1[[#This Row],[Year]],10)</f>
        <v>2000</v>
      </c>
      <c r="E819" t="s">
        <v>285</v>
      </c>
      <c r="F819">
        <v>111</v>
      </c>
      <c r="G819" t="str">
        <f>IF(Table1[[#This Row],[Runtime_minutes]]&lt;90,"Short",IF(Table1[[#This Row],[Runtime_minutes]]&lt;=120,"Medium","Long"))</f>
        <v>Medium</v>
      </c>
      <c r="H819" t="s">
        <v>72</v>
      </c>
      <c r="K819">
        <v>6</v>
      </c>
      <c r="L819">
        <v>46</v>
      </c>
      <c r="M819" t="s">
        <v>578</v>
      </c>
      <c r="N819" t="s">
        <v>518</v>
      </c>
      <c r="O819" t="s">
        <v>3292</v>
      </c>
      <c r="P819">
        <v>46192</v>
      </c>
      <c r="Q819" s="3">
        <v>287.14999999999998</v>
      </c>
      <c r="R819" s="3">
        <f>IF(Table1[[#This Row],[Gross_millions]]=" ",0,Table1[[#This Row],[Gross_millions]])</f>
        <v>287.14999999999998</v>
      </c>
      <c r="S819" t="str">
        <f>IF(Table1[[#This Row],[Gross_millions_Clean]]&gt;200,"Blockbuster",IF(Table1[[#This Row],[Gross_millions_Clean]]&gt;100,"Hit","Average"))</f>
        <v>Blockbuster</v>
      </c>
    </row>
    <row r="820" spans="1:19" x14ac:dyDescent="0.3">
      <c r="A820" t="s">
        <v>3293</v>
      </c>
      <c r="B820" t="s">
        <v>3294</v>
      </c>
      <c r="C820">
        <v>1980</v>
      </c>
      <c r="D820" s="8">
        <f>FLOOR(Table1[[#This Row],[Year]],10)</f>
        <v>1980</v>
      </c>
      <c r="E820" t="s">
        <v>54</v>
      </c>
      <c r="F820">
        <v>136</v>
      </c>
      <c r="G820" t="str">
        <f>IF(Table1[[#This Row],[Runtime_minutes]]&lt;90,"Short",IF(Table1[[#This Row],[Runtime_minutes]]&lt;=120,"Medium","Long"))</f>
        <v>Long</v>
      </c>
      <c r="H820" t="s">
        <v>72</v>
      </c>
      <c r="I820" t="s">
        <v>3977</v>
      </c>
      <c r="J820" t="s">
        <v>3987</v>
      </c>
      <c r="K820">
        <v>6</v>
      </c>
      <c r="L820">
        <v>70</v>
      </c>
      <c r="M820" t="s">
        <v>471</v>
      </c>
      <c r="N820" t="s">
        <v>251</v>
      </c>
      <c r="O820" t="s">
        <v>3296</v>
      </c>
      <c r="P820">
        <v>39995</v>
      </c>
      <c r="Q820" s="3">
        <v>60.63</v>
      </c>
      <c r="R820" s="3">
        <f>IF(Table1[[#This Row],[Gross_millions]]=" ",0,Table1[[#This Row],[Gross_millions]])</f>
        <v>60.63</v>
      </c>
      <c r="S820" t="str">
        <f>IF(Table1[[#This Row],[Gross_millions_Clean]]&gt;200,"Blockbuster",IF(Table1[[#This Row],[Gross_millions_Clean]]&gt;100,"Hit","Average"))</f>
        <v>Average</v>
      </c>
    </row>
    <row r="821" spans="1:19" x14ac:dyDescent="0.3">
      <c r="A821" t="s">
        <v>3297</v>
      </c>
      <c r="B821" t="s">
        <v>3298</v>
      </c>
      <c r="C821">
        <v>2007</v>
      </c>
      <c r="D821" s="8">
        <f>FLOOR(Table1[[#This Row],[Year]],10)</f>
        <v>2000</v>
      </c>
      <c r="E821" t="s">
        <v>24</v>
      </c>
      <c r="F821">
        <v>97</v>
      </c>
      <c r="G821" t="str">
        <f>IF(Table1[[#This Row],[Runtime_minutes]]&lt;90,"Short",IF(Table1[[#This Row],[Runtime_minutes]]&lt;=120,"Medium","Long"))</f>
        <v>Medium</v>
      </c>
      <c r="H821" t="s">
        <v>235</v>
      </c>
      <c r="I821" t="s">
        <v>3982</v>
      </c>
      <c r="J821" t="s">
        <v>3978</v>
      </c>
      <c r="K821">
        <v>6</v>
      </c>
      <c r="L821">
        <v>49</v>
      </c>
      <c r="M821" t="s">
        <v>3300</v>
      </c>
      <c r="N821" t="s">
        <v>80</v>
      </c>
      <c r="O821" t="s">
        <v>3301</v>
      </c>
      <c r="P821">
        <v>275541</v>
      </c>
      <c r="Q821" s="3"/>
      <c r="R821" s="3">
        <f>IF(Table1[[#This Row],[Gross_millions]]=" ",0,Table1[[#This Row],[Gross_millions]])</f>
        <v>0</v>
      </c>
      <c r="S821" t="str">
        <f>IF(Table1[[#This Row],[Gross_millions_Clean]]&gt;200,"Blockbuster",IF(Table1[[#This Row],[Gross_millions_Clean]]&gt;100,"Hit","Average"))</f>
        <v>Average</v>
      </c>
    </row>
    <row r="822" spans="1:19" x14ac:dyDescent="0.3">
      <c r="A822" t="s">
        <v>3302</v>
      </c>
      <c r="B822" t="s">
        <v>3303</v>
      </c>
      <c r="C822">
        <v>2013</v>
      </c>
      <c r="D822" s="8">
        <f>FLOOR(Table1[[#This Row],[Year]],10)</f>
        <v>2010</v>
      </c>
      <c r="E822" t="s">
        <v>17</v>
      </c>
      <c r="F822">
        <v>131</v>
      </c>
      <c r="G822" t="str">
        <f>IF(Table1[[#This Row],[Runtime_minutes]]&lt;90,"Short",IF(Table1[[#This Row],[Runtime_minutes]]&lt;=120,"Medium","Long"))</f>
        <v>Long</v>
      </c>
      <c r="H822" t="s">
        <v>235</v>
      </c>
      <c r="I822" t="s">
        <v>3981</v>
      </c>
      <c r="K822">
        <v>6</v>
      </c>
      <c r="M822" t="s">
        <v>3304</v>
      </c>
      <c r="N822" t="s">
        <v>608</v>
      </c>
      <c r="O822" t="s">
        <v>3305</v>
      </c>
      <c r="P822">
        <v>32014</v>
      </c>
      <c r="Q822" s="3"/>
      <c r="R822" s="3">
        <f>IF(Table1[[#This Row],[Gross_millions]]=" ",0,Table1[[#This Row],[Gross_millions]])</f>
        <v>0</v>
      </c>
      <c r="S822" t="str">
        <f>IF(Table1[[#This Row],[Gross_millions_Clean]]&gt;200,"Blockbuster",IF(Table1[[#This Row],[Gross_millions_Clean]]&gt;100,"Hit","Average"))</f>
        <v>Average</v>
      </c>
    </row>
    <row r="823" spans="1:19" x14ac:dyDescent="0.3">
      <c r="A823" t="s">
        <v>3306</v>
      </c>
      <c r="B823" t="s">
        <v>3307</v>
      </c>
      <c r="C823">
        <v>2008</v>
      </c>
      <c r="D823" s="8">
        <f>FLOOR(Table1[[#This Row],[Year]],10)</f>
        <v>2000</v>
      </c>
      <c r="E823" t="s">
        <v>285</v>
      </c>
      <c r="F823">
        <v>115</v>
      </c>
      <c r="G823" t="str">
        <f>IF(Table1[[#This Row],[Runtime_minutes]]&lt;90,"Short",IF(Table1[[#This Row],[Runtime_minutes]]&lt;=120,"Medium","Long"))</f>
        <v>Medium</v>
      </c>
      <c r="H823" t="s">
        <v>235</v>
      </c>
      <c r="K823">
        <v>6</v>
      </c>
      <c r="M823" t="s">
        <v>201</v>
      </c>
      <c r="N823" t="s">
        <v>159</v>
      </c>
      <c r="O823" t="s">
        <v>3308</v>
      </c>
      <c r="P823">
        <v>17321</v>
      </c>
      <c r="Q823" s="3">
        <v>317.42</v>
      </c>
      <c r="R823" s="3">
        <f>IF(Table1[[#This Row],[Gross_millions]]=" ",0,Table1[[#This Row],[Gross_millions]])</f>
        <v>317.42</v>
      </c>
      <c r="S823" t="str">
        <f>IF(Table1[[#This Row],[Gross_millions_Clean]]&gt;200,"Blockbuster",IF(Table1[[#This Row],[Gross_millions_Clean]]&gt;100,"Hit","Average"))</f>
        <v>Blockbuster</v>
      </c>
    </row>
    <row r="824" spans="1:19" x14ac:dyDescent="0.3">
      <c r="A824" t="s">
        <v>3309</v>
      </c>
      <c r="B824" t="s">
        <v>3310</v>
      </c>
      <c r="C824">
        <v>2020</v>
      </c>
      <c r="D824" s="8">
        <f>FLOOR(Table1[[#This Row],[Year]],10)</f>
        <v>2020</v>
      </c>
      <c r="E824" t="s">
        <v>17</v>
      </c>
      <c r="F824">
        <v>138</v>
      </c>
      <c r="G824" t="str">
        <f>IF(Table1[[#This Row],[Runtime_minutes]]&lt;90,"Short",IF(Table1[[#This Row],[Runtime_minutes]]&lt;=120,"Medium","Long"))</f>
        <v>Long</v>
      </c>
      <c r="H824" t="s">
        <v>55</v>
      </c>
      <c r="K824">
        <v>6</v>
      </c>
      <c r="L824">
        <v>61</v>
      </c>
      <c r="M824" t="s">
        <v>2292</v>
      </c>
      <c r="N824" t="s">
        <v>326</v>
      </c>
      <c r="O824" t="s">
        <v>3311</v>
      </c>
      <c r="P824">
        <v>584741</v>
      </c>
      <c r="Q824" s="3"/>
      <c r="R824" s="3">
        <f>IF(Table1[[#This Row],[Gross_millions]]=" ",0,Table1[[#This Row],[Gross_millions]])</f>
        <v>0</v>
      </c>
      <c r="S824" t="str">
        <f>IF(Table1[[#This Row],[Gross_millions_Clean]]&gt;200,"Blockbuster",IF(Table1[[#This Row],[Gross_millions_Clean]]&gt;100,"Hit","Average"))</f>
        <v>Average</v>
      </c>
    </row>
    <row r="825" spans="1:19" x14ac:dyDescent="0.3">
      <c r="A825" t="s">
        <v>3312</v>
      </c>
      <c r="B825" t="s">
        <v>3313</v>
      </c>
      <c r="C825">
        <v>2007</v>
      </c>
      <c r="D825" s="8">
        <f>FLOOR(Table1[[#This Row],[Year]],10)</f>
        <v>2000</v>
      </c>
      <c r="E825" t="s">
        <v>54</v>
      </c>
      <c r="F825">
        <v>113</v>
      </c>
      <c r="G825" t="str">
        <f>IF(Table1[[#This Row],[Runtime_minutes]]&lt;90,"Short",IF(Table1[[#This Row],[Runtime_minutes]]&lt;=120,"Medium","Long"))</f>
        <v>Medium</v>
      </c>
      <c r="H825" t="s">
        <v>375</v>
      </c>
      <c r="I825" t="s">
        <v>3984</v>
      </c>
      <c r="K825">
        <v>6</v>
      </c>
      <c r="M825" t="s">
        <v>381</v>
      </c>
      <c r="N825" t="s">
        <v>315</v>
      </c>
      <c r="O825" t="s">
        <v>3314</v>
      </c>
      <c r="P825">
        <v>15835</v>
      </c>
      <c r="Q825" s="3"/>
      <c r="R825" s="3">
        <f>IF(Table1[[#This Row],[Gross_millions]]=" ",0,Table1[[#This Row],[Gross_millions]])</f>
        <v>0</v>
      </c>
      <c r="S825" t="str">
        <f>IF(Table1[[#This Row],[Gross_millions_Clean]]&gt;200,"Blockbuster",IF(Table1[[#This Row],[Gross_millions_Clean]]&gt;100,"Hit","Average"))</f>
        <v>Average</v>
      </c>
    </row>
    <row r="826" spans="1:19" x14ac:dyDescent="0.3">
      <c r="A826" t="s">
        <v>3315</v>
      </c>
      <c r="B826" t="s">
        <v>3316</v>
      </c>
      <c r="C826">
        <v>2022</v>
      </c>
      <c r="D826" s="8">
        <f>FLOOR(Table1[[#This Row],[Year]],10)</f>
        <v>2020</v>
      </c>
      <c r="E826" t="s">
        <v>24</v>
      </c>
      <c r="F826">
        <v>119</v>
      </c>
      <c r="G826" t="str">
        <f>IF(Table1[[#This Row],[Runtime_minutes]]&lt;90,"Short",IF(Table1[[#This Row],[Runtime_minutes]]&lt;=120,"Medium","Long"))</f>
        <v>Medium</v>
      </c>
      <c r="H826" t="s">
        <v>277</v>
      </c>
      <c r="I826" t="s">
        <v>3993</v>
      </c>
      <c r="J826" t="s">
        <v>3982</v>
      </c>
      <c r="K826">
        <v>6</v>
      </c>
      <c r="L826">
        <v>65</v>
      </c>
      <c r="M826" t="s">
        <v>3318</v>
      </c>
      <c r="N826" t="s">
        <v>20</v>
      </c>
      <c r="O826" t="s">
        <v>3319</v>
      </c>
      <c r="P826">
        <v>14694</v>
      </c>
      <c r="Q826" s="3">
        <v>366.94</v>
      </c>
      <c r="R826" s="3">
        <f>IF(Table1[[#This Row],[Gross_millions]]=" ",0,Table1[[#This Row],[Gross_millions]])</f>
        <v>366.94</v>
      </c>
      <c r="S826" t="str">
        <f>IF(Table1[[#This Row],[Gross_millions_Clean]]&gt;200,"Blockbuster",IF(Table1[[#This Row],[Gross_millions_Clean]]&gt;100,"Hit","Average"))</f>
        <v>Blockbuster</v>
      </c>
    </row>
    <row r="827" spans="1:19" x14ac:dyDescent="0.3">
      <c r="A827" t="s">
        <v>3320</v>
      </c>
      <c r="B827" t="s">
        <v>3321</v>
      </c>
      <c r="C827">
        <v>1996</v>
      </c>
      <c r="D827" s="8">
        <f>FLOOR(Table1[[#This Row],[Year]],10)</f>
        <v>1990</v>
      </c>
      <c r="E827" t="s">
        <v>17</v>
      </c>
      <c r="F827">
        <v>125</v>
      </c>
      <c r="G827" t="str">
        <f>IF(Table1[[#This Row],[Runtime_minutes]]&lt;90,"Short",IF(Table1[[#This Row],[Runtime_minutes]]&lt;=120,"Medium","Long"))</f>
        <v>Long</v>
      </c>
      <c r="H827" t="s">
        <v>230</v>
      </c>
      <c r="I827" t="s">
        <v>3987</v>
      </c>
      <c r="K827">
        <v>6</v>
      </c>
      <c r="M827" t="s">
        <v>124</v>
      </c>
      <c r="N827" t="s">
        <v>131</v>
      </c>
      <c r="O827" t="s">
        <v>3323</v>
      </c>
      <c r="P827">
        <v>156043</v>
      </c>
      <c r="Q827" s="3">
        <v>14.91</v>
      </c>
      <c r="R827" s="3">
        <f>IF(Table1[[#This Row],[Gross_millions]]=" ",0,Table1[[#This Row],[Gross_millions]])</f>
        <v>14.91</v>
      </c>
      <c r="S827" t="str">
        <f>IF(Table1[[#This Row],[Gross_millions_Clean]]&gt;200,"Blockbuster",IF(Table1[[#This Row],[Gross_millions_Clean]]&gt;100,"Hit","Average"))</f>
        <v>Average</v>
      </c>
    </row>
    <row r="828" spans="1:19" x14ac:dyDescent="0.3">
      <c r="A828" t="s">
        <v>3324</v>
      </c>
      <c r="B828" t="s">
        <v>3325</v>
      </c>
      <c r="C828">
        <v>2001</v>
      </c>
      <c r="D828" s="8">
        <f>FLOOR(Table1[[#This Row],[Year]],10)</f>
        <v>2000</v>
      </c>
      <c r="E828" t="s">
        <v>54</v>
      </c>
      <c r="F828">
        <v>112</v>
      </c>
      <c r="G828" t="str">
        <f>IF(Table1[[#This Row],[Runtime_minutes]]&lt;90,"Short",IF(Table1[[#This Row],[Runtime_minutes]]&lt;=120,"Medium","Long"))</f>
        <v>Medium</v>
      </c>
      <c r="H828" t="s">
        <v>453</v>
      </c>
      <c r="I828" t="s">
        <v>3977</v>
      </c>
      <c r="K828">
        <v>6</v>
      </c>
      <c r="M828" t="s">
        <v>269</v>
      </c>
      <c r="N828" t="s">
        <v>236</v>
      </c>
      <c r="O828" t="s">
        <v>3326</v>
      </c>
      <c r="P828">
        <v>12491</v>
      </c>
      <c r="Q828" s="3"/>
      <c r="R828" s="3">
        <f>IF(Table1[[#This Row],[Gross_millions]]=" ",0,Table1[[#This Row],[Gross_millions]])</f>
        <v>0</v>
      </c>
      <c r="S828" t="str">
        <f>IF(Table1[[#This Row],[Gross_millions_Clean]]&gt;200,"Blockbuster",IF(Table1[[#This Row],[Gross_millions_Clean]]&gt;100,"Hit","Average"))</f>
        <v>Average</v>
      </c>
    </row>
    <row r="829" spans="1:19" x14ac:dyDescent="0.3">
      <c r="A829" t="s">
        <v>3327</v>
      </c>
      <c r="B829" t="s">
        <v>3328</v>
      </c>
      <c r="C829">
        <v>2005</v>
      </c>
      <c r="D829" s="8">
        <f>FLOOR(Table1[[#This Row],[Year]],10)</f>
        <v>2000</v>
      </c>
      <c r="E829" t="s">
        <v>17</v>
      </c>
      <c r="F829">
        <v>135</v>
      </c>
      <c r="G829" t="str">
        <f>IF(Table1[[#This Row],[Runtime_minutes]]&lt;90,"Short",IF(Table1[[#This Row],[Runtime_minutes]]&lt;=120,"Medium","Long"))</f>
        <v>Long</v>
      </c>
      <c r="H829" t="s">
        <v>235</v>
      </c>
      <c r="I829" t="s">
        <v>3991</v>
      </c>
      <c r="J829" t="s">
        <v>3987</v>
      </c>
      <c r="K829">
        <v>6</v>
      </c>
      <c r="L829">
        <v>51</v>
      </c>
      <c r="M829" t="s">
        <v>3330</v>
      </c>
      <c r="N829" t="s">
        <v>137</v>
      </c>
      <c r="O829" t="s">
        <v>3331</v>
      </c>
      <c r="P829">
        <v>220666</v>
      </c>
      <c r="Q829" s="3">
        <v>422.35</v>
      </c>
      <c r="R829" s="3">
        <f>IF(Table1[[#This Row],[Gross_millions]]=" ",0,Table1[[#This Row],[Gross_millions]])</f>
        <v>422.35</v>
      </c>
      <c r="S829" t="str">
        <f>IF(Table1[[#This Row],[Gross_millions_Clean]]&gt;200,"Blockbuster",IF(Table1[[#This Row],[Gross_millions_Clean]]&gt;100,"Hit","Average"))</f>
        <v>Blockbuster</v>
      </c>
    </row>
    <row r="830" spans="1:19" x14ac:dyDescent="0.3">
      <c r="A830" t="s">
        <v>3332</v>
      </c>
      <c r="B830" t="s">
        <v>3333</v>
      </c>
      <c r="C830">
        <v>2012</v>
      </c>
      <c r="D830" s="8">
        <f>FLOOR(Table1[[#This Row],[Year]],10)</f>
        <v>2010</v>
      </c>
      <c r="E830" t="s">
        <v>285</v>
      </c>
      <c r="F830">
        <v>145</v>
      </c>
      <c r="G830" t="str">
        <f>IF(Table1[[#This Row],[Runtime_minutes]]&lt;90,"Short",IF(Table1[[#This Row],[Runtime_minutes]]&lt;=120,"Medium","Long"))</f>
        <v>Long</v>
      </c>
      <c r="H830" t="s">
        <v>78</v>
      </c>
      <c r="I830" t="s">
        <v>3993</v>
      </c>
      <c r="K830">
        <v>6</v>
      </c>
      <c r="L830">
        <v>64</v>
      </c>
      <c r="M830" t="s">
        <v>305</v>
      </c>
      <c r="N830" t="s">
        <v>27</v>
      </c>
      <c r="O830" t="s">
        <v>3334</v>
      </c>
      <c r="P830">
        <v>135295</v>
      </c>
      <c r="Q830" s="3">
        <v>368.92</v>
      </c>
      <c r="R830" s="3">
        <f>IF(Table1[[#This Row],[Gross_millions]]=" ",0,Table1[[#This Row],[Gross_millions]])</f>
        <v>368.92</v>
      </c>
      <c r="S830" t="str">
        <f>IF(Table1[[#This Row],[Gross_millions_Clean]]&gt;200,"Blockbuster",IF(Table1[[#This Row],[Gross_millions_Clean]]&gt;100,"Hit","Average"))</f>
        <v>Blockbuster</v>
      </c>
    </row>
    <row r="831" spans="1:19" x14ac:dyDescent="0.3">
      <c r="A831" t="s">
        <v>3335</v>
      </c>
      <c r="B831" t="s">
        <v>3336</v>
      </c>
      <c r="C831">
        <v>2011</v>
      </c>
      <c r="D831" s="8">
        <f>FLOOR(Table1[[#This Row],[Year]],10)</f>
        <v>2010</v>
      </c>
      <c r="E831" t="s">
        <v>24</v>
      </c>
      <c r="F831">
        <v>117</v>
      </c>
      <c r="G831" t="str">
        <f>IF(Table1[[#This Row],[Runtime_minutes]]&lt;90,"Short",IF(Table1[[#This Row],[Runtime_minutes]]&lt;=120,"Medium","Long"))</f>
        <v>Medium</v>
      </c>
      <c r="H831" t="s">
        <v>210</v>
      </c>
      <c r="I831" t="s">
        <v>3983</v>
      </c>
      <c r="K831">
        <v>6</v>
      </c>
      <c r="M831" t="s">
        <v>19</v>
      </c>
      <c r="N831" t="s">
        <v>196</v>
      </c>
      <c r="O831" t="s">
        <v>3337</v>
      </c>
      <c r="P831">
        <v>19864</v>
      </c>
      <c r="Q831" s="3">
        <v>220.47</v>
      </c>
      <c r="R831" s="3">
        <f>IF(Table1[[#This Row],[Gross_millions]]=" ",0,Table1[[#This Row],[Gross_millions]])</f>
        <v>220.47</v>
      </c>
      <c r="S831" t="str">
        <f>IF(Table1[[#This Row],[Gross_millions_Clean]]&gt;200,"Blockbuster",IF(Table1[[#This Row],[Gross_millions_Clean]]&gt;100,"Hit","Average"))</f>
        <v>Blockbuster</v>
      </c>
    </row>
    <row r="832" spans="1:19" x14ac:dyDescent="0.3">
      <c r="A832" t="s">
        <v>3338</v>
      </c>
      <c r="B832" t="s">
        <v>3339</v>
      </c>
      <c r="C832">
        <v>2022</v>
      </c>
      <c r="D832" s="8">
        <f>FLOOR(Table1[[#This Row],[Year]],10)</f>
        <v>2020</v>
      </c>
      <c r="E832" t="s">
        <v>17</v>
      </c>
      <c r="F832">
        <v>127</v>
      </c>
      <c r="G832" t="str">
        <f>IF(Table1[[#This Row],[Runtime_minutes]]&lt;90,"Short",IF(Table1[[#This Row],[Runtime_minutes]]&lt;=120,"Medium","Long"))</f>
        <v>Long</v>
      </c>
      <c r="H832" t="s">
        <v>37</v>
      </c>
      <c r="I832" t="s">
        <v>3991</v>
      </c>
      <c r="J832" t="s">
        <v>3979</v>
      </c>
      <c r="K832">
        <v>6</v>
      </c>
      <c r="M832" t="s">
        <v>38</v>
      </c>
      <c r="N832" t="s">
        <v>33</v>
      </c>
      <c r="O832" t="s">
        <v>3340</v>
      </c>
      <c r="P832">
        <v>133511</v>
      </c>
      <c r="Q832" s="3">
        <v>357.12</v>
      </c>
      <c r="R832" s="3">
        <f>IF(Table1[[#This Row],[Gross_millions]]=" ",0,Table1[[#This Row],[Gross_millions]])</f>
        <v>357.12</v>
      </c>
      <c r="S832" t="str">
        <f>IF(Table1[[#This Row],[Gross_millions_Clean]]&gt;200,"Blockbuster",IF(Table1[[#This Row],[Gross_millions_Clean]]&gt;100,"Hit","Average"))</f>
        <v>Blockbuster</v>
      </c>
    </row>
    <row r="833" spans="1:19" x14ac:dyDescent="0.3">
      <c r="A833" t="s">
        <v>3341</v>
      </c>
      <c r="B833" t="s">
        <v>3342</v>
      </c>
      <c r="C833">
        <v>2023</v>
      </c>
      <c r="D833" s="8">
        <f>FLOOR(Table1[[#This Row],[Year]],10)</f>
        <v>2020</v>
      </c>
      <c r="E833" t="s">
        <v>54</v>
      </c>
      <c r="F833">
        <v>110</v>
      </c>
      <c r="G833" t="str">
        <f>IF(Table1[[#This Row],[Runtime_minutes]]&lt;90,"Short",IF(Table1[[#This Row],[Runtime_minutes]]&lt;=120,"Medium","Long"))</f>
        <v>Medium</v>
      </c>
      <c r="H833" t="s">
        <v>157</v>
      </c>
      <c r="I833" t="s">
        <v>3981</v>
      </c>
      <c r="J833" t="s">
        <v>3986</v>
      </c>
      <c r="K833">
        <v>6</v>
      </c>
      <c r="L833">
        <v>60</v>
      </c>
      <c r="M833" t="s">
        <v>3344</v>
      </c>
      <c r="N833" t="s">
        <v>547</v>
      </c>
      <c r="O833" t="s">
        <v>3345</v>
      </c>
      <c r="P833">
        <v>169433</v>
      </c>
      <c r="Q833" s="3">
        <v>343.64</v>
      </c>
      <c r="R833" s="3">
        <f>IF(Table1[[#This Row],[Gross_millions]]=" ",0,Table1[[#This Row],[Gross_millions]])</f>
        <v>343.64</v>
      </c>
      <c r="S833" t="str">
        <f>IF(Table1[[#This Row],[Gross_millions_Clean]]&gt;200,"Blockbuster",IF(Table1[[#This Row],[Gross_millions_Clean]]&gt;100,"Hit","Average"))</f>
        <v>Blockbuster</v>
      </c>
    </row>
    <row r="834" spans="1:19" x14ac:dyDescent="0.3">
      <c r="A834" t="s">
        <v>3346</v>
      </c>
      <c r="B834" t="s">
        <v>3347</v>
      </c>
      <c r="C834">
        <v>1988</v>
      </c>
      <c r="D834" s="8">
        <f>FLOOR(Table1[[#This Row],[Year]],10)</f>
        <v>1980</v>
      </c>
      <c r="E834" t="s">
        <v>17</v>
      </c>
      <c r="F834">
        <v>121</v>
      </c>
      <c r="G834" t="str">
        <f>IF(Table1[[#This Row],[Runtime_minutes]]&lt;90,"Short",IF(Table1[[#This Row],[Runtime_minutes]]&lt;=120,"Medium","Long"))</f>
        <v>Long</v>
      </c>
      <c r="H834" t="s">
        <v>157</v>
      </c>
      <c r="I834" t="s">
        <v>3992</v>
      </c>
      <c r="K834">
        <v>6</v>
      </c>
      <c r="M834" t="s">
        <v>158</v>
      </c>
      <c r="N834" t="s">
        <v>80</v>
      </c>
      <c r="O834" t="s">
        <v>3349</v>
      </c>
      <c r="P834">
        <v>352871</v>
      </c>
      <c r="Q834" s="3">
        <v>173.2</v>
      </c>
      <c r="R834" s="3">
        <f>IF(Table1[[#This Row],[Gross_millions]]=" ",0,Table1[[#This Row],[Gross_millions]])</f>
        <v>173.2</v>
      </c>
      <c r="S834" t="str">
        <f>IF(Table1[[#This Row],[Gross_millions_Clean]]&gt;200,"Blockbuster",IF(Table1[[#This Row],[Gross_millions_Clean]]&gt;100,"Hit","Average"))</f>
        <v>Hit</v>
      </c>
    </row>
    <row r="835" spans="1:19" x14ac:dyDescent="0.3">
      <c r="A835" t="s">
        <v>3350</v>
      </c>
      <c r="B835" t="s">
        <v>3351</v>
      </c>
      <c r="C835">
        <v>1999</v>
      </c>
      <c r="D835" s="8">
        <f>FLOOR(Table1[[#This Row],[Year]],10)</f>
        <v>1990</v>
      </c>
      <c r="E835" t="s">
        <v>24</v>
      </c>
      <c r="F835">
        <v>119</v>
      </c>
      <c r="G835" t="str">
        <f>IF(Table1[[#This Row],[Runtime_minutes]]&lt;90,"Short",IF(Table1[[#This Row],[Runtime_minutes]]&lt;=120,"Medium","Long"))</f>
        <v>Medium</v>
      </c>
      <c r="H835" t="s">
        <v>72</v>
      </c>
      <c r="K835">
        <v>6</v>
      </c>
      <c r="M835" t="s">
        <v>491</v>
      </c>
      <c r="N835" t="s">
        <v>718</v>
      </c>
      <c r="O835" t="s">
        <v>3352</v>
      </c>
      <c r="P835">
        <v>67084</v>
      </c>
      <c r="Q835" s="3">
        <v>60.44</v>
      </c>
      <c r="R835" s="3">
        <f>IF(Table1[[#This Row],[Gross_millions]]=" ",0,Table1[[#This Row],[Gross_millions]])</f>
        <v>60.44</v>
      </c>
      <c r="S835" t="str">
        <f>IF(Table1[[#This Row],[Gross_millions_Clean]]&gt;200,"Blockbuster",IF(Table1[[#This Row],[Gross_millions_Clean]]&gt;100,"Hit","Average"))</f>
        <v>Average</v>
      </c>
    </row>
    <row r="836" spans="1:19" x14ac:dyDescent="0.3">
      <c r="A836" t="s">
        <v>3353</v>
      </c>
      <c r="B836" t="s">
        <v>3354</v>
      </c>
      <c r="C836">
        <v>2020</v>
      </c>
      <c r="D836" s="8">
        <f>FLOOR(Table1[[#This Row],[Year]],10)</f>
        <v>2020</v>
      </c>
      <c r="E836" t="s">
        <v>17</v>
      </c>
      <c r="F836">
        <v>127</v>
      </c>
      <c r="G836" t="str">
        <f>IF(Table1[[#This Row],[Runtime_minutes]]&lt;90,"Short",IF(Table1[[#This Row],[Runtime_minutes]]&lt;=120,"Medium","Long"))</f>
        <v>Long</v>
      </c>
      <c r="H836" t="s">
        <v>78</v>
      </c>
      <c r="K836">
        <v>6</v>
      </c>
      <c r="L836">
        <v>73</v>
      </c>
      <c r="M836" t="s">
        <v>763</v>
      </c>
      <c r="N836" t="s">
        <v>57</v>
      </c>
      <c r="O836" t="s">
        <v>3355</v>
      </c>
      <c r="P836">
        <v>16244</v>
      </c>
      <c r="Q836" s="3">
        <v>260.55</v>
      </c>
      <c r="R836" s="3">
        <f>IF(Table1[[#This Row],[Gross_millions]]=" ",0,Table1[[#This Row],[Gross_millions]])</f>
        <v>260.55</v>
      </c>
      <c r="S836" t="str">
        <f>IF(Table1[[#This Row],[Gross_millions_Clean]]&gt;200,"Blockbuster",IF(Table1[[#This Row],[Gross_millions_Clean]]&gt;100,"Hit","Average"))</f>
        <v>Blockbuster</v>
      </c>
    </row>
    <row r="837" spans="1:19" x14ac:dyDescent="0.3">
      <c r="A837" t="s">
        <v>3356</v>
      </c>
      <c r="B837" t="s">
        <v>3357</v>
      </c>
      <c r="C837">
        <v>1991</v>
      </c>
      <c r="D837" s="8">
        <f>FLOOR(Table1[[#This Row],[Year]],10)</f>
        <v>1990</v>
      </c>
      <c r="E837" t="s">
        <v>17</v>
      </c>
      <c r="F837">
        <v>130</v>
      </c>
      <c r="G837" t="str">
        <f>IF(Table1[[#This Row],[Runtime_minutes]]&lt;90,"Short",IF(Table1[[#This Row],[Runtime_minutes]]&lt;=120,"Medium","Long"))</f>
        <v>Long</v>
      </c>
      <c r="H837" t="s">
        <v>230</v>
      </c>
      <c r="I837" t="s">
        <v>3989</v>
      </c>
      <c r="K837">
        <v>5.9</v>
      </c>
      <c r="L837">
        <v>55</v>
      </c>
      <c r="M837" t="s">
        <v>3358</v>
      </c>
      <c r="N837" t="s">
        <v>593</v>
      </c>
      <c r="O837" t="s">
        <v>3359</v>
      </c>
      <c r="P837">
        <v>45003</v>
      </c>
      <c r="Q837" s="3">
        <v>147.22</v>
      </c>
      <c r="R837" s="3">
        <f>IF(Table1[[#This Row],[Gross_millions]]=" ",0,Table1[[#This Row],[Gross_millions]])</f>
        <v>147.22</v>
      </c>
      <c r="S837" t="str">
        <f>IF(Table1[[#This Row],[Gross_millions_Clean]]&gt;200,"Blockbuster",IF(Table1[[#This Row],[Gross_millions_Clean]]&gt;100,"Hit","Average"))</f>
        <v>Hit</v>
      </c>
    </row>
    <row r="838" spans="1:19" x14ac:dyDescent="0.3">
      <c r="A838" t="s">
        <v>3360</v>
      </c>
      <c r="B838" t="s">
        <v>3361</v>
      </c>
      <c r="C838">
        <v>2005</v>
      </c>
      <c r="D838" s="8">
        <f>FLOOR(Table1[[#This Row],[Year]],10)</f>
        <v>2000</v>
      </c>
      <c r="E838" t="s">
        <v>17</v>
      </c>
      <c r="F838">
        <v>142</v>
      </c>
      <c r="G838" t="str">
        <f>IF(Table1[[#This Row],[Runtime_minutes]]&lt;90,"Short",IF(Table1[[#This Row],[Runtime_minutes]]&lt;=120,"Medium","Long"))</f>
        <v>Long</v>
      </c>
      <c r="H838" t="s">
        <v>453</v>
      </c>
      <c r="I838" t="s">
        <v>3981</v>
      </c>
      <c r="K838">
        <v>5.9</v>
      </c>
      <c r="L838">
        <v>44</v>
      </c>
      <c r="M838" t="s">
        <v>3363</v>
      </c>
      <c r="N838" t="s">
        <v>608</v>
      </c>
      <c r="O838" t="s">
        <v>3364</v>
      </c>
      <c r="P838">
        <v>150115</v>
      </c>
      <c r="Q838" s="3">
        <v>235.48</v>
      </c>
      <c r="R838" s="3">
        <f>IF(Table1[[#This Row],[Gross_millions]]=" ",0,Table1[[#This Row],[Gross_millions]])</f>
        <v>235.48</v>
      </c>
      <c r="S838" t="str">
        <f>IF(Table1[[#This Row],[Gross_millions_Clean]]&gt;200,"Blockbuster",IF(Table1[[#This Row],[Gross_millions_Clean]]&gt;100,"Hit","Average"))</f>
        <v>Blockbuster</v>
      </c>
    </row>
    <row r="839" spans="1:19" x14ac:dyDescent="0.3">
      <c r="A839" t="s">
        <v>3365</v>
      </c>
      <c r="B839" t="s">
        <v>3366</v>
      </c>
      <c r="C839">
        <v>2022</v>
      </c>
      <c r="D839" s="8">
        <f>FLOOR(Table1[[#This Row],[Year]],10)</f>
        <v>2020</v>
      </c>
      <c r="E839" t="s">
        <v>169</v>
      </c>
      <c r="F839">
        <v>115</v>
      </c>
      <c r="G839" t="str">
        <f>IF(Table1[[#This Row],[Runtime_minutes]]&lt;90,"Short",IF(Table1[[#This Row],[Runtime_minutes]]&lt;=120,"Medium","Long"))</f>
        <v>Medium</v>
      </c>
      <c r="H839" t="s">
        <v>129</v>
      </c>
      <c r="I839" t="s">
        <v>3988</v>
      </c>
      <c r="K839">
        <v>5.9</v>
      </c>
      <c r="L839">
        <v>67</v>
      </c>
      <c r="M839" t="s">
        <v>3367</v>
      </c>
      <c r="N839" t="s">
        <v>191</v>
      </c>
      <c r="O839" t="s">
        <v>3368</v>
      </c>
      <c r="P839">
        <v>49173</v>
      </c>
      <c r="Q839" s="3"/>
      <c r="R839" s="3">
        <f>IF(Table1[[#This Row],[Gross_millions]]=" ",0,Table1[[#This Row],[Gross_millions]])</f>
        <v>0</v>
      </c>
      <c r="S839" t="str">
        <f>IF(Table1[[#This Row],[Gross_millions_Clean]]&gt;200,"Blockbuster",IF(Table1[[#This Row],[Gross_millions_Clean]]&gt;100,"Hit","Average"))</f>
        <v>Average</v>
      </c>
    </row>
    <row r="840" spans="1:19" x14ac:dyDescent="0.3">
      <c r="A840" t="s">
        <v>3369</v>
      </c>
      <c r="B840" t="s">
        <v>3370</v>
      </c>
      <c r="C840">
        <v>2013</v>
      </c>
      <c r="D840" s="8">
        <f>FLOOR(Table1[[#This Row],[Year]],10)</f>
        <v>2010</v>
      </c>
      <c r="E840" t="s">
        <v>54</v>
      </c>
      <c r="F840">
        <v>126</v>
      </c>
      <c r="G840" t="str">
        <f>IF(Table1[[#This Row],[Runtime_minutes]]&lt;90,"Short",IF(Table1[[#This Row],[Runtime_minutes]]&lt;=120,"Medium","Long"))</f>
        <v>Long</v>
      </c>
      <c r="H840" t="s">
        <v>868</v>
      </c>
      <c r="I840" t="s">
        <v>3983</v>
      </c>
      <c r="K840">
        <v>5.9</v>
      </c>
      <c r="L840">
        <v>52</v>
      </c>
      <c r="M840" t="s">
        <v>3372</v>
      </c>
      <c r="N840" t="s">
        <v>57</v>
      </c>
      <c r="O840" t="s">
        <v>3373</v>
      </c>
      <c r="P840">
        <v>51885</v>
      </c>
      <c r="Q840" s="3">
        <v>147.4</v>
      </c>
      <c r="R840" s="3">
        <f>IF(Table1[[#This Row],[Gross_millions]]=" ",0,Table1[[#This Row],[Gross_millions]])</f>
        <v>147.4</v>
      </c>
      <c r="S840" t="str">
        <f>IF(Table1[[#This Row],[Gross_millions_Clean]]&gt;200,"Blockbuster",IF(Table1[[#This Row],[Gross_millions_Clean]]&gt;100,"Hit","Average"))</f>
        <v>Hit</v>
      </c>
    </row>
    <row r="841" spans="1:19" x14ac:dyDescent="0.3">
      <c r="A841" t="s">
        <v>3374</v>
      </c>
      <c r="B841" t="s">
        <v>3375</v>
      </c>
      <c r="C841">
        <v>2009</v>
      </c>
      <c r="D841" s="8">
        <f>FLOOR(Table1[[#This Row],[Year]],10)</f>
        <v>2000</v>
      </c>
      <c r="E841" t="s">
        <v>285</v>
      </c>
      <c r="F841">
        <v>103</v>
      </c>
      <c r="G841" t="str">
        <f>IF(Table1[[#This Row],[Runtime_minutes]]&lt;90,"Short",IF(Table1[[#This Row],[Runtime_minutes]]&lt;=120,"Medium","Long"))</f>
        <v>Medium</v>
      </c>
      <c r="H841" t="s">
        <v>606</v>
      </c>
      <c r="I841" t="s">
        <v>3986</v>
      </c>
      <c r="K841">
        <v>5.9</v>
      </c>
      <c r="L841">
        <v>68</v>
      </c>
      <c r="M841" t="s">
        <v>250</v>
      </c>
      <c r="N841" t="s">
        <v>196</v>
      </c>
      <c r="O841" t="s">
        <v>3376</v>
      </c>
      <c r="P841">
        <v>2368</v>
      </c>
      <c r="Q841" s="3">
        <v>273.33999999999997</v>
      </c>
      <c r="R841" s="3">
        <f>IF(Table1[[#This Row],[Gross_millions]]=" ",0,Table1[[#This Row],[Gross_millions]])</f>
        <v>273.33999999999997</v>
      </c>
      <c r="S841" t="str">
        <f>IF(Table1[[#This Row],[Gross_millions_Clean]]&gt;200,"Blockbuster",IF(Table1[[#This Row],[Gross_millions_Clean]]&gt;100,"Hit","Average"))</f>
        <v>Blockbuster</v>
      </c>
    </row>
    <row r="842" spans="1:19" x14ac:dyDescent="0.3">
      <c r="A842" t="s">
        <v>3377</v>
      </c>
      <c r="B842" t="s">
        <v>3378</v>
      </c>
      <c r="C842">
        <v>2002</v>
      </c>
      <c r="D842" s="8">
        <f>FLOOR(Table1[[#This Row],[Year]],10)</f>
        <v>2000</v>
      </c>
      <c r="E842" t="s">
        <v>17</v>
      </c>
      <c r="F842">
        <v>138</v>
      </c>
      <c r="G842" t="str">
        <f>IF(Table1[[#This Row],[Runtime_minutes]]&lt;90,"Short",IF(Table1[[#This Row],[Runtime_minutes]]&lt;=120,"Medium","Long"))</f>
        <v>Long</v>
      </c>
      <c r="H842" t="s">
        <v>72</v>
      </c>
      <c r="I842" t="s">
        <v>3991</v>
      </c>
      <c r="K842">
        <v>5.9</v>
      </c>
      <c r="L842">
        <v>45</v>
      </c>
      <c r="M842" t="s">
        <v>1155</v>
      </c>
      <c r="N842" t="s">
        <v>593</v>
      </c>
      <c r="O842" t="s">
        <v>3379</v>
      </c>
      <c r="P842">
        <v>68086</v>
      </c>
      <c r="Q842" s="3"/>
      <c r="R842" s="3">
        <f>IF(Table1[[#This Row],[Gross_millions]]=" ",0,Table1[[#This Row],[Gross_millions]])</f>
        <v>0</v>
      </c>
      <c r="S842" t="str">
        <f>IF(Table1[[#This Row],[Gross_millions_Clean]]&gt;200,"Blockbuster",IF(Table1[[#This Row],[Gross_millions_Clean]]&gt;100,"Hit","Average"))</f>
        <v>Average</v>
      </c>
    </row>
    <row r="843" spans="1:19" x14ac:dyDescent="0.3">
      <c r="A843" t="s">
        <v>3380</v>
      </c>
      <c r="B843" t="s">
        <v>3381</v>
      </c>
      <c r="C843">
        <v>1984</v>
      </c>
      <c r="D843" s="8">
        <f>FLOOR(Table1[[#This Row],[Year]],10)</f>
        <v>1980</v>
      </c>
      <c r="E843" t="s">
        <v>17</v>
      </c>
      <c r="F843">
        <v>130</v>
      </c>
      <c r="G843" t="str">
        <f>IF(Table1[[#This Row],[Runtime_minutes]]&lt;90,"Short",IF(Table1[[#This Row],[Runtime_minutes]]&lt;=120,"Medium","Long"))</f>
        <v>Long</v>
      </c>
      <c r="H843" t="s">
        <v>375</v>
      </c>
      <c r="K843">
        <v>5.9</v>
      </c>
      <c r="L843">
        <v>61</v>
      </c>
      <c r="M843" t="s">
        <v>422</v>
      </c>
      <c r="N843" t="s">
        <v>608</v>
      </c>
      <c r="O843" t="s">
        <v>3382</v>
      </c>
      <c r="P843">
        <v>41696</v>
      </c>
      <c r="Q843" s="3">
        <v>177.68</v>
      </c>
      <c r="R843" s="3">
        <f>IF(Table1[[#This Row],[Gross_millions]]=" ",0,Table1[[#This Row],[Gross_millions]])</f>
        <v>177.68</v>
      </c>
      <c r="S843" t="str">
        <f>IF(Table1[[#This Row],[Gross_millions_Clean]]&gt;200,"Blockbuster",IF(Table1[[#This Row],[Gross_millions_Clean]]&gt;100,"Hit","Average"))</f>
        <v>Hit</v>
      </c>
    </row>
    <row r="844" spans="1:19" x14ac:dyDescent="0.3">
      <c r="A844" t="s">
        <v>3383</v>
      </c>
      <c r="B844" t="s">
        <v>3384</v>
      </c>
      <c r="C844">
        <v>1984</v>
      </c>
      <c r="D844" s="8">
        <f>FLOOR(Table1[[#This Row],[Year]],10)</f>
        <v>1980</v>
      </c>
      <c r="E844" t="s">
        <v>54</v>
      </c>
      <c r="F844">
        <v>117</v>
      </c>
      <c r="G844" t="str">
        <f>IF(Table1[[#This Row],[Runtime_minutes]]&lt;90,"Short",IF(Table1[[#This Row],[Runtime_minutes]]&lt;=120,"Medium","Long"))</f>
        <v>Medium</v>
      </c>
      <c r="H844" t="s">
        <v>1044</v>
      </c>
      <c r="K844">
        <v>5.9</v>
      </c>
      <c r="L844">
        <v>57</v>
      </c>
      <c r="M844" t="s">
        <v>226</v>
      </c>
      <c r="N844" t="s">
        <v>221</v>
      </c>
      <c r="O844" t="s">
        <v>3385</v>
      </c>
      <c r="P844">
        <v>15657</v>
      </c>
      <c r="Q844" s="3">
        <v>216.48</v>
      </c>
      <c r="R844" s="3">
        <f>IF(Table1[[#This Row],[Gross_millions]]=" ",0,Table1[[#This Row],[Gross_millions]])</f>
        <v>216.48</v>
      </c>
      <c r="S844" t="str">
        <f>IF(Table1[[#This Row],[Gross_millions_Clean]]&gt;200,"Blockbuster",IF(Table1[[#This Row],[Gross_millions_Clean]]&gt;100,"Hit","Average"))</f>
        <v>Blockbuster</v>
      </c>
    </row>
    <row r="845" spans="1:19" x14ac:dyDescent="0.3">
      <c r="A845" t="s">
        <v>3386</v>
      </c>
      <c r="B845" t="s">
        <v>3387</v>
      </c>
      <c r="C845">
        <v>1997</v>
      </c>
      <c r="D845" s="8">
        <f>FLOOR(Table1[[#This Row],[Year]],10)</f>
        <v>1990</v>
      </c>
      <c r="E845" t="s">
        <v>24</v>
      </c>
      <c r="F845">
        <v>119</v>
      </c>
      <c r="G845" t="str">
        <f>IF(Table1[[#This Row],[Runtime_minutes]]&lt;90,"Short",IF(Table1[[#This Row],[Runtime_minutes]]&lt;=120,"Medium","Long"))</f>
        <v>Medium</v>
      </c>
      <c r="H845" t="s">
        <v>129</v>
      </c>
      <c r="K845">
        <v>5.9</v>
      </c>
      <c r="L845">
        <v>71</v>
      </c>
      <c r="M845" t="s">
        <v>634</v>
      </c>
      <c r="N845" t="s">
        <v>92</v>
      </c>
      <c r="O845" t="s">
        <v>3388</v>
      </c>
      <c r="P845">
        <v>58234</v>
      </c>
      <c r="Q845" s="3">
        <v>33.79</v>
      </c>
      <c r="R845" s="3">
        <f>IF(Table1[[#This Row],[Gross_millions]]=" ",0,Table1[[#This Row],[Gross_millions]])</f>
        <v>33.79</v>
      </c>
      <c r="S845" t="str">
        <f>IF(Table1[[#This Row],[Gross_millions_Clean]]&gt;200,"Blockbuster",IF(Table1[[#This Row],[Gross_millions_Clean]]&gt;100,"Hit","Average"))</f>
        <v>Average</v>
      </c>
    </row>
    <row r="846" spans="1:19" x14ac:dyDescent="0.3">
      <c r="A846" t="s">
        <v>3389</v>
      </c>
      <c r="B846" t="s">
        <v>3390</v>
      </c>
      <c r="C846">
        <v>2013</v>
      </c>
      <c r="D846" s="8">
        <f>FLOOR(Table1[[#This Row],[Year]],10)</f>
        <v>2010</v>
      </c>
      <c r="E846" t="s">
        <v>17</v>
      </c>
      <c r="F846">
        <v>158</v>
      </c>
      <c r="G846" t="str">
        <f>IF(Table1[[#This Row],[Runtime_minutes]]&lt;90,"Short",IF(Table1[[#This Row],[Runtime_minutes]]&lt;=120,"Medium","Long"))</f>
        <v>Long</v>
      </c>
      <c r="H846" t="s">
        <v>157</v>
      </c>
      <c r="I846" t="s">
        <v>3987</v>
      </c>
      <c r="K846">
        <v>5.9</v>
      </c>
      <c r="M846" t="s">
        <v>2967</v>
      </c>
      <c r="N846" t="s">
        <v>196</v>
      </c>
      <c r="O846" t="s">
        <v>3391</v>
      </c>
      <c r="P846">
        <v>21663</v>
      </c>
      <c r="Q846" s="3">
        <v>231.86</v>
      </c>
      <c r="R846" s="3">
        <f>IF(Table1[[#This Row],[Gross_millions]]=" ",0,Table1[[#This Row],[Gross_millions]])</f>
        <v>231.86</v>
      </c>
      <c r="S846" t="str">
        <f>IF(Table1[[#This Row],[Gross_millions_Clean]]&gt;200,"Blockbuster",IF(Table1[[#This Row],[Gross_millions_Clean]]&gt;100,"Hit","Average"))</f>
        <v>Blockbuster</v>
      </c>
    </row>
    <row r="847" spans="1:19" x14ac:dyDescent="0.3">
      <c r="A847" t="s">
        <v>3392</v>
      </c>
      <c r="B847" t="s">
        <v>3393</v>
      </c>
      <c r="C847">
        <v>2004</v>
      </c>
      <c r="D847" s="8">
        <f>FLOOR(Table1[[#This Row],[Year]],10)</f>
        <v>2000</v>
      </c>
      <c r="E847" t="s">
        <v>24</v>
      </c>
      <c r="F847">
        <v>128</v>
      </c>
      <c r="G847" t="str">
        <f>IF(Table1[[#This Row],[Runtime_minutes]]&lt;90,"Short",IF(Table1[[#This Row],[Runtime_minutes]]&lt;=120,"Medium","Long"))</f>
        <v>Long</v>
      </c>
      <c r="H847" t="s">
        <v>230</v>
      </c>
      <c r="I847" t="s">
        <v>3976</v>
      </c>
      <c r="K847">
        <v>5.9</v>
      </c>
      <c r="M847" t="s">
        <v>124</v>
      </c>
      <c r="N847" t="s">
        <v>147</v>
      </c>
      <c r="O847" t="s">
        <v>3394</v>
      </c>
      <c r="P847">
        <v>55738</v>
      </c>
      <c r="Q847" s="3">
        <v>315.38</v>
      </c>
      <c r="R847" s="3">
        <f>IF(Table1[[#This Row],[Gross_millions]]=" ",0,Table1[[#This Row],[Gross_millions]])</f>
        <v>315.38</v>
      </c>
      <c r="S847" t="str">
        <f>IF(Table1[[#This Row],[Gross_millions_Clean]]&gt;200,"Blockbuster",IF(Table1[[#This Row],[Gross_millions_Clean]]&gt;100,"Hit","Average"))</f>
        <v>Blockbuster</v>
      </c>
    </row>
    <row r="848" spans="1:19" x14ac:dyDescent="0.3">
      <c r="A848" t="s">
        <v>3395</v>
      </c>
      <c r="B848" t="s">
        <v>3396</v>
      </c>
      <c r="C848">
        <v>2018</v>
      </c>
      <c r="D848" s="8">
        <f>FLOOR(Table1[[#This Row],[Year]],10)</f>
        <v>2010</v>
      </c>
      <c r="E848" t="s">
        <v>24</v>
      </c>
      <c r="F848">
        <v>111</v>
      </c>
      <c r="G848" t="str">
        <f>IF(Table1[[#This Row],[Runtime_minutes]]&lt;90,"Short",IF(Table1[[#This Row],[Runtime_minutes]]&lt;=120,"Medium","Long"))</f>
        <v>Medium</v>
      </c>
      <c r="H848" t="s">
        <v>43</v>
      </c>
      <c r="I848" t="s">
        <v>3988</v>
      </c>
      <c r="J848" t="s">
        <v>3989</v>
      </c>
      <c r="K848">
        <v>5.9</v>
      </c>
      <c r="M848" t="s">
        <v>3398</v>
      </c>
      <c r="N848" t="s">
        <v>74</v>
      </c>
      <c r="O848" t="s">
        <v>3399</v>
      </c>
      <c r="P848">
        <v>113028</v>
      </c>
      <c r="Q848" s="3">
        <v>168.63</v>
      </c>
      <c r="R848" s="3">
        <f>IF(Table1[[#This Row],[Gross_millions]]=" ",0,Table1[[#This Row],[Gross_millions]])</f>
        <v>168.63</v>
      </c>
      <c r="S848" t="str">
        <f>IF(Table1[[#This Row],[Gross_millions_Clean]]&gt;200,"Blockbuster",IF(Table1[[#This Row],[Gross_millions_Clean]]&gt;100,"Hit","Average"))</f>
        <v>Hit</v>
      </c>
    </row>
    <row r="849" spans="1:19" x14ac:dyDescent="0.3">
      <c r="A849" t="s">
        <v>3400</v>
      </c>
      <c r="B849" t="s">
        <v>3401</v>
      </c>
      <c r="C849">
        <v>2005</v>
      </c>
      <c r="D849" s="8">
        <f>FLOOR(Table1[[#This Row],[Year]],10)</f>
        <v>2000</v>
      </c>
      <c r="E849" t="s">
        <v>17</v>
      </c>
      <c r="F849">
        <v>129</v>
      </c>
      <c r="G849" t="str">
        <f>IF(Table1[[#This Row],[Runtime_minutes]]&lt;90,"Short",IF(Table1[[#This Row],[Runtime_minutes]]&lt;=120,"Medium","Long"))</f>
        <v>Long</v>
      </c>
      <c r="H849" t="s">
        <v>55</v>
      </c>
      <c r="I849" t="s">
        <v>3988</v>
      </c>
      <c r="K849">
        <v>5.9</v>
      </c>
      <c r="L849">
        <v>64</v>
      </c>
      <c r="M849" t="s">
        <v>3402</v>
      </c>
      <c r="N849" t="s">
        <v>368</v>
      </c>
      <c r="O849" t="s">
        <v>3403</v>
      </c>
      <c r="P849">
        <v>94154</v>
      </c>
      <c r="Q849" s="3">
        <v>250.35</v>
      </c>
      <c r="R849" s="3">
        <f>IF(Table1[[#This Row],[Gross_millions]]=" ",0,Table1[[#This Row],[Gross_millions]])</f>
        <v>250.35</v>
      </c>
      <c r="S849" t="str">
        <f>IF(Table1[[#This Row],[Gross_millions_Clean]]&gt;200,"Blockbuster",IF(Table1[[#This Row],[Gross_millions_Clean]]&gt;100,"Hit","Average"))</f>
        <v>Blockbuster</v>
      </c>
    </row>
    <row r="850" spans="1:19" x14ac:dyDescent="0.3">
      <c r="A850" t="s">
        <v>3404</v>
      </c>
      <c r="B850" t="s">
        <v>3405</v>
      </c>
      <c r="C850">
        <v>2013</v>
      </c>
      <c r="D850" s="8">
        <f>FLOOR(Table1[[#This Row],[Year]],10)</f>
        <v>2010</v>
      </c>
      <c r="E850" t="s">
        <v>293</v>
      </c>
      <c r="F850">
        <v>109</v>
      </c>
      <c r="G850" t="str">
        <f>IF(Table1[[#This Row],[Runtime_minutes]]&lt;90,"Short",IF(Table1[[#This Row],[Runtime_minutes]]&lt;=120,"Medium","Long"))</f>
        <v>Medium</v>
      </c>
      <c r="H850" t="s">
        <v>453</v>
      </c>
      <c r="K850">
        <v>5.9</v>
      </c>
      <c r="L850">
        <v>44</v>
      </c>
      <c r="M850" t="s">
        <v>269</v>
      </c>
      <c r="N850" t="s">
        <v>80</v>
      </c>
      <c r="O850" t="s">
        <v>3406</v>
      </c>
      <c r="P850">
        <v>3152</v>
      </c>
      <c r="Q850" s="3">
        <v>156.55000000000001</v>
      </c>
      <c r="R850" s="3">
        <f>IF(Table1[[#This Row],[Gross_millions]]=" ",0,Table1[[#This Row],[Gross_millions]])</f>
        <v>156.55000000000001</v>
      </c>
      <c r="S850" t="str">
        <f>IF(Table1[[#This Row],[Gross_millions_Clean]]&gt;200,"Blockbuster",IF(Table1[[#This Row],[Gross_millions_Clean]]&gt;100,"Hit","Average"))</f>
        <v>Hit</v>
      </c>
    </row>
    <row r="851" spans="1:19" x14ac:dyDescent="0.3">
      <c r="A851" t="s">
        <v>3407</v>
      </c>
      <c r="B851" t="s">
        <v>3408</v>
      </c>
      <c r="C851">
        <v>2002</v>
      </c>
      <c r="D851" s="8">
        <f>FLOOR(Table1[[#This Row],[Year]],10)</f>
        <v>2000</v>
      </c>
      <c r="E851" t="s">
        <v>24</v>
      </c>
      <c r="F851">
        <v>142</v>
      </c>
      <c r="G851" t="str">
        <f>IF(Table1[[#This Row],[Runtime_minutes]]&lt;90,"Short",IF(Table1[[#This Row],[Runtime_minutes]]&lt;=120,"Medium","Long"))</f>
        <v>Long</v>
      </c>
      <c r="H851" t="s">
        <v>78</v>
      </c>
      <c r="I851" t="s">
        <v>3976</v>
      </c>
      <c r="K851">
        <v>5.9</v>
      </c>
      <c r="L851">
        <v>48</v>
      </c>
      <c r="M851" t="s">
        <v>3409</v>
      </c>
      <c r="N851" t="s">
        <v>718</v>
      </c>
      <c r="O851" t="s">
        <v>3410</v>
      </c>
      <c r="P851">
        <v>65678</v>
      </c>
      <c r="Q851" s="3">
        <v>417.22</v>
      </c>
      <c r="R851" s="3">
        <f>IF(Table1[[#This Row],[Gross_millions]]=" ",0,Table1[[#This Row],[Gross_millions]])</f>
        <v>417.22</v>
      </c>
      <c r="S851" t="str">
        <f>IF(Table1[[#This Row],[Gross_millions_Clean]]&gt;200,"Blockbuster",IF(Table1[[#This Row],[Gross_millions_Clean]]&gt;100,"Hit","Average"))</f>
        <v>Blockbuster</v>
      </c>
    </row>
    <row r="852" spans="1:19" x14ac:dyDescent="0.3">
      <c r="A852" t="s">
        <v>3411</v>
      </c>
      <c r="B852" t="s">
        <v>3412</v>
      </c>
      <c r="C852">
        <v>2015</v>
      </c>
      <c r="D852" s="8">
        <f>FLOOR(Table1[[#This Row],[Year]],10)</f>
        <v>2010</v>
      </c>
      <c r="E852" t="s">
        <v>54</v>
      </c>
      <c r="F852">
        <v>111</v>
      </c>
      <c r="G852" t="str">
        <f>IF(Table1[[#This Row],[Runtime_minutes]]&lt;90,"Short",IF(Table1[[#This Row],[Runtime_minutes]]&lt;=120,"Medium","Long"))</f>
        <v>Medium</v>
      </c>
      <c r="H852" t="s">
        <v>375</v>
      </c>
      <c r="I852" t="s">
        <v>3993</v>
      </c>
      <c r="K852">
        <v>5.9</v>
      </c>
      <c r="L852">
        <v>57</v>
      </c>
      <c r="M852" t="s">
        <v>3413</v>
      </c>
      <c r="N852" t="s">
        <v>27</v>
      </c>
      <c r="O852" t="s">
        <v>3414</v>
      </c>
      <c r="P852">
        <v>159007</v>
      </c>
      <c r="Q852" s="3">
        <v>58.53</v>
      </c>
      <c r="R852" s="3">
        <f>IF(Table1[[#This Row],[Gross_millions]]=" ",0,Table1[[#This Row],[Gross_millions]])</f>
        <v>58.53</v>
      </c>
      <c r="S852" t="str">
        <f>IF(Table1[[#This Row],[Gross_millions_Clean]]&gt;200,"Blockbuster",IF(Table1[[#This Row],[Gross_millions_Clean]]&gt;100,"Hit","Average"))</f>
        <v>Average</v>
      </c>
    </row>
    <row r="853" spans="1:19" x14ac:dyDescent="0.3">
      <c r="A853" t="s">
        <v>3415</v>
      </c>
      <c r="B853" t="s">
        <v>3416</v>
      </c>
      <c r="C853">
        <v>2009</v>
      </c>
      <c r="D853" s="8">
        <f>FLOOR(Table1[[#This Row],[Year]],10)</f>
        <v>2000</v>
      </c>
      <c r="E853" t="s">
        <v>54</v>
      </c>
      <c r="F853">
        <v>122</v>
      </c>
      <c r="G853" t="str">
        <f>IF(Table1[[#This Row],[Runtime_minutes]]&lt;90,"Short",IF(Table1[[#This Row],[Runtime_minutes]]&lt;=120,"Medium","Long"))</f>
        <v>Long</v>
      </c>
      <c r="H853" t="s">
        <v>1044</v>
      </c>
      <c r="I853" t="s">
        <v>3978</v>
      </c>
      <c r="K853">
        <v>5.9</v>
      </c>
      <c r="M853" t="s">
        <v>3418</v>
      </c>
      <c r="N853" t="s">
        <v>483</v>
      </c>
      <c r="O853" t="s">
        <v>3419</v>
      </c>
      <c r="P853">
        <v>360359</v>
      </c>
      <c r="Q853" s="3">
        <v>193.82</v>
      </c>
      <c r="R853" s="3">
        <f>IF(Table1[[#This Row],[Gross_millions]]=" ",0,Table1[[#This Row],[Gross_millions]])</f>
        <v>193.82</v>
      </c>
      <c r="S853" t="str">
        <f>IF(Table1[[#This Row],[Gross_millions_Clean]]&gt;200,"Blockbuster",IF(Table1[[#This Row],[Gross_millions_Clean]]&gt;100,"Hit","Average"))</f>
        <v>Hit</v>
      </c>
    </row>
    <row r="854" spans="1:19" x14ac:dyDescent="0.3">
      <c r="A854" t="s">
        <v>3420</v>
      </c>
      <c r="B854" t="s">
        <v>3421</v>
      </c>
      <c r="C854">
        <v>2002</v>
      </c>
      <c r="D854" s="8">
        <f>FLOOR(Table1[[#This Row],[Year]],10)</f>
        <v>2000</v>
      </c>
      <c r="E854" t="s">
        <v>17</v>
      </c>
      <c r="F854">
        <v>108</v>
      </c>
      <c r="G854" t="str">
        <f>IF(Table1[[#This Row],[Runtime_minutes]]&lt;90,"Short",IF(Table1[[#This Row],[Runtime_minutes]]&lt;=120,"Medium","Long"))</f>
        <v>Medium</v>
      </c>
      <c r="H854" t="s">
        <v>606</v>
      </c>
      <c r="I854" t="s">
        <v>3986</v>
      </c>
      <c r="J854" t="s">
        <v>3985</v>
      </c>
      <c r="K854">
        <v>5.9</v>
      </c>
      <c r="L854">
        <v>62</v>
      </c>
      <c r="M854" t="s">
        <v>3423</v>
      </c>
      <c r="N854" t="s">
        <v>483</v>
      </c>
      <c r="O854" t="s">
        <v>3424</v>
      </c>
      <c r="P854">
        <v>22608</v>
      </c>
      <c r="Q854" s="3">
        <v>421.98</v>
      </c>
      <c r="R854" s="3">
        <f>IF(Table1[[#This Row],[Gross_millions]]=" ",0,Table1[[#This Row],[Gross_millions]])</f>
        <v>421.98</v>
      </c>
      <c r="S854" t="str">
        <f>IF(Table1[[#This Row],[Gross_millions_Clean]]&gt;200,"Blockbuster",IF(Table1[[#This Row],[Gross_millions_Clean]]&gt;100,"Hit","Average"))</f>
        <v>Blockbuster</v>
      </c>
    </row>
    <row r="855" spans="1:19" x14ac:dyDescent="0.3">
      <c r="A855" t="s">
        <v>3425</v>
      </c>
      <c r="B855" t="s">
        <v>3426</v>
      </c>
      <c r="C855">
        <v>2018</v>
      </c>
      <c r="D855" s="8">
        <f>FLOOR(Table1[[#This Row],[Year]],10)</f>
        <v>2010</v>
      </c>
      <c r="E855" t="s">
        <v>293</v>
      </c>
      <c r="F855">
        <v>138</v>
      </c>
      <c r="G855" t="str">
        <f>IF(Table1[[#This Row],[Runtime_minutes]]&lt;90,"Short",IF(Table1[[#This Row],[Runtime_minutes]]&lt;=120,"Medium","Long"))</f>
        <v>Long</v>
      </c>
      <c r="H855" t="s">
        <v>129</v>
      </c>
      <c r="I855" t="s">
        <v>3986</v>
      </c>
      <c r="K855">
        <v>5.9</v>
      </c>
      <c r="M855" t="s">
        <v>634</v>
      </c>
      <c r="N855" t="s">
        <v>236</v>
      </c>
      <c r="O855" t="s">
        <v>3428</v>
      </c>
      <c r="P855">
        <v>108759</v>
      </c>
      <c r="Q855" s="3"/>
      <c r="R855" s="3">
        <f>IF(Table1[[#This Row],[Gross_millions]]=" ",0,Table1[[#This Row],[Gross_millions]])</f>
        <v>0</v>
      </c>
      <c r="S855" t="str">
        <f>IF(Table1[[#This Row],[Gross_millions_Clean]]&gt;200,"Blockbuster",IF(Table1[[#This Row],[Gross_millions_Clean]]&gt;100,"Hit","Average"))</f>
        <v>Average</v>
      </c>
    </row>
    <row r="856" spans="1:19" x14ac:dyDescent="0.3">
      <c r="A856" t="s">
        <v>3429</v>
      </c>
      <c r="B856" t="s">
        <v>3430</v>
      </c>
      <c r="C856">
        <v>2015</v>
      </c>
      <c r="D856" s="8">
        <f>FLOOR(Table1[[#This Row],[Year]],10)</f>
        <v>2010</v>
      </c>
      <c r="E856" t="s">
        <v>54</v>
      </c>
      <c r="F856">
        <v>131</v>
      </c>
      <c r="G856" t="str">
        <f>IF(Table1[[#This Row],[Runtime_minutes]]&lt;90,"Short",IF(Table1[[#This Row],[Runtime_minutes]]&lt;=120,"Medium","Long"))</f>
        <v>Long</v>
      </c>
      <c r="H856" t="s">
        <v>375</v>
      </c>
      <c r="I856" t="s">
        <v>3983</v>
      </c>
      <c r="K856">
        <v>5.9</v>
      </c>
      <c r="L856">
        <v>69</v>
      </c>
      <c r="M856" t="s">
        <v>422</v>
      </c>
      <c r="N856" t="s">
        <v>236</v>
      </c>
      <c r="O856" t="s">
        <v>3431</v>
      </c>
      <c r="P856">
        <v>57795</v>
      </c>
      <c r="Q856" s="3">
        <v>157.12</v>
      </c>
      <c r="R856" s="3">
        <f>IF(Table1[[#This Row],[Gross_millions]]=" ",0,Table1[[#This Row],[Gross_millions]])</f>
        <v>157.12</v>
      </c>
      <c r="S856" t="str">
        <f>IF(Table1[[#This Row],[Gross_millions_Clean]]&gt;200,"Blockbuster",IF(Table1[[#This Row],[Gross_millions_Clean]]&gt;100,"Hit","Average"))</f>
        <v>Hit</v>
      </c>
    </row>
    <row r="857" spans="1:19" x14ac:dyDescent="0.3">
      <c r="A857" t="s">
        <v>3432</v>
      </c>
      <c r="B857" t="s">
        <v>3433</v>
      </c>
      <c r="C857">
        <v>2024</v>
      </c>
      <c r="D857" s="8">
        <f>FLOOR(Table1[[#This Row],[Year]],10)</f>
        <v>2020</v>
      </c>
      <c r="E857" t="s">
        <v>169</v>
      </c>
      <c r="F857">
        <v>101</v>
      </c>
      <c r="G857" t="str">
        <f>IF(Table1[[#This Row],[Runtime_minutes]]&lt;90,"Short",IF(Table1[[#This Row],[Runtime_minutes]]&lt;=120,"Medium","Long"))</f>
        <v>Medium</v>
      </c>
      <c r="H857" t="s">
        <v>767</v>
      </c>
      <c r="K857">
        <v>5.9</v>
      </c>
      <c r="L857">
        <v>64</v>
      </c>
      <c r="M857" t="s">
        <v>320</v>
      </c>
      <c r="N857" t="s">
        <v>483</v>
      </c>
      <c r="O857" t="s">
        <v>3434</v>
      </c>
      <c r="P857">
        <v>18926</v>
      </c>
      <c r="Q857" s="3"/>
      <c r="R857" s="3">
        <f>IF(Table1[[#This Row],[Gross_millions]]=" ",0,Table1[[#This Row],[Gross_millions]])</f>
        <v>0</v>
      </c>
      <c r="S857" t="str">
        <f>IF(Table1[[#This Row],[Gross_millions_Clean]]&gt;200,"Blockbuster",IF(Table1[[#This Row],[Gross_millions_Clean]]&gt;100,"Hit","Average"))</f>
        <v>Average</v>
      </c>
    </row>
    <row r="858" spans="1:19" x14ac:dyDescent="0.3">
      <c r="A858" t="s">
        <v>3435</v>
      </c>
      <c r="B858" t="s">
        <v>3436</v>
      </c>
      <c r="C858">
        <v>2024</v>
      </c>
      <c r="D858" s="8">
        <f>FLOOR(Table1[[#This Row],[Year]],10)</f>
        <v>2020</v>
      </c>
      <c r="E858" t="s">
        <v>54</v>
      </c>
      <c r="F858">
        <v>111</v>
      </c>
      <c r="G858" t="str">
        <f>IF(Table1[[#This Row],[Runtime_minutes]]&lt;90,"Short",IF(Table1[[#This Row],[Runtime_minutes]]&lt;=120,"Medium","Long"))</f>
        <v>Medium</v>
      </c>
      <c r="H858" t="s">
        <v>72</v>
      </c>
      <c r="I858" t="s">
        <v>3991</v>
      </c>
      <c r="K858">
        <v>5.9</v>
      </c>
      <c r="M858" t="s">
        <v>1155</v>
      </c>
      <c r="N858" t="s">
        <v>368</v>
      </c>
      <c r="O858" t="s">
        <v>3437</v>
      </c>
      <c r="P858">
        <v>5002</v>
      </c>
      <c r="Q858" s="3">
        <v>185.4</v>
      </c>
      <c r="R858" s="3">
        <f>IF(Table1[[#This Row],[Gross_millions]]=" ",0,Table1[[#This Row],[Gross_millions]])</f>
        <v>185.4</v>
      </c>
      <c r="S858" t="str">
        <f>IF(Table1[[#This Row],[Gross_millions_Clean]]&gt;200,"Blockbuster",IF(Table1[[#This Row],[Gross_millions_Clean]]&gt;100,"Hit","Average"))</f>
        <v>Hit</v>
      </c>
    </row>
    <row r="859" spans="1:19" x14ac:dyDescent="0.3">
      <c r="A859" t="s">
        <v>3438</v>
      </c>
      <c r="B859" t="s">
        <v>3439</v>
      </c>
      <c r="C859">
        <v>2000</v>
      </c>
      <c r="D859" s="8">
        <f>FLOOR(Table1[[#This Row],[Year]],10)</f>
        <v>2000</v>
      </c>
      <c r="E859" t="s">
        <v>54</v>
      </c>
      <c r="F859">
        <v>138</v>
      </c>
      <c r="G859" t="str">
        <f>IF(Table1[[#This Row],[Runtime_minutes]]&lt;90,"Short",IF(Table1[[#This Row],[Runtime_minutes]]&lt;=120,"Medium","Long"))</f>
        <v>Long</v>
      </c>
      <c r="H859" t="s">
        <v>129</v>
      </c>
      <c r="I859" t="s">
        <v>3993</v>
      </c>
      <c r="K859">
        <v>5.9</v>
      </c>
      <c r="L859">
        <v>74</v>
      </c>
      <c r="M859" t="s">
        <v>1891</v>
      </c>
      <c r="N859" t="s">
        <v>159</v>
      </c>
      <c r="O859" t="s">
        <v>3440</v>
      </c>
      <c r="P859">
        <v>42746</v>
      </c>
      <c r="Q859" s="3"/>
      <c r="R859" s="3">
        <f>IF(Table1[[#This Row],[Gross_millions]]=" ",0,Table1[[#This Row],[Gross_millions]])</f>
        <v>0</v>
      </c>
      <c r="S859" t="str">
        <f>IF(Table1[[#This Row],[Gross_millions_Clean]]&gt;200,"Blockbuster",IF(Table1[[#This Row],[Gross_millions_Clean]]&gt;100,"Hit","Average"))</f>
        <v>Average</v>
      </c>
    </row>
    <row r="860" spans="1:19" x14ac:dyDescent="0.3">
      <c r="A860" t="s">
        <v>3441</v>
      </c>
      <c r="B860" t="s">
        <v>3442</v>
      </c>
      <c r="C860">
        <v>2000</v>
      </c>
      <c r="D860" s="8">
        <f>FLOOR(Table1[[#This Row],[Year]],10)</f>
        <v>2000</v>
      </c>
      <c r="E860" t="s">
        <v>17</v>
      </c>
      <c r="F860">
        <v>125</v>
      </c>
      <c r="G860" t="str">
        <f>IF(Table1[[#This Row],[Runtime_minutes]]&lt;90,"Short",IF(Table1[[#This Row],[Runtime_minutes]]&lt;=120,"Medium","Long"))</f>
        <v>Long</v>
      </c>
      <c r="H860" t="s">
        <v>129</v>
      </c>
      <c r="I860" t="s">
        <v>3989</v>
      </c>
      <c r="K860">
        <v>5.9</v>
      </c>
      <c r="L860">
        <v>67</v>
      </c>
      <c r="M860" t="s">
        <v>130</v>
      </c>
      <c r="N860" t="s">
        <v>547</v>
      </c>
      <c r="O860" t="s">
        <v>3443</v>
      </c>
      <c r="P860">
        <v>14246</v>
      </c>
      <c r="Q860" s="3">
        <v>118.86</v>
      </c>
      <c r="R860" s="3">
        <f>IF(Table1[[#This Row],[Gross_millions]]=" ",0,Table1[[#This Row],[Gross_millions]])</f>
        <v>118.86</v>
      </c>
      <c r="S860" t="str">
        <f>IF(Table1[[#This Row],[Gross_millions_Clean]]&gt;200,"Blockbuster",IF(Table1[[#This Row],[Gross_millions_Clean]]&gt;100,"Hit","Average"))</f>
        <v>Hit</v>
      </c>
    </row>
    <row r="861" spans="1:19" x14ac:dyDescent="0.3">
      <c r="A861" t="s">
        <v>3444</v>
      </c>
      <c r="B861" t="s">
        <v>3445</v>
      </c>
      <c r="C861">
        <v>1982</v>
      </c>
      <c r="D861" s="8">
        <f>FLOOR(Table1[[#This Row],[Year]],10)</f>
        <v>1980</v>
      </c>
      <c r="E861" t="s">
        <v>24</v>
      </c>
      <c r="F861">
        <v>117</v>
      </c>
      <c r="G861" t="str">
        <f>IF(Table1[[#This Row],[Runtime_minutes]]&lt;90,"Short",IF(Table1[[#This Row],[Runtime_minutes]]&lt;=120,"Medium","Long"))</f>
        <v>Medium</v>
      </c>
      <c r="H861" t="s">
        <v>606</v>
      </c>
      <c r="I861" t="s">
        <v>3983</v>
      </c>
      <c r="J861" t="s">
        <v>3985</v>
      </c>
      <c r="K861">
        <v>5.9</v>
      </c>
      <c r="L861">
        <v>61</v>
      </c>
      <c r="M861" t="s">
        <v>805</v>
      </c>
      <c r="N861" t="s">
        <v>80</v>
      </c>
      <c r="O861" t="s">
        <v>3447</v>
      </c>
      <c r="P861">
        <v>3227</v>
      </c>
      <c r="Q861" s="3"/>
      <c r="R861" s="3">
        <f>IF(Table1[[#This Row],[Gross_millions]]=" ",0,Table1[[#This Row],[Gross_millions]])</f>
        <v>0</v>
      </c>
      <c r="S861" t="str">
        <f>IF(Table1[[#This Row],[Gross_millions_Clean]]&gt;200,"Blockbuster",IF(Table1[[#This Row],[Gross_millions_Clean]]&gt;100,"Hit","Average"))</f>
        <v>Average</v>
      </c>
    </row>
    <row r="862" spans="1:19" x14ac:dyDescent="0.3">
      <c r="A862" t="s">
        <v>3448</v>
      </c>
      <c r="B862" t="s">
        <v>3449</v>
      </c>
      <c r="C862">
        <v>2018</v>
      </c>
      <c r="D862" s="8">
        <f>FLOOR(Table1[[#This Row],[Year]],10)</f>
        <v>2010</v>
      </c>
      <c r="E862" t="s">
        <v>17</v>
      </c>
      <c r="F862">
        <v>120</v>
      </c>
      <c r="G862" t="str">
        <f>IF(Table1[[#This Row],[Runtime_minutes]]&lt;90,"Short",IF(Table1[[#This Row],[Runtime_minutes]]&lt;=120,"Medium","Long"))</f>
        <v>Medium</v>
      </c>
      <c r="H862" t="s">
        <v>78</v>
      </c>
      <c r="K862">
        <v>5.9</v>
      </c>
      <c r="L862">
        <v>64</v>
      </c>
      <c r="M862" t="s">
        <v>305</v>
      </c>
      <c r="N862" t="s">
        <v>113</v>
      </c>
      <c r="O862" t="s">
        <v>3450</v>
      </c>
      <c r="P862">
        <v>181904</v>
      </c>
      <c r="Q862" s="3"/>
      <c r="R862" s="3">
        <f>IF(Table1[[#This Row],[Gross_millions]]=" ",0,Table1[[#This Row],[Gross_millions]])</f>
        <v>0</v>
      </c>
      <c r="S862" t="str">
        <f>IF(Table1[[#This Row],[Gross_millions_Clean]]&gt;200,"Blockbuster",IF(Table1[[#This Row],[Gross_millions_Clean]]&gt;100,"Hit","Average"))</f>
        <v>Average</v>
      </c>
    </row>
    <row r="863" spans="1:19" x14ac:dyDescent="0.3">
      <c r="A863" t="s">
        <v>3451</v>
      </c>
      <c r="B863" t="s">
        <v>3452</v>
      </c>
      <c r="C863">
        <v>2007</v>
      </c>
      <c r="D863" s="8">
        <f>FLOOR(Table1[[#This Row],[Year]],10)</f>
        <v>2000</v>
      </c>
      <c r="E863" t="s">
        <v>54</v>
      </c>
      <c r="F863">
        <v>119</v>
      </c>
      <c r="G863" t="str">
        <f>IF(Table1[[#This Row],[Runtime_minutes]]&lt;90,"Short",IF(Table1[[#This Row],[Runtime_minutes]]&lt;=120,"Medium","Long"))</f>
        <v>Medium</v>
      </c>
      <c r="H863" t="s">
        <v>157</v>
      </c>
      <c r="I863" t="s">
        <v>3985</v>
      </c>
      <c r="J863" t="s">
        <v>3980</v>
      </c>
      <c r="K863">
        <v>5.9</v>
      </c>
      <c r="L863">
        <v>49</v>
      </c>
      <c r="M863" t="s">
        <v>158</v>
      </c>
      <c r="N863" t="s">
        <v>74</v>
      </c>
      <c r="O863" t="s">
        <v>3454</v>
      </c>
      <c r="P863">
        <v>28080</v>
      </c>
      <c r="Q863" s="3"/>
      <c r="R863" s="3">
        <f>IF(Table1[[#This Row],[Gross_millions]]=" ",0,Table1[[#This Row],[Gross_millions]])</f>
        <v>0</v>
      </c>
      <c r="S863" t="str">
        <f>IF(Table1[[#This Row],[Gross_millions_Clean]]&gt;200,"Blockbuster",IF(Table1[[#This Row],[Gross_millions_Clean]]&gt;100,"Hit","Average"))</f>
        <v>Average</v>
      </c>
    </row>
    <row r="864" spans="1:19" x14ac:dyDescent="0.3">
      <c r="A864" t="s">
        <v>3455</v>
      </c>
      <c r="B864" t="s">
        <v>3456</v>
      </c>
      <c r="C864">
        <v>2018</v>
      </c>
      <c r="D864" s="8">
        <f>FLOOR(Table1[[#This Row],[Year]],10)</f>
        <v>2010</v>
      </c>
      <c r="E864" t="s">
        <v>17</v>
      </c>
      <c r="F864">
        <v>106</v>
      </c>
      <c r="G864" t="str">
        <f>IF(Table1[[#This Row],[Runtime_minutes]]&lt;90,"Short",IF(Table1[[#This Row],[Runtime_minutes]]&lt;=120,"Medium","Long"))</f>
        <v>Medium</v>
      </c>
      <c r="H864" t="s">
        <v>277</v>
      </c>
      <c r="I864" t="s">
        <v>3979</v>
      </c>
      <c r="K864">
        <v>5.9</v>
      </c>
      <c r="M864" t="s">
        <v>3458</v>
      </c>
      <c r="N864" t="s">
        <v>518</v>
      </c>
      <c r="O864" t="s">
        <v>3459</v>
      </c>
      <c r="P864">
        <v>39275</v>
      </c>
      <c r="Q864" s="3">
        <v>446.76</v>
      </c>
      <c r="R864" s="3">
        <f>IF(Table1[[#This Row],[Gross_millions]]=" ",0,Table1[[#This Row],[Gross_millions]])</f>
        <v>446.76</v>
      </c>
      <c r="S864" t="str">
        <f>IF(Table1[[#This Row],[Gross_millions_Clean]]&gt;200,"Blockbuster",IF(Table1[[#This Row],[Gross_millions_Clean]]&gt;100,"Hit","Average"))</f>
        <v>Blockbuster</v>
      </c>
    </row>
    <row r="865" spans="1:19" x14ac:dyDescent="0.3">
      <c r="A865" t="s">
        <v>3460</v>
      </c>
      <c r="B865" t="s">
        <v>3461</v>
      </c>
      <c r="C865">
        <v>2013</v>
      </c>
      <c r="D865" s="8">
        <f>FLOOR(Table1[[#This Row],[Year]],10)</f>
        <v>2010</v>
      </c>
      <c r="E865" t="s">
        <v>54</v>
      </c>
      <c r="F865">
        <v>131</v>
      </c>
      <c r="G865" t="str">
        <f>IF(Table1[[#This Row],[Runtime_minutes]]&lt;90,"Short",IF(Table1[[#This Row],[Runtime_minutes]]&lt;=120,"Medium","Long"))</f>
        <v>Long</v>
      </c>
      <c r="H865" t="s">
        <v>78</v>
      </c>
      <c r="I865" t="s">
        <v>3988</v>
      </c>
      <c r="J865" t="s">
        <v>3980</v>
      </c>
      <c r="K865">
        <v>5.9</v>
      </c>
      <c r="M865" t="s">
        <v>412</v>
      </c>
      <c r="N865" t="s">
        <v>159</v>
      </c>
      <c r="O865" t="s">
        <v>3463</v>
      </c>
      <c r="P865">
        <v>70127</v>
      </c>
      <c r="Q865" s="3">
        <v>38.869999999999997</v>
      </c>
      <c r="R865" s="3">
        <f>IF(Table1[[#This Row],[Gross_millions]]=" ",0,Table1[[#This Row],[Gross_millions]])</f>
        <v>38.869999999999997</v>
      </c>
      <c r="S865" t="str">
        <f>IF(Table1[[#This Row],[Gross_millions_Clean]]&gt;200,"Blockbuster",IF(Table1[[#This Row],[Gross_millions_Clean]]&gt;100,"Hit","Average"))</f>
        <v>Average</v>
      </c>
    </row>
    <row r="866" spans="1:19" x14ac:dyDescent="0.3">
      <c r="A866" t="s">
        <v>3464</v>
      </c>
      <c r="B866" t="s">
        <v>3465</v>
      </c>
      <c r="C866">
        <v>2010</v>
      </c>
      <c r="D866" s="8">
        <f>FLOOR(Table1[[#This Row],[Year]],10)</f>
        <v>2010</v>
      </c>
      <c r="E866" t="s">
        <v>17</v>
      </c>
      <c r="F866">
        <v>141</v>
      </c>
      <c r="G866" t="str">
        <f>IF(Table1[[#This Row],[Runtime_minutes]]&lt;90,"Short",IF(Table1[[#This Row],[Runtime_minutes]]&lt;=120,"Medium","Long"))</f>
        <v>Long</v>
      </c>
      <c r="H866" t="s">
        <v>767</v>
      </c>
      <c r="I866" t="s">
        <v>3984</v>
      </c>
      <c r="J866" t="s">
        <v>3993</v>
      </c>
      <c r="K866">
        <v>5.9</v>
      </c>
      <c r="L866">
        <v>45</v>
      </c>
      <c r="M866" t="s">
        <v>3467</v>
      </c>
      <c r="N866" t="s">
        <v>113</v>
      </c>
      <c r="O866" t="s">
        <v>3468</v>
      </c>
      <c r="P866">
        <v>2500000</v>
      </c>
      <c r="Q866" s="3">
        <v>472.21</v>
      </c>
      <c r="R866" s="3">
        <f>IF(Table1[[#This Row],[Gross_millions]]=" ",0,Table1[[#This Row],[Gross_millions]])</f>
        <v>472.21</v>
      </c>
      <c r="S866" t="str">
        <f>IF(Table1[[#This Row],[Gross_millions_Clean]]&gt;200,"Blockbuster",IF(Table1[[#This Row],[Gross_millions_Clean]]&gt;100,"Hit","Average"))</f>
        <v>Blockbuster</v>
      </c>
    </row>
    <row r="867" spans="1:19" x14ac:dyDescent="0.3">
      <c r="A867" t="s">
        <v>3469</v>
      </c>
      <c r="B867" t="s">
        <v>3470</v>
      </c>
      <c r="C867">
        <v>2007</v>
      </c>
      <c r="D867" s="8">
        <f>FLOOR(Table1[[#This Row],[Year]],10)</f>
        <v>2000</v>
      </c>
      <c r="E867" t="s">
        <v>17</v>
      </c>
      <c r="F867">
        <v>109</v>
      </c>
      <c r="G867" t="str">
        <f>IF(Table1[[#This Row],[Runtime_minutes]]&lt;90,"Short",IF(Table1[[#This Row],[Runtime_minutes]]&lt;=120,"Medium","Long"))</f>
        <v>Medium</v>
      </c>
      <c r="H867" t="s">
        <v>43</v>
      </c>
      <c r="I867" t="s">
        <v>3984</v>
      </c>
      <c r="K867">
        <v>5.8</v>
      </c>
      <c r="M867" t="s">
        <v>533</v>
      </c>
      <c r="N867" t="s">
        <v>147</v>
      </c>
      <c r="O867" t="s">
        <v>3471</v>
      </c>
      <c r="P867">
        <v>552658</v>
      </c>
      <c r="Q867" s="3"/>
      <c r="R867" s="3">
        <f>IF(Table1[[#This Row],[Gross_millions]]=" ",0,Table1[[#This Row],[Gross_millions]])</f>
        <v>0</v>
      </c>
      <c r="S867" t="str">
        <f>IF(Table1[[#This Row],[Gross_millions_Clean]]&gt;200,"Blockbuster",IF(Table1[[#This Row],[Gross_millions_Clean]]&gt;100,"Hit","Average"))</f>
        <v>Average</v>
      </c>
    </row>
    <row r="868" spans="1:19" x14ac:dyDescent="0.3">
      <c r="A868" t="s">
        <v>3472</v>
      </c>
      <c r="B868" t="s">
        <v>3473</v>
      </c>
      <c r="C868">
        <v>2007</v>
      </c>
      <c r="D868" s="8">
        <f>FLOOR(Table1[[#This Row],[Year]],10)</f>
        <v>2000</v>
      </c>
      <c r="E868" t="s">
        <v>54</v>
      </c>
      <c r="F868">
        <v>124</v>
      </c>
      <c r="G868" t="str">
        <f>IF(Table1[[#This Row],[Runtime_minutes]]&lt;90,"Short",IF(Table1[[#This Row],[Runtime_minutes]]&lt;=120,"Medium","Long"))</f>
        <v>Long</v>
      </c>
      <c r="H868" t="s">
        <v>230</v>
      </c>
      <c r="K868">
        <v>5.8</v>
      </c>
      <c r="M868" t="s">
        <v>3474</v>
      </c>
      <c r="N868" t="s">
        <v>74</v>
      </c>
      <c r="O868" t="s">
        <v>3475</v>
      </c>
      <c r="P868">
        <v>24752</v>
      </c>
      <c r="Q868" s="3">
        <v>321.97000000000003</v>
      </c>
      <c r="R868" s="3">
        <f>IF(Table1[[#This Row],[Gross_millions]]=" ",0,Table1[[#This Row],[Gross_millions]])</f>
        <v>321.97000000000003</v>
      </c>
      <c r="S868" t="str">
        <f>IF(Table1[[#This Row],[Gross_millions_Clean]]&gt;200,"Blockbuster",IF(Table1[[#This Row],[Gross_millions_Clean]]&gt;100,"Hit","Average"))</f>
        <v>Blockbuster</v>
      </c>
    </row>
    <row r="869" spans="1:19" x14ac:dyDescent="0.3">
      <c r="A869" t="s">
        <v>3476</v>
      </c>
      <c r="B869" t="s">
        <v>3477</v>
      </c>
      <c r="C869">
        <v>2020</v>
      </c>
      <c r="D869" s="8">
        <f>FLOOR(Table1[[#This Row],[Year]],10)</f>
        <v>2020</v>
      </c>
      <c r="E869" t="s">
        <v>24</v>
      </c>
      <c r="F869">
        <v>125</v>
      </c>
      <c r="G869" t="str">
        <f>IF(Table1[[#This Row],[Runtime_minutes]]&lt;90,"Short",IF(Table1[[#This Row],[Runtime_minutes]]&lt;=120,"Medium","Long"))</f>
        <v>Long</v>
      </c>
      <c r="H869" t="s">
        <v>868</v>
      </c>
      <c r="I869" t="s">
        <v>3983</v>
      </c>
      <c r="J869" t="s">
        <v>3988</v>
      </c>
      <c r="K869">
        <v>5.8</v>
      </c>
      <c r="L869">
        <v>58</v>
      </c>
      <c r="M869" t="s">
        <v>355</v>
      </c>
      <c r="N869" t="s">
        <v>518</v>
      </c>
      <c r="O869" t="s">
        <v>3479</v>
      </c>
      <c r="P869">
        <v>2346951</v>
      </c>
      <c r="Q869" s="3"/>
      <c r="R869" s="3">
        <f>IF(Table1[[#This Row],[Gross_millions]]=" ",0,Table1[[#This Row],[Gross_millions]])</f>
        <v>0</v>
      </c>
      <c r="S869" t="str">
        <f>IF(Table1[[#This Row],[Gross_millions_Clean]]&gt;200,"Blockbuster",IF(Table1[[#This Row],[Gross_millions_Clean]]&gt;100,"Hit","Average"))</f>
        <v>Average</v>
      </c>
    </row>
    <row r="870" spans="1:19" x14ac:dyDescent="0.3">
      <c r="A870" t="s">
        <v>3480</v>
      </c>
      <c r="B870" t="s">
        <v>3481</v>
      </c>
      <c r="C870">
        <v>2013</v>
      </c>
      <c r="D870" s="8">
        <f>FLOOR(Table1[[#This Row],[Year]],10)</f>
        <v>2010</v>
      </c>
      <c r="E870" t="s">
        <v>54</v>
      </c>
      <c r="F870">
        <v>172</v>
      </c>
      <c r="G870" t="str">
        <f>IF(Table1[[#This Row],[Runtime_minutes]]&lt;90,"Short",IF(Table1[[#This Row],[Runtime_minutes]]&lt;=120,"Medium","Long"))</f>
        <v>Long</v>
      </c>
      <c r="H870" t="s">
        <v>606</v>
      </c>
      <c r="I870" t="s">
        <v>3980</v>
      </c>
      <c r="J870" t="s">
        <v>3992</v>
      </c>
      <c r="K870">
        <v>5.8</v>
      </c>
      <c r="M870" t="s">
        <v>250</v>
      </c>
      <c r="N870" t="s">
        <v>33</v>
      </c>
      <c r="O870" t="s">
        <v>3483</v>
      </c>
      <c r="P870">
        <v>538350</v>
      </c>
      <c r="Q870" s="3">
        <v>51.57</v>
      </c>
      <c r="R870" s="3">
        <f>IF(Table1[[#This Row],[Gross_millions]]=" ",0,Table1[[#This Row],[Gross_millions]])</f>
        <v>51.57</v>
      </c>
      <c r="S870" t="str">
        <f>IF(Table1[[#This Row],[Gross_millions_Clean]]&gt;200,"Blockbuster",IF(Table1[[#This Row],[Gross_millions_Clean]]&gt;100,"Hit","Average"))</f>
        <v>Average</v>
      </c>
    </row>
    <row r="871" spans="1:19" x14ac:dyDescent="0.3">
      <c r="A871" t="s">
        <v>3484</v>
      </c>
      <c r="B871" t="s">
        <v>3485</v>
      </c>
      <c r="C871">
        <v>2012</v>
      </c>
      <c r="D871" s="8">
        <f>FLOOR(Table1[[#This Row],[Year]],10)</f>
        <v>2010</v>
      </c>
      <c r="E871" t="s">
        <v>24</v>
      </c>
      <c r="F871">
        <v>130</v>
      </c>
      <c r="G871" t="str">
        <f>IF(Table1[[#This Row],[Runtime_minutes]]&lt;90,"Short",IF(Table1[[#This Row],[Runtime_minutes]]&lt;=120,"Medium","Long"))</f>
        <v>Long</v>
      </c>
      <c r="H871" t="s">
        <v>235</v>
      </c>
      <c r="I871" t="s">
        <v>3976</v>
      </c>
      <c r="J871" t="s">
        <v>3989</v>
      </c>
      <c r="K871">
        <v>5.8</v>
      </c>
      <c r="M871" t="s">
        <v>201</v>
      </c>
      <c r="N871" t="s">
        <v>593</v>
      </c>
      <c r="O871" t="s">
        <v>3487</v>
      </c>
      <c r="P871">
        <v>2370</v>
      </c>
      <c r="Q871" s="3"/>
      <c r="R871" s="3">
        <f>IF(Table1[[#This Row],[Gross_millions]]=" ",0,Table1[[#This Row],[Gross_millions]])</f>
        <v>0</v>
      </c>
      <c r="S871" t="str">
        <f>IF(Table1[[#This Row],[Gross_millions_Clean]]&gt;200,"Blockbuster",IF(Table1[[#This Row],[Gross_millions_Clean]]&gt;100,"Hit","Average"))</f>
        <v>Average</v>
      </c>
    </row>
    <row r="872" spans="1:19" x14ac:dyDescent="0.3">
      <c r="A872" t="s">
        <v>3488</v>
      </c>
      <c r="B872" t="s">
        <v>3489</v>
      </c>
      <c r="C872">
        <v>2002</v>
      </c>
      <c r="D872" s="8">
        <f>FLOOR(Table1[[#This Row],[Year]],10)</f>
        <v>2000</v>
      </c>
      <c r="E872" t="s">
        <v>54</v>
      </c>
      <c r="F872">
        <v>132</v>
      </c>
      <c r="G872" t="str">
        <f>IF(Table1[[#This Row],[Runtime_minutes]]&lt;90,"Short",IF(Table1[[#This Row],[Runtime_minutes]]&lt;=120,"Medium","Long"))</f>
        <v>Long</v>
      </c>
      <c r="H872" t="s">
        <v>453</v>
      </c>
      <c r="K872">
        <v>5.8</v>
      </c>
      <c r="M872" t="s">
        <v>3490</v>
      </c>
      <c r="N872" t="s">
        <v>191</v>
      </c>
      <c r="O872" t="s">
        <v>3491</v>
      </c>
      <c r="P872">
        <v>693944</v>
      </c>
      <c r="Q872" s="3">
        <v>73.260000000000005</v>
      </c>
      <c r="R872" s="3">
        <f>IF(Table1[[#This Row],[Gross_millions]]=" ",0,Table1[[#This Row],[Gross_millions]])</f>
        <v>73.260000000000005</v>
      </c>
      <c r="S872" t="str">
        <f>IF(Table1[[#This Row],[Gross_millions_Clean]]&gt;200,"Blockbuster",IF(Table1[[#This Row],[Gross_millions_Clean]]&gt;100,"Hit","Average"))</f>
        <v>Average</v>
      </c>
    </row>
    <row r="873" spans="1:19" x14ac:dyDescent="0.3">
      <c r="A873" t="s">
        <v>3492</v>
      </c>
      <c r="B873" t="s">
        <v>3493</v>
      </c>
      <c r="C873">
        <v>2003</v>
      </c>
      <c r="D873" s="8">
        <f>FLOOR(Table1[[#This Row],[Year]],10)</f>
        <v>2000</v>
      </c>
      <c r="E873" t="s">
        <v>54</v>
      </c>
      <c r="F873">
        <v>142</v>
      </c>
      <c r="G873" t="str">
        <f>IF(Table1[[#This Row],[Runtime_minutes]]&lt;90,"Short",IF(Table1[[#This Row],[Runtime_minutes]]&lt;=120,"Medium","Long"))</f>
        <v>Long</v>
      </c>
      <c r="H873" t="s">
        <v>868</v>
      </c>
      <c r="K873">
        <v>5.8</v>
      </c>
      <c r="M873" t="s">
        <v>3494</v>
      </c>
      <c r="N873" t="s">
        <v>221</v>
      </c>
      <c r="O873" t="s">
        <v>3495</v>
      </c>
      <c r="P873">
        <v>17382</v>
      </c>
      <c r="Q873" s="3">
        <v>149.53</v>
      </c>
      <c r="R873" s="3">
        <f>IF(Table1[[#This Row],[Gross_millions]]=" ",0,Table1[[#This Row],[Gross_millions]])</f>
        <v>149.53</v>
      </c>
      <c r="S873" t="str">
        <f>IF(Table1[[#This Row],[Gross_millions_Clean]]&gt;200,"Blockbuster",IF(Table1[[#This Row],[Gross_millions_Clean]]&gt;100,"Hit","Average"))</f>
        <v>Hit</v>
      </c>
    </row>
    <row r="874" spans="1:19" x14ac:dyDescent="0.3">
      <c r="A874" t="s">
        <v>3496</v>
      </c>
      <c r="B874" t="s">
        <v>3497</v>
      </c>
      <c r="C874">
        <v>2019</v>
      </c>
      <c r="D874" s="8">
        <f>FLOOR(Table1[[#This Row],[Year]],10)</f>
        <v>2010</v>
      </c>
      <c r="E874" t="s">
        <v>24</v>
      </c>
      <c r="F874">
        <v>137</v>
      </c>
      <c r="G874" t="str">
        <f>IF(Table1[[#This Row],[Runtime_minutes]]&lt;90,"Short",IF(Table1[[#This Row],[Runtime_minutes]]&lt;=120,"Medium","Long"))</f>
        <v>Long</v>
      </c>
      <c r="H874" t="s">
        <v>210</v>
      </c>
      <c r="K874">
        <v>5.8</v>
      </c>
      <c r="M874" t="s">
        <v>3498</v>
      </c>
      <c r="N874" t="s">
        <v>524</v>
      </c>
      <c r="O874" t="s">
        <v>3499</v>
      </c>
      <c r="P874">
        <v>227605</v>
      </c>
      <c r="Q874" s="3">
        <v>314.67</v>
      </c>
      <c r="R874" s="3">
        <f>IF(Table1[[#This Row],[Gross_millions]]=" ",0,Table1[[#This Row],[Gross_millions]])</f>
        <v>314.67</v>
      </c>
      <c r="S874" t="str">
        <f>IF(Table1[[#This Row],[Gross_millions_Clean]]&gt;200,"Blockbuster",IF(Table1[[#This Row],[Gross_millions_Clean]]&gt;100,"Hit","Average"))</f>
        <v>Blockbuster</v>
      </c>
    </row>
    <row r="875" spans="1:19" x14ac:dyDescent="0.3">
      <c r="A875" t="s">
        <v>3500</v>
      </c>
      <c r="B875" t="s">
        <v>3501</v>
      </c>
      <c r="C875">
        <v>1987</v>
      </c>
      <c r="D875" s="8">
        <f>FLOOR(Table1[[#This Row],[Year]],10)</f>
        <v>1980</v>
      </c>
      <c r="E875" t="s">
        <v>17</v>
      </c>
      <c r="F875">
        <v>136</v>
      </c>
      <c r="G875" t="str">
        <f>IF(Table1[[#This Row],[Runtime_minutes]]&lt;90,"Short",IF(Table1[[#This Row],[Runtime_minutes]]&lt;=120,"Medium","Long"))</f>
        <v>Long</v>
      </c>
      <c r="H875" t="s">
        <v>37</v>
      </c>
      <c r="I875" t="s">
        <v>3986</v>
      </c>
      <c r="K875">
        <v>5.8</v>
      </c>
      <c r="L875">
        <v>72</v>
      </c>
      <c r="M875" t="s">
        <v>38</v>
      </c>
      <c r="N875" t="s">
        <v>221</v>
      </c>
      <c r="O875" t="s">
        <v>3502</v>
      </c>
      <c r="P875">
        <v>79528</v>
      </c>
      <c r="Q875" s="3">
        <v>72.83</v>
      </c>
      <c r="R875" s="3">
        <f>IF(Table1[[#This Row],[Gross_millions]]=" ",0,Table1[[#This Row],[Gross_millions]])</f>
        <v>72.83</v>
      </c>
      <c r="S875" t="str">
        <f>IF(Table1[[#This Row],[Gross_millions_Clean]]&gt;200,"Blockbuster",IF(Table1[[#This Row],[Gross_millions_Clean]]&gt;100,"Hit","Average"))</f>
        <v>Average</v>
      </c>
    </row>
    <row r="876" spans="1:19" x14ac:dyDescent="0.3">
      <c r="A876" t="s">
        <v>3503</v>
      </c>
      <c r="B876" t="s">
        <v>3504</v>
      </c>
      <c r="C876">
        <v>2004</v>
      </c>
      <c r="D876" s="8">
        <f>FLOOR(Table1[[#This Row],[Year]],10)</f>
        <v>2000</v>
      </c>
      <c r="E876" t="s">
        <v>17</v>
      </c>
      <c r="F876">
        <v>85</v>
      </c>
      <c r="G876" t="str">
        <f>IF(Table1[[#This Row],[Runtime_minutes]]&lt;90,"Short",IF(Table1[[#This Row],[Runtime_minutes]]&lt;=120,"Medium","Long"))</f>
        <v>Short</v>
      </c>
      <c r="H876" t="s">
        <v>55</v>
      </c>
      <c r="K876">
        <v>5.8</v>
      </c>
      <c r="M876" t="s">
        <v>852</v>
      </c>
      <c r="N876" t="s">
        <v>368</v>
      </c>
      <c r="O876" t="s">
        <v>3505</v>
      </c>
      <c r="P876">
        <v>382206</v>
      </c>
      <c r="Q876" s="3">
        <v>440.93</v>
      </c>
      <c r="R876" s="3">
        <f>IF(Table1[[#This Row],[Gross_millions]]=" ",0,Table1[[#This Row],[Gross_millions]])</f>
        <v>440.93</v>
      </c>
      <c r="S876" t="str">
        <f>IF(Table1[[#This Row],[Gross_millions_Clean]]&gt;200,"Blockbuster",IF(Table1[[#This Row],[Gross_millions_Clean]]&gt;100,"Hit","Average"))</f>
        <v>Blockbuster</v>
      </c>
    </row>
    <row r="877" spans="1:19" x14ac:dyDescent="0.3">
      <c r="A877" t="s">
        <v>3506</v>
      </c>
      <c r="B877" t="s">
        <v>3507</v>
      </c>
      <c r="C877">
        <v>2020</v>
      </c>
      <c r="D877" s="8">
        <f>FLOOR(Table1[[#This Row],[Year]],10)</f>
        <v>2020</v>
      </c>
      <c r="E877" t="s">
        <v>54</v>
      </c>
      <c r="F877">
        <v>111</v>
      </c>
      <c r="G877" t="str">
        <f>IF(Table1[[#This Row],[Runtime_minutes]]&lt;90,"Short",IF(Table1[[#This Row],[Runtime_minutes]]&lt;=120,"Medium","Long"))</f>
        <v>Medium</v>
      </c>
      <c r="H877" t="s">
        <v>235</v>
      </c>
      <c r="K877">
        <v>5.8</v>
      </c>
      <c r="L877">
        <v>67</v>
      </c>
      <c r="M877" t="s">
        <v>673</v>
      </c>
      <c r="N877" t="s">
        <v>131</v>
      </c>
      <c r="O877" t="s">
        <v>3508</v>
      </c>
      <c r="P877">
        <v>43374</v>
      </c>
      <c r="Q877" s="3">
        <v>471.81</v>
      </c>
      <c r="R877" s="3">
        <f>IF(Table1[[#This Row],[Gross_millions]]=" ",0,Table1[[#This Row],[Gross_millions]])</f>
        <v>471.81</v>
      </c>
      <c r="S877" t="str">
        <f>IF(Table1[[#This Row],[Gross_millions_Clean]]&gt;200,"Blockbuster",IF(Table1[[#This Row],[Gross_millions_Clean]]&gt;100,"Hit","Average"))</f>
        <v>Blockbuster</v>
      </c>
    </row>
    <row r="878" spans="1:19" x14ac:dyDescent="0.3">
      <c r="A878" t="s">
        <v>3509</v>
      </c>
      <c r="B878" t="s">
        <v>3510</v>
      </c>
      <c r="C878">
        <v>2024</v>
      </c>
      <c r="D878" s="8">
        <f>FLOOR(Table1[[#This Row],[Year]],10)</f>
        <v>2020</v>
      </c>
      <c r="E878" t="s">
        <v>54</v>
      </c>
      <c r="F878">
        <v>133</v>
      </c>
      <c r="G878" t="str">
        <f>IF(Table1[[#This Row],[Runtime_minutes]]&lt;90,"Short",IF(Table1[[#This Row],[Runtime_minutes]]&lt;=120,"Medium","Long"))</f>
        <v>Long</v>
      </c>
      <c r="H878" t="s">
        <v>72</v>
      </c>
      <c r="I878" t="s">
        <v>3977</v>
      </c>
      <c r="K878">
        <v>5.8</v>
      </c>
      <c r="L878">
        <v>68</v>
      </c>
      <c r="M878" t="s">
        <v>1155</v>
      </c>
      <c r="N878" t="s">
        <v>315</v>
      </c>
      <c r="O878" t="s">
        <v>3511</v>
      </c>
      <c r="P878">
        <v>33501</v>
      </c>
      <c r="Q878" s="3">
        <v>472.68</v>
      </c>
      <c r="R878" s="3">
        <f>IF(Table1[[#This Row],[Gross_millions]]=" ",0,Table1[[#This Row],[Gross_millions]])</f>
        <v>472.68</v>
      </c>
      <c r="S878" t="str">
        <f>IF(Table1[[#This Row],[Gross_millions_Clean]]&gt;200,"Blockbuster",IF(Table1[[#This Row],[Gross_millions_Clean]]&gt;100,"Hit","Average"))</f>
        <v>Blockbuster</v>
      </c>
    </row>
    <row r="879" spans="1:19" x14ac:dyDescent="0.3">
      <c r="A879" t="s">
        <v>3512</v>
      </c>
      <c r="B879" t="s">
        <v>3513</v>
      </c>
      <c r="C879">
        <v>2004</v>
      </c>
      <c r="D879" s="8">
        <f>FLOOR(Table1[[#This Row],[Year]],10)</f>
        <v>2000</v>
      </c>
      <c r="E879" t="s">
        <v>24</v>
      </c>
      <c r="F879">
        <v>161</v>
      </c>
      <c r="G879" t="str">
        <f>IF(Table1[[#This Row],[Runtime_minutes]]&lt;90,"Short",IF(Table1[[#This Row],[Runtime_minutes]]&lt;=120,"Medium","Long"))</f>
        <v>Long</v>
      </c>
      <c r="H879" t="s">
        <v>210</v>
      </c>
      <c r="I879" t="s">
        <v>3983</v>
      </c>
      <c r="K879">
        <v>5.8</v>
      </c>
      <c r="L879">
        <v>49</v>
      </c>
      <c r="M879" t="s">
        <v>19</v>
      </c>
      <c r="N879" t="s">
        <v>147</v>
      </c>
      <c r="O879" t="s">
        <v>3514</v>
      </c>
      <c r="P879">
        <v>62089</v>
      </c>
      <c r="Q879" s="3">
        <v>323.07</v>
      </c>
      <c r="R879" s="3">
        <f>IF(Table1[[#This Row],[Gross_millions]]=" ",0,Table1[[#This Row],[Gross_millions]])</f>
        <v>323.07</v>
      </c>
      <c r="S879" t="str">
        <f>IF(Table1[[#This Row],[Gross_millions_Clean]]&gt;200,"Blockbuster",IF(Table1[[#This Row],[Gross_millions_Clean]]&gt;100,"Hit","Average"))</f>
        <v>Blockbuster</v>
      </c>
    </row>
    <row r="880" spans="1:19" x14ac:dyDescent="0.3">
      <c r="A880" t="s">
        <v>3515</v>
      </c>
      <c r="B880" t="s">
        <v>3516</v>
      </c>
      <c r="C880">
        <v>2011</v>
      </c>
      <c r="D880" s="8">
        <f>FLOOR(Table1[[#This Row],[Year]],10)</f>
        <v>2010</v>
      </c>
      <c r="E880" t="s">
        <v>54</v>
      </c>
      <c r="F880">
        <v>98</v>
      </c>
      <c r="G880" t="str">
        <f>IF(Table1[[#This Row],[Runtime_minutes]]&lt;90,"Short",IF(Table1[[#This Row],[Runtime_minutes]]&lt;=120,"Medium","Long"))</f>
        <v>Medium</v>
      </c>
      <c r="H880" t="s">
        <v>43</v>
      </c>
      <c r="I880" t="s">
        <v>3988</v>
      </c>
      <c r="J880" t="s">
        <v>3991</v>
      </c>
      <c r="K880">
        <v>5.8</v>
      </c>
      <c r="L880">
        <v>45</v>
      </c>
      <c r="M880" t="s">
        <v>3518</v>
      </c>
      <c r="N880" t="s">
        <v>153</v>
      </c>
      <c r="O880" t="s">
        <v>3519</v>
      </c>
      <c r="P880">
        <v>165886</v>
      </c>
      <c r="Q880" s="3"/>
      <c r="R880" s="3">
        <f>IF(Table1[[#This Row],[Gross_millions]]=" ",0,Table1[[#This Row],[Gross_millions]])</f>
        <v>0</v>
      </c>
      <c r="S880" t="str">
        <f>IF(Table1[[#This Row],[Gross_millions_Clean]]&gt;200,"Blockbuster",IF(Table1[[#This Row],[Gross_millions_Clean]]&gt;100,"Hit","Average"))</f>
        <v>Average</v>
      </c>
    </row>
    <row r="881" spans="1:19" x14ac:dyDescent="0.3">
      <c r="A881" t="s">
        <v>3520</v>
      </c>
      <c r="B881" t="s">
        <v>3521</v>
      </c>
      <c r="C881">
        <v>2022</v>
      </c>
      <c r="D881" s="8">
        <f>FLOOR(Table1[[#This Row],[Year]],10)</f>
        <v>2020</v>
      </c>
      <c r="E881" t="s">
        <v>17</v>
      </c>
      <c r="F881">
        <v>144</v>
      </c>
      <c r="G881" t="str">
        <f>IF(Table1[[#This Row],[Runtime_minutes]]&lt;90,"Short",IF(Table1[[#This Row],[Runtime_minutes]]&lt;=120,"Medium","Long"))</f>
        <v>Long</v>
      </c>
      <c r="H881" t="s">
        <v>157</v>
      </c>
      <c r="I881" t="s">
        <v>3980</v>
      </c>
      <c r="K881">
        <v>5.8</v>
      </c>
      <c r="L881">
        <v>48</v>
      </c>
      <c r="M881" t="s">
        <v>538</v>
      </c>
      <c r="N881" t="s">
        <v>137</v>
      </c>
      <c r="O881" t="s">
        <v>3522</v>
      </c>
      <c r="P881">
        <v>166096</v>
      </c>
      <c r="Q881" s="3"/>
      <c r="R881" s="3">
        <f>IF(Table1[[#This Row],[Gross_millions]]=" ",0,Table1[[#This Row],[Gross_millions]])</f>
        <v>0</v>
      </c>
      <c r="S881" t="str">
        <f>IF(Table1[[#This Row],[Gross_millions_Clean]]&gt;200,"Blockbuster",IF(Table1[[#This Row],[Gross_millions_Clean]]&gt;100,"Hit","Average"))</f>
        <v>Average</v>
      </c>
    </row>
    <row r="882" spans="1:19" x14ac:dyDescent="0.3">
      <c r="A882" t="s">
        <v>3523</v>
      </c>
      <c r="B882" t="s">
        <v>3524</v>
      </c>
      <c r="C882">
        <v>2000</v>
      </c>
      <c r="D882" s="8">
        <f>FLOOR(Table1[[#This Row],[Year]],10)</f>
        <v>2000</v>
      </c>
      <c r="E882" t="s">
        <v>24</v>
      </c>
      <c r="F882">
        <v>104</v>
      </c>
      <c r="G882" t="str">
        <f>IF(Table1[[#This Row],[Runtime_minutes]]&lt;90,"Short",IF(Table1[[#This Row],[Runtime_minutes]]&lt;=120,"Medium","Long"))</f>
        <v>Medium</v>
      </c>
      <c r="H882" t="s">
        <v>453</v>
      </c>
      <c r="I882" t="s">
        <v>3977</v>
      </c>
      <c r="K882">
        <v>5.8</v>
      </c>
      <c r="M882" t="s">
        <v>435</v>
      </c>
      <c r="N882" t="s">
        <v>315</v>
      </c>
      <c r="O882" t="s">
        <v>3525</v>
      </c>
      <c r="P882">
        <v>829356</v>
      </c>
      <c r="Q882" s="3">
        <v>277.07</v>
      </c>
      <c r="R882" s="3">
        <f>IF(Table1[[#This Row],[Gross_millions]]=" ",0,Table1[[#This Row],[Gross_millions]])</f>
        <v>277.07</v>
      </c>
      <c r="S882" t="str">
        <f>IF(Table1[[#This Row],[Gross_millions_Clean]]&gt;200,"Blockbuster",IF(Table1[[#This Row],[Gross_millions_Clean]]&gt;100,"Hit","Average"))</f>
        <v>Blockbuster</v>
      </c>
    </row>
    <row r="883" spans="1:19" x14ac:dyDescent="0.3">
      <c r="A883" t="s">
        <v>3526</v>
      </c>
      <c r="B883" t="s">
        <v>3527</v>
      </c>
      <c r="C883">
        <v>2016</v>
      </c>
      <c r="D883" s="8">
        <f>FLOOR(Table1[[#This Row],[Year]],10)</f>
        <v>2010</v>
      </c>
      <c r="E883" t="s">
        <v>24</v>
      </c>
      <c r="F883">
        <v>133</v>
      </c>
      <c r="G883" t="str">
        <f>IF(Table1[[#This Row],[Runtime_minutes]]&lt;90,"Short",IF(Table1[[#This Row],[Runtime_minutes]]&lt;=120,"Medium","Long"))</f>
        <v>Long</v>
      </c>
      <c r="H883" t="s">
        <v>37</v>
      </c>
      <c r="I883" t="s">
        <v>3989</v>
      </c>
      <c r="K883">
        <v>5.8</v>
      </c>
      <c r="L883">
        <v>50</v>
      </c>
      <c r="M883" t="s">
        <v>38</v>
      </c>
      <c r="N883" t="s">
        <v>251</v>
      </c>
      <c r="O883" t="s">
        <v>3528</v>
      </c>
      <c r="P883">
        <v>44256</v>
      </c>
      <c r="Q883" s="3">
        <v>420.73</v>
      </c>
      <c r="R883" s="3">
        <f>IF(Table1[[#This Row],[Gross_millions]]=" ",0,Table1[[#This Row],[Gross_millions]])</f>
        <v>420.73</v>
      </c>
      <c r="S883" t="str">
        <f>IF(Table1[[#This Row],[Gross_millions_Clean]]&gt;200,"Blockbuster",IF(Table1[[#This Row],[Gross_millions_Clean]]&gt;100,"Hit","Average"))</f>
        <v>Blockbuster</v>
      </c>
    </row>
    <row r="884" spans="1:19" x14ac:dyDescent="0.3">
      <c r="A884" t="s">
        <v>3529</v>
      </c>
      <c r="B884" t="s">
        <v>3530</v>
      </c>
      <c r="C884">
        <v>1999</v>
      </c>
      <c r="D884" s="8">
        <f>FLOOR(Table1[[#This Row],[Year]],10)</f>
        <v>1990</v>
      </c>
      <c r="E884" t="s">
        <v>54</v>
      </c>
      <c r="F884">
        <v>107</v>
      </c>
      <c r="G884" t="str">
        <f>IF(Table1[[#This Row],[Runtime_minutes]]&lt;90,"Short",IF(Table1[[#This Row],[Runtime_minutes]]&lt;=120,"Medium","Long"))</f>
        <v>Medium</v>
      </c>
      <c r="H884" t="s">
        <v>78</v>
      </c>
      <c r="K884">
        <v>5.8</v>
      </c>
      <c r="L884">
        <v>51</v>
      </c>
      <c r="M884" t="s">
        <v>412</v>
      </c>
      <c r="N884" t="s">
        <v>547</v>
      </c>
      <c r="O884" t="s">
        <v>3531</v>
      </c>
      <c r="P884">
        <v>752166</v>
      </c>
      <c r="Q884" s="3">
        <v>228.38</v>
      </c>
      <c r="R884" s="3">
        <f>IF(Table1[[#This Row],[Gross_millions]]=" ",0,Table1[[#This Row],[Gross_millions]])</f>
        <v>228.38</v>
      </c>
      <c r="S884" t="str">
        <f>IF(Table1[[#This Row],[Gross_millions_Clean]]&gt;200,"Blockbuster",IF(Table1[[#This Row],[Gross_millions_Clean]]&gt;100,"Hit","Average"))</f>
        <v>Blockbuster</v>
      </c>
    </row>
    <row r="885" spans="1:19" x14ac:dyDescent="0.3">
      <c r="A885" t="s">
        <v>3532</v>
      </c>
      <c r="B885" t="s">
        <v>3533</v>
      </c>
      <c r="C885">
        <v>2017</v>
      </c>
      <c r="D885" s="8">
        <f>FLOOR(Table1[[#This Row],[Year]],10)</f>
        <v>2010</v>
      </c>
      <c r="E885" t="s">
        <v>24</v>
      </c>
      <c r="F885">
        <v>119</v>
      </c>
      <c r="G885" t="str">
        <f>IF(Table1[[#This Row],[Runtime_minutes]]&lt;90,"Short",IF(Table1[[#This Row],[Runtime_minutes]]&lt;=120,"Medium","Long"))</f>
        <v>Medium</v>
      </c>
      <c r="H885" t="s">
        <v>72</v>
      </c>
      <c r="K885">
        <v>5.8</v>
      </c>
      <c r="L885">
        <v>60</v>
      </c>
      <c r="M885" t="s">
        <v>3534</v>
      </c>
      <c r="N885" t="s">
        <v>524</v>
      </c>
      <c r="O885" t="s">
        <v>3535</v>
      </c>
      <c r="P885">
        <v>570973</v>
      </c>
      <c r="Q885" s="3">
        <v>476.76</v>
      </c>
      <c r="R885" s="3">
        <f>IF(Table1[[#This Row],[Gross_millions]]=" ",0,Table1[[#This Row],[Gross_millions]])</f>
        <v>476.76</v>
      </c>
      <c r="S885" t="str">
        <f>IF(Table1[[#This Row],[Gross_millions_Clean]]&gt;200,"Blockbuster",IF(Table1[[#This Row],[Gross_millions_Clean]]&gt;100,"Hit","Average"))</f>
        <v>Blockbuster</v>
      </c>
    </row>
    <row r="886" spans="1:19" x14ac:dyDescent="0.3">
      <c r="A886" t="s">
        <v>3536</v>
      </c>
      <c r="B886" t="s">
        <v>3537</v>
      </c>
      <c r="C886">
        <v>2012</v>
      </c>
      <c r="D886" s="8">
        <f>FLOOR(Table1[[#This Row],[Year]],10)</f>
        <v>2010</v>
      </c>
      <c r="E886" t="s">
        <v>17</v>
      </c>
      <c r="F886">
        <v>149</v>
      </c>
      <c r="G886" t="str">
        <f>IF(Table1[[#This Row],[Runtime_minutes]]&lt;90,"Short",IF(Table1[[#This Row],[Runtime_minutes]]&lt;=120,"Medium","Long"))</f>
        <v>Long</v>
      </c>
      <c r="H886" t="s">
        <v>767</v>
      </c>
      <c r="I886" t="s">
        <v>3982</v>
      </c>
      <c r="K886">
        <v>5.8</v>
      </c>
      <c r="L886">
        <v>54</v>
      </c>
      <c r="M886" t="s">
        <v>320</v>
      </c>
      <c r="N886" t="s">
        <v>483</v>
      </c>
      <c r="O886" t="s">
        <v>3539</v>
      </c>
      <c r="P886">
        <v>44779</v>
      </c>
      <c r="Q886" s="3">
        <v>160.16</v>
      </c>
      <c r="R886" s="3">
        <f>IF(Table1[[#This Row],[Gross_millions]]=" ",0,Table1[[#This Row],[Gross_millions]])</f>
        <v>160.16</v>
      </c>
      <c r="S886" t="str">
        <f>IF(Table1[[#This Row],[Gross_millions_Clean]]&gt;200,"Blockbuster",IF(Table1[[#This Row],[Gross_millions_Clean]]&gt;100,"Hit","Average"))</f>
        <v>Hit</v>
      </c>
    </row>
    <row r="887" spans="1:19" x14ac:dyDescent="0.3">
      <c r="A887" t="s">
        <v>3540</v>
      </c>
      <c r="B887" t="s">
        <v>3541</v>
      </c>
      <c r="C887">
        <v>2001</v>
      </c>
      <c r="D887" s="8">
        <f>FLOOR(Table1[[#This Row],[Year]],10)</f>
        <v>2000</v>
      </c>
      <c r="E887" t="s">
        <v>17</v>
      </c>
      <c r="F887">
        <v>104</v>
      </c>
      <c r="G887" t="str">
        <f>IF(Table1[[#This Row],[Runtime_minutes]]&lt;90,"Short",IF(Table1[[#This Row],[Runtime_minutes]]&lt;=120,"Medium","Long"))</f>
        <v>Medium</v>
      </c>
      <c r="H887" t="s">
        <v>129</v>
      </c>
      <c r="I887" t="s">
        <v>3984</v>
      </c>
      <c r="K887">
        <v>5.8</v>
      </c>
      <c r="L887">
        <v>61</v>
      </c>
      <c r="M887" t="s">
        <v>3542</v>
      </c>
      <c r="N887" t="s">
        <v>92</v>
      </c>
      <c r="O887" t="s">
        <v>3543</v>
      </c>
      <c r="P887">
        <v>152369</v>
      </c>
      <c r="Q887" s="3">
        <v>186.95</v>
      </c>
      <c r="R887" s="3">
        <f>IF(Table1[[#This Row],[Gross_millions]]=" ",0,Table1[[#This Row],[Gross_millions]])</f>
        <v>186.95</v>
      </c>
      <c r="S887" t="str">
        <f>IF(Table1[[#This Row],[Gross_millions_Clean]]&gt;200,"Blockbuster",IF(Table1[[#This Row],[Gross_millions_Clean]]&gt;100,"Hit","Average"))</f>
        <v>Hit</v>
      </c>
    </row>
    <row r="888" spans="1:19" x14ac:dyDescent="0.3">
      <c r="A888" t="s">
        <v>3544</v>
      </c>
      <c r="B888" t="s">
        <v>3545</v>
      </c>
      <c r="C888">
        <v>1981</v>
      </c>
      <c r="D888" s="8">
        <f>FLOOR(Table1[[#This Row],[Year]],10)</f>
        <v>1980</v>
      </c>
      <c r="E888" t="s">
        <v>17</v>
      </c>
      <c r="F888">
        <v>132</v>
      </c>
      <c r="G888" t="str">
        <f>IF(Table1[[#This Row],[Runtime_minutes]]&lt;90,"Short",IF(Table1[[#This Row],[Runtime_minutes]]&lt;=120,"Medium","Long"))</f>
        <v>Long</v>
      </c>
      <c r="H888" t="s">
        <v>767</v>
      </c>
      <c r="I888" t="s">
        <v>3993</v>
      </c>
      <c r="K888">
        <v>5.8</v>
      </c>
      <c r="M888" t="s">
        <v>3546</v>
      </c>
      <c r="N888" t="s">
        <v>547</v>
      </c>
      <c r="O888" t="s">
        <v>3547</v>
      </c>
      <c r="P888">
        <v>29016</v>
      </c>
      <c r="Q888" s="3">
        <v>167.4</v>
      </c>
      <c r="R888" s="3">
        <f>IF(Table1[[#This Row],[Gross_millions]]=" ",0,Table1[[#This Row],[Gross_millions]])</f>
        <v>167.4</v>
      </c>
      <c r="S888" t="str">
        <f>IF(Table1[[#This Row],[Gross_millions_Clean]]&gt;200,"Blockbuster",IF(Table1[[#This Row],[Gross_millions_Clean]]&gt;100,"Hit","Average"))</f>
        <v>Hit</v>
      </c>
    </row>
    <row r="889" spans="1:19" x14ac:dyDescent="0.3">
      <c r="A889" t="s">
        <v>3548</v>
      </c>
      <c r="B889" t="s">
        <v>3549</v>
      </c>
      <c r="C889">
        <v>2024</v>
      </c>
      <c r="D889" s="8">
        <f>FLOOR(Table1[[#This Row],[Year]],10)</f>
        <v>2020</v>
      </c>
      <c r="E889" t="s">
        <v>54</v>
      </c>
      <c r="F889">
        <v>106</v>
      </c>
      <c r="G889" t="str">
        <f>IF(Table1[[#This Row],[Runtime_minutes]]&lt;90,"Short",IF(Table1[[#This Row],[Runtime_minutes]]&lt;=120,"Medium","Long"))</f>
        <v>Medium</v>
      </c>
      <c r="H889" t="s">
        <v>55</v>
      </c>
      <c r="I889" t="s">
        <v>3977</v>
      </c>
      <c r="K889">
        <v>5.8</v>
      </c>
      <c r="L889">
        <v>57</v>
      </c>
      <c r="M889" t="s">
        <v>852</v>
      </c>
      <c r="N889" t="s">
        <v>315</v>
      </c>
      <c r="O889" t="s">
        <v>3551</v>
      </c>
      <c r="P889">
        <v>18450</v>
      </c>
      <c r="Q889" s="3"/>
      <c r="R889" s="3">
        <f>IF(Table1[[#This Row],[Gross_millions]]=" ",0,Table1[[#This Row],[Gross_millions]])</f>
        <v>0</v>
      </c>
      <c r="S889" t="str">
        <f>IF(Table1[[#This Row],[Gross_millions_Clean]]&gt;200,"Blockbuster",IF(Table1[[#This Row],[Gross_millions_Clean]]&gt;100,"Hit","Average"))</f>
        <v>Average</v>
      </c>
    </row>
    <row r="890" spans="1:19" x14ac:dyDescent="0.3">
      <c r="A890" t="s">
        <v>3552</v>
      </c>
      <c r="B890" t="s">
        <v>3553</v>
      </c>
      <c r="C890">
        <v>2009</v>
      </c>
      <c r="D890" s="8">
        <f>FLOOR(Table1[[#This Row],[Year]],10)</f>
        <v>2000</v>
      </c>
      <c r="E890" t="s">
        <v>24</v>
      </c>
      <c r="F890">
        <v>107</v>
      </c>
      <c r="G890" t="str">
        <f>IF(Table1[[#This Row],[Runtime_minutes]]&lt;90,"Short",IF(Table1[[#This Row],[Runtime_minutes]]&lt;=120,"Medium","Long"))</f>
        <v>Medium</v>
      </c>
      <c r="H890" t="s">
        <v>235</v>
      </c>
      <c r="I890" t="s">
        <v>3976</v>
      </c>
      <c r="K890">
        <v>5.7</v>
      </c>
      <c r="L890">
        <v>64</v>
      </c>
      <c r="M890" t="s">
        <v>2391</v>
      </c>
      <c r="N890" t="s">
        <v>718</v>
      </c>
      <c r="O890" t="s">
        <v>3554</v>
      </c>
      <c r="P890">
        <v>12543</v>
      </c>
      <c r="Q890" s="3">
        <v>146.87</v>
      </c>
      <c r="R890" s="3">
        <f>IF(Table1[[#This Row],[Gross_millions]]=" ",0,Table1[[#This Row],[Gross_millions]])</f>
        <v>146.87</v>
      </c>
      <c r="S890" t="str">
        <f>IF(Table1[[#This Row],[Gross_millions_Clean]]&gt;200,"Blockbuster",IF(Table1[[#This Row],[Gross_millions_Clean]]&gt;100,"Hit","Average"))</f>
        <v>Hit</v>
      </c>
    </row>
    <row r="891" spans="1:19" x14ac:dyDescent="0.3">
      <c r="A891" t="s">
        <v>3555</v>
      </c>
      <c r="B891" t="s">
        <v>3556</v>
      </c>
      <c r="C891">
        <v>2017</v>
      </c>
      <c r="D891" s="8">
        <f>FLOOR(Table1[[#This Row],[Year]],10)</f>
        <v>2010</v>
      </c>
      <c r="E891" t="s">
        <v>54</v>
      </c>
      <c r="F891">
        <v>155</v>
      </c>
      <c r="G891" t="str">
        <f>IF(Table1[[#This Row],[Runtime_minutes]]&lt;90,"Short",IF(Table1[[#This Row],[Runtime_minutes]]&lt;=120,"Medium","Long"))</f>
        <v>Long</v>
      </c>
      <c r="H891" t="s">
        <v>230</v>
      </c>
      <c r="I891" t="s">
        <v>3985</v>
      </c>
      <c r="K891">
        <v>5.7</v>
      </c>
      <c r="L891">
        <v>49</v>
      </c>
      <c r="M891" t="s">
        <v>124</v>
      </c>
      <c r="N891" t="s">
        <v>251</v>
      </c>
      <c r="O891" t="s">
        <v>3557</v>
      </c>
      <c r="P891">
        <v>237692</v>
      </c>
      <c r="Q891" s="3">
        <v>290.58</v>
      </c>
      <c r="R891" s="3">
        <f>IF(Table1[[#This Row],[Gross_millions]]=" ",0,Table1[[#This Row],[Gross_millions]])</f>
        <v>290.58</v>
      </c>
      <c r="S891" t="str">
        <f>IF(Table1[[#This Row],[Gross_millions_Clean]]&gt;200,"Blockbuster",IF(Table1[[#This Row],[Gross_millions_Clean]]&gt;100,"Hit","Average"))</f>
        <v>Blockbuster</v>
      </c>
    </row>
    <row r="892" spans="1:19" x14ac:dyDescent="0.3">
      <c r="A892" t="s">
        <v>3558</v>
      </c>
      <c r="B892" t="s">
        <v>3559</v>
      </c>
      <c r="C892">
        <v>2013</v>
      </c>
      <c r="D892" s="8">
        <f>FLOOR(Table1[[#This Row],[Year]],10)</f>
        <v>2010</v>
      </c>
      <c r="E892" t="s">
        <v>17</v>
      </c>
      <c r="F892">
        <v>159</v>
      </c>
      <c r="G892" t="str">
        <f>IF(Table1[[#This Row],[Runtime_minutes]]&lt;90,"Short",IF(Table1[[#This Row],[Runtime_minutes]]&lt;=120,"Medium","Long"))</f>
        <v>Long</v>
      </c>
      <c r="H892" t="s">
        <v>210</v>
      </c>
      <c r="I892" t="s">
        <v>3985</v>
      </c>
      <c r="K892">
        <v>5.7</v>
      </c>
      <c r="L892">
        <v>47</v>
      </c>
      <c r="M892" t="s">
        <v>728</v>
      </c>
      <c r="N892" t="s">
        <v>593</v>
      </c>
      <c r="O892" t="s">
        <v>3560</v>
      </c>
      <c r="P892">
        <v>126127</v>
      </c>
      <c r="Q892" s="3">
        <v>226.56</v>
      </c>
      <c r="R892" s="3">
        <f>IF(Table1[[#This Row],[Gross_millions]]=" ",0,Table1[[#This Row],[Gross_millions]])</f>
        <v>226.56</v>
      </c>
      <c r="S892" t="str">
        <f>IF(Table1[[#This Row],[Gross_millions_Clean]]&gt;200,"Blockbuster",IF(Table1[[#This Row],[Gross_millions_Clean]]&gt;100,"Hit","Average"))</f>
        <v>Blockbuster</v>
      </c>
    </row>
    <row r="893" spans="1:19" x14ac:dyDescent="0.3">
      <c r="A893" t="s">
        <v>3561</v>
      </c>
      <c r="B893" t="s">
        <v>3562</v>
      </c>
      <c r="C893">
        <v>2023</v>
      </c>
      <c r="D893" s="8">
        <f>FLOOR(Table1[[#This Row],[Year]],10)</f>
        <v>2020</v>
      </c>
      <c r="E893" t="s">
        <v>17</v>
      </c>
      <c r="F893">
        <v>103</v>
      </c>
      <c r="G893" t="str">
        <f>IF(Table1[[#This Row],[Runtime_minutes]]&lt;90,"Short",IF(Table1[[#This Row],[Runtime_minutes]]&lt;=120,"Medium","Long"))</f>
        <v>Medium</v>
      </c>
      <c r="H893" t="s">
        <v>606</v>
      </c>
      <c r="I893" t="s">
        <v>3982</v>
      </c>
      <c r="K893">
        <v>5.7</v>
      </c>
      <c r="L893">
        <v>59</v>
      </c>
      <c r="M893" t="s">
        <v>3564</v>
      </c>
      <c r="N893" t="s">
        <v>547</v>
      </c>
      <c r="O893" t="s">
        <v>3565</v>
      </c>
      <c r="P893">
        <v>42149</v>
      </c>
      <c r="Q893" s="3">
        <v>488.82</v>
      </c>
      <c r="R893" s="3">
        <f>IF(Table1[[#This Row],[Gross_millions]]=" ",0,Table1[[#This Row],[Gross_millions]])</f>
        <v>488.82</v>
      </c>
      <c r="S893" t="str">
        <f>IF(Table1[[#This Row],[Gross_millions_Clean]]&gt;200,"Blockbuster",IF(Table1[[#This Row],[Gross_millions_Clean]]&gt;100,"Hit","Average"))</f>
        <v>Blockbuster</v>
      </c>
    </row>
    <row r="894" spans="1:19" x14ac:dyDescent="0.3">
      <c r="A894" t="s">
        <v>3566</v>
      </c>
      <c r="B894" t="s">
        <v>3567</v>
      </c>
      <c r="C894">
        <v>2014</v>
      </c>
      <c r="D894" s="8">
        <f>FLOOR(Table1[[#This Row],[Year]],10)</f>
        <v>2010</v>
      </c>
      <c r="E894" t="s">
        <v>54</v>
      </c>
      <c r="F894">
        <v>151</v>
      </c>
      <c r="G894" t="str">
        <f>IF(Table1[[#This Row],[Runtime_minutes]]&lt;90,"Short",IF(Table1[[#This Row],[Runtime_minutes]]&lt;=120,"Medium","Long"))</f>
        <v>Long</v>
      </c>
      <c r="H894" t="s">
        <v>129</v>
      </c>
      <c r="I894" t="s">
        <v>3981</v>
      </c>
      <c r="K894">
        <v>5.7</v>
      </c>
      <c r="M894" t="s">
        <v>130</v>
      </c>
      <c r="N894" t="s">
        <v>57</v>
      </c>
      <c r="O894" t="s">
        <v>3569</v>
      </c>
      <c r="P894">
        <v>6657</v>
      </c>
      <c r="Q894" s="3">
        <v>455.8</v>
      </c>
      <c r="R894" s="3">
        <f>IF(Table1[[#This Row],[Gross_millions]]=" ",0,Table1[[#This Row],[Gross_millions]])</f>
        <v>455.8</v>
      </c>
      <c r="S894" t="str">
        <f>IF(Table1[[#This Row],[Gross_millions_Clean]]&gt;200,"Blockbuster",IF(Table1[[#This Row],[Gross_millions_Clean]]&gt;100,"Hit","Average"))</f>
        <v>Blockbuster</v>
      </c>
    </row>
    <row r="895" spans="1:19" x14ac:dyDescent="0.3">
      <c r="A895" t="s">
        <v>3570</v>
      </c>
      <c r="B895" t="s">
        <v>3571</v>
      </c>
      <c r="C895">
        <v>2008</v>
      </c>
      <c r="D895" s="8">
        <f>FLOOR(Table1[[#This Row],[Year]],10)</f>
        <v>2000</v>
      </c>
      <c r="E895" t="s">
        <v>54</v>
      </c>
      <c r="F895">
        <v>126</v>
      </c>
      <c r="G895" t="str">
        <f>IF(Table1[[#This Row],[Runtime_minutes]]&lt;90,"Short",IF(Table1[[#This Row],[Runtime_minutes]]&lt;=120,"Medium","Long"))</f>
        <v>Long</v>
      </c>
      <c r="H895" t="s">
        <v>157</v>
      </c>
      <c r="I895" t="s">
        <v>3979</v>
      </c>
      <c r="K895">
        <v>5.7</v>
      </c>
      <c r="L895">
        <v>51</v>
      </c>
      <c r="M895" t="s">
        <v>158</v>
      </c>
      <c r="N895" t="s">
        <v>518</v>
      </c>
      <c r="O895" t="s">
        <v>3572</v>
      </c>
      <c r="P895">
        <v>355584</v>
      </c>
      <c r="Q895" s="3"/>
      <c r="R895" s="3">
        <f>IF(Table1[[#This Row],[Gross_millions]]=" ",0,Table1[[#This Row],[Gross_millions]])</f>
        <v>0</v>
      </c>
      <c r="S895" t="str">
        <f>IF(Table1[[#This Row],[Gross_millions_Clean]]&gt;200,"Blockbuster",IF(Table1[[#This Row],[Gross_millions_Clean]]&gt;100,"Hit","Average"))</f>
        <v>Average</v>
      </c>
    </row>
    <row r="896" spans="1:19" x14ac:dyDescent="0.3">
      <c r="A896" t="s">
        <v>3573</v>
      </c>
      <c r="B896" t="s">
        <v>3574</v>
      </c>
      <c r="C896">
        <v>2016</v>
      </c>
      <c r="D896" s="8">
        <f>FLOOR(Table1[[#This Row],[Year]],10)</f>
        <v>2010</v>
      </c>
      <c r="E896" t="s">
        <v>17</v>
      </c>
      <c r="F896">
        <v>125</v>
      </c>
      <c r="G896" t="str">
        <f>IF(Table1[[#This Row],[Runtime_minutes]]&lt;90,"Short",IF(Table1[[#This Row],[Runtime_minutes]]&lt;=120,"Medium","Long"))</f>
        <v>Long</v>
      </c>
      <c r="H896" t="s">
        <v>129</v>
      </c>
      <c r="I896" t="s">
        <v>3990</v>
      </c>
      <c r="J896" t="s">
        <v>3993</v>
      </c>
      <c r="K896">
        <v>5.7</v>
      </c>
      <c r="L896">
        <v>70</v>
      </c>
      <c r="M896" t="s">
        <v>634</v>
      </c>
      <c r="N896" t="s">
        <v>86</v>
      </c>
      <c r="O896" t="s">
        <v>3576</v>
      </c>
      <c r="P896">
        <v>11830</v>
      </c>
      <c r="Q896" s="3"/>
      <c r="R896" s="3">
        <f>IF(Table1[[#This Row],[Gross_millions]]=" ",0,Table1[[#This Row],[Gross_millions]])</f>
        <v>0</v>
      </c>
      <c r="S896" t="str">
        <f>IF(Table1[[#This Row],[Gross_millions_Clean]]&gt;200,"Blockbuster",IF(Table1[[#This Row],[Gross_millions_Clean]]&gt;100,"Hit","Average"))</f>
        <v>Average</v>
      </c>
    </row>
    <row r="897" spans="1:19" x14ac:dyDescent="0.3">
      <c r="A897" t="s">
        <v>3577</v>
      </c>
      <c r="B897" t="s">
        <v>3578</v>
      </c>
      <c r="C897">
        <v>2018</v>
      </c>
      <c r="D897" s="8">
        <f>FLOOR(Table1[[#This Row],[Year]],10)</f>
        <v>2010</v>
      </c>
      <c r="E897" t="s">
        <v>17</v>
      </c>
      <c r="F897">
        <v>126</v>
      </c>
      <c r="G897" t="str">
        <f>IF(Table1[[#This Row],[Runtime_minutes]]&lt;90,"Short",IF(Table1[[#This Row],[Runtime_minutes]]&lt;=120,"Medium","Long"))</f>
        <v>Long</v>
      </c>
      <c r="H897" t="s">
        <v>210</v>
      </c>
      <c r="I897" t="s">
        <v>3986</v>
      </c>
      <c r="J897" t="s">
        <v>3991</v>
      </c>
      <c r="K897">
        <v>5.7</v>
      </c>
      <c r="L897">
        <v>58</v>
      </c>
      <c r="M897" t="s">
        <v>1382</v>
      </c>
      <c r="N897" t="s">
        <v>131</v>
      </c>
      <c r="O897" t="s">
        <v>3580</v>
      </c>
      <c r="P897">
        <v>239435</v>
      </c>
      <c r="Q897" s="3">
        <v>267.36</v>
      </c>
      <c r="R897" s="3">
        <f>IF(Table1[[#This Row],[Gross_millions]]=" ",0,Table1[[#This Row],[Gross_millions]])</f>
        <v>267.36</v>
      </c>
      <c r="S897" t="str">
        <f>IF(Table1[[#This Row],[Gross_millions_Clean]]&gt;200,"Blockbuster",IF(Table1[[#This Row],[Gross_millions_Clean]]&gt;100,"Hit","Average"))</f>
        <v>Blockbuster</v>
      </c>
    </row>
    <row r="898" spans="1:19" x14ac:dyDescent="0.3">
      <c r="A898" t="s">
        <v>3581</v>
      </c>
      <c r="B898" t="s">
        <v>3582</v>
      </c>
      <c r="C898">
        <v>1988</v>
      </c>
      <c r="D898" s="8">
        <f>FLOOR(Table1[[#This Row],[Year]],10)</f>
        <v>1980</v>
      </c>
      <c r="E898" t="s">
        <v>54</v>
      </c>
      <c r="F898">
        <v>99</v>
      </c>
      <c r="G898" t="str">
        <f>IF(Table1[[#This Row],[Runtime_minutes]]&lt;90,"Short",IF(Table1[[#This Row],[Runtime_minutes]]&lt;=120,"Medium","Long"))</f>
        <v>Medium</v>
      </c>
      <c r="H898" t="s">
        <v>210</v>
      </c>
      <c r="I898" t="s">
        <v>3984</v>
      </c>
      <c r="K898">
        <v>5.7</v>
      </c>
      <c r="M898" t="s">
        <v>431</v>
      </c>
      <c r="N898" t="s">
        <v>74</v>
      </c>
      <c r="O898" t="s">
        <v>3583</v>
      </c>
      <c r="P898">
        <v>204094</v>
      </c>
      <c r="Q898" s="3">
        <v>148.25</v>
      </c>
      <c r="R898" s="3">
        <f>IF(Table1[[#This Row],[Gross_millions]]=" ",0,Table1[[#This Row],[Gross_millions]])</f>
        <v>148.25</v>
      </c>
      <c r="S898" t="str">
        <f>IF(Table1[[#This Row],[Gross_millions_Clean]]&gt;200,"Blockbuster",IF(Table1[[#This Row],[Gross_millions_Clean]]&gt;100,"Hit","Average"))</f>
        <v>Hit</v>
      </c>
    </row>
    <row r="899" spans="1:19" x14ac:dyDescent="0.3">
      <c r="A899" t="s">
        <v>3584</v>
      </c>
      <c r="B899" t="s">
        <v>3585</v>
      </c>
      <c r="C899">
        <v>2008</v>
      </c>
      <c r="D899" s="8">
        <f>FLOOR(Table1[[#This Row],[Year]],10)</f>
        <v>2000</v>
      </c>
      <c r="E899" t="s">
        <v>54</v>
      </c>
      <c r="F899">
        <v>119</v>
      </c>
      <c r="G899" t="str">
        <f>IF(Table1[[#This Row],[Runtime_minutes]]&lt;90,"Short",IF(Table1[[#This Row],[Runtime_minutes]]&lt;=120,"Medium","Long"))</f>
        <v>Medium</v>
      </c>
      <c r="H899" t="s">
        <v>453</v>
      </c>
      <c r="I899" t="s">
        <v>3981</v>
      </c>
      <c r="K899">
        <v>5.7</v>
      </c>
      <c r="L899">
        <v>62</v>
      </c>
      <c r="M899" t="s">
        <v>269</v>
      </c>
      <c r="N899" t="s">
        <v>159</v>
      </c>
      <c r="O899" t="s">
        <v>3586</v>
      </c>
      <c r="P899">
        <v>103305</v>
      </c>
      <c r="Q899" s="3">
        <v>238.6</v>
      </c>
      <c r="R899" s="3">
        <f>IF(Table1[[#This Row],[Gross_millions]]=" ",0,Table1[[#This Row],[Gross_millions]])</f>
        <v>238.6</v>
      </c>
      <c r="S899" t="str">
        <f>IF(Table1[[#This Row],[Gross_millions_Clean]]&gt;200,"Blockbuster",IF(Table1[[#This Row],[Gross_millions_Clean]]&gt;100,"Hit","Average"))</f>
        <v>Blockbuster</v>
      </c>
    </row>
    <row r="900" spans="1:19" x14ac:dyDescent="0.3">
      <c r="A900" t="s">
        <v>3587</v>
      </c>
      <c r="B900" t="s">
        <v>3588</v>
      </c>
      <c r="C900">
        <v>2001</v>
      </c>
      <c r="D900" s="8">
        <f>FLOOR(Table1[[#This Row],[Year]],10)</f>
        <v>2000</v>
      </c>
      <c r="E900" t="s">
        <v>17</v>
      </c>
      <c r="F900">
        <v>127</v>
      </c>
      <c r="G900" t="str">
        <f>IF(Table1[[#This Row],[Runtime_minutes]]&lt;90,"Short",IF(Table1[[#This Row],[Runtime_minutes]]&lt;=120,"Medium","Long"))</f>
        <v>Long</v>
      </c>
      <c r="H900" t="s">
        <v>37</v>
      </c>
      <c r="I900" t="s">
        <v>3977</v>
      </c>
      <c r="K900">
        <v>5.7</v>
      </c>
      <c r="L900">
        <v>65</v>
      </c>
      <c r="M900" t="s">
        <v>3589</v>
      </c>
      <c r="N900" t="s">
        <v>27</v>
      </c>
      <c r="O900" t="s">
        <v>3590</v>
      </c>
      <c r="P900">
        <v>116646</v>
      </c>
      <c r="Q900" s="3">
        <v>473.79</v>
      </c>
      <c r="R900" s="3">
        <f>IF(Table1[[#This Row],[Gross_millions]]=" ",0,Table1[[#This Row],[Gross_millions]])</f>
        <v>473.79</v>
      </c>
      <c r="S900" t="str">
        <f>IF(Table1[[#This Row],[Gross_millions_Clean]]&gt;200,"Blockbuster",IF(Table1[[#This Row],[Gross_millions_Clean]]&gt;100,"Hit","Average"))</f>
        <v>Blockbuster</v>
      </c>
    </row>
    <row r="901" spans="1:19" x14ac:dyDescent="0.3">
      <c r="A901" t="s">
        <v>3591</v>
      </c>
      <c r="B901" t="s">
        <v>3592</v>
      </c>
      <c r="C901">
        <v>2017</v>
      </c>
      <c r="D901" s="8">
        <f>FLOOR(Table1[[#This Row],[Year]],10)</f>
        <v>2010</v>
      </c>
      <c r="E901" t="s">
        <v>24</v>
      </c>
      <c r="F901">
        <v>154</v>
      </c>
      <c r="G901" t="str">
        <f>IF(Table1[[#This Row],[Runtime_minutes]]&lt;90,"Short",IF(Table1[[#This Row],[Runtime_minutes]]&lt;=120,"Medium","Long"))</f>
        <v>Long</v>
      </c>
      <c r="H901" t="s">
        <v>375</v>
      </c>
      <c r="I901" t="s">
        <v>3988</v>
      </c>
      <c r="K901">
        <v>5.7</v>
      </c>
      <c r="L901">
        <v>71</v>
      </c>
      <c r="M901" t="s">
        <v>3594</v>
      </c>
      <c r="N901" t="s">
        <v>137</v>
      </c>
      <c r="O901" t="s">
        <v>3595</v>
      </c>
      <c r="P901">
        <v>21176</v>
      </c>
      <c r="Q901" s="3">
        <v>439.59</v>
      </c>
      <c r="R901" s="3">
        <f>IF(Table1[[#This Row],[Gross_millions]]=" ",0,Table1[[#This Row],[Gross_millions]])</f>
        <v>439.59</v>
      </c>
      <c r="S901" t="str">
        <f>IF(Table1[[#This Row],[Gross_millions_Clean]]&gt;200,"Blockbuster",IF(Table1[[#This Row],[Gross_millions_Clean]]&gt;100,"Hit","Average"))</f>
        <v>Blockbuster</v>
      </c>
    </row>
    <row r="902" spans="1:19" x14ac:dyDescent="0.3">
      <c r="A902" t="s">
        <v>3596</v>
      </c>
      <c r="B902" t="s">
        <v>3597</v>
      </c>
      <c r="C902">
        <v>2014</v>
      </c>
      <c r="D902" s="8">
        <f>FLOOR(Table1[[#This Row],[Year]],10)</f>
        <v>2010</v>
      </c>
      <c r="E902" t="s">
        <v>54</v>
      </c>
      <c r="F902">
        <v>144</v>
      </c>
      <c r="G902" t="str">
        <f>IF(Table1[[#This Row],[Runtime_minutes]]&lt;90,"Short",IF(Table1[[#This Row],[Runtime_minutes]]&lt;=120,"Medium","Long"))</f>
        <v>Long</v>
      </c>
      <c r="H902" t="s">
        <v>43</v>
      </c>
      <c r="I902" t="s">
        <v>3977</v>
      </c>
      <c r="K902">
        <v>5.7</v>
      </c>
      <c r="L902">
        <v>45</v>
      </c>
      <c r="M902" t="s">
        <v>1363</v>
      </c>
      <c r="N902" t="s">
        <v>368</v>
      </c>
      <c r="O902" t="s">
        <v>3598</v>
      </c>
      <c r="P902">
        <v>735906</v>
      </c>
      <c r="Q902" s="3">
        <v>127.12</v>
      </c>
      <c r="R902" s="3">
        <f>IF(Table1[[#This Row],[Gross_millions]]=" ",0,Table1[[#This Row],[Gross_millions]])</f>
        <v>127.12</v>
      </c>
      <c r="S902" t="str">
        <f>IF(Table1[[#This Row],[Gross_millions_Clean]]&gt;200,"Blockbuster",IF(Table1[[#This Row],[Gross_millions_Clean]]&gt;100,"Hit","Average"))</f>
        <v>Hit</v>
      </c>
    </row>
    <row r="903" spans="1:19" x14ac:dyDescent="0.3">
      <c r="A903" t="s">
        <v>3599</v>
      </c>
      <c r="B903" t="s">
        <v>3600</v>
      </c>
      <c r="C903">
        <v>2004</v>
      </c>
      <c r="D903" s="8">
        <f>FLOOR(Table1[[#This Row],[Year]],10)</f>
        <v>2000</v>
      </c>
      <c r="E903" t="s">
        <v>24</v>
      </c>
      <c r="F903">
        <v>127</v>
      </c>
      <c r="G903" t="str">
        <f>IF(Table1[[#This Row],[Runtime_minutes]]&lt;90,"Short",IF(Table1[[#This Row],[Runtime_minutes]]&lt;=120,"Medium","Long"))</f>
        <v>Long</v>
      </c>
      <c r="H903" t="s">
        <v>230</v>
      </c>
      <c r="I903" t="s">
        <v>3978</v>
      </c>
      <c r="J903" t="s">
        <v>3984</v>
      </c>
      <c r="K903">
        <v>5.7</v>
      </c>
      <c r="L903">
        <v>44</v>
      </c>
      <c r="M903" t="s">
        <v>3602</v>
      </c>
      <c r="N903" t="s">
        <v>315</v>
      </c>
      <c r="O903" t="s">
        <v>3603</v>
      </c>
      <c r="P903">
        <v>522116</v>
      </c>
      <c r="Q903" s="3"/>
      <c r="R903" s="3">
        <f>IF(Table1[[#This Row],[Gross_millions]]=" ",0,Table1[[#This Row],[Gross_millions]])</f>
        <v>0</v>
      </c>
      <c r="S903" t="str">
        <f>IF(Table1[[#This Row],[Gross_millions_Clean]]&gt;200,"Blockbuster",IF(Table1[[#This Row],[Gross_millions_Clean]]&gt;100,"Hit","Average"))</f>
        <v>Average</v>
      </c>
    </row>
    <row r="904" spans="1:19" x14ac:dyDescent="0.3">
      <c r="A904" t="s">
        <v>3604</v>
      </c>
      <c r="B904" t="s">
        <v>3605</v>
      </c>
      <c r="C904">
        <v>1993</v>
      </c>
      <c r="D904" s="8">
        <f>FLOOR(Table1[[#This Row],[Year]],10)</f>
        <v>1990</v>
      </c>
      <c r="E904" t="s">
        <v>54</v>
      </c>
      <c r="F904">
        <v>84</v>
      </c>
      <c r="G904" t="str">
        <f>IF(Table1[[#This Row],[Runtime_minutes]]&lt;90,"Short",IF(Table1[[#This Row],[Runtime_minutes]]&lt;=120,"Medium","Long"))</f>
        <v>Short</v>
      </c>
      <c r="H904" t="s">
        <v>235</v>
      </c>
      <c r="I904" t="s">
        <v>3977</v>
      </c>
      <c r="K904">
        <v>5.7</v>
      </c>
      <c r="L904">
        <v>43</v>
      </c>
      <c r="M904" t="s">
        <v>673</v>
      </c>
      <c r="N904" t="s">
        <v>125</v>
      </c>
      <c r="O904" t="s">
        <v>3607</v>
      </c>
      <c r="P904">
        <v>2810</v>
      </c>
      <c r="Q904" s="3"/>
      <c r="R904" s="3">
        <f>IF(Table1[[#This Row],[Gross_millions]]=" ",0,Table1[[#This Row],[Gross_millions]])</f>
        <v>0</v>
      </c>
      <c r="S904" t="str">
        <f>IF(Table1[[#This Row],[Gross_millions_Clean]]&gt;200,"Blockbuster",IF(Table1[[#This Row],[Gross_millions_Clean]]&gt;100,"Hit","Average"))</f>
        <v>Average</v>
      </c>
    </row>
    <row r="905" spans="1:19" x14ac:dyDescent="0.3">
      <c r="A905" t="s">
        <v>3608</v>
      </c>
      <c r="B905" t="s">
        <v>3609</v>
      </c>
      <c r="C905">
        <v>2000</v>
      </c>
      <c r="D905" s="8">
        <f>FLOOR(Table1[[#This Row],[Year]],10)</f>
        <v>2000</v>
      </c>
      <c r="E905" t="s">
        <v>285</v>
      </c>
      <c r="F905">
        <v>142</v>
      </c>
      <c r="G905" t="str">
        <f>IF(Table1[[#This Row],[Runtime_minutes]]&lt;90,"Short",IF(Table1[[#This Row],[Runtime_minutes]]&lt;=120,"Medium","Long"))</f>
        <v>Long</v>
      </c>
      <c r="H905" t="s">
        <v>868</v>
      </c>
      <c r="K905">
        <v>5.7</v>
      </c>
      <c r="L905">
        <v>72</v>
      </c>
      <c r="M905" t="s">
        <v>3610</v>
      </c>
      <c r="N905" t="s">
        <v>368</v>
      </c>
      <c r="O905" t="s">
        <v>3611</v>
      </c>
      <c r="P905">
        <v>703631</v>
      </c>
      <c r="Q905" s="3">
        <v>141.05000000000001</v>
      </c>
      <c r="R905" s="3">
        <f>IF(Table1[[#This Row],[Gross_millions]]=" ",0,Table1[[#This Row],[Gross_millions]])</f>
        <v>141.05000000000001</v>
      </c>
      <c r="S905" t="str">
        <f>IF(Table1[[#This Row],[Gross_millions_Clean]]&gt;200,"Blockbuster",IF(Table1[[#This Row],[Gross_millions_Clean]]&gt;100,"Hit","Average"))</f>
        <v>Hit</v>
      </c>
    </row>
    <row r="906" spans="1:19" x14ac:dyDescent="0.3">
      <c r="A906" t="s">
        <v>3612</v>
      </c>
      <c r="B906" t="s">
        <v>3613</v>
      </c>
      <c r="C906">
        <v>2005</v>
      </c>
      <c r="D906" s="8">
        <f>FLOOR(Table1[[#This Row],[Year]],10)</f>
        <v>2000</v>
      </c>
      <c r="E906" t="s">
        <v>24</v>
      </c>
      <c r="F906">
        <v>148</v>
      </c>
      <c r="G906" t="str">
        <f>IF(Table1[[#This Row],[Runtime_minutes]]&lt;90,"Short",IF(Table1[[#This Row],[Runtime_minutes]]&lt;=120,"Medium","Long"))</f>
        <v>Long</v>
      </c>
      <c r="H906" t="s">
        <v>157</v>
      </c>
      <c r="K906">
        <v>5.7</v>
      </c>
      <c r="M906" t="s">
        <v>158</v>
      </c>
      <c r="N906" t="s">
        <v>20</v>
      </c>
      <c r="O906" t="s">
        <v>3614</v>
      </c>
      <c r="P906">
        <v>202765</v>
      </c>
      <c r="Q906" s="3"/>
      <c r="R906" s="3">
        <f>IF(Table1[[#This Row],[Gross_millions]]=" ",0,Table1[[#This Row],[Gross_millions]])</f>
        <v>0</v>
      </c>
      <c r="S906" t="str">
        <f>IF(Table1[[#This Row],[Gross_millions_Clean]]&gt;200,"Blockbuster",IF(Table1[[#This Row],[Gross_millions_Clean]]&gt;100,"Hit","Average"))</f>
        <v>Average</v>
      </c>
    </row>
    <row r="907" spans="1:19" x14ac:dyDescent="0.3">
      <c r="A907" t="s">
        <v>3615</v>
      </c>
      <c r="B907" t="s">
        <v>3616</v>
      </c>
      <c r="C907">
        <v>2007</v>
      </c>
      <c r="D907" s="8">
        <f>FLOOR(Table1[[#This Row],[Year]],10)</f>
        <v>2000</v>
      </c>
      <c r="E907" t="s">
        <v>54</v>
      </c>
      <c r="F907">
        <v>152</v>
      </c>
      <c r="G907" t="str">
        <f>IF(Table1[[#This Row],[Runtime_minutes]]&lt;90,"Short",IF(Table1[[#This Row],[Runtime_minutes]]&lt;=120,"Medium","Long"))</f>
        <v>Long</v>
      </c>
      <c r="H907" t="s">
        <v>375</v>
      </c>
      <c r="K907">
        <v>5.7</v>
      </c>
      <c r="L907">
        <v>55</v>
      </c>
      <c r="M907" t="s">
        <v>3617</v>
      </c>
      <c r="N907" t="s">
        <v>191</v>
      </c>
      <c r="O907" t="s">
        <v>3618</v>
      </c>
      <c r="P907">
        <v>24619</v>
      </c>
      <c r="Q907" s="3">
        <v>415.12</v>
      </c>
      <c r="R907" s="3">
        <f>IF(Table1[[#This Row],[Gross_millions]]=" ",0,Table1[[#This Row],[Gross_millions]])</f>
        <v>415.12</v>
      </c>
      <c r="S907" t="str">
        <f>IF(Table1[[#This Row],[Gross_millions_Clean]]&gt;200,"Blockbuster",IF(Table1[[#This Row],[Gross_millions_Clean]]&gt;100,"Hit","Average"))</f>
        <v>Blockbuster</v>
      </c>
    </row>
    <row r="908" spans="1:19" x14ac:dyDescent="0.3">
      <c r="A908" t="s">
        <v>3619</v>
      </c>
      <c r="B908" t="s">
        <v>3620</v>
      </c>
      <c r="C908">
        <v>2010</v>
      </c>
      <c r="D908" s="8">
        <f>FLOOR(Table1[[#This Row],[Year]],10)</f>
        <v>2010</v>
      </c>
      <c r="E908" t="s">
        <v>169</v>
      </c>
      <c r="F908">
        <v>104</v>
      </c>
      <c r="G908" t="str">
        <f>IF(Table1[[#This Row],[Runtime_minutes]]&lt;90,"Short",IF(Table1[[#This Row],[Runtime_minutes]]&lt;=120,"Medium","Long"))</f>
        <v>Medium</v>
      </c>
      <c r="H908" t="s">
        <v>157</v>
      </c>
      <c r="I908" t="s">
        <v>3987</v>
      </c>
      <c r="K908">
        <v>5.7</v>
      </c>
      <c r="L908">
        <v>63</v>
      </c>
      <c r="M908" t="s">
        <v>3621</v>
      </c>
      <c r="N908" t="s">
        <v>131</v>
      </c>
      <c r="O908" t="s">
        <v>3622</v>
      </c>
      <c r="P908">
        <v>4154</v>
      </c>
      <c r="Q908" s="3">
        <v>399.25</v>
      </c>
      <c r="R908" s="3">
        <f>IF(Table1[[#This Row],[Gross_millions]]=" ",0,Table1[[#This Row],[Gross_millions]])</f>
        <v>399.25</v>
      </c>
      <c r="S908" t="str">
        <f>IF(Table1[[#This Row],[Gross_millions_Clean]]&gt;200,"Blockbuster",IF(Table1[[#This Row],[Gross_millions_Clean]]&gt;100,"Hit","Average"))</f>
        <v>Blockbuster</v>
      </c>
    </row>
    <row r="909" spans="1:19" x14ac:dyDescent="0.3">
      <c r="A909" t="s">
        <v>3623</v>
      </c>
      <c r="B909" t="s">
        <v>3624</v>
      </c>
      <c r="C909">
        <v>1999</v>
      </c>
      <c r="D909" s="8">
        <f>FLOOR(Table1[[#This Row],[Year]],10)</f>
        <v>1990</v>
      </c>
      <c r="E909" t="s">
        <v>17</v>
      </c>
      <c r="F909">
        <v>102</v>
      </c>
      <c r="G909" t="str">
        <f>IF(Table1[[#This Row],[Runtime_minutes]]&lt;90,"Short",IF(Table1[[#This Row],[Runtime_minutes]]&lt;=120,"Medium","Long"))</f>
        <v>Medium</v>
      </c>
      <c r="H909" t="s">
        <v>767</v>
      </c>
      <c r="K909">
        <v>5.6</v>
      </c>
      <c r="L909">
        <v>45</v>
      </c>
      <c r="M909" t="s">
        <v>3625</v>
      </c>
      <c r="N909" t="s">
        <v>113</v>
      </c>
      <c r="O909" t="s">
        <v>3626</v>
      </c>
      <c r="P909">
        <v>240209</v>
      </c>
      <c r="Q909" s="3"/>
      <c r="R909" s="3">
        <f>IF(Table1[[#This Row],[Gross_millions]]=" ",0,Table1[[#This Row],[Gross_millions]])</f>
        <v>0</v>
      </c>
      <c r="S909" t="str">
        <f>IF(Table1[[#This Row],[Gross_millions_Clean]]&gt;200,"Blockbuster",IF(Table1[[#This Row],[Gross_millions_Clean]]&gt;100,"Hit","Average"))</f>
        <v>Average</v>
      </c>
    </row>
    <row r="910" spans="1:19" x14ac:dyDescent="0.3">
      <c r="A910" t="s">
        <v>3627</v>
      </c>
      <c r="B910" t="s">
        <v>3628</v>
      </c>
      <c r="C910">
        <v>2011</v>
      </c>
      <c r="D910" s="8">
        <f>FLOOR(Table1[[#This Row],[Year]],10)</f>
        <v>2010</v>
      </c>
      <c r="E910" t="s">
        <v>17</v>
      </c>
      <c r="F910">
        <v>154</v>
      </c>
      <c r="G910" t="str">
        <f>IF(Table1[[#This Row],[Runtime_minutes]]&lt;90,"Short",IF(Table1[[#This Row],[Runtime_minutes]]&lt;=120,"Medium","Long"))</f>
        <v>Long</v>
      </c>
      <c r="H910" t="s">
        <v>606</v>
      </c>
      <c r="I910" t="s">
        <v>3985</v>
      </c>
      <c r="K910">
        <v>5.6</v>
      </c>
      <c r="L910">
        <v>70</v>
      </c>
      <c r="M910" t="s">
        <v>3629</v>
      </c>
      <c r="N910" t="s">
        <v>74</v>
      </c>
      <c r="O910" t="s">
        <v>3630</v>
      </c>
      <c r="P910">
        <v>5322</v>
      </c>
      <c r="Q910" s="3">
        <v>341.45</v>
      </c>
      <c r="R910" s="3">
        <f>IF(Table1[[#This Row],[Gross_millions]]=" ",0,Table1[[#This Row],[Gross_millions]])</f>
        <v>341.45</v>
      </c>
      <c r="S910" t="str">
        <f>IF(Table1[[#This Row],[Gross_millions_Clean]]&gt;200,"Blockbuster",IF(Table1[[#This Row],[Gross_millions_Clean]]&gt;100,"Hit","Average"))</f>
        <v>Blockbuster</v>
      </c>
    </row>
    <row r="911" spans="1:19" x14ac:dyDescent="0.3">
      <c r="A911" t="s">
        <v>3631</v>
      </c>
      <c r="B911" t="s">
        <v>3632</v>
      </c>
      <c r="C911">
        <v>2017</v>
      </c>
      <c r="D911" s="8">
        <f>FLOOR(Table1[[#This Row],[Year]],10)</f>
        <v>2010</v>
      </c>
      <c r="E911" t="s">
        <v>17</v>
      </c>
      <c r="F911">
        <v>120</v>
      </c>
      <c r="G911" t="str">
        <f>IF(Table1[[#This Row],[Runtime_minutes]]&lt;90,"Short",IF(Table1[[#This Row],[Runtime_minutes]]&lt;=120,"Medium","Long"))</f>
        <v>Medium</v>
      </c>
      <c r="H911" t="s">
        <v>48</v>
      </c>
      <c r="I911" t="s">
        <v>3976</v>
      </c>
      <c r="K911">
        <v>5.6</v>
      </c>
      <c r="L911">
        <v>46</v>
      </c>
      <c r="M911" t="s">
        <v>67</v>
      </c>
      <c r="N911" t="s">
        <v>92</v>
      </c>
      <c r="O911" t="s">
        <v>3634</v>
      </c>
      <c r="P911">
        <v>12116</v>
      </c>
      <c r="Q911" s="3">
        <v>458.99</v>
      </c>
      <c r="R911" s="3">
        <f>IF(Table1[[#This Row],[Gross_millions]]=" ",0,Table1[[#This Row],[Gross_millions]])</f>
        <v>458.99</v>
      </c>
      <c r="S911" t="str">
        <f>IF(Table1[[#This Row],[Gross_millions_Clean]]&gt;200,"Blockbuster",IF(Table1[[#This Row],[Gross_millions_Clean]]&gt;100,"Hit","Average"))</f>
        <v>Blockbuster</v>
      </c>
    </row>
    <row r="912" spans="1:19" x14ac:dyDescent="0.3">
      <c r="A912" t="s">
        <v>3635</v>
      </c>
      <c r="B912" t="s">
        <v>3636</v>
      </c>
      <c r="C912">
        <v>2010</v>
      </c>
      <c r="D912" s="8">
        <f>FLOOR(Table1[[#This Row],[Year]],10)</f>
        <v>2010</v>
      </c>
      <c r="E912" t="s">
        <v>24</v>
      </c>
      <c r="F912">
        <v>104</v>
      </c>
      <c r="G912" t="str">
        <f>IF(Table1[[#This Row],[Runtime_minutes]]&lt;90,"Short",IF(Table1[[#This Row],[Runtime_minutes]]&lt;=120,"Medium","Long"))</f>
        <v>Medium</v>
      </c>
      <c r="H912" t="s">
        <v>129</v>
      </c>
      <c r="I912" t="s">
        <v>3983</v>
      </c>
      <c r="K912">
        <v>5.6</v>
      </c>
      <c r="M912" t="s">
        <v>634</v>
      </c>
      <c r="N912" t="s">
        <v>27</v>
      </c>
      <c r="O912" t="s">
        <v>3637</v>
      </c>
      <c r="P912">
        <v>3811</v>
      </c>
      <c r="Q912" s="3">
        <v>375.15</v>
      </c>
      <c r="R912" s="3">
        <f>IF(Table1[[#This Row],[Gross_millions]]=" ",0,Table1[[#This Row],[Gross_millions]])</f>
        <v>375.15</v>
      </c>
      <c r="S912" t="str">
        <f>IF(Table1[[#This Row],[Gross_millions_Clean]]&gt;200,"Blockbuster",IF(Table1[[#This Row],[Gross_millions_Clean]]&gt;100,"Hit","Average"))</f>
        <v>Blockbuster</v>
      </c>
    </row>
    <row r="913" spans="1:19" x14ac:dyDescent="0.3">
      <c r="A913" t="s">
        <v>3638</v>
      </c>
      <c r="B913" t="s">
        <v>3639</v>
      </c>
      <c r="C913">
        <v>2023</v>
      </c>
      <c r="D913" s="8">
        <f>FLOOR(Table1[[#This Row],[Year]],10)</f>
        <v>2020</v>
      </c>
      <c r="E913" t="s">
        <v>285</v>
      </c>
      <c r="F913">
        <v>92</v>
      </c>
      <c r="G913" t="str">
        <f>IF(Table1[[#This Row],[Runtime_minutes]]&lt;90,"Short",IF(Table1[[#This Row],[Runtime_minutes]]&lt;=120,"Medium","Long"))</f>
        <v>Medium</v>
      </c>
      <c r="H913" t="s">
        <v>129</v>
      </c>
      <c r="K913">
        <v>5.6</v>
      </c>
      <c r="L913">
        <v>63</v>
      </c>
      <c r="M913" t="s">
        <v>130</v>
      </c>
      <c r="N913" t="s">
        <v>147</v>
      </c>
      <c r="O913" t="s">
        <v>3640</v>
      </c>
      <c r="P913">
        <v>123352</v>
      </c>
      <c r="Q913" s="3">
        <v>402.95</v>
      </c>
      <c r="R913" s="3">
        <f>IF(Table1[[#This Row],[Gross_millions]]=" ",0,Table1[[#This Row],[Gross_millions]])</f>
        <v>402.95</v>
      </c>
      <c r="S913" t="str">
        <f>IF(Table1[[#This Row],[Gross_millions_Clean]]&gt;200,"Blockbuster",IF(Table1[[#This Row],[Gross_millions_Clean]]&gt;100,"Hit","Average"))</f>
        <v>Blockbuster</v>
      </c>
    </row>
    <row r="914" spans="1:19" x14ac:dyDescent="0.3">
      <c r="A914" t="s">
        <v>3641</v>
      </c>
      <c r="B914" t="s">
        <v>3642</v>
      </c>
      <c r="C914">
        <v>2007</v>
      </c>
      <c r="D914" s="8">
        <f>FLOOR(Table1[[#This Row],[Year]],10)</f>
        <v>2000</v>
      </c>
      <c r="E914" t="s">
        <v>17</v>
      </c>
      <c r="F914">
        <v>104</v>
      </c>
      <c r="G914" t="str">
        <f>IF(Table1[[#This Row],[Runtime_minutes]]&lt;90,"Short",IF(Table1[[#This Row],[Runtime_minutes]]&lt;=120,"Medium","Long"))</f>
        <v>Medium</v>
      </c>
      <c r="H914" t="s">
        <v>1044</v>
      </c>
      <c r="I914" t="s">
        <v>3979</v>
      </c>
      <c r="K914">
        <v>5.6</v>
      </c>
      <c r="L914">
        <v>53</v>
      </c>
      <c r="M914" t="s">
        <v>226</v>
      </c>
      <c r="N914" t="s">
        <v>80</v>
      </c>
      <c r="O914" t="s">
        <v>3643</v>
      </c>
      <c r="P914">
        <v>94440</v>
      </c>
      <c r="Q914" s="3">
        <v>186.56</v>
      </c>
      <c r="R914" s="3">
        <f>IF(Table1[[#This Row],[Gross_millions]]=" ",0,Table1[[#This Row],[Gross_millions]])</f>
        <v>186.56</v>
      </c>
      <c r="S914" t="str">
        <f>IF(Table1[[#This Row],[Gross_millions_Clean]]&gt;200,"Blockbuster",IF(Table1[[#This Row],[Gross_millions_Clean]]&gt;100,"Hit","Average"))</f>
        <v>Hit</v>
      </c>
    </row>
    <row r="915" spans="1:19" x14ac:dyDescent="0.3">
      <c r="A915" t="s">
        <v>3644</v>
      </c>
      <c r="B915" t="s">
        <v>3645</v>
      </c>
      <c r="C915">
        <v>2015</v>
      </c>
      <c r="D915" s="8">
        <f>FLOOR(Table1[[#This Row],[Year]],10)</f>
        <v>2010</v>
      </c>
      <c r="E915" t="s">
        <v>17</v>
      </c>
      <c r="F915">
        <v>127</v>
      </c>
      <c r="G915" t="str">
        <f>IF(Table1[[#This Row],[Runtime_minutes]]&lt;90,"Short",IF(Table1[[#This Row],[Runtime_minutes]]&lt;=120,"Medium","Long"))</f>
        <v>Long</v>
      </c>
      <c r="H915" t="s">
        <v>453</v>
      </c>
      <c r="I915" t="s">
        <v>3984</v>
      </c>
      <c r="K915">
        <v>5.6</v>
      </c>
      <c r="M915" t="s">
        <v>3646</v>
      </c>
      <c r="N915" t="s">
        <v>125</v>
      </c>
      <c r="O915" t="s">
        <v>3647</v>
      </c>
      <c r="P915">
        <v>288075</v>
      </c>
      <c r="Q915" s="3"/>
      <c r="R915" s="3">
        <f>IF(Table1[[#This Row],[Gross_millions]]=" ",0,Table1[[#This Row],[Gross_millions]])</f>
        <v>0</v>
      </c>
      <c r="S915" t="str">
        <f>IF(Table1[[#This Row],[Gross_millions_Clean]]&gt;200,"Blockbuster",IF(Table1[[#This Row],[Gross_millions_Clean]]&gt;100,"Hit","Average"))</f>
        <v>Average</v>
      </c>
    </row>
    <row r="916" spans="1:19" x14ac:dyDescent="0.3">
      <c r="A916" t="s">
        <v>3648</v>
      </c>
      <c r="B916" t="s">
        <v>3649</v>
      </c>
      <c r="C916">
        <v>2019</v>
      </c>
      <c r="D916" s="8">
        <f>FLOOR(Table1[[#This Row],[Year]],10)</f>
        <v>2010</v>
      </c>
      <c r="E916" t="s">
        <v>54</v>
      </c>
      <c r="F916">
        <v>138</v>
      </c>
      <c r="G916" t="str">
        <f>IF(Table1[[#This Row],[Runtime_minutes]]&lt;90,"Short",IF(Table1[[#This Row],[Runtime_minutes]]&lt;=120,"Medium","Long"))</f>
        <v>Long</v>
      </c>
      <c r="H916" t="s">
        <v>43</v>
      </c>
      <c r="I916" t="s">
        <v>3989</v>
      </c>
      <c r="K916">
        <v>5.6</v>
      </c>
      <c r="L916">
        <v>58</v>
      </c>
      <c r="M916" t="s">
        <v>1363</v>
      </c>
      <c r="N916" t="s">
        <v>131</v>
      </c>
      <c r="O916" t="s">
        <v>3651</v>
      </c>
      <c r="P916">
        <v>42738</v>
      </c>
      <c r="Q916" s="3"/>
      <c r="R916" s="3">
        <f>IF(Table1[[#This Row],[Gross_millions]]=" ",0,Table1[[#This Row],[Gross_millions]])</f>
        <v>0</v>
      </c>
      <c r="S916" t="str">
        <f>IF(Table1[[#This Row],[Gross_millions_Clean]]&gt;200,"Blockbuster",IF(Table1[[#This Row],[Gross_millions_Clean]]&gt;100,"Hit","Average"))</f>
        <v>Average</v>
      </c>
    </row>
    <row r="917" spans="1:19" x14ac:dyDescent="0.3">
      <c r="A917" t="s">
        <v>3652</v>
      </c>
      <c r="B917" t="s">
        <v>3653</v>
      </c>
      <c r="C917">
        <v>2002</v>
      </c>
      <c r="D917" s="8">
        <f>FLOOR(Table1[[#This Row],[Year]],10)</f>
        <v>2000</v>
      </c>
      <c r="E917" t="s">
        <v>54</v>
      </c>
      <c r="F917">
        <v>132</v>
      </c>
      <c r="G917" t="str">
        <f>IF(Table1[[#This Row],[Runtime_minutes]]&lt;90,"Short",IF(Table1[[#This Row],[Runtime_minutes]]&lt;=120,"Medium","Long"))</f>
        <v>Long</v>
      </c>
      <c r="H917" t="s">
        <v>78</v>
      </c>
      <c r="I917" t="s">
        <v>3991</v>
      </c>
      <c r="J917" t="s">
        <v>3993</v>
      </c>
      <c r="K917">
        <v>5.6</v>
      </c>
      <c r="L917">
        <v>53</v>
      </c>
      <c r="M917" t="s">
        <v>3655</v>
      </c>
      <c r="N917" t="s">
        <v>137</v>
      </c>
      <c r="O917" t="s">
        <v>3656</v>
      </c>
      <c r="P917">
        <v>832502</v>
      </c>
      <c r="Q917" s="3">
        <v>348.94</v>
      </c>
      <c r="R917" s="3">
        <f>IF(Table1[[#This Row],[Gross_millions]]=" ",0,Table1[[#This Row],[Gross_millions]])</f>
        <v>348.94</v>
      </c>
      <c r="S917" t="str">
        <f>IF(Table1[[#This Row],[Gross_millions_Clean]]&gt;200,"Blockbuster",IF(Table1[[#This Row],[Gross_millions_Clean]]&gt;100,"Hit","Average"))</f>
        <v>Blockbuster</v>
      </c>
    </row>
    <row r="918" spans="1:19" x14ac:dyDescent="0.3">
      <c r="A918" t="s">
        <v>3657</v>
      </c>
      <c r="B918" t="s">
        <v>3658</v>
      </c>
      <c r="C918">
        <v>2005</v>
      </c>
      <c r="D918" s="8">
        <f>FLOOR(Table1[[#This Row],[Year]],10)</f>
        <v>2000</v>
      </c>
      <c r="E918" t="s">
        <v>54</v>
      </c>
      <c r="F918">
        <v>108</v>
      </c>
      <c r="G918" t="str">
        <f>IF(Table1[[#This Row],[Runtime_minutes]]&lt;90,"Short",IF(Table1[[#This Row],[Runtime_minutes]]&lt;=120,"Medium","Long"))</f>
        <v>Medium</v>
      </c>
      <c r="H918" t="s">
        <v>606</v>
      </c>
      <c r="I918" t="s">
        <v>3992</v>
      </c>
      <c r="K918">
        <v>5.6</v>
      </c>
      <c r="L918">
        <v>70</v>
      </c>
      <c r="M918" t="s">
        <v>250</v>
      </c>
      <c r="N918" t="s">
        <v>33</v>
      </c>
      <c r="O918" t="s">
        <v>3660</v>
      </c>
      <c r="P918">
        <v>221612</v>
      </c>
      <c r="Q918" s="3">
        <v>81.61</v>
      </c>
      <c r="R918" s="3">
        <f>IF(Table1[[#This Row],[Gross_millions]]=" ",0,Table1[[#This Row],[Gross_millions]])</f>
        <v>81.61</v>
      </c>
      <c r="S918" t="str">
        <f>IF(Table1[[#This Row],[Gross_millions_Clean]]&gt;200,"Blockbuster",IF(Table1[[#This Row],[Gross_millions_Clean]]&gt;100,"Hit","Average"))</f>
        <v>Average</v>
      </c>
    </row>
    <row r="919" spans="1:19" x14ac:dyDescent="0.3">
      <c r="A919" t="s">
        <v>3661</v>
      </c>
      <c r="B919" t="s">
        <v>3662</v>
      </c>
      <c r="C919">
        <v>2012</v>
      </c>
      <c r="D919" s="8">
        <f>FLOOR(Table1[[#This Row],[Year]],10)</f>
        <v>2010</v>
      </c>
      <c r="E919" t="s">
        <v>54</v>
      </c>
      <c r="F919">
        <v>112</v>
      </c>
      <c r="G919" t="str">
        <f>IF(Table1[[#This Row],[Runtime_minutes]]&lt;90,"Short",IF(Table1[[#This Row],[Runtime_minutes]]&lt;=120,"Medium","Long"))</f>
        <v>Medium</v>
      </c>
      <c r="H919" t="s">
        <v>55</v>
      </c>
      <c r="I919" t="s">
        <v>3979</v>
      </c>
      <c r="K919">
        <v>5.6</v>
      </c>
      <c r="L919">
        <v>55</v>
      </c>
      <c r="M919" t="s">
        <v>852</v>
      </c>
      <c r="N919" t="s">
        <v>68</v>
      </c>
      <c r="O919" t="s">
        <v>3663</v>
      </c>
      <c r="P919">
        <v>32202</v>
      </c>
      <c r="Q919" s="3">
        <v>63.24</v>
      </c>
      <c r="R919" s="3">
        <f>IF(Table1[[#This Row],[Gross_millions]]=" ",0,Table1[[#This Row],[Gross_millions]])</f>
        <v>63.24</v>
      </c>
      <c r="S919" t="str">
        <f>IF(Table1[[#This Row],[Gross_millions_Clean]]&gt;200,"Blockbuster",IF(Table1[[#This Row],[Gross_millions_Clean]]&gt;100,"Hit","Average"))</f>
        <v>Average</v>
      </c>
    </row>
    <row r="920" spans="1:19" x14ac:dyDescent="0.3">
      <c r="A920" t="s">
        <v>3664</v>
      </c>
      <c r="B920" t="s">
        <v>3665</v>
      </c>
      <c r="C920">
        <v>2023</v>
      </c>
      <c r="D920" s="8">
        <f>FLOOR(Table1[[#This Row],[Year]],10)</f>
        <v>2020</v>
      </c>
      <c r="E920" t="s">
        <v>24</v>
      </c>
      <c r="F920">
        <v>133</v>
      </c>
      <c r="G920" t="str">
        <f>IF(Table1[[#This Row],[Runtime_minutes]]&lt;90,"Short",IF(Table1[[#This Row],[Runtime_minutes]]&lt;=120,"Medium","Long"))</f>
        <v>Long</v>
      </c>
      <c r="H920" t="s">
        <v>230</v>
      </c>
      <c r="K920">
        <v>5.6</v>
      </c>
      <c r="L920">
        <v>71</v>
      </c>
      <c r="M920" t="s">
        <v>3666</v>
      </c>
      <c r="N920" t="s">
        <v>147</v>
      </c>
      <c r="O920" t="s">
        <v>3667</v>
      </c>
      <c r="P920">
        <v>368765</v>
      </c>
      <c r="Q920" s="3">
        <v>302.52999999999997</v>
      </c>
      <c r="R920" s="3">
        <f>IF(Table1[[#This Row],[Gross_millions]]=" ",0,Table1[[#This Row],[Gross_millions]])</f>
        <v>302.52999999999997</v>
      </c>
      <c r="S920" t="str">
        <f>IF(Table1[[#This Row],[Gross_millions_Clean]]&gt;200,"Blockbuster",IF(Table1[[#This Row],[Gross_millions_Clean]]&gt;100,"Hit","Average"))</f>
        <v>Blockbuster</v>
      </c>
    </row>
    <row r="921" spans="1:19" x14ac:dyDescent="0.3">
      <c r="A921" t="s">
        <v>3668</v>
      </c>
      <c r="B921" t="s">
        <v>3669</v>
      </c>
      <c r="C921">
        <v>2021</v>
      </c>
      <c r="D921" s="8">
        <f>FLOOR(Table1[[#This Row],[Year]],10)</f>
        <v>2020</v>
      </c>
      <c r="E921" t="s">
        <v>285</v>
      </c>
      <c r="F921">
        <v>123</v>
      </c>
      <c r="G921" t="str">
        <f>IF(Table1[[#This Row],[Runtime_minutes]]&lt;90,"Short",IF(Table1[[#This Row],[Runtime_minutes]]&lt;=120,"Medium","Long"))</f>
        <v>Long</v>
      </c>
      <c r="H921" t="s">
        <v>48</v>
      </c>
      <c r="I921" t="s">
        <v>3988</v>
      </c>
      <c r="K921">
        <v>5.6</v>
      </c>
      <c r="L921">
        <v>56</v>
      </c>
      <c r="M921" t="s">
        <v>566</v>
      </c>
      <c r="N921" t="s">
        <v>39</v>
      </c>
      <c r="O921" t="s">
        <v>3670</v>
      </c>
      <c r="P921">
        <v>13940</v>
      </c>
      <c r="Q921" s="3">
        <v>242.85</v>
      </c>
      <c r="R921" s="3">
        <f>IF(Table1[[#This Row],[Gross_millions]]=" ",0,Table1[[#This Row],[Gross_millions]])</f>
        <v>242.85</v>
      </c>
      <c r="S921" t="str">
        <f>IF(Table1[[#This Row],[Gross_millions_Clean]]&gt;200,"Blockbuster",IF(Table1[[#This Row],[Gross_millions_Clean]]&gt;100,"Hit","Average"))</f>
        <v>Blockbuster</v>
      </c>
    </row>
    <row r="922" spans="1:19" x14ac:dyDescent="0.3">
      <c r="A922" t="s">
        <v>3671</v>
      </c>
      <c r="B922" t="s">
        <v>3672</v>
      </c>
      <c r="C922">
        <v>2005</v>
      </c>
      <c r="D922" s="8">
        <f>FLOOR(Table1[[#This Row],[Year]],10)</f>
        <v>2000</v>
      </c>
      <c r="E922" t="s">
        <v>24</v>
      </c>
      <c r="F922">
        <v>134</v>
      </c>
      <c r="G922" t="str">
        <f>IF(Table1[[#This Row],[Runtime_minutes]]&lt;90,"Short",IF(Table1[[#This Row],[Runtime_minutes]]&lt;=120,"Medium","Long"))</f>
        <v>Long</v>
      </c>
      <c r="H922" t="s">
        <v>453</v>
      </c>
      <c r="K922">
        <v>5.6</v>
      </c>
      <c r="L922">
        <v>70</v>
      </c>
      <c r="M922" t="s">
        <v>269</v>
      </c>
      <c r="N922" t="s">
        <v>125</v>
      </c>
      <c r="O922" t="s">
        <v>3673</v>
      </c>
      <c r="P922">
        <v>14261</v>
      </c>
      <c r="Q922" s="3">
        <v>72.69</v>
      </c>
      <c r="R922" s="3">
        <f>IF(Table1[[#This Row],[Gross_millions]]=" ",0,Table1[[#This Row],[Gross_millions]])</f>
        <v>72.69</v>
      </c>
      <c r="S922" t="str">
        <f>IF(Table1[[#This Row],[Gross_millions_Clean]]&gt;200,"Blockbuster",IF(Table1[[#This Row],[Gross_millions_Clean]]&gt;100,"Hit","Average"))</f>
        <v>Average</v>
      </c>
    </row>
    <row r="923" spans="1:19" x14ac:dyDescent="0.3">
      <c r="A923" t="s">
        <v>3674</v>
      </c>
      <c r="B923" t="s">
        <v>3675</v>
      </c>
      <c r="C923">
        <v>2010</v>
      </c>
      <c r="D923" s="8">
        <f>FLOOR(Table1[[#This Row],[Year]],10)</f>
        <v>2010</v>
      </c>
      <c r="E923" t="s">
        <v>54</v>
      </c>
      <c r="F923">
        <v>101</v>
      </c>
      <c r="G923" t="str">
        <f>IF(Table1[[#This Row],[Runtime_minutes]]&lt;90,"Short",IF(Table1[[#This Row],[Runtime_minutes]]&lt;=120,"Medium","Long"))</f>
        <v>Medium</v>
      </c>
      <c r="H923" t="s">
        <v>129</v>
      </c>
      <c r="I923" t="s">
        <v>3989</v>
      </c>
      <c r="K923">
        <v>5.6</v>
      </c>
      <c r="L923">
        <v>58</v>
      </c>
      <c r="M923" t="s">
        <v>3219</v>
      </c>
      <c r="N923" t="s">
        <v>524</v>
      </c>
      <c r="O923" t="s">
        <v>3676</v>
      </c>
      <c r="P923">
        <v>13852</v>
      </c>
      <c r="Q923" s="3"/>
      <c r="R923" s="3">
        <f>IF(Table1[[#This Row],[Gross_millions]]=" ",0,Table1[[#This Row],[Gross_millions]])</f>
        <v>0</v>
      </c>
      <c r="S923" t="str">
        <f>IF(Table1[[#This Row],[Gross_millions_Clean]]&gt;200,"Blockbuster",IF(Table1[[#This Row],[Gross_millions_Clean]]&gt;100,"Hit","Average"))</f>
        <v>Average</v>
      </c>
    </row>
    <row r="924" spans="1:19" x14ac:dyDescent="0.3">
      <c r="A924" t="s">
        <v>3677</v>
      </c>
      <c r="B924" t="s">
        <v>3678</v>
      </c>
      <c r="C924">
        <v>2006</v>
      </c>
      <c r="D924" s="8">
        <f>FLOOR(Table1[[#This Row],[Year]],10)</f>
        <v>2000</v>
      </c>
      <c r="E924" t="s">
        <v>17</v>
      </c>
      <c r="F924">
        <v>137</v>
      </c>
      <c r="G924" t="str">
        <f>IF(Table1[[#This Row],[Runtime_minutes]]&lt;90,"Short",IF(Table1[[#This Row],[Runtime_minutes]]&lt;=120,"Medium","Long"))</f>
        <v>Long</v>
      </c>
      <c r="H924" t="s">
        <v>1044</v>
      </c>
      <c r="K924">
        <v>5.6</v>
      </c>
      <c r="L924">
        <v>49</v>
      </c>
      <c r="M924" t="s">
        <v>226</v>
      </c>
      <c r="N924" t="s">
        <v>191</v>
      </c>
      <c r="O924" t="s">
        <v>3679</v>
      </c>
      <c r="P924">
        <v>72371</v>
      </c>
      <c r="Q924" s="3">
        <v>60.43</v>
      </c>
      <c r="R924" s="3">
        <f>IF(Table1[[#This Row],[Gross_millions]]=" ",0,Table1[[#This Row],[Gross_millions]])</f>
        <v>60.43</v>
      </c>
      <c r="S924" t="str">
        <f>IF(Table1[[#This Row],[Gross_millions_Clean]]&gt;200,"Blockbuster",IF(Table1[[#This Row],[Gross_millions_Clean]]&gt;100,"Hit","Average"))</f>
        <v>Average</v>
      </c>
    </row>
    <row r="925" spans="1:19" x14ac:dyDescent="0.3">
      <c r="A925" t="s">
        <v>3680</v>
      </c>
      <c r="B925" t="s">
        <v>3681</v>
      </c>
      <c r="C925">
        <v>2012</v>
      </c>
      <c r="D925" s="8">
        <f>FLOOR(Table1[[#This Row],[Year]],10)</f>
        <v>2010</v>
      </c>
      <c r="E925" t="s">
        <v>24</v>
      </c>
      <c r="F925">
        <v>123</v>
      </c>
      <c r="G925" t="str">
        <f>IF(Table1[[#This Row],[Runtime_minutes]]&lt;90,"Short",IF(Table1[[#This Row],[Runtime_minutes]]&lt;=120,"Medium","Long"))</f>
        <v>Long</v>
      </c>
      <c r="H925" t="s">
        <v>72</v>
      </c>
      <c r="I925" t="s">
        <v>3983</v>
      </c>
      <c r="K925">
        <v>5.6</v>
      </c>
      <c r="M925" t="s">
        <v>491</v>
      </c>
      <c r="N925" t="s">
        <v>483</v>
      </c>
      <c r="O925" t="s">
        <v>3683</v>
      </c>
      <c r="P925">
        <v>105904</v>
      </c>
      <c r="Q925" s="3">
        <v>358.77</v>
      </c>
      <c r="R925" s="3">
        <f>IF(Table1[[#This Row],[Gross_millions]]=" ",0,Table1[[#This Row],[Gross_millions]])</f>
        <v>358.77</v>
      </c>
      <c r="S925" t="str">
        <f>IF(Table1[[#This Row],[Gross_millions_Clean]]&gt;200,"Blockbuster",IF(Table1[[#This Row],[Gross_millions_Clean]]&gt;100,"Hit","Average"))</f>
        <v>Blockbuster</v>
      </c>
    </row>
    <row r="926" spans="1:19" x14ac:dyDescent="0.3">
      <c r="A926" t="s">
        <v>3684</v>
      </c>
      <c r="B926" t="s">
        <v>3685</v>
      </c>
      <c r="C926">
        <v>2000</v>
      </c>
      <c r="D926" s="8">
        <f>FLOOR(Table1[[#This Row],[Year]],10)</f>
        <v>2000</v>
      </c>
      <c r="E926" t="s">
        <v>54</v>
      </c>
      <c r="F926">
        <v>108</v>
      </c>
      <c r="G926" t="str">
        <f>IF(Table1[[#This Row],[Runtime_minutes]]&lt;90,"Short",IF(Table1[[#This Row],[Runtime_minutes]]&lt;=120,"Medium","Long"))</f>
        <v>Medium</v>
      </c>
      <c r="H926" t="s">
        <v>43</v>
      </c>
      <c r="I926" t="s">
        <v>3985</v>
      </c>
      <c r="K926">
        <v>5.6</v>
      </c>
      <c r="M926" t="s">
        <v>3687</v>
      </c>
      <c r="N926" t="s">
        <v>483</v>
      </c>
      <c r="O926" t="s">
        <v>3688</v>
      </c>
      <c r="P926">
        <v>52447</v>
      </c>
      <c r="Q926" s="3">
        <v>243.38</v>
      </c>
      <c r="R926" s="3">
        <f>IF(Table1[[#This Row],[Gross_millions]]=" ",0,Table1[[#This Row],[Gross_millions]])</f>
        <v>243.38</v>
      </c>
      <c r="S926" t="str">
        <f>IF(Table1[[#This Row],[Gross_millions_Clean]]&gt;200,"Blockbuster",IF(Table1[[#This Row],[Gross_millions_Clean]]&gt;100,"Hit","Average"))</f>
        <v>Blockbuster</v>
      </c>
    </row>
    <row r="927" spans="1:19" x14ac:dyDescent="0.3">
      <c r="A927" t="s">
        <v>3689</v>
      </c>
      <c r="B927" t="s">
        <v>3690</v>
      </c>
      <c r="C927">
        <v>2015</v>
      </c>
      <c r="D927" s="8">
        <f>FLOOR(Table1[[#This Row],[Year]],10)</f>
        <v>2010</v>
      </c>
      <c r="E927" t="s">
        <v>293</v>
      </c>
      <c r="F927">
        <v>97</v>
      </c>
      <c r="G927" t="str">
        <f>IF(Table1[[#This Row],[Runtime_minutes]]&lt;90,"Short",IF(Table1[[#This Row],[Runtime_minutes]]&lt;=120,"Medium","Long"))</f>
        <v>Medium</v>
      </c>
      <c r="H927" t="s">
        <v>37</v>
      </c>
      <c r="I927" t="s">
        <v>3979</v>
      </c>
      <c r="J927" t="s">
        <v>3981</v>
      </c>
      <c r="K927">
        <v>5.6</v>
      </c>
      <c r="M927" t="s">
        <v>38</v>
      </c>
      <c r="N927" t="s">
        <v>221</v>
      </c>
      <c r="O927" t="s">
        <v>3692</v>
      </c>
      <c r="P927">
        <v>341546</v>
      </c>
      <c r="Q927" s="3"/>
      <c r="R927" s="3">
        <f>IF(Table1[[#This Row],[Gross_millions]]=" ",0,Table1[[#This Row],[Gross_millions]])</f>
        <v>0</v>
      </c>
      <c r="S927" t="str">
        <f>IF(Table1[[#This Row],[Gross_millions_Clean]]&gt;200,"Blockbuster",IF(Table1[[#This Row],[Gross_millions_Clean]]&gt;100,"Hit","Average"))</f>
        <v>Average</v>
      </c>
    </row>
    <row r="928" spans="1:19" x14ac:dyDescent="0.3">
      <c r="A928" t="s">
        <v>3693</v>
      </c>
      <c r="B928" t="s">
        <v>3694</v>
      </c>
      <c r="C928">
        <v>2005</v>
      </c>
      <c r="D928" s="8">
        <f>FLOOR(Table1[[#This Row],[Year]],10)</f>
        <v>2000</v>
      </c>
      <c r="E928" t="s">
        <v>17</v>
      </c>
      <c r="F928">
        <v>147</v>
      </c>
      <c r="G928" t="str">
        <f>IF(Table1[[#This Row],[Runtime_minutes]]&lt;90,"Short",IF(Table1[[#This Row],[Runtime_minutes]]&lt;=120,"Medium","Long"))</f>
        <v>Long</v>
      </c>
      <c r="H928" t="s">
        <v>157</v>
      </c>
      <c r="I928" t="s">
        <v>3980</v>
      </c>
      <c r="K928">
        <v>5.6</v>
      </c>
      <c r="L928">
        <v>69</v>
      </c>
      <c r="M928" t="s">
        <v>158</v>
      </c>
      <c r="N928" t="s">
        <v>159</v>
      </c>
      <c r="O928" t="s">
        <v>3695</v>
      </c>
      <c r="P928">
        <v>1000</v>
      </c>
      <c r="Q928" s="3">
        <v>238.95</v>
      </c>
      <c r="R928" s="3">
        <f>IF(Table1[[#This Row],[Gross_millions]]=" ",0,Table1[[#This Row],[Gross_millions]])</f>
        <v>238.95</v>
      </c>
      <c r="S928" t="str">
        <f>IF(Table1[[#This Row],[Gross_millions_Clean]]&gt;200,"Blockbuster",IF(Table1[[#This Row],[Gross_millions_Clean]]&gt;100,"Hit","Average"))</f>
        <v>Blockbuster</v>
      </c>
    </row>
    <row r="929" spans="1:19" x14ac:dyDescent="0.3">
      <c r="A929" t="s">
        <v>3696</v>
      </c>
      <c r="B929" t="s">
        <v>3697</v>
      </c>
      <c r="C929">
        <v>2019</v>
      </c>
      <c r="D929" s="8">
        <f>FLOOR(Table1[[#This Row],[Year]],10)</f>
        <v>2010</v>
      </c>
      <c r="E929" t="s">
        <v>54</v>
      </c>
      <c r="F929">
        <v>100</v>
      </c>
      <c r="G929" t="str">
        <f>IF(Table1[[#This Row],[Runtime_minutes]]&lt;90,"Short",IF(Table1[[#This Row],[Runtime_minutes]]&lt;=120,"Medium","Long"))</f>
        <v>Medium</v>
      </c>
      <c r="H929" t="s">
        <v>43</v>
      </c>
      <c r="I929" t="s">
        <v>3993</v>
      </c>
      <c r="J929" t="s">
        <v>3980</v>
      </c>
      <c r="K929">
        <v>5.6</v>
      </c>
      <c r="L929">
        <v>53</v>
      </c>
      <c r="M929" t="s">
        <v>3699</v>
      </c>
      <c r="N929" t="s">
        <v>137</v>
      </c>
      <c r="O929" t="s">
        <v>3700</v>
      </c>
      <c r="P929">
        <v>23386</v>
      </c>
      <c r="Q929" s="3">
        <v>90.76</v>
      </c>
      <c r="R929" s="3">
        <f>IF(Table1[[#This Row],[Gross_millions]]=" ",0,Table1[[#This Row],[Gross_millions]])</f>
        <v>90.76</v>
      </c>
      <c r="S929" t="str">
        <f>IF(Table1[[#This Row],[Gross_millions_Clean]]&gt;200,"Blockbuster",IF(Table1[[#This Row],[Gross_millions_Clean]]&gt;100,"Hit","Average"))</f>
        <v>Average</v>
      </c>
    </row>
    <row r="930" spans="1:19" x14ac:dyDescent="0.3">
      <c r="A930" t="s">
        <v>3701</v>
      </c>
      <c r="B930" t="s">
        <v>3702</v>
      </c>
      <c r="C930">
        <v>2020</v>
      </c>
      <c r="D930" s="8">
        <f>FLOOR(Table1[[#This Row],[Year]],10)</f>
        <v>2020</v>
      </c>
      <c r="E930" t="s">
        <v>24</v>
      </c>
      <c r="F930">
        <v>107</v>
      </c>
      <c r="G930" t="str">
        <f>IF(Table1[[#This Row],[Runtime_minutes]]&lt;90,"Short",IF(Table1[[#This Row],[Runtime_minutes]]&lt;=120,"Medium","Long"))</f>
        <v>Medium</v>
      </c>
      <c r="H930" t="s">
        <v>129</v>
      </c>
      <c r="I930" t="s">
        <v>3987</v>
      </c>
      <c r="K930">
        <v>5.6</v>
      </c>
      <c r="L930">
        <v>52</v>
      </c>
      <c r="M930" t="s">
        <v>634</v>
      </c>
      <c r="N930" t="s">
        <v>153</v>
      </c>
      <c r="O930" t="s">
        <v>3703</v>
      </c>
      <c r="P930">
        <v>702937</v>
      </c>
      <c r="Q930" s="3">
        <v>23.67</v>
      </c>
      <c r="R930" s="3">
        <f>IF(Table1[[#This Row],[Gross_millions]]=" ",0,Table1[[#This Row],[Gross_millions]])</f>
        <v>23.67</v>
      </c>
      <c r="S930" t="str">
        <f>IF(Table1[[#This Row],[Gross_millions_Clean]]&gt;200,"Blockbuster",IF(Table1[[#This Row],[Gross_millions_Clean]]&gt;100,"Hit","Average"))</f>
        <v>Average</v>
      </c>
    </row>
    <row r="931" spans="1:19" x14ac:dyDescent="0.3">
      <c r="A931" t="s">
        <v>3704</v>
      </c>
      <c r="B931" t="s">
        <v>3705</v>
      </c>
      <c r="C931">
        <v>2007</v>
      </c>
      <c r="D931" s="8">
        <f>FLOOR(Table1[[#This Row],[Year]],10)</f>
        <v>2000</v>
      </c>
      <c r="E931" t="s">
        <v>54</v>
      </c>
      <c r="F931">
        <v>125</v>
      </c>
      <c r="G931" t="str">
        <f>IF(Table1[[#This Row],[Runtime_minutes]]&lt;90,"Short",IF(Table1[[#This Row],[Runtime_minutes]]&lt;=120,"Medium","Long"))</f>
        <v>Long</v>
      </c>
      <c r="H931" t="s">
        <v>767</v>
      </c>
      <c r="I931" t="s">
        <v>3993</v>
      </c>
      <c r="K931">
        <v>5.6</v>
      </c>
      <c r="M931" t="s">
        <v>85</v>
      </c>
      <c r="N931" t="s">
        <v>165</v>
      </c>
      <c r="O931" t="s">
        <v>3706</v>
      </c>
      <c r="P931">
        <v>120528</v>
      </c>
      <c r="Q931" s="3">
        <v>294.67</v>
      </c>
      <c r="R931" s="3">
        <f>IF(Table1[[#This Row],[Gross_millions]]=" ",0,Table1[[#This Row],[Gross_millions]])</f>
        <v>294.67</v>
      </c>
      <c r="S931" t="str">
        <f>IF(Table1[[#This Row],[Gross_millions_Clean]]&gt;200,"Blockbuster",IF(Table1[[#This Row],[Gross_millions_Clean]]&gt;100,"Hit","Average"))</f>
        <v>Blockbuster</v>
      </c>
    </row>
    <row r="932" spans="1:19" x14ac:dyDescent="0.3">
      <c r="A932" t="s">
        <v>3707</v>
      </c>
      <c r="B932" t="s">
        <v>3708</v>
      </c>
      <c r="C932">
        <v>2008</v>
      </c>
      <c r="D932" s="8">
        <f>FLOOR(Table1[[#This Row],[Year]],10)</f>
        <v>2000</v>
      </c>
      <c r="E932" t="s">
        <v>293</v>
      </c>
      <c r="F932">
        <v>129</v>
      </c>
      <c r="G932" t="str">
        <f>IF(Table1[[#This Row],[Runtime_minutes]]&lt;90,"Short",IF(Table1[[#This Row],[Runtime_minutes]]&lt;=120,"Medium","Long"))</f>
        <v>Long</v>
      </c>
      <c r="H932" t="s">
        <v>767</v>
      </c>
      <c r="I932" t="s">
        <v>3990</v>
      </c>
      <c r="K932">
        <v>5.6</v>
      </c>
      <c r="M932" t="s">
        <v>320</v>
      </c>
      <c r="N932" t="s">
        <v>236</v>
      </c>
      <c r="O932" t="s">
        <v>3710</v>
      </c>
      <c r="P932">
        <v>213685</v>
      </c>
      <c r="Q932" s="3"/>
      <c r="R932" s="3">
        <f>IF(Table1[[#This Row],[Gross_millions]]=" ",0,Table1[[#This Row],[Gross_millions]])</f>
        <v>0</v>
      </c>
      <c r="S932" t="str">
        <f>IF(Table1[[#This Row],[Gross_millions_Clean]]&gt;200,"Blockbuster",IF(Table1[[#This Row],[Gross_millions_Clean]]&gt;100,"Hit","Average"))</f>
        <v>Average</v>
      </c>
    </row>
    <row r="933" spans="1:19" x14ac:dyDescent="0.3">
      <c r="A933" t="s">
        <v>3711</v>
      </c>
      <c r="B933" t="s">
        <v>3712</v>
      </c>
      <c r="C933">
        <v>2003</v>
      </c>
      <c r="D933" s="8">
        <f>FLOOR(Table1[[#This Row],[Year]],10)</f>
        <v>2000</v>
      </c>
      <c r="E933" t="s">
        <v>54</v>
      </c>
      <c r="F933">
        <v>138</v>
      </c>
      <c r="G933" t="str">
        <f>IF(Table1[[#This Row],[Runtime_minutes]]&lt;90,"Short",IF(Table1[[#This Row],[Runtime_minutes]]&lt;=120,"Medium","Long"))</f>
        <v>Long</v>
      </c>
      <c r="H933" t="s">
        <v>1044</v>
      </c>
      <c r="I933" t="s">
        <v>3980</v>
      </c>
      <c r="K933">
        <v>5.5</v>
      </c>
      <c r="L933">
        <v>63</v>
      </c>
      <c r="M933" t="s">
        <v>2547</v>
      </c>
      <c r="N933" t="s">
        <v>103</v>
      </c>
      <c r="O933" t="s">
        <v>3713</v>
      </c>
      <c r="P933">
        <v>1298</v>
      </c>
      <c r="Q933" s="3">
        <v>371.58</v>
      </c>
      <c r="R933" s="3">
        <f>IF(Table1[[#This Row],[Gross_millions]]=" ",0,Table1[[#This Row],[Gross_millions]])</f>
        <v>371.58</v>
      </c>
      <c r="S933" t="str">
        <f>IF(Table1[[#This Row],[Gross_millions_Clean]]&gt;200,"Blockbuster",IF(Table1[[#This Row],[Gross_millions_Clean]]&gt;100,"Hit","Average"))</f>
        <v>Blockbuster</v>
      </c>
    </row>
    <row r="934" spans="1:19" x14ac:dyDescent="0.3">
      <c r="A934" t="s">
        <v>3714</v>
      </c>
      <c r="B934" t="s">
        <v>3715</v>
      </c>
      <c r="C934">
        <v>2021</v>
      </c>
      <c r="D934" s="8">
        <f>FLOOR(Table1[[#This Row],[Year]],10)</f>
        <v>2020</v>
      </c>
      <c r="E934" t="s">
        <v>24</v>
      </c>
      <c r="F934">
        <v>101</v>
      </c>
      <c r="G934" t="str">
        <f>IF(Table1[[#This Row],[Runtime_minutes]]&lt;90,"Short",IF(Table1[[#This Row],[Runtime_minutes]]&lt;=120,"Medium","Long"))</f>
        <v>Medium</v>
      </c>
      <c r="H934" t="s">
        <v>277</v>
      </c>
      <c r="I934" t="s">
        <v>3980</v>
      </c>
      <c r="J934" t="s">
        <v>3989</v>
      </c>
      <c r="K934">
        <v>5.5</v>
      </c>
      <c r="L934">
        <v>45</v>
      </c>
      <c r="M934" t="s">
        <v>395</v>
      </c>
      <c r="N934" t="s">
        <v>483</v>
      </c>
      <c r="O934" t="s">
        <v>3717</v>
      </c>
      <c r="P934">
        <v>22583</v>
      </c>
      <c r="Q934" s="3"/>
      <c r="R934" s="3">
        <f>IF(Table1[[#This Row],[Gross_millions]]=" ",0,Table1[[#This Row],[Gross_millions]])</f>
        <v>0</v>
      </c>
      <c r="S934" t="str">
        <f>IF(Table1[[#This Row],[Gross_millions_Clean]]&gt;200,"Blockbuster",IF(Table1[[#This Row],[Gross_millions_Clean]]&gt;100,"Hit","Average"))</f>
        <v>Average</v>
      </c>
    </row>
    <row r="935" spans="1:19" x14ac:dyDescent="0.3">
      <c r="A935" t="s">
        <v>3718</v>
      </c>
      <c r="B935" t="s">
        <v>3719</v>
      </c>
      <c r="C935">
        <v>2014</v>
      </c>
      <c r="D935" s="8">
        <f>FLOOR(Table1[[#This Row],[Year]],10)</f>
        <v>2010</v>
      </c>
      <c r="E935" t="s">
        <v>24</v>
      </c>
      <c r="F935">
        <v>118</v>
      </c>
      <c r="G935" t="str">
        <f>IF(Table1[[#This Row],[Runtime_minutes]]&lt;90,"Short",IF(Table1[[#This Row],[Runtime_minutes]]&lt;=120,"Medium","Long"))</f>
        <v>Medium</v>
      </c>
      <c r="H935" t="s">
        <v>37</v>
      </c>
      <c r="I935" t="s">
        <v>3978</v>
      </c>
      <c r="J935" t="s">
        <v>3993</v>
      </c>
      <c r="K935">
        <v>5.5</v>
      </c>
      <c r="L935">
        <v>69</v>
      </c>
      <c r="M935" t="s">
        <v>3721</v>
      </c>
      <c r="N935" t="s">
        <v>80</v>
      </c>
      <c r="O935" t="s">
        <v>3722</v>
      </c>
      <c r="P935">
        <v>15021</v>
      </c>
      <c r="Q935" s="3"/>
      <c r="R935" s="3">
        <f>IF(Table1[[#This Row],[Gross_millions]]=" ",0,Table1[[#This Row],[Gross_millions]])</f>
        <v>0</v>
      </c>
      <c r="S935" t="str">
        <f>IF(Table1[[#This Row],[Gross_millions_Clean]]&gt;200,"Blockbuster",IF(Table1[[#This Row],[Gross_millions_Clean]]&gt;100,"Hit","Average"))</f>
        <v>Average</v>
      </c>
    </row>
    <row r="936" spans="1:19" x14ac:dyDescent="0.3">
      <c r="A936" t="s">
        <v>3723</v>
      </c>
      <c r="B936" t="s">
        <v>3724</v>
      </c>
      <c r="C936">
        <v>1998</v>
      </c>
      <c r="D936" s="8">
        <f>FLOOR(Table1[[#This Row],[Year]],10)</f>
        <v>1990</v>
      </c>
      <c r="E936" t="s">
        <v>54</v>
      </c>
      <c r="F936">
        <v>158</v>
      </c>
      <c r="G936" t="str">
        <f>IF(Table1[[#This Row],[Runtime_minutes]]&lt;90,"Short",IF(Table1[[#This Row],[Runtime_minutes]]&lt;=120,"Medium","Long"))</f>
        <v>Long</v>
      </c>
      <c r="H936" t="s">
        <v>606</v>
      </c>
      <c r="I936" t="s">
        <v>3980</v>
      </c>
      <c r="K936">
        <v>5.5</v>
      </c>
      <c r="L936">
        <v>55</v>
      </c>
      <c r="M936" t="s">
        <v>220</v>
      </c>
      <c r="N936" t="s">
        <v>368</v>
      </c>
      <c r="O936" t="s">
        <v>3726</v>
      </c>
      <c r="P936">
        <v>139309</v>
      </c>
      <c r="Q936" s="3">
        <v>44.74</v>
      </c>
      <c r="R936" s="3">
        <f>IF(Table1[[#This Row],[Gross_millions]]=" ",0,Table1[[#This Row],[Gross_millions]])</f>
        <v>44.74</v>
      </c>
      <c r="S936" t="str">
        <f>IF(Table1[[#This Row],[Gross_millions_Clean]]&gt;200,"Blockbuster",IF(Table1[[#This Row],[Gross_millions_Clean]]&gt;100,"Hit","Average"))</f>
        <v>Average</v>
      </c>
    </row>
    <row r="937" spans="1:19" x14ac:dyDescent="0.3">
      <c r="A937" t="s">
        <v>3727</v>
      </c>
      <c r="B937" t="s">
        <v>3728</v>
      </c>
      <c r="C937">
        <v>2014</v>
      </c>
      <c r="D937" s="8">
        <f>FLOOR(Table1[[#This Row],[Year]],10)</f>
        <v>2010</v>
      </c>
      <c r="E937" t="s">
        <v>54</v>
      </c>
      <c r="F937">
        <v>105</v>
      </c>
      <c r="G937" t="str">
        <f>IF(Table1[[#This Row],[Runtime_minutes]]&lt;90,"Short",IF(Table1[[#This Row],[Runtime_minutes]]&lt;=120,"Medium","Long"))</f>
        <v>Medium</v>
      </c>
      <c r="H937" t="s">
        <v>375</v>
      </c>
      <c r="K937">
        <v>5.5</v>
      </c>
      <c r="M937" t="s">
        <v>2868</v>
      </c>
      <c r="N937" t="s">
        <v>191</v>
      </c>
      <c r="O937" t="s">
        <v>3729</v>
      </c>
      <c r="P937">
        <v>5796</v>
      </c>
      <c r="Q937" s="3">
        <v>255.32</v>
      </c>
      <c r="R937" s="3">
        <f>IF(Table1[[#This Row],[Gross_millions]]=" ",0,Table1[[#This Row],[Gross_millions]])</f>
        <v>255.32</v>
      </c>
      <c r="S937" t="str">
        <f>IF(Table1[[#This Row],[Gross_millions_Clean]]&gt;200,"Blockbuster",IF(Table1[[#This Row],[Gross_millions_Clean]]&gt;100,"Hit","Average"))</f>
        <v>Blockbuster</v>
      </c>
    </row>
    <row r="938" spans="1:19" x14ac:dyDescent="0.3">
      <c r="A938" t="s">
        <v>3730</v>
      </c>
      <c r="B938" t="s">
        <v>3731</v>
      </c>
      <c r="C938">
        <v>2000</v>
      </c>
      <c r="D938" s="8">
        <f>FLOOR(Table1[[#This Row],[Year]],10)</f>
        <v>2000</v>
      </c>
      <c r="E938" t="s">
        <v>293</v>
      </c>
      <c r="F938">
        <v>129</v>
      </c>
      <c r="G938" t="str">
        <f>IF(Table1[[#This Row],[Runtime_minutes]]&lt;90,"Short",IF(Table1[[#This Row],[Runtime_minutes]]&lt;=120,"Medium","Long"))</f>
        <v>Long</v>
      </c>
      <c r="H938" t="s">
        <v>453</v>
      </c>
      <c r="I938" t="s">
        <v>3979</v>
      </c>
      <c r="K938">
        <v>5.5</v>
      </c>
      <c r="L938">
        <v>60</v>
      </c>
      <c r="M938" t="s">
        <v>435</v>
      </c>
      <c r="N938" t="s">
        <v>547</v>
      </c>
      <c r="O938" t="s">
        <v>3733</v>
      </c>
      <c r="P938">
        <v>103930</v>
      </c>
      <c r="Q938" s="3">
        <v>189.98</v>
      </c>
      <c r="R938" s="3">
        <f>IF(Table1[[#This Row],[Gross_millions]]=" ",0,Table1[[#This Row],[Gross_millions]])</f>
        <v>189.98</v>
      </c>
      <c r="S938" t="str">
        <f>IF(Table1[[#This Row],[Gross_millions_Clean]]&gt;200,"Blockbuster",IF(Table1[[#This Row],[Gross_millions_Clean]]&gt;100,"Hit","Average"))</f>
        <v>Hit</v>
      </c>
    </row>
    <row r="939" spans="1:19" x14ac:dyDescent="0.3">
      <c r="A939" t="s">
        <v>3734</v>
      </c>
      <c r="B939" t="s">
        <v>3735</v>
      </c>
      <c r="C939">
        <v>2011</v>
      </c>
      <c r="D939" s="8">
        <f>FLOOR(Table1[[#This Row],[Year]],10)</f>
        <v>2010</v>
      </c>
      <c r="E939" t="s">
        <v>54</v>
      </c>
      <c r="F939">
        <v>112</v>
      </c>
      <c r="G939" t="str">
        <f>IF(Table1[[#This Row],[Runtime_minutes]]&lt;90,"Short",IF(Table1[[#This Row],[Runtime_minutes]]&lt;=120,"Medium","Long"))</f>
        <v>Medium</v>
      </c>
      <c r="H939" t="s">
        <v>72</v>
      </c>
      <c r="I939" t="s">
        <v>3980</v>
      </c>
      <c r="K939">
        <v>5.5</v>
      </c>
      <c r="M939" t="s">
        <v>1155</v>
      </c>
      <c r="N939" t="s">
        <v>74</v>
      </c>
      <c r="O939" t="s">
        <v>3737</v>
      </c>
      <c r="P939">
        <v>61293</v>
      </c>
      <c r="Q939" s="3"/>
      <c r="R939" s="3">
        <f>IF(Table1[[#This Row],[Gross_millions]]=" ",0,Table1[[#This Row],[Gross_millions]])</f>
        <v>0</v>
      </c>
      <c r="S939" t="str">
        <f>IF(Table1[[#This Row],[Gross_millions_Clean]]&gt;200,"Blockbuster",IF(Table1[[#This Row],[Gross_millions_Clean]]&gt;100,"Hit","Average"))</f>
        <v>Average</v>
      </c>
    </row>
    <row r="940" spans="1:19" x14ac:dyDescent="0.3">
      <c r="A940" t="s">
        <v>3738</v>
      </c>
      <c r="B940" t="s">
        <v>3739</v>
      </c>
      <c r="C940">
        <v>1996</v>
      </c>
      <c r="D940" s="8">
        <f>FLOOR(Table1[[#This Row],[Year]],10)</f>
        <v>1990</v>
      </c>
      <c r="E940" t="s">
        <v>17</v>
      </c>
      <c r="F940">
        <v>124</v>
      </c>
      <c r="G940" t="str">
        <f>IF(Table1[[#This Row],[Runtime_minutes]]&lt;90,"Short",IF(Table1[[#This Row],[Runtime_minutes]]&lt;=120,"Medium","Long"))</f>
        <v>Long</v>
      </c>
      <c r="H940" t="s">
        <v>277</v>
      </c>
      <c r="I940" t="s">
        <v>3988</v>
      </c>
      <c r="K940">
        <v>5.5</v>
      </c>
      <c r="M940" t="s">
        <v>278</v>
      </c>
      <c r="N940" t="s">
        <v>608</v>
      </c>
      <c r="O940" t="s">
        <v>3740</v>
      </c>
      <c r="P940">
        <v>7250</v>
      </c>
      <c r="Q940" s="3"/>
      <c r="R940" s="3">
        <f>IF(Table1[[#This Row],[Gross_millions]]=" ",0,Table1[[#This Row],[Gross_millions]])</f>
        <v>0</v>
      </c>
      <c r="S940" t="str">
        <f>IF(Table1[[#This Row],[Gross_millions_Clean]]&gt;200,"Blockbuster",IF(Table1[[#This Row],[Gross_millions_Clean]]&gt;100,"Hit","Average"))</f>
        <v>Average</v>
      </c>
    </row>
    <row r="941" spans="1:19" x14ac:dyDescent="0.3">
      <c r="A941" t="s">
        <v>3741</v>
      </c>
      <c r="B941" t="s">
        <v>3742</v>
      </c>
      <c r="C941">
        <v>2002</v>
      </c>
      <c r="D941" s="8">
        <f>FLOOR(Table1[[#This Row],[Year]],10)</f>
        <v>2000</v>
      </c>
      <c r="E941" t="s">
        <v>17</v>
      </c>
      <c r="F941">
        <v>122</v>
      </c>
      <c r="G941" t="str">
        <f>IF(Table1[[#This Row],[Runtime_minutes]]&lt;90,"Short",IF(Table1[[#This Row],[Runtime_minutes]]&lt;=120,"Medium","Long"))</f>
        <v>Long</v>
      </c>
      <c r="H941" t="s">
        <v>37</v>
      </c>
      <c r="I941" t="s">
        <v>3990</v>
      </c>
      <c r="K941">
        <v>5.5</v>
      </c>
      <c r="L941">
        <v>50</v>
      </c>
      <c r="M941" t="s">
        <v>561</v>
      </c>
      <c r="N941" t="s">
        <v>119</v>
      </c>
      <c r="O941" t="s">
        <v>3743</v>
      </c>
      <c r="P941">
        <v>237718</v>
      </c>
      <c r="Q941" s="3">
        <v>438.34</v>
      </c>
      <c r="R941" s="3">
        <f>IF(Table1[[#This Row],[Gross_millions]]=" ",0,Table1[[#This Row],[Gross_millions]])</f>
        <v>438.34</v>
      </c>
      <c r="S941" t="str">
        <f>IF(Table1[[#This Row],[Gross_millions_Clean]]&gt;200,"Blockbuster",IF(Table1[[#This Row],[Gross_millions_Clean]]&gt;100,"Hit","Average"))</f>
        <v>Blockbuster</v>
      </c>
    </row>
    <row r="942" spans="1:19" x14ac:dyDescent="0.3">
      <c r="A942" t="s">
        <v>3744</v>
      </c>
      <c r="B942" t="s">
        <v>3745</v>
      </c>
      <c r="C942">
        <v>2003</v>
      </c>
      <c r="D942" s="8">
        <f>FLOOR(Table1[[#This Row],[Year]],10)</f>
        <v>2000</v>
      </c>
      <c r="E942" t="s">
        <v>24</v>
      </c>
      <c r="F942">
        <v>106</v>
      </c>
      <c r="G942" t="str">
        <f>IF(Table1[[#This Row],[Runtime_minutes]]&lt;90,"Short",IF(Table1[[#This Row],[Runtime_minutes]]&lt;=120,"Medium","Long"))</f>
        <v>Medium</v>
      </c>
      <c r="H942" t="s">
        <v>235</v>
      </c>
      <c r="K942">
        <v>5.5</v>
      </c>
      <c r="M942" t="s">
        <v>201</v>
      </c>
      <c r="N942" t="s">
        <v>137</v>
      </c>
      <c r="O942" t="s">
        <v>3746</v>
      </c>
      <c r="P942">
        <v>52856</v>
      </c>
      <c r="Q942" s="3">
        <v>131.13</v>
      </c>
      <c r="R942" s="3">
        <f>IF(Table1[[#This Row],[Gross_millions]]=" ",0,Table1[[#This Row],[Gross_millions]])</f>
        <v>131.13</v>
      </c>
      <c r="S942" t="str">
        <f>IF(Table1[[#This Row],[Gross_millions_Clean]]&gt;200,"Blockbuster",IF(Table1[[#This Row],[Gross_millions_Clean]]&gt;100,"Hit","Average"))</f>
        <v>Hit</v>
      </c>
    </row>
    <row r="943" spans="1:19" x14ac:dyDescent="0.3">
      <c r="A943" t="s">
        <v>3747</v>
      </c>
      <c r="B943" t="s">
        <v>3748</v>
      </c>
      <c r="C943">
        <v>2013</v>
      </c>
      <c r="D943" s="8">
        <f>FLOOR(Table1[[#This Row],[Year]],10)</f>
        <v>2010</v>
      </c>
      <c r="E943" t="s">
        <v>17</v>
      </c>
      <c r="F943">
        <v>165</v>
      </c>
      <c r="G943" t="str">
        <f>IF(Table1[[#This Row],[Runtime_minutes]]&lt;90,"Short",IF(Table1[[#This Row],[Runtime_minutes]]&lt;=120,"Medium","Long"))</f>
        <v>Long</v>
      </c>
      <c r="H943" t="s">
        <v>868</v>
      </c>
      <c r="I943" t="s">
        <v>3993</v>
      </c>
      <c r="K943">
        <v>5.5</v>
      </c>
      <c r="L943">
        <v>54</v>
      </c>
      <c r="M943" t="s">
        <v>102</v>
      </c>
      <c r="N943" t="s">
        <v>718</v>
      </c>
      <c r="O943" t="s">
        <v>3749</v>
      </c>
      <c r="P943">
        <v>5074</v>
      </c>
      <c r="Q943" s="3"/>
      <c r="R943" s="3">
        <f>IF(Table1[[#This Row],[Gross_millions]]=" ",0,Table1[[#This Row],[Gross_millions]])</f>
        <v>0</v>
      </c>
      <c r="S943" t="str">
        <f>IF(Table1[[#This Row],[Gross_millions_Clean]]&gt;200,"Blockbuster",IF(Table1[[#This Row],[Gross_millions_Clean]]&gt;100,"Hit","Average"))</f>
        <v>Average</v>
      </c>
    </row>
    <row r="944" spans="1:19" x14ac:dyDescent="0.3">
      <c r="A944" t="s">
        <v>3750</v>
      </c>
      <c r="B944" t="s">
        <v>3751</v>
      </c>
      <c r="C944">
        <v>2010</v>
      </c>
      <c r="D944" s="8">
        <f>FLOOR(Table1[[#This Row],[Year]],10)</f>
        <v>2010</v>
      </c>
      <c r="E944" t="s">
        <v>293</v>
      </c>
      <c r="F944">
        <v>98</v>
      </c>
      <c r="G944" t="str">
        <f>IF(Table1[[#This Row],[Runtime_minutes]]&lt;90,"Short",IF(Table1[[#This Row],[Runtime_minutes]]&lt;=120,"Medium","Long"))</f>
        <v>Medium</v>
      </c>
      <c r="H944" t="s">
        <v>129</v>
      </c>
      <c r="K944">
        <v>5.5</v>
      </c>
      <c r="M944" t="s">
        <v>130</v>
      </c>
      <c r="N944" t="s">
        <v>74</v>
      </c>
      <c r="O944" t="s">
        <v>3752</v>
      </c>
      <c r="P944">
        <v>654585</v>
      </c>
      <c r="Q944" s="3"/>
      <c r="R944" s="3">
        <f>IF(Table1[[#This Row],[Gross_millions]]=" ",0,Table1[[#This Row],[Gross_millions]])</f>
        <v>0</v>
      </c>
      <c r="S944" t="str">
        <f>IF(Table1[[#This Row],[Gross_millions_Clean]]&gt;200,"Blockbuster",IF(Table1[[#This Row],[Gross_millions_Clean]]&gt;100,"Hit","Average"))</f>
        <v>Average</v>
      </c>
    </row>
    <row r="945" spans="1:19" x14ac:dyDescent="0.3">
      <c r="A945" t="s">
        <v>3753</v>
      </c>
      <c r="B945" t="s">
        <v>3754</v>
      </c>
      <c r="C945">
        <v>2018</v>
      </c>
      <c r="D945" s="8">
        <f>FLOOR(Table1[[#This Row],[Year]],10)</f>
        <v>2010</v>
      </c>
      <c r="E945" t="s">
        <v>24</v>
      </c>
      <c r="F945">
        <v>138</v>
      </c>
      <c r="G945" t="str">
        <f>IF(Table1[[#This Row],[Runtime_minutes]]&lt;90,"Short",IF(Table1[[#This Row],[Runtime_minutes]]&lt;=120,"Medium","Long"))</f>
        <v>Long</v>
      </c>
      <c r="H945" t="s">
        <v>230</v>
      </c>
      <c r="I945" t="s">
        <v>3980</v>
      </c>
      <c r="J945" t="s">
        <v>3990</v>
      </c>
      <c r="K945">
        <v>5.5</v>
      </c>
      <c r="L945">
        <v>43</v>
      </c>
      <c r="M945" t="s">
        <v>124</v>
      </c>
      <c r="N945" t="s">
        <v>103</v>
      </c>
      <c r="O945" t="s">
        <v>3755</v>
      </c>
      <c r="P945">
        <v>4267</v>
      </c>
      <c r="Q945" s="3">
        <v>462.3</v>
      </c>
      <c r="R945" s="3">
        <f>IF(Table1[[#This Row],[Gross_millions]]=" ",0,Table1[[#This Row],[Gross_millions]])</f>
        <v>462.3</v>
      </c>
      <c r="S945" t="str">
        <f>IF(Table1[[#This Row],[Gross_millions_Clean]]&gt;200,"Blockbuster",IF(Table1[[#This Row],[Gross_millions_Clean]]&gt;100,"Hit","Average"))</f>
        <v>Blockbuster</v>
      </c>
    </row>
    <row r="946" spans="1:19" x14ac:dyDescent="0.3">
      <c r="A946" t="s">
        <v>3756</v>
      </c>
      <c r="B946" t="s">
        <v>3757</v>
      </c>
      <c r="C946">
        <v>2013</v>
      </c>
      <c r="D946" s="8">
        <f>FLOOR(Table1[[#This Row],[Year]],10)</f>
        <v>2010</v>
      </c>
      <c r="E946" t="s">
        <v>17</v>
      </c>
      <c r="F946">
        <v>143</v>
      </c>
      <c r="G946" t="str">
        <f>IF(Table1[[#This Row],[Runtime_minutes]]&lt;90,"Short",IF(Table1[[#This Row],[Runtime_minutes]]&lt;=120,"Medium","Long"))</f>
        <v>Long</v>
      </c>
      <c r="H946" t="s">
        <v>37</v>
      </c>
      <c r="K946">
        <v>5.4</v>
      </c>
      <c r="M946" t="s">
        <v>1709</v>
      </c>
      <c r="N946" t="s">
        <v>137</v>
      </c>
      <c r="O946" t="s">
        <v>3758</v>
      </c>
      <c r="P946">
        <v>25890</v>
      </c>
      <c r="Q946" s="3">
        <v>192.69</v>
      </c>
      <c r="R946" s="3">
        <f>IF(Table1[[#This Row],[Gross_millions]]=" ",0,Table1[[#This Row],[Gross_millions]])</f>
        <v>192.69</v>
      </c>
      <c r="S946" t="str">
        <f>IF(Table1[[#This Row],[Gross_millions_Clean]]&gt;200,"Blockbuster",IF(Table1[[#This Row],[Gross_millions_Clean]]&gt;100,"Hit","Average"))</f>
        <v>Hit</v>
      </c>
    </row>
    <row r="947" spans="1:19" x14ac:dyDescent="0.3">
      <c r="A947" t="s">
        <v>3759</v>
      </c>
      <c r="B947" t="s">
        <v>3760</v>
      </c>
      <c r="C947">
        <v>1988</v>
      </c>
      <c r="D947" s="8">
        <f>FLOOR(Table1[[#This Row],[Year]],10)</f>
        <v>1980</v>
      </c>
      <c r="E947" t="s">
        <v>54</v>
      </c>
      <c r="F947">
        <v>73</v>
      </c>
      <c r="G947" t="str">
        <f>IF(Table1[[#This Row],[Runtime_minutes]]&lt;90,"Short",IF(Table1[[#This Row],[Runtime_minutes]]&lt;=120,"Medium","Long"))</f>
        <v>Short</v>
      </c>
      <c r="H947" t="s">
        <v>43</v>
      </c>
      <c r="I947" t="s">
        <v>3992</v>
      </c>
      <c r="K947">
        <v>5.4</v>
      </c>
      <c r="L947">
        <v>49</v>
      </c>
      <c r="M947" t="s">
        <v>1363</v>
      </c>
      <c r="N947" t="s">
        <v>57</v>
      </c>
      <c r="O947" t="s">
        <v>3761</v>
      </c>
      <c r="P947">
        <v>279144</v>
      </c>
      <c r="Q947" s="3">
        <v>219.05</v>
      </c>
      <c r="R947" s="3">
        <f>IF(Table1[[#This Row],[Gross_millions]]=" ",0,Table1[[#This Row],[Gross_millions]])</f>
        <v>219.05</v>
      </c>
      <c r="S947" t="str">
        <f>IF(Table1[[#This Row],[Gross_millions_Clean]]&gt;200,"Blockbuster",IF(Table1[[#This Row],[Gross_millions_Clean]]&gt;100,"Hit","Average"))</f>
        <v>Blockbuster</v>
      </c>
    </row>
    <row r="948" spans="1:19" x14ac:dyDescent="0.3">
      <c r="A948" t="s">
        <v>3762</v>
      </c>
      <c r="B948" t="s">
        <v>3763</v>
      </c>
      <c r="C948">
        <v>2005</v>
      </c>
      <c r="D948" s="8">
        <f>FLOOR(Table1[[#This Row],[Year]],10)</f>
        <v>2000</v>
      </c>
      <c r="E948" t="s">
        <v>54</v>
      </c>
      <c r="F948">
        <v>149</v>
      </c>
      <c r="G948" t="str">
        <f>IF(Table1[[#This Row],[Runtime_minutes]]&lt;90,"Short",IF(Table1[[#This Row],[Runtime_minutes]]&lt;=120,"Medium","Long"))</f>
        <v>Long</v>
      </c>
      <c r="H948" t="s">
        <v>453</v>
      </c>
      <c r="I948" t="s">
        <v>3982</v>
      </c>
      <c r="J948" t="s">
        <v>3984</v>
      </c>
      <c r="K948">
        <v>5.4</v>
      </c>
      <c r="L948">
        <v>42</v>
      </c>
      <c r="M948" t="s">
        <v>1619</v>
      </c>
      <c r="N948" t="s">
        <v>63</v>
      </c>
      <c r="O948" t="s">
        <v>3765</v>
      </c>
      <c r="P948">
        <v>17279</v>
      </c>
      <c r="Q948" s="3">
        <v>166.41</v>
      </c>
      <c r="R948" s="3">
        <f>IF(Table1[[#This Row],[Gross_millions]]=" ",0,Table1[[#This Row],[Gross_millions]])</f>
        <v>166.41</v>
      </c>
      <c r="S948" t="str">
        <f>IF(Table1[[#This Row],[Gross_millions_Clean]]&gt;200,"Blockbuster",IF(Table1[[#This Row],[Gross_millions_Clean]]&gt;100,"Hit","Average"))</f>
        <v>Hit</v>
      </c>
    </row>
    <row r="949" spans="1:19" x14ac:dyDescent="0.3">
      <c r="A949" t="s">
        <v>3766</v>
      </c>
      <c r="B949" t="s">
        <v>3767</v>
      </c>
      <c r="C949">
        <v>2010</v>
      </c>
      <c r="D949" s="8">
        <f>FLOOR(Table1[[#This Row],[Year]],10)</f>
        <v>2010</v>
      </c>
      <c r="E949" t="s">
        <v>17</v>
      </c>
      <c r="F949">
        <v>126</v>
      </c>
      <c r="G949" t="str">
        <f>IF(Table1[[#This Row],[Runtime_minutes]]&lt;90,"Short",IF(Table1[[#This Row],[Runtime_minutes]]&lt;=120,"Medium","Long"))</f>
        <v>Long</v>
      </c>
      <c r="H949" t="s">
        <v>767</v>
      </c>
      <c r="K949">
        <v>5.4</v>
      </c>
      <c r="L949">
        <v>64</v>
      </c>
      <c r="M949" t="s">
        <v>320</v>
      </c>
      <c r="N949" t="s">
        <v>103</v>
      </c>
      <c r="O949" t="s">
        <v>3768</v>
      </c>
      <c r="P949">
        <v>69079</v>
      </c>
      <c r="Q949" s="3"/>
      <c r="R949" s="3">
        <f>IF(Table1[[#This Row],[Gross_millions]]=" ",0,Table1[[#This Row],[Gross_millions]])</f>
        <v>0</v>
      </c>
      <c r="S949" t="str">
        <f>IF(Table1[[#This Row],[Gross_millions_Clean]]&gt;200,"Blockbuster",IF(Table1[[#This Row],[Gross_millions_Clean]]&gt;100,"Hit","Average"))</f>
        <v>Average</v>
      </c>
    </row>
    <row r="950" spans="1:19" x14ac:dyDescent="0.3">
      <c r="A950" t="s">
        <v>3769</v>
      </c>
      <c r="B950" t="s">
        <v>3770</v>
      </c>
      <c r="C950">
        <v>2006</v>
      </c>
      <c r="D950" s="8">
        <f>FLOOR(Table1[[#This Row],[Year]],10)</f>
        <v>2000</v>
      </c>
      <c r="E950" t="s">
        <v>54</v>
      </c>
      <c r="F950">
        <v>133</v>
      </c>
      <c r="G950" t="str">
        <f>IF(Table1[[#This Row],[Runtime_minutes]]&lt;90,"Short",IF(Table1[[#This Row],[Runtime_minutes]]&lt;=120,"Medium","Long"))</f>
        <v>Long</v>
      </c>
      <c r="H950" t="s">
        <v>55</v>
      </c>
      <c r="I950" t="s">
        <v>3978</v>
      </c>
      <c r="K950">
        <v>5.4</v>
      </c>
      <c r="M950" t="s">
        <v>1207</v>
      </c>
      <c r="N950" t="s">
        <v>326</v>
      </c>
      <c r="O950" t="s">
        <v>3772</v>
      </c>
      <c r="P950">
        <v>290082</v>
      </c>
      <c r="Q950" s="3">
        <v>161.81</v>
      </c>
      <c r="R950" s="3">
        <f>IF(Table1[[#This Row],[Gross_millions]]=" ",0,Table1[[#This Row],[Gross_millions]])</f>
        <v>161.81</v>
      </c>
      <c r="S950" t="str">
        <f>IF(Table1[[#This Row],[Gross_millions_Clean]]&gt;200,"Blockbuster",IF(Table1[[#This Row],[Gross_millions_Clean]]&gt;100,"Hit","Average"))</f>
        <v>Hit</v>
      </c>
    </row>
    <row r="951" spans="1:19" x14ac:dyDescent="0.3">
      <c r="A951" t="s">
        <v>3773</v>
      </c>
      <c r="B951" t="s">
        <v>3774</v>
      </c>
      <c r="C951">
        <v>1996</v>
      </c>
      <c r="D951" s="8">
        <f>FLOOR(Table1[[#This Row],[Year]],10)</f>
        <v>1990</v>
      </c>
      <c r="E951" t="s">
        <v>17</v>
      </c>
      <c r="F951">
        <v>144</v>
      </c>
      <c r="G951" t="str">
        <f>IF(Table1[[#This Row],[Runtime_minutes]]&lt;90,"Short",IF(Table1[[#This Row],[Runtime_minutes]]&lt;=120,"Medium","Long"))</f>
        <v>Long</v>
      </c>
      <c r="H951" t="s">
        <v>767</v>
      </c>
      <c r="I951" t="s">
        <v>3978</v>
      </c>
      <c r="K951">
        <v>5.4</v>
      </c>
      <c r="M951" t="s">
        <v>962</v>
      </c>
      <c r="N951" t="s">
        <v>159</v>
      </c>
      <c r="O951" t="s">
        <v>3775</v>
      </c>
      <c r="P951">
        <v>24365</v>
      </c>
      <c r="Q951" s="3"/>
      <c r="R951" s="3">
        <f>IF(Table1[[#This Row],[Gross_millions]]=" ",0,Table1[[#This Row],[Gross_millions]])</f>
        <v>0</v>
      </c>
      <c r="S951" t="str">
        <f>IF(Table1[[#This Row],[Gross_millions_Clean]]&gt;200,"Blockbuster",IF(Table1[[#This Row],[Gross_millions_Clean]]&gt;100,"Hit","Average"))</f>
        <v>Average</v>
      </c>
    </row>
    <row r="952" spans="1:19" x14ac:dyDescent="0.3">
      <c r="A952" t="s">
        <v>3776</v>
      </c>
      <c r="B952" t="s">
        <v>3777</v>
      </c>
      <c r="C952">
        <v>1987</v>
      </c>
      <c r="D952" s="8">
        <f>FLOOR(Table1[[#This Row],[Year]],10)</f>
        <v>1980</v>
      </c>
      <c r="E952" t="s">
        <v>24</v>
      </c>
      <c r="F952">
        <v>97</v>
      </c>
      <c r="G952" t="str">
        <f>IF(Table1[[#This Row],[Runtime_minutes]]&lt;90,"Short",IF(Table1[[#This Row],[Runtime_minutes]]&lt;=120,"Medium","Long"))</f>
        <v>Medium</v>
      </c>
      <c r="H952" t="s">
        <v>453</v>
      </c>
      <c r="I952" t="s">
        <v>3992</v>
      </c>
      <c r="K952">
        <v>5.4</v>
      </c>
      <c r="M952" t="s">
        <v>435</v>
      </c>
      <c r="N952" t="s">
        <v>524</v>
      </c>
      <c r="O952" t="s">
        <v>3778</v>
      </c>
      <c r="P952">
        <v>244186</v>
      </c>
      <c r="Q952" s="3"/>
      <c r="R952" s="3">
        <f>IF(Table1[[#This Row],[Gross_millions]]=" ",0,Table1[[#This Row],[Gross_millions]])</f>
        <v>0</v>
      </c>
      <c r="S952" t="str">
        <f>IF(Table1[[#This Row],[Gross_millions_Clean]]&gt;200,"Blockbuster",IF(Table1[[#This Row],[Gross_millions_Clean]]&gt;100,"Hit","Average"))</f>
        <v>Average</v>
      </c>
    </row>
    <row r="953" spans="1:19" x14ac:dyDescent="0.3">
      <c r="A953" t="s">
        <v>3779</v>
      </c>
      <c r="B953" t="s">
        <v>3780</v>
      </c>
      <c r="C953">
        <v>2017</v>
      </c>
      <c r="D953" s="8">
        <f>FLOOR(Table1[[#This Row],[Year]],10)</f>
        <v>2010</v>
      </c>
      <c r="E953" t="s">
        <v>17</v>
      </c>
      <c r="F953">
        <v>124</v>
      </c>
      <c r="G953" t="str">
        <f>IF(Table1[[#This Row],[Runtime_minutes]]&lt;90,"Short",IF(Table1[[#This Row],[Runtime_minutes]]&lt;=120,"Medium","Long"))</f>
        <v>Long</v>
      </c>
      <c r="H953" t="s">
        <v>48</v>
      </c>
      <c r="I953" t="s">
        <v>3982</v>
      </c>
      <c r="K953">
        <v>5.4</v>
      </c>
      <c r="L953">
        <v>49</v>
      </c>
      <c r="M953" t="s">
        <v>566</v>
      </c>
      <c r="N953" t="s">
        <v>147</v>
      </c>
      <c r="O953" t="s">
        <v>3782</v>
      </c>
      <c r="P953">
        <v>98353</v>
      </c>
      <c r="Q953" s="3"/>
      <c r="R953" s="3">
        <f>IF(Table1[[#This Row],[Gross_millions]]=" ",0,Table1[[#This Row],[Gross_millions]])</f>
        <v>0</v>
      </c>
      <c r="S953" t="str">
        <f>IF(Table1[[#This Row],[Gross_millions_Clean]]&gt;200,"Blockbuster",IF(Table1[[#This Row],[Gross_millions_Clean]]&gt;100,"Hit","Average"))</f>
        <v>Average</v>
      </c>
    </row>
    <row r="954" spans="1:19" x14ac:dyDescent="0.3">
      <c r="A954" t="s">
        <v>3783</v>
      </c>
      <c r="B954" t="s">
        <v>3784</v>
      </c>
      <c r="C954">
        <v>2000</v>
      </c>
      <c r="D954" s="8">
        <f>FLOOR(Table1[[#This Row],[Year]],10)</f>
        <v>2000</v>
      </c>
      <c r="E954" t="s">
        <v>293</v>
      </c>
      <c r="F954">
        <v>98</v>
      </c>
      <c r="G954" t="str">
        <f>IF(Table1[[#This Row],[Runtime_minutes]]&lt;90,"Short",IF(Table1[[#This Row],[Runtime_minutes]]&lt;=120,"Medium","Long"))</f>
        <v>Medium</v>
      </c>
      <c r="H954" t="s">
        <v>72</v>
      </c>
      <c r="I954" t="s">
        <v>3978</v>
      </c>
      <c r="K954">
        <v>5.4</v>
      </c>
      <c r="M954" t="s">
        <v>3785</v>
      </c>
      <c r="N954" t="s">
        <v>236</v>
      </c>
      <c r="O954" t="s">
        <v>3786</v>
      </c>
      <c r="P954">
        <v>21208</v>
      </c>
      <c r="Q954" s="3">
        <v>88.02</v>
      </c>
      <c r="R954" s="3">
        <f>IF(Table1[[#This Row],[Gross_millions]]=" ",0,Table1[[#This Row],[Gross_millions]])</f>
        <v>88.02</v>
      </c>
      <c r="S954" t="str">
        <f>IF(Table1[[#This Row],[Gross_millions_Clean]]&gt;200,"Blockbuster",IF(Table1[[#This Row],[Gross_millions_Clean]]&gt;100,"Hit","Average"))</f>
        <v>Average</v>
      </c>
    </row>
    <row r="955" spans="1:19" x14ac:dyDescent="0.3">
      <c r="A955" t="s">
        <v>3787</v>
      </c>
      <c r="B955" t="s">
        <v>3788</v>
      </c>
      <c r="C955">
        <v>2006</v>
      </c>
      <c r="D955" s="8">
        <f>FLOOR(Table1[[#This Row],[Year]],10)</f>
        <v>2000</v>
      </c>
      <c r="E955" t="s">
        <v>293</v>
      </c>
      <c r="F955">
        <v>132</v>
      </c>
      <c r="G955" t="str">
        <f>IF(Table1[[#This Row],[Runtime_minutes]]&lt;90,"Short",IF(Table1[[#This Row],[Runtime_minutes]]&lt;=120,"Medium","Long"))</f>
        <v>Long</v>
      </c>
      <c r="H955" t="s">
        <v>55</v>
      </c>
      <c r="K955">
        <v>5.4</v>
      </c>
      <c r="M955" t="s">
        <v>3789</v>
      </c>
      <c r="N955" t="s">
        <v>63</v>
      </c>
      <c r="O955" t="s">
        <v>3790</v>
      </c>
      <c r="P955">
        <v>20116</v>
      </c>
      <c r="Q955" s="3">
        <v>439.94</v>
      </c>
      <c r="R955" s="3">
        <f>IF(Table1[[#This Row],[Gross_millions]]=" ",0,Table1[[#This Row],[Gross_millions]])</f>
        <v>439.94</v>
      </c>
      <c r="S955" t="str">
        <f>IF(Table1[[#This Row],[Gross_millions_Clean]]&gt;200,"Blockbuster",IF(Table1[[#This Row],[Gross_millions_Clean]]&gt;100,"Hit","Average"))</f>
        <v>Blockbuster</v>
      </c>
    </row>
    <row r="956" spans="1:19" x14ac:dyDescent="0.3">
      <c r="A956" t="s">
        <v>3791</v>
      </c>
      <c r="B956" t="s">
        <v>3792</v>
      </c>
      <c r="C956">
        <v>2001</v>
      </c>
      <c r="D956" s="8">
        <f>FLOOR(Table1[[#This Row],[Year]],10)</f>
        <v>2000</v>
      </c>
      <c r="E956" t="s">
        <v>17</v>
      </c>
      <c r="F956">
        <v>128</v>
      </c>
      <c r="G956" t="str">
        <f>IF(Table1[[#This Row],[Runtime_minutes]]&lt;90,"Short",IF(Table1[[#This Row],[Runtime_minutes]]&lt;=120,"Medium","Long"))</f>
        <v>Long</v>
      </c>
      <c r="H956" t="s">
        <v>48</v>
      </c>
      <c r="I956" t="s">
        <v>3988</v>
      </c>
      <c r="K956">
        <v>5.4</v>
      </c>
      <c r="M956" t="s">
        <v>3793</v>
      </c>
      <c r="N956" t="s">
        <v>315</v>
      </c>
      <c r="O956" t="s">
        <v>3794</v>
      </c>
      <c r="P956">
        <v>11046</v>
      </c>
      <c r="Q956" s="3"/>
      <c r="R956" s="3">
        <f>IF(Table1[[#This Row],[Gross_millions]]=" ",0,Table1[[#This Row],[Gross_millions]])</f>
        <v>0</v>
      </c>
      <c r="S956" t="str">
        <f>IF(Table1[[#This Row],[Gross_millions_Clean]]&gt;200,"Blockbuster",IF(Table1[[#This Row],[Gross_millions_Clean]]&gt;100,"Hit","Average"))</f>
        <v>Average</v>
      </c>
    </row>
    <row r="957" spans="1:19" x14ac:dyDescent="0.3">
      <c r="A957" t="s">
        <v>3795</v>
      </c>
      <c r="B957" t="s">
        <v>3796</v>
      </c>
      <c r="C957">
        <v>2008</v>
      </c>
      <c r="D957" s="8">
        <f>FLOOR(Table1[[#This Row],[Year]],10)</f>
        <v>2000</v>
      </c>
      <c r="E957" t="s">
        <v>24</v>
      </c>
      <c r="F957">
        <v>116</v>
      </c>
      <c r="G957" t="str">
        <f>IF(Table1[[#This Row],[Runtime_minutes]]&lt;90,"Short",IF(Table1[[#This Row],[Runtime_minutes]]&lt;=120,"Medium","Long"))</f>
        <v>Medium</v>
      </c>
      <c r="H957" t="s">
        <v>48</v>
      </c>
      <c r="I957" t="s">
        <v>3991</v>
      </c>
      <c r="K957">
        <v>5.4</v>
      </c>
      <c r="L957">
        <v>59</v>
      </c>
      <c r="M957" t="s">
        <v>552</v>
      </c>
      <c r="N957" t="s">
        <v>165</v>
      </c>
      <c r="O957" t="s">
        <v>3797</v>
      </c>
      <c r="P957">
        <v>28660</v>
      </c>
      <c r="Q957" s="3"/>
      <c r="R957" s="3">
        <f>IF(Table1[[#This Row],[Gross_millions]]=" ",0,Table1[[#This Row],[Gross_millions]])</f>
        <v>0</v>
      </c>
      <c r="S957" t="str">
        <f>IF(Table1[[#This Row],[Gross_millions_Clean]]&gt;200,"Blockbuster",IF(Table1[[#This Row],[Gross_millions_Clean]]&gt;100,"Hit","Average"))</f>
        <v>Average</v>
      </c>
    </row>
    <row r="958" spans="1:19" x14ac:dyDescent="0.3">
      <c r="A958" t="s">
        <v>3798</v>
      </c>
      <c r="B958" t="s">
        <v>3799</v>
      </c>
      <c r="C958">
        <v>2017</v>
      </c>
      <c r="D958" s="8">
        <f>FLOOR(Table1[[#This Row],[Year]],10)</f>
        <v>2010</v>
      </c>
      <c r="E958" t="s">
        <v>54</v>
      </c>
      <c r="F958">
        <v>138</v>
      </c>
      <c r="G958" t="str">
        <f>IF(Table1[[#This Row],[Runtime_minutes]]&lt;90,"Short",IF(Table1[[#This Row],[Runtime_minutes]]&lt;=120,"Medium","Long"))</f>
        <v>Long</v>
      </c>
      <c r="H958" t="s">
        <v>767</v>
      </c>
      <c r="I958" t="s">
        <v>3990</v>
      </c>
      <c r="K958">
        <v>5.4</v>
      </c>
      <c r="L958">
        <v>52</v>
      </c>
      <c r="M958" t="s">
        <v>320</v>
      </c>
      <c r="N958" t="s">
        <v>119</v>
      </c>
      <c r="O958" t="s">
        <v>3800</v>
      </c>
      <c r="P958">
        <v>13569</v>
      </c>
      <c r="Q958" s="3">
        <v>19.3</v>
      </c>
      <c r="R958" s="3">
        <f>IF(Table1[[#This Row],[Gross_millions]]=" ",0,Table1[[#This Row],[Gross_millions]])</f>
        <v>19.3</v>
      </c>
      <c r="S958" t="str">
        <f>IF(Table1[[#This Row],[Gross_millions_Clean]]&gt;200,"Blockbuster",IF(Table1[[#This Row],[Gross_millions_Clean]]&gt;100,"Hit","Average"))</f>
        <v>Average</v>
      </c>
    </row>
    <row r="959" spans="1:19" x14ac:dyDescent="0.3">
      <c r="A959" t="s">
        <v>3801</v>
      </c>
      <c r="B959" t="s">
        <v>3802</v>
      </c>
      <c r="C959">
        <v>2016</v>
      </c>
      <c r="D959" s="8">
        <f>FLOOR(Table1[[#This Row],[Year]],10)</f>
        <v>2010</v>
      </c>
      <c r="E959" t="s">
        <v>17</v>
      </c>
      <c r="F959">
        <v>98</v>
      </c>
      <c r="G959" t="str">
        <f>IF(Table1[[#This Row],[Runtime_minutes]]&lt;90,"Short",IF(Table1[[#This Row],[Runtime_minutes]]&lt;=120,"Medium","Long"))</f>
        <v>Medium</v>
      </c>
      <c r="H959" t="s">
        <v>72</v>
      </c>
      <c r="I959" t="s">
        <v>3988</v>
      </c>
      <c r="K959">
        <v>5.4</v>
      </c>
      <c r="M959" t="s">
        <v>1556</v>
      </c>
      <c r="N959" t="s">
        <v>57</v>
      </c>
      <c r="O959" t="s">
        <v>3803</v>
      </c>
      <c r="P959">
        <v>204195</v>
      </c>
      <c r="Q959" s="3"/>
      <c r="R959" s="3">
        <f>IF(Table1[[#This Row],[Gross_millions]]=" ",0,Table1[[#This Row],[Gross_millions]])</f>
        <v>0</v>
      </c>
      <c r="S959" t="str">
        <f>IF(Table1[[#This Row],[Gross_millions_Clean]]&gt;200,"Blockbuster",IF(Table1[[#This Row],[Gross_millions_Clean]]&gt;100,"Hit","Average"))</f>
        <v>Average</v>
      </c>
    </row>
    <row r="960" spans="1:19" x14ac:dyDescent="0.3">
      <c r="A960" t="s">
        <v>3804</v>
      </c>
      <c r="B960" t="s">
        <v>3805</v>
      </c>
      <c r="C960">
        <v>2016</v>
      </c>
      <c r="D960" s="8">
        <f>FLOOR(Table1[[#This Row],[Year]],10)</f>
        <v>2010</v>
      </c>
      <c r="E960" t="s">
        <v>54</v>
      </c>
      <c r="F960">
        <v>161</v>
      </c>
      <c r="G960" t="str">
        <f>IF(Table1[[#This Row],[Runtime_minutes]]&lt;90,"Short",IF(Table1[[#This Row],[Runtime_minutes]]&lt;=120,"Medium","Long"))</f>
        <v>Long</v>
      </c>
      <c r="H960" t="s">
        <v>230</v>
      </c>
      <c r="I960" t="s">
        <v>3978</v>
      </c>
      <c r="J960" t="s">
        <v>3976</v>
      </c>
      <c r="K960">
        <v>5.4</v>
      </c>
      <c r="M960" t="s">
        <v>1288</v>
      </c>
      <c r="N960" t="s">
        <v>113</v>
      </c>
      <c r="O960" t="s">
        <v>3806</v>
      </c>
      <c r="P960">
        <v>78992</v>
      </c>
      <c r="Q960" s="3">
        <v>287.2</v>
      </c>
      <c r="R960" s="3">
        <f>IF(Table1[[#This Row],[Gross_millions]]=" ",0,Table1[[#This Row],[Gross_millions]])</f>
        <v>287.2</v>
      </c>
      <c r="S960" t="str">
        <f>IF(Table1[[#This Row],[Gross_millions_Clean]]&gt;200,"Blockbuster",IF(Table1[[#This Row],[Gross_millions_Clean]]&gt;100,"Hit","Average"))</f>
        <v>Blockbuster</v>
      </c>
    </row>
    <row r="961" spans="1:19" x14ac:dyDescent="0.3">
      <c r="A961" t="s">
        <v>3807</v>
      </c>
      <c r="B961" t="s">
        <v>3808</v>
      </c>
      <c r="C961">
        <v>2022</v>
      </c>
      <c r="D961" s="8">
        <f>FLOOR(Table1[[#This Row],[Year]],10)</f>
        <v>2020</v>
      </c>
      <c r="E961" t="s">
        <v>169</v>
      </c>
      <c r="F961">
        <v>114</v>
      </c>
      <c r="G961" t="str">
        <f>IF(Table1[[#This Row],[Runtime_minutes]]&lt;90,"Short",IF(Table1[[#This Row],[Runtime_minutes]]&lt;=120,"Medium","Long"))</f>
        <v>Medium</v>
      </c>
      <c r="H961" t="s">
        <v>230</v>
      </c>
      <c r="I961" t="s">
        <v>3989</v>
      </c>
      <c r="J961" t="s">
        <v>3991</v>
      </c>
      <c r="K961">
        <v>5.4</v>
      </c>
      <c r="L961">
        <v>64</v>
      </c>
      <c r="M961" t="s">
        <v>3810</v>
      </c>
      <c r="N961" t="s">
        <v>518</v>
      </c>
      <c r="O961" t="s">
        <v>3811</v>
      </c>
      <c r="P961">
        <v>41414</v>
      </c>
      <c r="Q961" s="3"/>
      <c r="R961" s="3">
        <f>IF(Table1[[#This Row],[Gross_millions]]=" ",0,Table1[[#This Row],[Gross_millions]])</f>
        <v>0</v>
      </c>
      <c r="S961" t="str">
        <f>IF(Table1[[#This Row],[Gross_millions_Clean]]&gt;200,"Blockbuster",IF(Table1[[#This Row],[Gross_millions_Clean]]&gt;100,"Hit","Average"))</f>
        <v>Average</v>
      </c>
    </row>
    <row r="962" spans="1:19" x14ac:dyDescent="0.3">
      <c r="A962" t="s">
        <v>3812</v>
      </c>
      <c r="B962" t="s">
        <v>3813</v>
      </c>
      <c r="C962">
        <v>2023</v>
      </c>
      <c r="D962" s="8">
        <f>FLOOR(Table1[[#This Row],[Year]],10)</f>
        <v>2020</v>
      </c>
      <c r="E962" t="s">
        <v>24</v>
      </c>
      <c r="F962">
        <v>92</v>
      </c>
      <c r="G962" t="str">
        <f>IF(Table1[[#This Row],[Runtime_minutes]]&lt;90,"Short",IF(Table1[[#This Row],[Runtime_minutes]]&lt;=120,"Medium","Long"))</f>
        <v>Medium</v>
      </c>
      <c r="H962" t="s">
        <v>606</v>
      </c>
      <c r="I962" t="s">
        <v>3991</v>
      </c>
      <c r="K962">
        <v>5.4</v>
      </c>
      <c r="M962" t="s">
        <v>3814</v>
      </c>
      <c r="N962" t="s">
        <v>165</v>
      </c>
      <c r="O962" t="s">
        <v>3815</v>
      </c>
      <c r="P962">
        <v>317753</v>
      </c>
      <c r="Q962" s="3"/>
      <c r="R962" s="3">
        <f>IF(Table1[[#This Row],[Gross_millions]]=" ",0,Table1[[#This Row],[Gross_millions]])</f>
        <v>0</v>
      </c>
      <c r="S962" t="str">
        <f>IF(Table1[[#This Row],[Gross_millions_Clean]]&gt;200,"Blockbuster",IF(Table1[[#This Row],[Gross_millions_Clean]]&gt;100,"Hit","Average"))</f>
        <v>Average</v>
      </c>
    </row>
    <row r="963" spans="1:19" x14ac:dyDescent="0.3">
      <c r="A963" t="s">
        <v>3816</v>
      </c>
      <c r="B963" t="s">
        <v>3817</v>
      </c>
      <c r="C963">
        <v>2012</v>
      </c>
      <c r="D963" s="8">
        <f>FLOOR(Table1[[#This Row],[Year]],10)</f>
        <v>2010</v>
      </c>
      <c r="E963" t="s">
        <v>24</v>
      </c>
      <c r="F963">
        <v>118</v>
      </c>
      <c r="G963" t="str">
        <f>IF(Table1[[#This Row],[Runtime_minutes]]&lt;90,"Short",IF(Table1[[#This Row],[Runtime_minutes]]&lt;=120,"Medium","Long"))</f>
        <v>Medium</v>
      </c>
      <c r="H963" t="s">
        <v>72</v>
      </c>
      <c r="K963">
        <v>5.4</v>
      </c>
      <c r="L963">
        <v>69</v>
      </c>
      <c r="M963" t="s">
        <v>3818</v>
      </c>
      <c r="N963" t="s">
        <v>718</v>
      </c>
      <c r="O963" t="s">
        <v>3819</v>
      </c>
      <c r="P963">
        <v>35047</v>
      </c>
      <c r="Q963" s="3">
        <v>482.45</v>
      </c>
      <c r="R963" s="3">
        <f>IF(Table1[[#This Row],[Gross_millions]]=" ",0,Table1[[#This Row],[Gross_millions]])</f>
        <v>482.45</v>
      </c>
      <c r="S963" t="str">
        <f>IF(Table1[[#This Row],[Gross_millions_Clean]]&gt;200,"Blockbuster",IF(Table1[[#This Row],[Gross_millions_Clean]]&gt;100,"Hit","Average"))</f>
        <v>Blockbuster</v>
      </c>
    </row>
    <row r="964" spans="1:19" x14ac:dyDescent="0.3">
      <c r="A964" t="s">
        <v>3820</v>
      </c>
      <c r="B964" t="s">
        <v>3821</v>
      </c>
      <c r="C964">
        <v>2003</v>
      </c>
      <c r="D964" s="8">
        <f>FLOOR(Table1[[#This Row],[Year]],10)</f>
        <v>2000</v>
      </c>
      <c r="E964" t="s">
        <v>54</v>
      </c>
      <c r="F964">
        <v>119</v>
      </c>
      <c r="G964" t="str">
        <f>IF(Table1[[#This Row],[Runtime_minutes]]&lt;90,"Short",IF(Table1[[#This Row],[Runtime_minutes]]&lt;=120,"Medium","Long"))</f>
        <v>Medium</v>
      </c>
      <c r="H964" t="s">
        <v>606</v>
      </c>
      <c r="I964" t="s">
        <v>3981</v>
      </c>
      <c r="J964" t="s">
        <v>3990</v>
      </c>
      <c r="K964">
        <v>5.3</v>
      </c>
      <c r="L964">
        <v>60</v>
      </c>
      <c r="M964" t="s">
        <v>3823</v>
      </c>
      <c r="N964" t="s">
        <v>92</v>
      </c>
      <c r="O964" t="s">
        <v>3824</v>
      </c>
      <c r="P964">
        <v>343557</v>
      </c>
      <c r="Q964" s="3">
        <v>181.18</v>
      </c>
      <c r="R964" s="3">
        <f>IF(Table1[[#This Row],[Gross_millions]]=" ",0,Table1[[#This Row],[Gross_millions]])</f>
        <v>181.18</v>
      </c>
      <c r="S964" t="str">
        <f>IF(Table1[[#This Row],[Gross_millions_Clean]]&gt;200,"Blockbuster",IF(Table1[[#This Row],[Gross_millions_Clean]]&gt;100,"Hit","Average"))</f>
        <v>Hit</v>
      </c>
    </row>
    <row r="965" spans="1:19" x14ac:dyDescent="0.3">
      <c r="A965" t="s">
        <v>3825</v>
      </c>
      <c r="B965" t="s">
        <v>3826</v>
      </c>
      <c r="C965">
        <v>2002</v>
      </c>
      <c r="D965" s="8">
        <f>FLOOR(Table1[[#This Row],[Year]],10)</f>
        <v>2000</v>
      </c>
      <c r="E965" t="s">
        <v>169</v>
      </c>
      <c r="F965">
        <v>112</v>
      </c>
      <c r="G965" t="str">
        <f>IF(Table1[[#This Row],[Runtime_minutes]]&lt;90,"Short",IF(Table1[[#This Row],[Runtime_minutes]]&lt;=120,"Medium","Long"))</f>
        <v>Medium</v>
      </c>
      <c r="H965" t="s">
        <v>78</v>
      </c>
      <c r="K965">
        <v>5.3</v>
      </c>
      <c r="L965">
        <v>40</v>
      </c>
      <c r="M965" t="s">
        <v>3827</v>
      </c>
      <c r="N965" t="s">
        <v>103</v>
      </c>
      <c r="O965" t="s">
        <v>3828</v>
      </c>
      <c r="P965">
        <v>14962</v>
      </c>
      <c r="Q965" s="3">
        <v>172.72</v>
      </c>
      <c r="R965" s="3">
        <f>IF(Table1[[#This Row],[Gross_millions]]=" ",0,Table1[[#This Row],[Gross_millions]])</f>
        <v>172.72</v>
      </c>
      <c r="S965" t="str">
        <f>IF(Table1[[#This Row],[Gross_millions_Clean]]&gt;200,"Blockbuster",IF(Table1[[#This Row],[Gross_millions_Clean]]&gt;100,"Hit","Average"))</f>
        <v>Hit</v>
      </c>
    </row>
    <row r="966" spans="1:19" x14ac:dyDescent="0.3">
      <c r="A966" t="s">
        <v>3829</v>
      </c>
      <c r="B966" t="s">
        <v>3830</v>
      </c>
      <c r="C966">
        <v>1997</v>
      </c>
      <c r="D966" s="8">
        <f>FLOOR(Table1[[#This Row],[Year]],10)</f>
        <v>1990</v>
      </c>
      <c r="E966" t="s">
        <v>24</v>
      </c>
      <c r="F966">
        <v>135</v>
      </c>
      <c r="G966" t="str">
        <f>IF(Table1[[#This Row],[Runtime_minutes]]&lt;90,"Short",IF(Table1[[#This Row],[Runtime_minutes]]&lt;=120,"Medium","Long"))</f>
        <v>Long</v>
      </c>
      <c r="H966" t="s">
        <v>157</v>
      </c>
      <c r="I966" t="s">
        <v>3989</v>
      </c>
      <c r="K966">
        <v>5.3</v>
      </c>
      <c r="M966" t="s">
        <v>629</v>
      </c>
      <c r="N966" t="s">
        <v>524</v>
      </c>
      <c r="O966" t="s">
        <v>3831</v>
      </c>
      <c r="P966">
        <v>135271</v>
      </c>
      <c r="Q966" s="3">
        <v>296.61</v>
      </c>
      <c r="R966" s="3">
        <f>IF(Table1[[#This Row],[Gross_millions]]=" ",0,Table1[[#This Row],[Gross_millions]])</f>
        <v>296.61</v>
      </c>
      <c r="S966" t="str">
        <f>IF(Table1[[#This Row],[Gross_millions_Clean]]&gt;200,"Blockbuster",IF(Table1[[#This Row],[Gross_millions_Clean]]&gt;100,"Hit","Average"))</f>
        <v>Blockbuster</v>
      </c>
    </row>
    <row r="967" spans="1:19" x14ac:dyDescent="0.3">
      <c r="A967" t="s">
        <v>3832</v>
      </c>
      <c r="B967" t="s">
        <v>3833</v>
      </c>
      <c r="C967">
        <v>2022</v>
      </c>
      <c r="D967" s="8">
        <f>FLOOR(Table1[[#This Row],[Year]],10)</f>
        <v>2020</v>
      </c>
      <c r="E967" t="s">
        <v>24</v>
      </c>
      <c r="F967">
        <v>135</v>
      </c>
      <c r="G967" t="str">
        <f>IF(Table1[[#This Row],[Runtime_minutes]]&lt;90,"Short",IF(Table1[[#This Row],[Runtime_minutes]]&lt;=120,"Medium","Long"))</f>
        <v>Long</v>
      </c>
      <c r="H967" t="s">
        <v>767</v>
      </c>
      <c r="I967" t="s">
        <v>3984</v>
      </c>
      <c r="J967" t="s">
        <v>3978</v>
      </c>
      <c r="K967">
        <v>5.3</v>
      </c>
      <c r="M967" t="s">
        <v>3835</v>
      </c>
      <c r="N967" t="s">
        <v>236</v>
      </c>
      <c r="O967" t="s">
        <v>3836</v>
      </c>
      <c r="P967">
        <v>12326</v>
      </c>
      <c r="Q967" s="3">
        <v>372.15</v>
      </c>
      <c r="R967" s="3">
        <f>IF(Table1[[#This Row],[Gross_millions]]=" ",0,Table1[[#This Row],[Gross_millions]])</f>
        <v>372.15</v>
      </c>
      <c r="S967" t="str">
        <f>IF(Table1[[#This Row],[Gross_millions_Clean]]&gt;200,"Blockbuster",IF(Table1[[#This Row],[Gross_millions_Clean]]&gt;100,"Hit","Average"))</f>
        <v>Blockbuster</v>
      </c>
    </row>
    <row r="968" spans="1:19" x14ac:dyDescent="0.3">
      <c r="A968" t="s">
        <v>3837</v>
      </c>
      <c r="B968" t="s">
        <v>3838</v>
      </c>
      <c r="C968">
        <v>1991</v>
      </c>
      <c r="D968" s="8">
        <f>FLOOR(Table1[[#This Row],[Year]],10)</f>
        <v>1990</v>
      </c>
      <c r="E968" t="s">
        <v>54</v>
      </c>
      <c r="F968">
        <v>83</v>
      </c>
      <c r="G968" t="str">
        <f>IF(Table1[[#This Row],[Runtime_minutes]]&lt;90,"Short",IF(Table1[[#This Row],[Runtime_minutes]]&lt;=120,"Medium","Long"))</f>
        <v>Short</v>
      </c>
      <c r="H968" t="s">
        <v>157</v>
      </c>
      <c r="I968" t="s">
        <v>3986</v>
      </c>
      <c r="K968">
        <v>5.3</v>
      </c>
      <c r="M968" t="s">
        <v>3840</v>
      </c>
      <c r="N968" t="s">
        <v>125</v>
      </c>
      <c r="O968" t="s">
        <v>3841</v>
      </c>
      <c r="P968">
        <v>64352</v>
      </c>
      <c r="Q968" s="3">
        <v>16.14</v>
      </c>
      <c r="R968" s="3">
        <f>IF(Table1[[#This Row],[Gross_millions]]=" ",0,Table1[[#This Row],[Gross_millions]])</f>
        <v>16.14</v>
      </c>
      <c r="S968" t="str">
        <f>IF(Table1[[#This Row],[Gross_millions_Clean]]&gt;200,"Blockbuster",IF(Table1[[#This Row],[Gross_millions_Clean]]&gt;100,"Hit","Average"))</f>
        <v>Average</v>
      </c>
    </row>
    <row r="969" spans="1:19" x14ac:dyDescent="0.3">
      <c r="A969" t="s">
        <v>3842</v>
      </c>
      <c r="B969" t="s">
        <v>3843</v>
      </c>
      <c r="C969">
        <v>2012</v>
      </c>
      <c r="D969" s="8">
        <f>FLOOR(Table1[[#This Row],[Year]],10)</f>
        <v>2010</v>
      </c>
      <c r="E969" t="s">
        <v>17</v>
      </c>
      <c r="F969">
        <v>115</v>
      </c>
      <c r="G969" t="str">
        <f>IF(Table1[[#This Row],[Runtime_minutes]]&lt;90,"Short",IF(Table1[[#This Row],[Runtime_minutes]]&lt;=120,"Medium","Long"))</f>
        <v>Medium</v>
      </c>
      <c r="H969" t="s">
        <v>55</v>
      </c>
      <c r="K969">
        <v>5.3</v>
      </c>
      <c r="M969" t="s">
        <v>3844</v>
      </c>
      <c r="N969" t="s">
        <v>80</v>
      </c>
      <c r="O969" t="s">
        <v>3845</v>
      </c>
      <c r="P969">
        <v>33232</v>
      </c>
      <c r="Q969" s="3">
        <v>309.91000000000003</v>
      </c>
      <c r="R969" s="3">
        <f>IF(Table1[[#This Row],[Gross_millions]]=" ",0,Table1[[#This Row],[Gross_millions]])</f>
        <v>309.91000000000003</v>
      </c>
      <c r="S969" t="str">
        <f>IF(Table1[[#This Row],[Gross_millions_Clean]]&gt;200,"Blockbuster",IF(Table1[[#This Row],[Gross_millions_Clean]]&gt;100,"Hit","Average"))</f>
        <v>Blockbuster</v>
      </c>
    </row>
    <row r="970" spans="1:19" x14ac:dyDescent="0.3">
      <c r="A970" t="s">
        <v>3846</v>
      </c>
      <c r="B970" t="s">
        <v>3847</v>
      </c>
      <c r="C970">
        <v>2024</v>
      </c>
      <c r="D970" s="8">
        <f>FLOOR(Table1[[#This Row],[Year]],10)</f>
        <v>2020</v>
      </c>
      <c r="E970" t="s">
        <v>54</v>
      </c>
      <c r="F970">
        <v>117</v>
      </c>
      <c r="G970" t="str">
        <f>IF(Table1[[#This Row],[Runtime_minutes]]&lt;90,"Short",IF(Table1[[#This Row],[Runtime_minutes]]&lt;=120,"Medium","Long"))</f>
        <v>Medium</v>
      </c>
      <c r="H970" t="s">
        <v>230</v>
      </c>
      <c r="I970" t="s">
        <v>3976</v>
      </c>
      <c r="K970">
        <v>5.3</v>
      </c>
      <c r="M970" t="s">
        <v>231</v>
      </c>
      <c r="N970" t="s">
        <v>153</v>
      </c>
      <c r="O970" t="s">
        <v>3848</v>
      </c>
      <c r="P970">
        <v>45991</v>
      </c>
      <c r="Q970" s="3">
        <v>160.53</v>
      </c>
      <c r="R970" s="3">
        <f>IF(Table1[[#This Row],[Gross_millions]]=" ",0,Table1[[#This Row],[Gross_millions]])</f>
        <v>160.53</v>
      </c>
      <c r="S970" t="str">
        <f>IF(Table1[[#This Row],[Gross_millions_Clean]]&gt;200,"Blockbuster",IF(Table1[[#This Row],[Gross_millions_Clean]]&gt;100,"Hit","Average"))</f>
        <v>Hit</v>
      </c>
    </row>
    <row r="971" spans="1:19" x14ac:dyDescent="0.3">
      <c r="A971" t="s">
        <v>3849</v>
      </c>
      <c r="B971" t="s">
        <v>3850</v>
      </c>
      <c r="C971">
        <v>2021</v>
      </c>
      <c r="D971" s="8">
        <f>FLOOR(Table1[[#This Row],[Year]],10)</f>
        <v>2020</v>
      </c>
      <c r="E971" t="s">
        <v>17</v>
      </c>
      <c r="F971">
        <v>128</v>
      </c>
      <c r="G971" t="str">
        <f>IF(Table1[[#This Row],[Runtime_minutes]]&lt;90,"Short",IF(Table1[[#This Row],[Runtime_minutes]]&lt;=120,"Medium","Long"))</f>
        <v>Long</v>
      </c>
      <c r="H971" t="s">
        <v>606</v>
      </c>
      <c r="K971">
        <v>5.3</v>
      </c>
      <c r="L971">
        <v>59</v>
      </c>
      <c r="M971" t="s">
        <v>250</v>
      </c>
      <c r="N971" t="s">
        <v>20</v>
      </c>
      <c r="O971" t="s">
        <v>3851</v>
      </c>
      <c r="P971">
        <v>280332</v>
      </c>
      <c r="Q971" s="3">
        <v>242.51</v>
      </c>
      <c r="R971" s="3">
        <f>IF(Table1[[#This Row],[Gross_millions]]=" ",0,Table1[[#This Row],[Gross_millions]])</f>
        <v>242.51</v>
      </c>
      <c r="S971" t="str">
        <f>IF(Table1[[#This Row],[Gross_millions_Clean]]&gt;200,"Blockbuster",IF(Table1[[#This Row],[Gross_millions_Clean]]&gt;100,"Hit","Average"))</f>
        <v>Blockbuster</v>
      </c>
    </row>
    <row r="972" spans="1:19" x14ac:dyDescent="0.3">
      <c r="A972" t="s">
        <v>3852</v>
      </c>
      <c r="B972" t="s">
        <v>3853</v>
      </c>
      <c r="C972">
        <v>2002</v>
      </c>
      <c r="D972" s="8">
        <f>FLOOR(Table1[[#This Row],[Year]],10)</f>
        <v>2000</v>
      </c>
      <c r="E972" t="s">
        <v>54</v>
      </c>
      <c r="F972">
        <v>126</v>
      </c>
      <c r="G972" t="str">
        <f>IF(Table1[[#This Row],[Runtime_minutes]]&lt;90,"Short",IF(Table1[[#This Row],[Runtime_minutes]]&lt;=120,"Medium","Long"))</f>
        <v>Long</v>
      </c>
      <c r="H972" t="s">
        <v>1044</v>
      </c>
      <c r="I972" t="s">
        <v>3981</v>
      </c>
      <c r="J972" t="s">
        <v>3976</v>
      </c>
      <c r="K972">
        <v>5.3</v>
      </c>
      <c r="L972">
        <v>58</v>
      </c>
      <c r="M972" t="s">
        <v>3855</v>
      </c>
      <c r="N972" t="s">
        <v>33</v>
      </c>
      <c r="O972" t="s">
        <v>3856</v>
      </c>
      <c r="P972">
        <v>7924</v>
      </c>
      <c r="Q972" s="3"/>
      <c r="R972" s="3">
        <f>IF(Table1[[#This Row],[Gross_millions]]=" ",0,Table1[[#This Row],[Gross_millions]])</f>
        <v>0</v>
      </c>
      <c r="S972" t="str">
        <f>IF(Table1[[#This Row],[Gross_millions_Clean]]&gt;200,"Blockbuster",IF(Table1[[#This Row],[Gross_millions_Clean]]&gt;100,"Hit","Average"))</f>
        <v>Average</v>
      </c>
    </row>
    <row r="973" spans="1:19" x14ac:dyDescent="0.3">
      <c r="A973" t="s">
        <v>3857</v>
      </c>
      <c r="B973" t="s">
        <v>3858</v>
      </c>
      <c r="C973">
        <v>2018</v>
      </c>
      <c r="D973" s="8">
        <f>FLOOR(Table1[[#This Row],[Year]],10)</f>
        <v>2010</v>
      </c>
      <c r="E973" t="s">
        <v>285</v>
      </c>
      <c r="F973">
        <v>106</v>
      </c>
      <c r="G973" t="str">
        <f>IF(Table1[[#This Row],[Runtime_minutes]]&lt;90,"Short",IF(Table1[[#This Row],[Runtime_minutes]]&lt;=120,"Medium","Long"))</f>
        <v>Medium</v>
      </c>
      <c r="H973" t="s">
        <v>55</v>
      </c>
      <c r="I973" t="s">
        <v>3991</v>
      </c>
      <c r="K973">
        <v>5.2</v>
      </c>
      <c r="L973">
        <v>46</v>
      </c>
      <c r="M973" t="s">
        <v>3859</v>
      </c>
      <c r="N973" t="s">
        <v>103</v>
      </c>
      <c r="O973" t="s">
        <v>3860</v>
      </c>
      <c r="P973">
        <v>128901</v>
      </c>
      <c r="Q973" s="3"/>
      <c r="R973" s="3">
        <f>IF(Table1[[#This Row],[Gross_millions]]=" ",0,Table1[[#This Row],[Gross_millions]])</f>
        <v>0</v>
      </c>
      <c r="S973" t="str">
        <f>IF(Table1[[#This Row],[Gross_millions_Clean]]&gt;200,"Blockbuster",IF(Table1[[#This Row],[Gross_millions_Clean]]&gt;100,"Hit","Average"))</f>
        <v>Average</v>
      </c>
    </row>
    <row r="974" spans="1:19" x14ac:dyDescent="0.3">
      <c r="A974" t="s">
        <v>3861</v>
      </c>
      <c r="B974" t="s">
        <v>3862</v>
      </c>
      <c r="C974">
        <v>2005</v>
      </c>
      <c r="D974" s="8">
        <f>FLOOR(Table1[[#This Row],[Year]],10)</f>
        <v>2000</v>
      </c>
      <c r="E974" t="s">
        <v>24</v>
      </c>
      <c r="F974">
        <v>142</v>
      </c>
      <c r="G974" t="str">
        <f>IF(Table1[[#This Row],[Runtime_minutes]]&lt;90,"Short",IF(Table1[[#This Row],[Runtime_minutes]]&lt;=120,"Medium","Long"))</f>
        <v>Long</v>
      </c>
      <c r="H974" t="s">
        <v>606</v>
      </c>
      <c r="I974" t="s">
        <v>3993</v>
      </c>
      <c r="J974" t="s">
        <v>3978</v>
      </c>
      <c r="K974">
        <v>5.2</v>
      </c>
      <c r="M974" t="s">
        <v>3864</v>
      </c>
      <c r="N974" t="s">
        <v>63</v>
      </c>
      <c r="O974" t="s">
        <v>3865</v>
      </c>
      <c r="P974">
        <v>34764</v>
      </c>
      <c r="Q974" s="3">
        <v>465.86</v>
      </c>
      <c r="R974" s="3">
        <f>IF(Table1[[#This Row],[Gross_millions]]=" ",0,Table1[[#This Row],[Gross_millions]])</f>
        <v>465.86</v>
      </c>
      <c r="S974" t="str">
        <f>IF(Table1[[#This Row],[Gross_millions_Clean]]&gt;200,"Blockbuster",IF(Table1[[#This Row],[Gross_millions_Clean]]&gt;100,"Hit","Average"))</f>
        <v>Blockbuster</v>
      </c>
    </row>
    <row r="975" spans="1:19" x14ac:dyDescent="0.3">
      <c r="A975" t="s">
        <v>3866</v>
      </c>
      <c r="B975" t="s">
        <v>3867</v>
      </c>
      <c r="C975">
        <v>2000</v>
      </c>
      <c r="D975" s="8">
        <f>FLOOR(Table1[[#This Row],[Year]],10)</f>
        <v>2000</v>
      </c>
      <c r="E975" t="s">
        <v>24</v>
      </c>
      <c r="F975">
        <v>143</v>
      </c>
      <c r="G975" t="str">
        <f>IF(Table1[[#This Row],[Runtime_minutes]]&lt;90,"Short",IF(Table1[[#This Row],[Runtime_minutes]]&lt;=120,"Medium","Long"))</f>
        <v>Long</v>
      </c>
      <c r="H975" t="s">
        <v>72</v>
      </c>
      <c r="K975">
        <v>5.2</v>
      </c>
      <c r="L975">
        <v>59</v>
      </c>
      <c r="M975" t="s">
        <v>1067</v>
      </c>
      <c r="N975" t="s">
        <v>20</v>
      </c>
      <c r="O975" t="s">
        <v>3868</v>
      </c>
      <c r="P975">
        <v>96710</v>
      </c>
      <c r="Q975" s="3">
        <v>102.04</v>
      </c>
      <c r="R975" s="3">
        <f>IF(Table1[[#This Row],[Gross_millions]]=" ",0,Table1[[#This Row],[Gross_millions]])</f>
        <v>102.04</v>
      </c>
      <c r="S975" t="str">
        <f>IF(Table1[[#This Row],[Gross_millions_Clean]]&gt;200,"Blockbuster",IF(Table1[[#This Row],[Gross_millions_Clean]]&gt;100,"Hit","Average"))</f>
        <v>Hit</v>
      </c>
    </row>
    <row r="976" spans="1:19" x14ac:dyDescent="0.3">
      <c r="A976" t="s">
        <v>3869</v>
      </c>
      <c r="B976" t="s">
        <v>3870</v>
      </c>
      <c r="C976">
        <v>2022</v>
      </c>
      <c r="D976" s="8">
        <f>FLOOR(Table1[[#This Row],[Year]],10)</f>
        <v>2020</v>
      </c>
      <c r="E976" t="s">
        <v>54</v>
      </c>
      <c r="F976">
        <v>122</v>
      </c>
      <c r="G976" t="str">
        <f>IF(Table1[[#This Row],[Runtime_minutes]]&lt;90,"Short",IF(Table1[[#This Row],[Runtime_minutes]]&lt;=120,"Medium","Long"))</f>
        <v>Long</v>
      </c>
      <c r="H976" t="s">
        <v>230</v>
      </c>
      <c r="I976" t="s">
        <v>3982</v>
      </c>
      <c r="K976">
        <v>5.2</v>
      </c>
      <c r="L976">
        <v>44</v>
      </c>
      <c r="M976" t="s">
        <v>3358</v>
      </c>
      <c r="N976" t="s">
        <v>593</v>
      </c>
      <c r="O976" t="s">
        <v>3871</v>
      </c>
      <c r="P976">
        <v>97221</v>
      </c>
      <c r="Q976" s="3">
        <v>465.03</v>
      </c>
      <c r="R976" s="3">
        <f>IF(Table1[[#This Row],[Gross_millions]]=" ",0,Table1[[#This Row],[Gross_millions]])</f>
        <v>465.03</v>
      </c>
      <c r="S976" t="str">
        <f>IF(Table1[[#This Row],[Gross_millions_Clean]]&gt;200,"Blockbuster",IF(Table1[[#This Row],[Gross_millions_Clean]]&gt;100,"Hit","Average"))</f>
        <v>Blockbuster</v>
      </c>
    </row>
    <row r="977" spans="1:19" x14ac:dyDescent="0.3">
      <c r="A977" t="s">
        <v>3872</v>
      </c>
      <c r="B977" t="s">
        <v>3873</v>
      </c>
      <c r="C977">
        <v>2007</v>
      </c>
      <c r="D977" s="8">
        <f>FLOOR(Table1[[#This Row],[Year]],10)</f>
        <v>2000</v>
      </c>
      <c r="E977" t="s">
        <v>17</v>
      </c>
      <c r="F977">
        <v>131</v>
      </c>
      <c r="G977" t="str">
        <f>IF(Table1[[#This Row],[Runtime_minutes]]&lt;90,"Short",IF(Table1[[#This Row],[Runtime_minutes]]&lt;=120,"Medium","Long"))</f>
        <v>Long</v>
      </c>
      <c r="H977" t="s">
        <v>767</v>
      </c>
      <c r="I977" t="s">
        <v>3978</v>
      </c>
      <c r="K977">
        <v>5.2</v>
      </c>
      <c r="M977" t="s">
        <v>85</v>
      </c>
      <c r="N977" t="s">
        <v>63</v>
      </c>
      <c r="O977" t="s">
        <v>3874</v>
      </c>
      <c r="P977">
        <v>34910</v>
      </c>
      <c r="Q977" s="3">
        <v>430.32</v>
      </c>
      <c r="R977" s="3">
        <f>IF(Table1[[#This Row],[Gross_millions]]=" ",0,Table1[[#This Row],[Gross_millions]])</f>
        <v>430.32</v>
      </c>
      <c r="S977" t="str">
        <f>IF(Table1[[#This Row],[Gross_millions_Clean]]&gt;200,"Blockbuster",IF(Table1[[#This Row],[Gross_millions_Clean]]&gt;100,"Hit","Average"))</f>
        <v>Blockbuster</v>
      </c>
    </row>
    <row r="978" spans="1:19" x14ac:dyDescent="0.3">
      <c r="A978" t="s">
        <v>3875</v>
      </c>
      <c r="B978" t="s">
        <v>3876</v>
      </c>
      <c r="C978">
        <v>2005</v>
      </c>
      <c r="D978" s="8">
        <f>FLOOR(Table1[[#This Row],[Year]],10)</f>
        <v>2000</v>
      </c>
      <c r="E978" t="s">
        <v>17</v>
      </c>
      <c r="F978">
        <v>108</v>
      </c>
      <c r="G978" t="str">
        <f>IF(Table1[[#This Row],[Runtime_minutes]]&lt;90,"Short",IF(Table1[[#This Row],[Runtime_minutes]]&lt;=120,"Medium","Long"))</f>
        <v>Medium</v>
      </c>
      <c r="H978" t="s">
        <v>43</v>
      </c>
      <c r="I978" t="s">
        <v>3987</v>
      </c>
      <c r="K978">
        <v>5.2</v>
      </c>
      <c r="L978">
        <v>59</v>
      </c>
      <c r="M978" t="s">
        <v>3877</v>
      </c>
      <c r="N978" t="s">
        <v>137</v>
      </c>
      <c r="O978" t="s">
        <v>3878</v>
      </c>
      <c r="P978">
        <v>89777</v>
      </c>
      <c r="Q978" s="3">
        <v>498</v>
      </c>
      <c r="R978" s="3">
        <f>IF(Table1[[#This Row],[Gross_millions]]=" ",0,Table1[[#This Row],[Gross_millions]])</f>
        <v>498</v>
      </c>
      <c r="S978" t="str">
        <f>IF(Table1[[#This Row],[Gross_millions_Clean]]&gt;200,"Blockbuster",IF(Table1[[#This Row],[Gross_millions_Clean]]&gt;100,"Hit","Average"))</f>
        <v>Blockbuster</v>
      </c>
    </row>
    <row r="979" spans="1:19" x14ac:dyDescent="0.3">
      <c r="A979" t="s">
        <v>3879</v>
      </c>
      <c r="B979" t="s">
        <v>3880</v>
      </c>
      <c r="C979">
        <v>2001</v>
      </c>
      <c r="D979" s="8">
        <f>FLOOR(Table1[[#This Row],[Year]],10)</f>
        <v>2000</v>
      </c>
      <c r="E979" t="s">
        <v>17</v>
      </c>
      <c r="F979">
        <v>96</v>
      </c>
      <c r="G979" t="str">
        <f>IF(Table1[[#This Row],[Runtime_minutes]]&lt;90,"Short",IF(Table1[[#This Row],[Runtime_minutes]]&lt;=120,"Medium","Long"))</f>
        <v>Medium</v>
      </c>
      <c r="H979" t="s">
        <v>767</v>
      </c>
      <c r="I979" t="s">
        <v>3982</v>
      </c>
      <c r="K979">
        <v>5.2</v>
      </c>
      <c r="L979">
        <v>43</v>
      </c>
      <c r="M979" t="s">
        <v>85</v>
      </c>
      <c r="N979" t="s">
        <v>251</v>
      </c>
      <c r="O979" t="s">
        <v>3881</v>
      </c>
      <c r="P979">
        <v>134887</v>
      </c>
      <c r="Q979" s="3"/>
      <c r="R979" s="3">
        <f>IF(Table1[[#This Row],[Gross_millions]]=" ",0,Table1[[#This Row],[Gross_millions]])</f>
        <v>0</v>
      </c>
      <c r="S979" t="str">
        <f>IF(Table1[[#This Row],[Gross_millions_Clean]]&gt;200,"Blockbuster",IF(Table1[[#This Row],[Gross_millions_Clean]]&gt;100,"Hit","Average"))</f>
        <v>Average</v>
      </c>
    </row>
    <row r="980" spans="1:19" x14ac:dyDescent="0.3">
      <c r="A980" t="s">
        <v>3882</v>
      </c>
      <c r="B980" t="s">
        <v>3883</v>
      </c>
      <c r="C980">
        <v>2010</v>
      </c>
      <c r="D980" s="8">
        <f>FLOOR(Table1[[#This Row],[Year]],10)</f>
        <v>2010</v>
      </c>
      <c r="E980" t="s">
        <v>54</v>
      </c>
      <c r="F980">
        <v>89</v>
      </c>
      <c r="G980" t="str">
        <f>IF(Table1[[#This Row],[Runtime_minutes]]&lt;90,"Short",IF(Table1[[#This Row],[Runtime_minutes]]&lt;=120,"Medium","Long"))</f>
        <v>Short</v>
      </c>
      <c r="H980" t="s">
        <v>375</v>
      </c>
      <c r="K980">
        <v>5.2</v>
      </c>
      <c r="L980">
        <v>53</v>
      </c>
      <c r="M980" t="s">
        <v>3884</v>
      </c>
      <c r="N980" t="s">
        <v>221</v>
      </c>
      <c r="O980" t="s">
        <v>3885</v>
      </c>
      <c r="P980">
        <v>5562</v>
      </c>
      <c r="Q980" s="3">
        <v>230.26</v>
      </c>
      <c r="R980" s="3">
        <f>IF(Table1[[#This Row],[Gross_millions]]=" ",0,Table1[[#This Row],[Gross_millions]])</f>
        <v>230.26</v>
      </c>
      <c r="S980" t="str">
        <f>IF(Table1[[#This Row],[Gross_millions_Clean]]&gt;200,"Blockbuster",IF(Table1[[#This Row],[Gross_millions_Clean]]&gt;100,"Hit","Average"))</f>
        <v>Blockbuster</v>
      </c>
    </row>
    <row r="981" spans="1:19" x14ac:dyDescent="0.3">
      <c r="A981" t="s">
        <v>3886</v>
      </c>
      <c r="B981" t="s">
        <v>3887</v>
      </c>
      <c r="C981">
        <v>2008</v>
      </c>
      <c r="D981" s="8">
        <f>FLOOR(Table1[[#This Row],[Year]],10)</f>
        <v>2000</v>
      </c>
      <c r="E981" t="s">
        <v>24</v>
      </c>
      <c r="F981">
        <v>105</v>
      </c>
      <c r="G981" t="str">
        <f>IF(Table1[[#This Row],[Runtime_minutes]]&lt;90,"Short",IF(Table1[[#This Row],[Runtime_minutes]]&lt;=120,"Medium","Long"))</f>
        <v>Medium</v>
      </c>
      <c r="H981" t="s">
        <v>767</v>
      </c>
      <c r="I981" t="s">
        <v>3978</v>
      </c>
      <c r="K981">
        <v>5.0999999999999996</v>
      </c>
      <c r="L981">
        <v>44</v>
      </c>
      <c r="M981" t="s">
        <v>3888</v>
      </c>
      <c r="N981" t="s">
        <v>368</v>
      </c>
      <c r="O981" t="s">
        <v>3889</v>
      </c>
      <c r="P981">
        <v>52890</v>
      </c>
      <c r="Q981" s="3"/>
      <c r="R981" s="3">
        <f>IF(Table1[[#This Row],[Gross_millions]]=" ",0,Table1[[#This Row],[Gross_millions]])</f>
        <v>0</v>
      </c>
      <c r="S981" t="str">
        <f>IF(Table1[[#This Row],[Gross_millions_Clean]]&gt;200,"Blockbuster",IF(Table1[[#This Row],[Gross_millions_Clean]]&gt;100,"Hit","Average"))</f>
        <v>Average</v>
      </c>
    </row>
    <row r="982" spans="1:19" x14ac:dyDescent="0.3">
      <c r="A982" t="s">
        <v>3890</v>
      </c>
      <c r="B982" t="s">
        <v>3891</v>
      </c>
      <c r="C982">
        <v>1989</v>
      </c>
      <c r="D982" s="8">
        <f>FLOOR(Table1[[#This Row],[Year]],10)</f>
        <v>1980</v>
      </c>
      <c r="E982" t="s">
        <v>17</v>
      </c>
      <c r="F982">
        <v>99</v>
      </c>
      <c r="G982" t="str">
        <f>IF(Table1[[#This Row],[Runtime_minutes]]&lt;90,"Short",IF(Table1[[#This Row],[Runtime_minutes]]&lt;=120,"Medium","Long"))</f>
        <v>Medium</v>
      </c>
      <c r="H982" t="s">
        <v>868</v>
      </c>
      <c r="I982" t="s">
        <v>3993</v>
      </c>
      <c r="K982">
        <v>5.0999999999999996</v>
      </c>
      <c r="M982" t="s">
        <v>102</v>
      </c>
      <c r="N982" t="s">
        <v>196</v>
      </c>
      <c r="O982" t="s">
        <v>3892</v>
      </c>
      <c r="P982">
        <v>21202</v>
      </c>
      <c r="Q982" s="3">
        <v>203.59</v>
      </c>
      <c r="R982" s="3">
        <f>IF(Table1[[#This Row],[Gross_millions]]=" ",0,Table1[[#This Row],[Gross_millions]])</f>
        <v>203.59</v>
      </c>
      <c r="S982" t="str">
        <f>IF(Table1[[#This Row],[Gross_millions_Clean]]&gt;200,"Blockbuster",IF(Table1[[#This Row],[Gross_millions_Clean]]&gt;100,"Hit","Average"))</f>
        <v>Blockbuster</v>
      </c>
    </row>
    <row r="983" spans="1:19" x14ac:dyDescent="0.3">
      <c r="A983" t="s">
        <v>3893</v>
      </c>
      <c r="B983" t="s">
        <v>3894</v>
      </c>
      <c r="C983">
        <v>2018</v>
      </c>
      <c r="D983" s="8">
        <f>FLOOR(Table1[[#This Row],[Year]],10)</f>
        <v>2010</v>
      </c>
      <c r="E983" t="s">
        <v>24</v>
      </c>
      <c r="F983">
        <v>88</v>
      </c>
      <c r="G983" t="str">
        <f>IF(Table1[[#This Row],[Runtime_minutes]]&lt;90,"Short",IF(Table1[[#This Row],[Runtime_minutes]]&lt;=120,"Medium","Long"))</f>
        <v>Short</v>
      </c>
      <c r="H983" t="s">
        <v>868</v>
      </c>
      <c r="K983">
        <v>5.0999999999999996</v>
      </c>
      <c r="L983">
        <v>61</v>
      </c>
      <c r="M983" t="s">
        <v>102</v>
      </c>
      <c r="N983" t="s">
        <v>524</v>
      </c>
      <c r="O983" t="s">
        <v>3895</v>
      </c>
      <c r="P983">
        <v>990978</v>
      </c>
      <c r="Q983" s="3"/>
      <c r="R983" s="3">
        <f>IF(Table1[[#This Row],[Gross_millions]]=" ",0,Table1[[#This Row],[Gross_millions]])</f>
        <v>0</v>
      </c>
      <c r="S983" t="str">
        <f>IF(Table1[[#This Row],[Gross_millions_Clean]]&gt;200,"Blockbuster",IF(Table1[[#This Row],[Gross_millions_Clean]]&gt;100,"Hit","Average"))</f>
        <v>Average</v>
      </c>
    </row>
    <row r="984" spans="1:19" x14ac:dyDescent="0.3">
      <c r="A984" t="s">
        <v>3896</v>
      </c>
      <c r="B984" t="s">
        <v>3897</v>
      </c>
      <c r="C984">
        <v>2018</v>
      </c>
      <c r="D984" s="8">
        <f>FLOOR(Table1[[#This Row],[Year]],10)</f>
        <v>2010</v>
      </c>
      <c r="E984" t="s">
        <v>54</v>
      </c>
      <c r="F984">
        <v>136</v>
      </c>
      <c r="G984" t="str">
        <f>IF(Table1[[#This Row],[Runtime_minutes]]&lt;90,"Short",IF(Table1[[#This Row],[Runtime_minutes]]&lt;=120,"Medium","Long"))</f>
        <v>Long</v>
      </c>
      <c r="H984" t="s">
        <v>43</v>
      </c>
      <c r="K984">
        <v>5</v>
      </c>
      <c r="M984" t="s">
        <v>3898</v>
      </c>
      <c r="N984" t="s">
        <v>20</v>
      </c>
      <c r="O984" t="s">
        <v>3899</v>
      </c>
      <c r="P984">
        <v>104933</v>
      </c>
      <c r="Q984" s="3">
        <v>174.47</v>
      </c>
      <c r="R984" s="3">
        <f>IF(Table1[[#This Row],[Gross_millions]]=" ",0,Table1[[#This Row],[Gross_millions]])</f>
        <v>174.47</v>
      </c>
      <c r="S984" t="str">
        <f>IF(Table1[[#This Row],[Gross_millions_Clean]]&gt;200,"Blockbuster",IF(Table1[[#This Row],[Gross_millions_Clean]]&gt;100,"Hit","Average"))</f>
        <v>Hit</v>
      </c>
    </row>
    <row r="985" spans="1:19" x14ac:dyDescent="0.3">
      <c r="A985" t="s">
        <v>3900</v>
      </c>
      <c r="B985" t="s">
        <v>3901</v>
      </c>
      <c r="C985">
        <v>2005</v>
      </c>
      <c r="D985" s="8">
        <f>FLOOR(Table1[[#This Row],[Year]],10)</f>
        <v>2000</v>
      </c>
      <c r="E985" t="s">
        <v>24</v>
      </c>
      <c r="F985">
        <v>124</v>
      </c>
      <c r="G985" t="str">
        <f>IF(Table1[[#This Row],[Runtime_minutes]]&lt;90,"Short",IF(Table1[[#This Row],[Runtime_minutes]]&lt;=120,"Medium","Long"))</f>
        <v>Long</v>
      </c>
      <c r="H985" t="s">
        <v>157</v>
      </c>
      <c r="I985" t="s">
        <v>3992</v>
      </c>
      <c r="K985">
        <v>5</v>
      </c>
      <c r="L985">
        <v>58</v>
      </c>
      <c r="M985" t="s">
        <v>158</v>
      </c>
      <c r="N985" t="s">
        <v>196</v>
      </c>
      <c r="O985" t="s">
        <v>3902</v>
      </c>
      <c r="P985">
        <v>41325</v>
      </c>
      <c r="Q985" s="3">
        <v>201.78</v>
      </c>
      <c r="R985" s="3">
        <f>IF(Table1[[#This Row],[Gross_millions]]=" ",0,Table1[[#This Row],[Gross_millions]])</f>
        <v>201.78</v>
      </c>
      <c r="S985" t="str">
        <f>IF(Table1[[#This Row],[Gross_millions_Clean]]&gt;200,"Blockbuster",IF(Table1[[#This Row],[Gross_millions_Clean]]&gt;100,"Hit","Average"))</f>
        <v>Blockbuster</v>
      </c>
    </row>
    <row r="986" spans="1:19" x14ac:dyDescent="0.3">
      <c r="A986" t="s">
        <v>3903</v>
      </c>
      <c r="B986" t="s">
        <v>3904</v>
      </c>
      <c r="C986">
        <v>2024</v>
      </c>
      <c r="D986" s="8">
        <f>FLOOR(Table1[[#This Row],[Year]],10)</f>
        <v>2020</v>
      </c>
      <c r="E986" t="s">
        <v>293</v>
      </c>
      <c r="F986">
        <v>114</v>
      </c>
      <c r="G986" t="str">
        <f>IF(Table1[[#This Row],[Runtime_minutes]]&lt;90,"Short",IF(Table1[[#This Row],[Runtime_minutes]]&lt;=120,"Medium","Long"))</f>
        <v>Medium</v>
      </c>
      <c r="H986" t="s">
        <v>78</v>
      </c>
      <c r="I986" t="s">
        <v>3980</v>
      </c>
      <c r="K986">
        <v>5</v>
      </c>
      <c r="L986">
        <v>56</v>
      </c>
      <c r="M986" t="s">
        <v>305</v>
      </c>
      <c r="N986" t="s">
        <v>251</v>
      </c>
      <c r="O986" t="s">
        <v>3905</v>
      </c>
      <c r="P986">
        <v>155302</v>
      </c>
      <c r="Q986" s="3">
        <v>230.34</v>
      </c>
      <c r="R986" s="3">
        <f>IF(Table1[[#This Row],[Gross_millions]]=" ",0,Table1[[#This Row],[Gross_millions]])</f>
        <v>230.34</v>
      </c>
      <c r="S986" t="str">
        <f>IF(Table1[[#This Row],[Gross_millions_Clean]]&gt;200,"Blockbuster",IF(Table1[[#This Row],[Gross_millions_Clean]]&gt;100,"Hit","Average"))</f>
        <v>Blockbuster</v>
      </c>
    </row>
    <row r="987" spans="1:19" x14ac:dyDescent="0.3">
      <c r="A987" t="s">
        <v>3906</v>
      </c>
      <c r="B987" t="s">
        <v>3907</v>
      </c>
      <c r="C987">
        <v>1983</v>
      </c>
      <c r="D987" s="8">
        <f>FLOOR(Table1[[#This Row],[Year]],10)</f>
        <v>1980</v>
      </c>
      <c r="E987" t="s">
        <v>17</v>
      </c>
      <c r="F987">
        <v>108</v>
      </c>
      <c r="G987" t="str">
        <f>IF(Table1[[#This Row],[Runtime_minutes]]&lt;90,"Short",IF(Table1[[#This Row],[Runtime_minutes]]&lt;=120,"Medium","Long"))</f>
        <v>Medium</v>
      </c>
      <c r="H987" t="s">
        <v>230</v>
      </c>
      <c r="I987" t="s">
        <v>3983</v>
      </c>
      <c r="K987">
        <v>4.9000000000000004</v>
      </c>
      <c r="M987" t="s">
        <v>798</v>
      </c>
      <c r="N987" t="s">
        <v>191</v>
      </c>
      <c r="O987" t="s">
        <v>3908</v>
      </c>
      <c r="P987">
        <v>16326</v>
      </c>
      <c r="Q987" s="3">
        <v>184.66</v>
      </c>
      <c r="R987" s="3">
        <f>IF(Table1[[#This Row],[Gross_millions]]=" ",0,Table1[[#This Row],[Gross_millions]])</f>
        <v>184.66</v>
      </c>
      <c r="S987" t="str">
        <f>IF(Table1[[#This Row],[Gross_millions_Clean]]&gt;200,"Blockbuster",IF(Table1[[#This Row],[Gross_millions_Clean]]&gt;100,"Hit","Average"))</f>
        <v>Hit</v>
      </c>
    </row>
    <row r="988" spans="1:19" x14ac:dyDescent="0.3">
      <c r="A988" t="s">
        <v>3909</v>
      </c>
      <c r="B988" t="s">
        <v>3910</v>
      </c>
      <c r="C988">
        <v>2002</v>
      </c>
      <c r="D988" s="8">
        <f>FLOOR(Table1[[#This Row],[Year]],10)</f>
        <v>2000</v>
      </c>
      <c r="E988" t="s">
        <v>54</v>
      </c>
      <c r="F988">
        <v>102</v>
      </c>
      <c r="G988" t="str">
        <f>IF(Table1[[#This Row],[Runtime_minutes]]&lt;90,"Short",IF(Table1[[#This Row],[Runtime_minutes]]&lt;=120,"Medium","Long"))</f>
        <v>Medium</v>
      </c>
      <c r="H988" t="s">
        <v>55</v>
      </c>
      <c r="K988">
        <v>4.9000000000000004</v>
      </c>
      <c r="L988">
        <v>51</v>
      </c>
      <c r="M988" t="s">
        <v>852</v>
      </c>
      <c r="N988" t="s">
        <v>547</v>
      </c>
      <c r="O988" t="s">
        <v>3911</v>
      </c>
      <c r="P988">
        <v>20358</v>
      </c>
      <c r="Q988" s="3"/>
      <c r="R988" s="3">
        <f>IF(Table1[[#This Row],[Gross_millions]]=" ",0,Table1[[#This Row],[Gross_millions]])</f>
        <v>0</v>
      </c>
      <c r="S988" t="str">
        <f>IF(Table1[[#This Row],[Gross_millions_Clean]]&gt;200,"Blockbuster",IF(Table1[[#This Row],[Gross_millions_Clean]]&gt;100,"Hit","Average"))</f>
        <v>Average</v>
      </c>
    </row>
    <row r="989" spans="1:19" x14ac:dyDescent="0.3">
      <c r="A989" t="s">
        <v>3912</v>
      </c>
      <c r="B989" t="s">
        <v>3913</v>
      </c>
      <c r="C989">
        <v>2010</v>
      </c>
      <c r="D989" s="8">
        <f>FLOOR(Table1[[#This Row],[Year]],10)</f>
        <v>2010</v>
      </c>
      <c r="E989" t="s">
        <v>24</v>
      </c>
      <c r="F989">
        <v>75</v>
      </c>
      <c r="G989" t="str">
        <f>IF(Table1[[#This Row],[Runtime_minutes]]&lt;90,"Short",IF(Table1[[#This Row],[Runtime_minutes]]&lt;=120,"Medium","Long"))</f>
        <v>Short</v>
      </c>
      <c r="H989" t="s">
        <v>230</v>
      </c>
      <c r="K989">
        <v>4.9000000000000004</v>
      </c>
      <c r="L989">
        <v>44</v>
      </c>
      <c r="M989" t="s">
        <v>3914</v>
      </c>
      <c r="N989" t="s">
        <v>92</v>
      </c>
      <c r="O989" t="s">
        <v>3915</v>
      </c>
      <c r="P989">
        <v>24093</v>
      </c>
      <c r="Q989" s="3"/>
      <c r="R989" s="3">
        <f>IF(Table1[[#This Row],[Gross_millions]]=" ",0,Table1[[#This Row],[Gross_millions]])</f>
        <v>0</v>
      </c>
      <c r="S989" t="str">
        <f>IF(Table1[[#This Row],[Gross_millions_Clean]]&gt;200,"Blockbuster",IF(Table1[[#This Row],[Gross_millions_Clean]]&gt;100,"Hit","Average"))</f>
        <v>Average</v>
      </c>
    </row>
    <row r="990" spans="1:19" x14ac:dyDescent="0.3">
      <c r="A990" t="s">
        <v>3916</v>
      </c>
      <c r="B990" t="s">
        <v>3917</v>
      </c>
      <c r="C990">
        <v>2008</v>
      </c>
      <c r="D990" s="8">
        <f>FLOOR(Table1[[#This Row],[Year]],10)</f>
        <v>2000</v>
      </c>
      <c r="E990" t="s">
        <v>169</v>
      </c>
      <c r="F990">
        <v>129</v>
      </c>
      <c r="G990" t="str">
        <f>IF(Table1[[#This Row],[Runtime_minutes]]&lt;90,"Short",IF(Table1[[#This Row],[Runtime_minutes]]&lt;=120,"Medium","Long"))</f>
        <v>Long</v>
      </c>
      <c r="H990" t="s">
        <v>210</v>
      </c>
      <c r="I990" t="s">
        <v>3978</v>
      </c>
      <c r="K990">
        <v>4.9000000000000004</v>
      </c>
      <c r="L990">
        <v>62</v>
      </c>
      <c r="M990" t="s">
        <v>19</v>
      </c>
      <c r="N990" t="s">
        <v>125</v>
      </c>
      <c r="O990" t="s">
        <v>3918</v>
      </c>
      <c r="P990">
        <v>24911</v>
      </c>
      <c r="Q990" s="3">
        <v>486.51</v>
      </c>
      <c r="R990" s="3">
        <f>IF(Table1[[#This Row],[Gross_millions]]=" ",0,Table1[[#This Row],[Gross_millions]])</f>
        <v>486.51</v>
      </c>
      <c r="S990" t="str">
        <f>IF(Table1[[#This Row],[Gross_millions_Clean]]&gt;200,"Blockbuster",IF(Table1[[#This Row],[Gross_millions_Clean]]&gt;100,"Hit","Average"))</f>
        <v>Blockbuster</v>
      </c>
    </row>
    <row r="991" spans="1:19" x14ac:dyDescent="0.3">
      <c r="A991" t="s">
        <v>3919</v>
      </c>
      <c r="B991" t="s">
        <v>3920</v>
      </c>
      <c r="C991">
        <v>2023</v>
      </c>
      <c r="D991" s="8">
        <f>FLOOR(Table1[[#This Row],[Year]],10)</f>
        <v>2020</v>
      </c>
      <c r="E991" t="s">
        <v>17</v>
      </c>
      <c r="F991">
        <v>198</v>
      </c>
      <c r="G991" t="str">
        <f>IF(Table1[[#This Row],[Runtime_minutes]]&lt;90,"Short",IF(Table1[[#This Row],[Runtime_minutes]]&lt;=120,"Medium","Long"))</f>
        <v>Long</v>
      </c>
      <c r="H991" t="s">
        <v>606</v>
      </c>
      <c r="K991">
        <v>4.9000000000000004</v>
      </c>
      <c r="L991">
        <v>46</v>
      </c>
      <c r="M991" t="s">
        <v>314</v>
      </c>
      <c r="N991" t="s">
        <v>315</v>
      </c>
      <c r="O991" t="s">
        <v>3921</v>
      </c>
      <c r="P991">
        <v>795753</v>
      </c>
      <c r="Q991" s="3">
        <v>349.91</v>
      </c>
      <c r="R991" s="3">
        <f>IF(Table1[[#This Row],[Gross_millions]]=" ",0,Table1[[#This Row],[Gross_millions]])</f>
        <v>349.91</v>
      </c>
      <c r="S991" t="str">
        <f>IF(Table1[[#This Row],[Gross_millions_Clean]]&gt;200,"Blockbuster",IF(Table1[[#This Row],[Gross_millions_Clean]]&gt;100,"Hit","Average"))</f>
        <v>Blockbuster</v>
      </c>
    </row>
    <row r="992" spans="1:19" x14ac:dyDescent="0.3">
      <c r="A992" t="s">
        <v>3922</v>
      </c>
      <c r="B992" t="s">
        <v>3923</v>
      </c>
      <c r="C992">
        <v>1988</v>
      </c>
      <c r="D992" s="8">
        <f>FLOOR(Table1[[#This Row],[Year]],10)</f>
        <v>1980</v>
      </c>
      <c r="E992" t="s">
        <v>17</v>
      </c>
      <c r="F992">
        <v>119</v>
      </c>
      <c r="G992" t="str">
        <f>IF(Table1[[#This Row],[Runtime_minutes]]&lt;90,"Short",IF(Table1[[#This Row],[Runtime_minutes]]&lt;=120,"Medium","Long"))</f>
        <v>Medium</v>
      </c>
      <c r="H992" t="s">
        <v>210</v>
      </c>
      <c r="I992" t="s">
        <v>3989</v>
      </c>
      <c r="J992" t="s">
        <v>3978</v>
      </c>
      <c r="K992">
        <v>4.9000000000000004</v>
      </c>
      <c r="M992" t="s">
        <v>152</v>
      </c>
      <c r="N992" t="s">
        <v>153</v>
      </c>
      <c r="O992" t="s">
        <v>3925</v>
      </c>
      <c r="P992">
        <v>31429</v>
      </c>
      <c r="Q992" s="3">
        <v>142.57</v>
      </c>
      <c r="R992" s="3">
        <f>IF(Table1[[#This Row],[Gross_millions]]=" ",0,Table1[[#This Row],[Gross_millions]])</f>
        <v>142.57</v>
      </c>
      <c r="S992" t="str">
        <f>IF(Table1[[#This Row],[Gross_millions_Clean]]&gt;200,"Blockbuster",IF(Table1[[#This Row],[Gross_millions_Clean]]&gt;100,"Hit","Average"))</f>
        <v>Hit</v>
      </c>
    </row>
    <row r="993" spans="1:19" x14ac:dyDescent="0.3">
      <c r="A993" t="s">
        <v>3926</v>
      </c>
      <c r="B993" t="s">
        <v>3927</v>
      </c>
      <c r="C993">
        <v>2020</v>
      </c>
      <c r="D993" s="8">
        <f>FLOOR(Table1[[#This Row],[Year]],10)</f>
        <v>2020</v>
      </c>
      <c r="E993" t="s">
        <v>54</v>
      </c>
      <c r="F993">
        <v>109</v>
      </c>
      <c r="G993" t="str">
        <f>IF(Table1[[#This Row],[Runtime_minutes]]&lt;90,"Short",IF(Table1[[#This Row],[Runtime_minutes]]&lt;=120,"Medium","Long"))</f>
        <v>Medium</v>
      </c>
      <c r="H993" t="s">
        <v>606</v>
      </c>
      <c r="I993" t="s">
        <v>3987</v>
      </c>
      <c r="K993">
        <v>4.9000000000000004</v>
      </c>
      <c r="L993">
        <v>39</v>
      </c>
      <c r="M993" t="s">
        <v>3099</v>
      </c>
      <c r="N993" t="s">
        <v>524</v>
      </c>
      <c r="O993" t="s">
        <v>3928</v>
      </c>
      <c r="P993">
        <v>310434</v>
      </c>
      <c r="Q993" s="3">
        <v>30.48</v>
      </c>
      <c r="R993" s="3">
        <f>IF(Table1[[#This Row],[Gross_millions]]=" ",0,Table1[[#This Row],[Gross_millions]])</f>
        <v>30.48</v>
      </c>
      <c r="S993" t="str">
        <f>IF(Table1[[#This Row],[Gross_millions_Clean]]&gt;200,"Blockbuster",IF(Table1[[#This Row],[Gross_millions_Clean]]&gt;100,"Hit","Average"))</f>
        <v>Average</v>
      </c>
    </row>
    <row r="994" spans="1:19" x14ac:dyDescent="0.3">
      <c r="A994" t="s">
        <v>3929</v>
      </c>
      <c r="B994" t="s">
        <v>3930</v>
      </c>
      <c r="C994">
        <v>2008</v>
      </c>
      <c r="D994" s="8">
        <f>FLOOR(Table1[[#This Row],[Year]],10)</f>
        <v>2000</v>
      </c>
      <c r="E994" t="s">
        <v>17</v>
      </c>
      <c r="F994">
        <v>91</v>
      </c>
      <c r="G994" t="str">
        <f>IF(Table1[[#This Row],[Runtime_minutes]]&lt;90,"Short",IF(Table1[[#This Row],[Runtime_minutes]]&lt;=120,"Medium","Long"))</f>
        <v>Medium</v>
      </c>
      <c r="H994" t="s">
        <v>1044</v>
      </c>
      <c r="I994" t="s">
        <v>3976</v>
      </c>
      <c r="K994">
        <v>4.7</v>
      </c>
      <c r="L994">
        <v>42</v>
      </c>
      <c r="M994" t="s">
        <v>164</v>
      </c>
      <c r="N994" t="s">
        <v>518</v>
      </c>
      <c r="O994" t="s">
        <v>3931</v>
      </c>
      <c r="P994">
        <v>26217</v>
      </c>
      <c r="Q994" s="3">
        <v>333.74</v>
      </c>
      <c r="R994" s="3">
        <f>IF(Table1[[#This Row],[Gross_millions]]=" ",0,Table1[[#This Row],[Gross_millions]])</f>
        <v>333.74</v>
      </c>
      <c r="S994" t="str">
        <f>IF(Table1[[#This Row],[Gross_millions_Clean]]&gt;200,"Blockbuster",IF(Table1[[#This Row],[Gross_millions_Clean]]&gt;100,"Hit","Average"))</f>
        <v>Blockbuster</v>
      </c>
    </row>
    <row r="995" spans="1:19" x14ac:dyDescent="0.3">
      <c r="A995" t="s">
        <v>3932</v>
      </c>
      <c r="B995" t="s">
        <v>3933</v>
      </c>
      <c r="C995">
        <v>2010</v>
      </c>
      <c r="D995" s="8">
        <f>FLOOR(Table1[[#This Row],[Year]],10)</f>
        <v>2010</v>
      </c>
      <c r="E995" t="s">
        <v>17</v>
      </c>
      <c r="F995">
        <v>138</v>
      </c>
      <c r="G995" t="str">
        <f>IF(Table1[[#This Row],[Runtime_minutes]]&lt;90,"Short",IF(Table1[[#This Row],[Runtime_minutes]]&lt;=120,"Medium","Long"))</f>
        <v>Long</v>
      </c>
      <c r="H995" t="s">
        <v>1044</v>
      </c>
      <c r="I995" t="s">
        <v>3983</v>
      </c>
      <c r="K995">
        <v>4.7</v>
      </c>
      <c r="L995">
        <v>50</v>
      </c>
      <c r="M995" t="s">
        <v>3934</v>
      </c>
      <c r="N995" t="s">
        <v>153</v>
      </c>
      <c r="O995" t="s">
        <v>3935</v>
      </c>
      <c r="P995">
        <v>13166</v>
      </c>
      <c r="Q995" s="3">
        <v>148.28</v>
      </c>
      <c r="R995" s="3">
        <f>IF(Table1[[#This Row],[Gross_millions]]=" ",0,Table1[[#This Row],[Gross_millions]])</f>
        <v>148.28</v>
      </c>
      <c r="S995" t="str">
        <f>IF(Table1[[#This Row],[Gross_millions_Clean]]&gt;200,"Blockbuster",IF(Table1[[#This Row],[Gross_millions_Clean]]&gt;100,"Hit","Average"))</f>
        <v>Hit</v>
      </c>
    </row>
    <row r="996" spans="1:19" x14ac:dyDescent="0.3">
      <c r="A996" t="s">
        <v>3936</v>
      </c>
      <c r="B996" t="s">
        <v>3937</v>
      </c>
      <c r="C996">
        <v>1985</v>
      </c>
      <c r="D996" s="8">
        <f>FLOOR(Table1[[#This Row],[Year]],10)</f>
        <v>1980</v>
      </c>
      <c r="E996" t="s">
        <v>17</v>
      </c>
      <c r="F996">
        <v>148</v>
      </c>
      <c r="G996" t="str">
        <f>IF(Table1[[#This Row],[Runtime_minutes]]&lt;90,"Short",IF(Table1[[#This Row],[Runtime_minutes]]&lt;=120,"Medium","Long"))</f>
        <v>Long</v>
      </c>
      <c r="H996" t="s">
        <v>129</v>
      </c>
      <c r="I996" t="s">
        <v>3984</v>
      </c>
      <c r="J996" t="s">
        <v>3983</v>
      </c>
      <c r="K996">
        <v>4.5999999999999996</v>
      </c>
      <c r="L996">
        <v>38</v>
      </c>
      <c r="M996" t="s">
        <v>2766</v>
      </c>
      <c r="N996" t="s">
        <v>147</v>
      </c>
      <c r="O996" t="s">
        <v>3939</v>
      </c>
      <c r="P996">
        <v>10870</v>
      </c>
      <c r="Q996" s="3">
        <v>109.29</v>
      </c>
      <c r="R996" s="3">
        <f>IF(Table1[[#This Row],[Gross_millions]]=" ",0,Table1[[#This Row],[Gross_millions]])</f>
        <v>109.29</v>
      </c>
      <c r="S996" t="str">
        <f>IF(Table1[[#This Row],[Gross_millions_Clean]]&gt;200,"Blockbuster",IF(Table1[[#This Row],[Gross_millions_Clean]]&gt;100,"Hit","Average"))</f>
        <v>Hit</v>
      </c>
    </row>
    <row r="997" spans="1:19" x14ac:dyDescent="0.3">
      <c r="A997" t="s">
        <v>3940</v>
      </c>
      <c r="B997" t="s">
        <v>3941</v>
      </c>
      <c r="C997">
        <v>2009</v>
      </c>
      <c r="D997" s="8">
        <f>FLOOR(Table1[[#This Row],[Year]],10)</f>
        <v>2000</v>
      </c>
      <c r="E997" t="s">
        <v>54</v>
      </c>
      <c r="F997">
        <v>114</v>
      </c>
      <c r="G997" t="str">
        <f>IF(Table1[[#This Row],[Runtime_minutes]]&lt;90,"Short",IF(Table1[[#This Row],[Runtime_minutes]]&lt;=120,"Medium","Long"))</f>
        <v>Medium</v>
      </c>
      <c r="H997" t="s">
        <v>1044</v>
      </c>
      <c r="I997" t="s">
        <v>3978</v>
      </c>
      <c r="J997" t="s">
        <v>3976</v>
      </c>
      <c r="K997">
        <v>4.4000000000000004</v>
      </c>
      <c r="M997" t="s">
        <v>3418</v>
      </c>
      <c r="N997" t="s">
        <v>547</v>
      </c>
      <c r="O997" t="s">
        <v>3943</v>
      </c>
      <c r="P997">
        <v>55191</v>
      </c>
      <c r="Q997" s="3">
        <v>205.9</v>
      </c>
      <c r="R997" s="3">
        <f>IF(Table1[[#This Row],[Gross_millions]]=" ",0,Table1[[#This Row],[Gross_millions]])</f>
        <v>205.9</v>
      </c>
      <c r="S997" t="str">
        <f>IF(Table1[[#This Row],[Gross_millions_Clean]]&gt;200,"Blockbuster",IF(Table1[[#This Row],[Gross_millions_Clean]]&gt;100,"Hit","Average"))</f>
        <v>Blockbuster</v>
      </c>
    </row>
    <row r="998" spans="1:19" x14ac:dyDescent="0.3">
      <c r="A998" t="s">
        <v>3944</v>
      </c>
      <c r="B998" t="s">
        <v>3945</v>
      </c>
      <c r="C998">
        <v>2016</v>
      </c>
      <c r="D998" s="8">
        <f>FLOOR(Table1[[#This Row],[Year]],10)</f>
        <v>2010</v>
      </c>
      <c r="E998" t="s">
        <v>17</v>
      </c>
      <c r="F998">
        <v>140</v>
      </c>
      <c r="G998" t="str">
        <f>IF(Table1[[#This Row],[Runtime_minutes]]&lt;90,"Short",IF(Table1[[#This Row],[Runtime_minutes]]&lt;=120,"Medium","Long"))</f>
        <v>Long</v>
      </c>
      <c r="H998" t="s">
        <v>43</v>
      </c>
      <c r="I998" t="s">
        <v>3977</v>
      </c>
      <c r="K998">
        <v>4.4000000000000004</v>
      </c>
      <c r="L998">
        <v>43</v>
      </c>
      <c r="M998" t="s">
        <v>3946</v>
      </c>
      <c r="N998" t="s">
        <v>33</v>
      </c>
      <c r="O998" t="s">
        <v>3947</v>
      </c>
      <c r="P998">
        <v>165514</v>
      </c>
      <c r="Q998" s="3">
        <v>456.06</v>
      </c>
      <c r="R998" s="3">
        <f>IF(Table1[[#This Row],[Gross_millions]]=" ",0,Table1[[#This Row],[Gross_millions]])</f>
        <v>456.06</v>
      </c>
      <c r="S998" t="str">
        <f>IF(Table1[[#This Row],[Gross_millions_Clean]]&gt;200,"Blockbuster",IF(Table1[[#This Row],[Gross_millions_Clean]]&gt;100,"Hit","Average"))</f>
        <v>Blockbuster</v>
      </c>
    </row>
    <row r="999" spans="1:19" x14ac:dyDescent="0.3">
      <c r="A999" t="s">
        <v>3948</v>
      </c>
      <c r="B999" t="s">
        <v>3949</v>
      </c>
      <c r="C999">
        <v>2024</v>
      </c>
      <c r="D999" s="8">
        <f>FLOOR(Table1[[#This Row],[Year]],10)</f>
        <v>2020</v>
      </c>
      <c r="E999" t="s">
        <v>24</v>
      </c>
      <c r="F999">
        <v>129</v>
      </c>
      <c r="G999" t="str">
        <f>IF(Table1[[#This Row],[Runtime_minutes]]&lt;90,"Short",IF(Table1[[#This Row],[Runtime_minutes]]&lt;=120,"Medium","Long"))</f>
        <v>Long</v>
      </c>
      <c r="H999" t="s">
        <v>230</v>
      </c>
      <c r="I999" t="s">
        <v>3988</v>
      </c>
      <c r="J999" t="s">
        <v>3987</v>
      </c>
      <c r="K999">
        <v>4.3</v>
      </c>
      <c r="M999" t="s">
        <v>231</v>
      </c>
      <c r="N999" t="s">
        <v>113</v>
      </c>
      <c r="O999" t="s">
        <v>3951</v>
      </c>
      <c r="P999">
        <v>28293</v>
      </c>
      <c r="Q999" s="3">
        <v>279.37</v>
      </c>
      <c r="R999" s="3">
        <f>IF(Table1[[#This Row],[Gross_millions]]=" ",0,Table1[[#This Row],[Gross_millions]])</f>
        <v>279.37</v>
      </c>
      <c r="S999" t="str">
        <f>IF(Table1[[#This Row],[Gross_millions_Clean]]&gt;200,"Blockbuster",IF(Table1[[#This Row],[Gross_millions_Clean]]&gt;100,"Hit","Average"))</f>
        <v>Blockbuster</v>
      </c>
    </row>
    <row r="1000" spans="1:19" x14ac:dyDescent="0.3">
      <c r="A1000" t="s">
        <v>3952</v>
      </c>
      <c r="B1000" t="s">
        <v>3953</v>
      </c>
      <c r="C1000">
        <v>2014</v>
      </c>
      <c r="D1000" s="8">
        <f>FLOOR(Table1[[#This Row],[Year]],10)</f>
        <v>2010</v>
      </c>
      <c r="E1000" t="s">
        <v>54</v>
      </c>
      <c r="F1000">
        <v>98</v>
      </c>
      <c r="G1000" t="str">
        <f>IF(Table1[[#This Row],[Runtime_minutes]]&lt;90,"Short",IF(Table1[[#This Row],[Runtime_minutes]]&lt;=120,"Medium","Long"))</f>
        <v>Medium</v>
      </c>
      <c r="H1000" t="s">
        <v>157</v>
      </c>
      <c r="I1000" t="s">
        <v>3984</v>
      </c>
      <c r="K1000">
        <v>4.2</v>
      </c>
      <c r="L1000">
        <v>54</v>
      </c>
      <c r="M1000" t="s">
        <v>158</v>
      </c>
      <c r="N1000" t="s">
        <v>608</v>
      </c>
      <c r="O1000" t="s">
        <v>3954</v>
      </c>
      <c r="P1000">
        <v>115247</v>
      </c>
      <c r="Q1000" s="3">
        <v>329.82</v>
      </c>
      <c r="R1000" s="3">
        <f>IF(Table1[[#This Row],[Gross_millions]]=" ",0,Table1[[#This Row],[Gross_millions]])</f>
        <v>329.82</v>
      </c>
      <c r="S1000" t="str">
        <f>IF(Table1[[#This Row],[Gross_millions_Clean]]&gt;200,"Blockbuster",IF(Table1[[#This Row],[Gross_millions_Clean]]&gt;100,"Hit","Average"))</f>
        <v>Blockbuster</v>
      </c>
    </row>
    <row r="1001" spans="1:19" x14ac:dyDescent="0.3">
      <c r="A1001" t="s">
        <v>3955</v>
      </c>
      <c r="B1001" t="s">
        <v>3956</v>
      </c>
      <c r="C1001">
        <v>2001</v>
      </c>
      <c r="D1001" s="8">
        <f>FLOOR(Table1[[#This Row],[Year]],10)</f>
        <v>2000</v>
      </c>
      <c r="E1001" t="s">
        <v>169</v>
      </c>
      <c r="F1001">
        <v>121</v>
      </c>
      <c r="G1001" t="str">
        <f>IF(Table1[[#This Row],[Runtime_minutes]]&lt;90,"Short",IF(Table1[[#This Row],[Runtime_minutes]]&lt;=120,"Medium","Long"))</f>
        <v>Long</v>
      </c>
      <c r="H1001" t="s">
        <v>1044</v>
      </c>
      <c r="I1001" t="s">
        <v>3985</v>
      </c>
      <c r="K1001">
        <v>4.0999999999999996</v>
      </c>
      <c r="L1001">
        <v>30</v>
      </c>
      <c r="M1001" t="s">
        <v>3958</v>
      </c>
      <c r="N1001" t="s">
        <v>718</v>
      </c>
      <c r="O1001" t="s">
        <v>3959</v>
      </c>
      <c r="P1001">
        <v>45236</v>
      </c>
      <c r="Q1001" s="3"/>
      <c r="R1001" s="3">
        <f>IF(Table1[[#This Row],[Gross_millions]]=" ",0,Table1[[#This Row],[Gross_millions]])</f>
        <v>0</v>
      </c>
      <c r="S1001" t="str">
        <f>IF(Table1[[#This Row],[Gross_millions_Clean]]&gt;200,"Blockbuster",IF(Table1[[#This Row],[Gross_millions_Clean]]&gt;100,"Hit","Average"))</f>
        <v>Average</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E0DE1-31D4-4F25-8E38-A6A1BF88ED43}">
  <dimension ref="A1:P1913"/>
  <sheetViews>
    <sheetView topLeftCell="AQ2" workbookViewId="0">
      <selection activeCell="P4" sqref="P4"/>
    </sheetView>
  </sheetViews>
  <sheetFormatPr defaultRowHeight="14.4" x14ac:dyDescent="0.3"/>
  <cols>
    <col min="1" max="1" width="11.21875" bestFit="1" customWidth="1"/>
    <col min="2" max="2" width="41.109375" bestFit="1" customWidth="1"/>
    <col min="3" max="3" width="6.88671875" bestFit="1" customWidth="1"/>
    <col min="4" max="4" width="9.44140625" bestFit="1" customWidth="1"/>
    <col min="5" max="5" width="11.77734375" bestFit="1" customWidth="1"/>
    <col min="6" max="6" width="18.21875" bestFit="1" customWidth="1"/>
    <col min="7" max="7" width="19" bestFit="1" customWidth="1"/>
    <col min="8" max="8" width="50.21875" bestFit="1" customWidth="1"/>
    <col min="9" max="9" width="18.21875" bestFit="1" customWidth="1"/>
    <col min="10" max="10" width="78.88671875" bestFit="1" customWidth="1"/>
    <col min="11" max="11" width="8" bestFit="1" customWidth="1"/>
    <col min="12" max="12" width="15.33203125" bestFit="1" customWidth="1"/>
    <col min="13" max="13" width="21.109375" bestFit="1" customWidth="1"/>
    <col min="14" max="14" width="20.77734375" bestFit="1" customWidth="1"/>
    <col min="15" max="15" width="12.44140625" bestFit="1" customWidth="1"/>
    <col min="16" max="16" width="13.88671875" bestFit="1" customWidth="1"/>
  </cols>
  <sheetData>
    <row r="1" spans="1:16" x14ac:dyDescent="0.3">
      <c r="A1" t="s">
        <v>0</v>
      </c>
      <c r="B1" t="s">
        <v>1</v>
      </c>
      <c r="C1" t="s">
        <v>2</v>
      </c>
      <c r="D1" t="s">
        <v>3</v>
      </c>
      <c r="E1" t="s">
        <v>4</v>
      </c>
      <c r="F1" t="s">
        <v>5</v>
      </c>
      <c r="G1" t="s">
        <v>6</v>
      </c>
      <c r="H1" t="s">
        <v>8</v>
      </c>
      <c r="I1" t="s">
        <v>9</v>
      </c>
      <c r="J1" t="s">
        <v>10</v>
      </c>
      <c r="K1" t="s">
        <v>11</v>
      </c>
      <c r="L1" t="s">
        <v>12</v>
      </c>
      <c r="M1" t="s">
        <v>13</v>
      </c>
      <c r="N1" t="s">
        <v>14</v>
      </c>
      <c r="O1" t="s">
        <v>7</v>
      </c>
      <c r="P1" t="s">
        <v>4003</v>
      </c>
    </row>
    <row r="2" spans="1:16" x14ac:dyDescent="0.3">
      <c r="A2" t="s">
        <v>15</v>
      </c>
      <c r="B2" t="s">
        <v>16</v>
      </c>
      <c r="C2">
        <v>2004</v>
      </c>
      <c r="D2">
        <v>2000</v>
      </c>
      <c r="E2" t="s">
        <v>17</v>
      </c>
      <c r="F2">
        <v>103</v>
      </c>
      <c r="G2" t="s">
        <v>3997</v>
      </c>
      <c r="H2" t="s">
        <v>19</v>
      </c>
      <c r="I2" t="s">
        <v>20</v>
      </c>
      <c r="J2" t="s">
        <v>21</v>
      </c>
      <c r="K2">
        <v>774648</v>
      </c>
      <c r="L2">
        <v>204.79</v>
      </c>
      <c r="M2">
        <v>204.79</v>
      </c>
      <c r="N2" t="s">
        <v>3998</v>
      </c>
      <c r="O2" t="s">
        <v>210</v>
      </c>
      <c r="P2" t="str">
        <f>TRIM(Table13_1[[#This Row],[Genre]])</f>
        <v>Action</v>
      </c>
    </row>
    <row r="3" spans="1:16" x14ac:dyDescent="0.3">
      <c r="A3" t="s">
        <v>15</v>
      </c>
      <c r="B3" t="s">
        <v>16</v>
      </c>
      <c r="C3">
        <v>2004</v>
      </c>
      <c r="D3">
        <v>2000</v>
      </c>
      <c r="E3" t="s">
        <v>17</v>
      </c>
      <c r="F3">
        <v>103</v>
      </c>
      <c r="G3" t="s">
        <v>3997</v>
      </c>
      <c r="H3" t="s">
        <v>19</v>
      </c>
      <c r="I3" t="s">
        <v>20</v>
      </c>
      <c r="J3" t="s">
        <v>21</v>
      </c>
      <c r="K3">
        <v>774648</v>
      </c>
      <c r="L3">
        <v>204.79</v>
      </c>
      <c r="M3">
        <v>204.79</v>
      </c>
      <c r="N3" t="s">
        <v>3998</v>
      </c>
      <c r="O3" t="s">
        <v>3976</v>
      </c>
      <c r="P3" t="str">
        <f>TRIM(Table13_1[[#This Row],[Genre]])</f>
        <v>Musical</v>
      </c>
    </row>
    <row r="4" spans="1:16" x14ac:dyDescent="0.3">
      <c r="A4" t="s">
        <v>22</v>
      </c>
      <c r="B4" t="s">
        <v>23</v>
      </c>
      <c r="C4">
        <v>2012</v>
      </c>
      <c r="D4">
        <v>2010</v>
      </c>
      <c r="E4" t="s">
        <v>24</v>
      </c>
      <c r="F4">
        <v>159</v>
      </c>
      <c r="G4" t="s">
        <v>3999</v>
      </c>
      <c r="H4" t="s">
        <v>26</v>
      </c>
      <c r="I4" t="s">
        <v>27</v>
      </c>
      <c r="J4" t="s">
        <v>28</v>
      </c>
      <c r="K4">
        <v>297518</v>
      </c>
      <c r="L4">
        <v>951.58</v>
      </c>
      <c r="M4">
        <v>951.58</v>
      </c>
      <c r="N4" t="s">
        <v>3998</v>
      </c>
      <c r="O4" t="s">
        <v>72</v>
      </c>
      <c r="P4" t="str">
        <f>TRIM(Table13_1[[#This Row],[Genre]])</f>
        <v>War</v>
      </c>
    </row>
    <row r="5" spans="1:16" x14ac:dyDescent="0.3">
      <c r="A5" t="s">
        <v>22</v>
      </c>
      <c r="B5" t="s">
        <v>23</v>
      </c>
      <c r="C5">
        <v>2012</v>
      </c>
      <c r="D5">
        <v>2010</v>
      </c>
      <c r="E5" t="s">
        <v>24</v>
      </c>
      <c r="F5">
        <v>159</v>
      </c>
      <c r="G5" t="s">
        <v>3999</v>
      </c>
      <c r="H5" t="s">
        <v>26</v>
      </c>
      <c r="I5" t="s">
        <v>27</v>
      </c>
      <c r="J5" t="s">
        <v>28</v>
      </c>
      <c r="K5">
        <v>297518</v>
      </c>
      <c r="L5">
        <v>951.58</v>
      </c>
      <c r="M5">
        <v>951.58</v>
      </c>
      <c r="N5" t="s">
        <v>3998</v>
      </c>
      <c r="O5" t="s">
        <v>3977</v>
      </c>
      <c r="P5" t="str">
        <f>TRIM(Table13_1[[#This Row],[Genre]])</f>
        <v>Animation</v>
      </c>
    </row>
    <row r="6" spans="1:16" x14ac:dyDescent="0.3">
      <c r="A6" t="s">
        <v>29</v>
      </c>
      <c r="B6" t="s">
        <v>30</v>
      </c>
      <c r="C6">
        <v>2008</v>
      </c>
      <c r="D6">
        <v>2000</v>
      </c>
      <c r="E6" t="s">
        <v>24</v>
      </c>
      <c r="F6">
        <v>77</v>
      </c>
      <c r="G6" t="s">
        <v>4000</v>
      </c>
      <c r="H6" t="s">
        <v>32</v>
      </c>
      <c r="I6" t="s">
        <v>33</v>
      </c>
      <c r="J6" t="s">
        <v>34</v>
      </c>
      <c r="K6">
        <v>583752</v>
      </c>
      <c r="L6">
        <v>372.85</v>
      </c>
      <c r="M6">
        <v>372.85</v>
      </c>
      <c r="N6" t="s">
        <v>3998</v>
      </c>
      <c r="O6" t="s">
        <v>210</v>
      </c>
      <c r="P6" t="str">
        <f>TRIM(Table13_1[[#This Row],[Genre]])</f>
        <v>Action</v>
      </c>
    </row>
    <row r="7" spans="1:16" x14ac:dyDescent="0.3">
      <c r="A7" t="s">
        <v>29</v>
      </c>
      <c r="B7" t="s">
        <v>30</v>
      </c>
      <c r="C7">
        <v>2008</v>
      </c>
      <c r="D7">
        <v>2000</v>
      </c>
      <c r="E7" t="s">
        <v>24</v>
      </c>
      <c r="F7">
        <v>77</v>
      </c>
      <c r="G7" t="s">
        <v>4000</v>
      </c>
      <c r="H7" t="s">
        <v>32</v>
      </c>
      <c r="I7" t="s">
        <v>33</v>
      </c>
      <c r="J7" t="s">
        <v>34</v>
      </c>
      <c r="K7">
        <v>583752</v>
      </c>
      <c r="L7">
        <v>372.85</v>
      </c>
      <c r="M7">
        <v>372.85</v>
      </c>
      <c r="N7" t="s">
        <v>3998</v>
      </c>
      <c r="O7" t="s">
        <v>3978</v>
      </c>
      <c r="P7" t="str">
        <f>TRIM(Table13_1[[#This Row],[Genre]])</f>
        <v>Mystery</v>
      </c>
    </row>
    <row r="8" spans="1:16" x14ac:dyDescent="0.3">
      <c r="A8" t="s">
        <v>29</v>
      </c>
      <c r="B8" t="s">
        <v>30</v>
      </c>
      <c r="C8">
        <v>2008</v>
      </c>
      <c r="D8">
        <v>2000</v>
      </c>
      <c r="E8" t="s">
        <v>24</v>
      </c>
      <c r="F8">
        <v>77</v>
      </c>
      <c r="G8" t="s">
        <v>4000</v>
      </c>
      <c r="H8" t="s">
        <v>32</v>
      </c>
      <c r="I8" t="s">
        <v>33</v>
      </c>
      <c r="J8" t="s">
        <v>34</v>
      </c>
      <c r="K8">
        <v>583752</v>
      </c>
      <c r="L8">
        <v>372.85</v>
      </c>
      <c r="M8">
        <v>372.85</v>
      </c>
      <c r="N8" t="s">
        <v>3998</v>
      </c>
      <c r="O8" t="s">
        <v>3979</v>
      </c>
      <c r="P8" t="str">
        <f>TRIM(Table13_1[[#This Row],[Genre]])</f>
        <v>War</v>
      </c>
    </row>
    <row r="9" spans="1:16" x14ac:dyDescent="0.3">
      <c r="A9" t="s">
        <v>35</v>
      </c>
      <c r="B9" t="s">
        <v>36</v>
      </c>
      <c r="C9">
        <v>2019</v>
      </c>
      <c r="D9">
        <v>2010</v>
      </c>
      <c r="E9" t="s">
        <v>17</v>
      </c>
      <c r="F9">
        <v>116</v>
      </c>
      <c r="G9" t="s">
        <v>3997</v>
      </c>
      <c r="H9" t="s">
        <v>38</v>
      </c>
      <c r="I9" t="s">
        <v>39</v>
      </c>
      <c r="J9" t="s">
        <v>40</v>
      </c>
      <c r="K9">
        <v>187450</v>
      </c>
      <c r="M9">
        <v>0</v>
      </c>
      <c r="N9" t="s">
        <v>4001</v>
      </c>
      <c r="O9" t="s">
        <v>37</v>
      </c>
      <c r="P9" t="str">
        <f>TRIM(Table13_1[[#This Row],[Genre]])</f>
        <v>Biography</v>
      </c>
    </row>
    <row r="10" spans="1:16" x14ac:dyDescent="0.3">
      <c r="A10" t="s">
        <v>41</v>
      </c>
      <c r="B10" t="s">
        <v>42</v>
      </c>
      <c r="C10">
        <v>2000</v>
      </c>
      <c r="D10">
        <v>2000</v>
      </c>
      <c r="E10" t="s">
        <v>24</v>
      </c>
      <c r="F10">
        <v>126</v>
      </c>
      <c r="G10" t="s">
        <v>3999</v>
      </c>
      <c r="H10" t="s">
        <v>44</v>
      </c>
      <c r="I10" t="s">
        <v>20</v>
      </c>
      <c r="J10" t="s">
        <v>45</v>
      </c>
      <c r="K10">
        <v>642106</v>
      </c>
      <c r="L10">
        <v>252.83</v>
      </c>
      <c r="M10">
        <v>252.83</v>
      </c>
      <c r="N10" t="s">
        <v>3998</v>
      </c>
      <c r="O10" t="s">
        <v>43</v>
      </c>
      <c r="P10" t="str">
        <f>TRIM(Table13_1[[#This Row],[Genre]])</f>
        <v>Mystery</v>
      </c>
    </row>
    <row r="11" spans="1:16" x14ac:dyDescent="0.3">
      <c r="A11" t="s">
        <v>46</v>
      </c>
      <c r="B11" t="s">
        <v>47</v>
      </c>
      <c r="C11">
        <v>2023</v>
      </c>
      <c r="D11">
        <v>2020</v>
      </c>
      <c r="E11" t="s">
        <v>24</v>
      </c>
      <c r="F11">
        <v>123</v>
      </c>
      <c r="G11" t="s">
        <v>3999</v>
      </c>
      <c r="H11" t="s">
        <v>49</v>
      </c>
      <c r="I11" t="s">
        <v>50</v>
      </c>
      <c r="J11" t="s">
        <v>51</v>
      </c>
      <c r="K11">
        <v>207806</v>
      </c>
      <c r="L11">
        <v>808.8</v>
      </c>
      <c r="M11">
        <v>808.8</v>
      </c>
      <c r="N11" t="s">
        <v>3998</v>
      </c>
      <c r="O11" t="s">
        <v>48</v>
      </c>
      <c r="P11" t="str">
        <f>TRIM(Table13_1[[#This Row],[Genre]])</f>
        <v>Crime</v>
      </c>
    </row>
    <row r="12" spans="1:16" x14ac:dyDescent="0.3">
      <c r="A12" t="s">
        <v>52</v>
      </c>
      <c r="B12" t="s">
        <v>53</v>
      </c>
      <c r="C12">
        <v>2000</v>
      </c>
      <c r="D12">
        <v>2000</v>
      </c>
      <c r="E12" t="s">
        <v>54</v>
      </c>
      <c r="F12">
        <v>141</v>
      </c>
      <c r="G12" t="s">
        <v>3999</v>
      </c>
      <c r="H12" t="s">
        <v>56</v>
      </c>
      <c r="I12" t="s">
        <v>57</v>
      </c>
      <c r="J12" t="s">
        <v>58</v>
      </c>
      <c r="K12">
        <v>215726</v>
      </c>
      <c r="L12">
        <v>64.12</v>
      </c>
      <c r="M12">
        <v>64.12</v>
      </c>
      <c r="N12" t="s">
        <v>4001</v>
      </c>
      <c r="O12" t="s">
        <v>55</v>
      </c>
      <c r="P12" t="str">
        <f>TRIM(Table13_1[[#This Row],[Genre]])</f>
        <v>Romance</v>
      </c>
    </row>
    <row r="13" spans="1:16" x14ac:dyDescent="0.3">
      <c r="A13" t="s">
        <v>59</v>
      </c>
      <c r="B13" t="s">
        <v>60</v>
      </c>
      <c r="C13">
        <v>2000</v>
      </c>
      <c r="D13">
        <v>2000</v>
      </c>
      <c r="E13" t="s">
        <v>54</v>
      </c>
      <c r="F13">
        <v>121</v>
      </c>
      <c r="G13" t="s">
        <v>3999</v>
      </c>
      <c r="H13" t="s">
        <v>62</v>
      </c>
      <c r="I13" t="s">
        <v>63</v>
      </c>
      <c r="J13" t="s">
        <v>64</v>
      </c>
      <c r="K13">
        <v>7274</v>
      </c>
      <c r="L13">
        <v>24.5</v>
      </c>
      <c r="M13">
        <v>24.5</v>
      </c>
      <c r="N13" t="s">
        <v>4001</v>
      </c>
      <c r="O13" t="s">
        <v>767</v>
      </c>
      <c r="P13" t="str">
        <f>TRIM(Table13_1[[#This Row],[Genre]])</f>
        <v>Fantasy</v>
      </c>
    </row>
    <row r="14" spans="1:16" x14ac:dyDescent="0.3">
      <c r="A14" t="s">
        <v>59</v>
      </c>
      <c r="B14" t="s">
        <v>60</v>
      </c>
      <c r="C14">
        <v>2000</v>
      </c>
      <c r="D14">
        <v>2000</v>
      </c>
      <c r="E14" t="s">
        <v>54</v>
      </c>
      <c r="F14">
        <v>121</v>
      </c>
      <c r="G14" t="s">
        <v>3999</v>
      </c>
      <c r="H14" t="s">
        <v>62</v>
      </c>
      <c r="I14" t="s">
        <v>63</v>
      </c>
      <c r="J14" t="s">
        <v>64</v>
      </c>
      <c r="K14">
        <v>7274</v>
      </c>
      <c r="L14">
        <v>24.5</v>
      </c>
      <c r="M14">
        <v>24.5</v>
      </c>
      <c r="N14" t="s">
        <v>4001</v>
      </c>
      <c r="O14" t="s">
        <v>3980</v>
      </c>
      <c r="P14" t="str">
        <f>TRIM(Table13_1[[#This Row],[Genre]])</f>
        <v>Action</v>
      </c>
    </row>
    <row r="15" spans="1:16" x14ac:dyDescent="0.3">
      <c r="A15" t="s">
        <v>65</v>
      </c>
      <c r="B15" t="s">
        <v>66</v>
      </c>
      <c r="C15">
        <v>2021</v>
      </c>
      <c r="D15">
        <v>2020</v>
      </c>
      <c r="E15" t="s">
        <v>54</v>
      </c>
      <c r="F15">
        <v>124</v>
      </c>
      <c r="G15" t="s">
        <v>3999</v>
      </c>
      <c r="H15" t="s">
        <v>67</v>
      </c>
      <c r="I15" t="s">
        <v>68</v>
      </c>
      <c r="J15" t="s">
        <v>69</v>
      </c>
      <c r="K15">
        <v>279682</v>
      </c>
      <c r="M15">
        <v>0</v>
      </c>
      <c r="N15" t="s">
        <v>4001</v>
      </c>
      <c r="O15" t="s">
        <v>48</v>
      </c>
      <c r="P15" t="str">
        <f>TRIM(Table13_1[[#This Row],[Genre]])</f>
        <v>Crime</v>
      </c>
    </row>
    <row r="16" spans="1:16" x14ac:dyDescent="0.3">
      <c r="A16" t="s">
        <v>70</v>
      </c>
      <c r="B16" t="s">
        <v>71</v>
      </c>
      <c r="C16">
        <v>2023</v>
      </c>
      <c r="D16">
        <v>2020</v>
      </c>
      <c r="E16" t="s">
        <v>17</v>
      </c>
      <c r="F16">
        <v>143</v>
      </c>
      <c r="G16" t="s">
        <v>3999</v>
      </c>
      <c r="H16" t="s">
        <v>73</v>
      </c>
      <c r="I16" t="s">
        <v>74</v>
      </c>
      <c r="J16" t="s">
        <v>75</v>
      </c>
      <c r="K16">
        <v>54004</v>
      </c>
      <c r="M16">
        <v>0</v>
      </c>
      <c r="N16" t="s">
        <v>4001</v>
      </c>
      <c r="O16" t="s">
        <v>72</v>
      </c>
      <c r="P16" t="str">
        <f>TRIM(Table13_1[[#This Row],[Genre]])</f>
        <v>War</v>
      </c>
    </row>
    <row r="17" spans="1:16" x14ac:dyDescent="0.3">
      <c r="A17" t="s">
        <v>76</v>
      </c>
      <c r="B17" t="s">
        <v>77</v>
      </c>
      <c r="C17">
        <v>2009</v>
      </c>
      <c r="D17">
        <v>2000</v>
      </c>
      <c r="E17" t="s">
        <v>24</v>
      </c>
      <c r="F17">
        <v>125</v>
      </c>
      <c r="G17" t="s">
        <v>3999</v>
      </c>
      <c r="H17" t="s">
        <v>79</v>
      </c>
      <c r="I17" t="s">
        <v>80</v>
      </c>
      <c r="J17" t="s">
        <v>81</v>
      </c>
      <c r="K17">
        <v>46006</v>
      </c>
      <c r="M17">
        <v>0</v>
      </c>
      <c r="N17" t="s">
        <v>4001</v>
      </c>
      <c r="O17" t="s">
        <v>78</v>
      </c>
      <c r="P17" t="str">
        <f>TRIM(Table13_1[[#This Row],[Genre]])</f>
        <v>Adventure</v>
      </c>
    </row>
    <row r="18" spans="1:16" x14ac:dyDescent="0.3">
      <c r="A18" t="s">
        <v>82</v>
      </c>
      <c r="B18" t="s">
        <v>83</v>
      </c>
      <c r="C18">
        <v>1945</v>
      </c>
      <c r="D18">
        <v>1940</v>
      </c>
      <c r="E18" t="s">
        <v>24</v>
      </c>
      <c r="F18">
        <v>128</v>
      </c>
      <c r="G18" t="s">
        <v>3999</v>
      </c>
      <c r="H18" t="s">
        <v>85</v>
      </c>
      <c r="I18" t="s">
        <v>86</v>
      </c>
      <c r="J18" t="s">
        <v>87</v>
      </c>
      <c r="K18">
        <v>93356</v>
      </c>
      <c r="L18">
        <v>124.78</v>
      </c>
      <c r="M18">
        <v>124.78</v>
      </c>
      <c r="N18" t="s">
        <v>4002</v>
      </c>
      <c r="O18" t="s">
        <v>767</v>
      </c>
      <c r="P18" t="str">
        <f>TRIM(Table13_1[[#This Row],[Genre]])</f>
        <v>Fantasy</v>
      </c>
    </row>
    <row r="19" spans="1:16" x14ac:dyDescent="0.3">
      <c r="A19" t="s">
        <v>82</v>
      </c>
      <c r="B19" t="s">
        <v>83</v>
      </c>
      <c r="C19">
        <v>1945</v>
      </c>
      <c r="D19">
        <v>1940</v>
      </c>
      <c r="E19" t="s">
        <v>24</v>
      </c>
      <c r="F19">
        <v>128</v>
      </c>
      <c r="G19" t="s">
        <v>3999</v>
      </c>
      <c r="H19" t="s">
        <v>85</v>
      </c>
      <c r="I19" t="s">
        <v>86</v>
      </c>
      <c r="J19" t="s">
        <v>87</v>
      </c>
      <c r="K19">
        <v>93356</v>
      </c>
      <c r="L19">
        <v>124.78</v>
      </c>
      <c r="M19">
        <v>124.78</v>
      </c>
      <c r="N19" t="s">
        <v>4002</v>
      </c>
      <c r="O19" t="s">
        <v>3981</v>
      </c>
      <c r="P19" t="str">
        <f>TRIM(Table13_1[[#This Row],[Genre]])</f>
        <v>Romance</v>
      </c>
    </row>
    <row r="20" spans="1:16" x14ac:dyDescent="0.3">
      <c r="A20" t="s">
        <v>88</v>
      </c>
      <c r="B20" t="s">
        <v>89</v>
      </c>
      <c r="C20">
        <v>2014</v>
      </c>
      <c r="D20">
        <v>2010</v>
      </c>
      <c r="E20" t="s">
        <v>17</v>
      </c>
      <c r="F20">
        <v>127</v>
      </c>
      <c r="G20" t="s">
        <v>3999</v>
      </c>
      <c r="H20" t="s">
        <v>91</v>
      </c>
      <c r="I20" t="s">
        <v>92</v>
      </c>
      <c r="J20" t="s">
        <v>93</v>
      </c>
      <c r="K20">
        <v>118662</v>
      </c>
      <c r="L20">
        <v>131.58000000000001</v>
      </c>
      <c r="M20">
        <v>131.58000000000001</v>
      </c>
      <c r="N20" t="s">
        <v>4002</v>
      </c>
      <c r="O20" t="s">
        <v>72</v>
      </c>
      <c r="P20" t="str">
        <f>TRIM(Table13_1[[#This Row],[Genre]])</f>
        <v>War</v>
      </c>
    </row>
    <row r="21" spans="1:16" x14ac:dyDescent="0.3">
      <c r="A21" t="s">
        <v>88</v>
      </c>
      <c r="B21" t="s">
        <v>89</v>
      </c>
      <c r="C21">
        <v>2014</v>
      </c>
      <c r="D21">
        <v>2010</v>
      </c>
      <c r="E21" t="s">
        <v>17</v>
      </c>
      <c r="F21">
        <v>127</v>
      </c>
      <c r="G21" t="s">
        <v>3999</v>
      </c>
      <c r="H21" t="s">
        <v>91</v>
      </c>
      <c r="I21" t="s">
        <v>92</v>
      </c>
      <c r="J21" t="s">
        <v>93</v>
      </c>
      <c r="K21">
        <v>118662</v>
      </c>
      <c r="L21">
        <v>131.58000000000001</v>
      </c>
      <c r="M21">
        <v>131.58000000000001</v>
      </c>
      <c r="N21" t="s">
        <v>4002</v>
      </c>
      <c r="O21" t="s">
        <v>3982</v>
      </c>
      <c r="P21" t="str">
        <f>TRIM(Table13_1[[#This Row],[Genre]])</f>
        <v>Family</v>
      </c>
    </row>
    <row r="22" spans="1:16" x14ac:dyDescent="0.3">
      <c r="A22" t="s">
        <v>88</v>
      </c>
      <c r="B22" t="s">
        <v>89</v>
      </c>
      <c r="C22">
        <v>2014</v>
      </c>
      <c r="D22">
        <v>2010</v>
      </c>
      <c r="E22" t="s">
        <v>17</v>
      </c>
      <c r="F22">
        <v>127</v>
      </c>
      <c r="G22" t="s">
        <v>3999</v>
      </c>
      <c r="H22" t="s">
        <v>91</v>
      </c>
      <c r="I22" t="s">
        <v>92</v>
      </c>
      <c r="J22" t="s">
        <v>93</v>
      </c>
      <c r="K22">
        <v>118662</v>
      </c>
      <c r="L22">
        <v>131.58000000000001</v>
      </c>
      <c r="M22">
        <v>131.58000000000001</v>
      </c>
      <c r="N22" t="s">
        <v>4002</v>
      </c>
      <c r="O22" t="s">
        <v>3983</v>
      </c>
      <c r="P22" t="str">
        <f>TRIM(Table13_1[[#This Row],[Genre]])</f>
        <v>Crime</v>
      </c>
    </row>
    <row r="23" spans="1:16" x14ac:dyDescent="0.3">
      <c r="A23" t="s">
        <v>94</v>
      </c>
      <c r="B23" t="s">
        <v>95</v>
      </c>
      <c r="C23">
        <v>2022</v>
      </c>
      <c r="D23">
        <v>2020</v>
      </c>
      <c r="E23" t="s">
        <v>54</v>
      </c>
      <c r="F23">
        <v>140</v>
      </c>
      <c r="G23" t="s">
        <v>3999</v>
      </c>
      <c r="H23" t="s">
        <v>97</v>
      </c>
      <c r="I23" t="s">
        <v>27</v>
      </c>
      <c r="J23" t="s">
        <v>98</v>
      </c>
      <c r="K23">
        <v>955084</v>
      </c>
      <c r="M23">
        <v>0</v>
      </c>
      <c r="N23" t="s">
        <v>4001</v>
      </c>
      <c r="O23" t="s">
        <v>72</v>
      </c>
      <c r="P23" t="str">
        <f>TRIM(Table13_1[[#This Row],[Genre]])</f>
        <v>War</v>
      </c>
    </row>
    <row r="24" spans="1:16" x14ac:dyDescent="0.3">
      <c r="A24" t="s">
        <v>94</v>
      </c>
      <c r="B24" t="s">
        <v>95</v>
      </c>
      <c r="C24">
        <v>2022</v>
      </c>
      <c r="D24">
        <v>2020</v>
      </c>
      <c r="E24" t="s">
        <v>54</v>
      </c>
      <c r="F24">
        <v>140</v>
      </c>
      <c r="G24" t="s">
        <v>3999</v>
      </c>
      <c r="H24" t="s">
        <v>97</v>
      </c>
      <c r="I24" t="s">
        <v>27</v>
      </c>
      <c r="J24" t="s">
        <v>98</v>
      </c>
      <c r="K24">
        <v>955084</v>
      </c>
      <c r="M24">
        <v>0</v>
      </c>
      <c r="N24" t="s">
        <v>4001</v>
      </c>
      <c r="O24" t="s">
        <v>3984</v>
      </c>
      <c r="P24" t="str">
        <f>TRIM(Table13_1[[#This Row],[Genre]])</f>
        <v>Adventure</v>
      </c>
    </row>
    <row r="25" spans="1:16" x14ac:dyDescent="0.3">
      <c r="A25" t="s">
        <v>99</v>
      </c>
      <c r="B25" t="s">
        <v>100</v>
      </c>
      <c r="C25">
        <v>2002</v>
      </c>
      <c r="D25">
        <v>2000</v>
      </c>
      <c r="E25" t="s">
        <v>17</v>
      </c>
      <c r="F25">
        <v>97</v>
      </c>
      <c r="G25" t="s">
        <v>3997</v>
      </c>
      <c r="H25" t="s">
        <v>102</v>
      </c>
      <c r="I25" t="s">
        <v>103</v>
      </c>
      <c r="J25" t="s">
        <v>104</v>
      </c>
      <c r="K25">
        <v>1164424</v>
      </c>
      <c r="M25">
        <v>0</v>
      </c>
      <c r="N25" t="s">
        <v>4001</v>
      </c>
      <c r="O25" t="s">
        <v>868</v>
      </c>
      <c r="P25" t="str">
        <f>TRIM(Table13_1[[#This Row],[Genre]])</f>
        <v>Western</v>
      </c>
    </row>
    <row r="26" spans="1:16" x14ac:dyDescent="0.3">
      <c r="A26" t="s">
        <v>99</v>
      </c>
      <c r="B26" t="s">
        <v>100</v>
      </c>
      <c r="C26">
        <v>2002</v>
      </c>
      <c r="D26">
        <v>2000</v>
      </c>
      <c r="E26" t="s">
        <v>17</v>
      </c>
      <c r="F26">
        <v>97</v>
      </c>
      <c r="G26" t="s">
        <v>3997</v>
      </c>
      <c r="H26" t="s">
        <v>102</v>
      </c>
      <c r="I26" t="s">
        <v>103</v>
      </c>
      <c r="J26" t="s">
        <v>104</v>
      </c>
      <c r="K26">
        <v>1164424</v>
      </c>
      <c r="M26">
        <v>0</v>
      </c>
      <c r="N26" t="s">
        <v>4001</v>
      </c>
      <c r="O26" t="s">
        <v>3976</v>
      </c>
      <c r="P26" t="str">
        <f>TRIM(Table13_1[[#This Row],[Genre]])</f>
        <v>Musical</v>
      </c>
    </row>
    <row r="27" spans="1:16" x14ac:dyDescent="0.3">
      <c r="A27" t="s">
        <v>105</v>
      </c>
      <c r="B27" t="s">
        <v>106</v>
      </c>
      <c r="C27">
        <v>2013</v>
      </c>
      <c r="D27">
        <v>2010</v>
      </c>
      <c r="E27" t="s">
        <v>17</v>
      </c>
      <c r="F27">
        <v>122</v>
      </c>
      <c r="G27" t="s">
        <v>3999</v>
      </c>
      <c r="H27" t="s">
        <v>38</v>
      </c>
      <c r="I27" t="s">
        <v>27</v>
      </c>
      <c r="J27" t="s">
        <v>108</v>
      </c>
      <c r="K27">
        <v>216018</v>
      </c>
      <c r="M27">
        <v>0</v>
      </c>
      <c r="N27" t="s">
        <v>4001</v>
      </c>
      <c r="O27" t="s">
        <v>37</v>
      </c>
      <c r="P27" t="str">
        <f>TRIM(Table13_1[[#This Row],[Genre]])</f>
        <v>Biography</v>
      </c>
    </row>
    <row r="28" spans="1:16" x14ac:dyDescent="0.3">
      <c r="A28" t="s">
        <v>105</v>
      </c>
      <c r="B28" t="s">
        <v>106</v>
      </c>
      <c r="C28">
        <v>2013</v>
      </c>
      <c r="D28">
        <v>2010</v>
      </c>
      <c r="E28" t="s">
        <v>17</v>
      </c>
      <c r="F28">
        <v>122</v>
      </c>
      <c r="G28" t="s">
        <v>3999</v>
      </c>
      <c r="H28" t="s">
        <v>38</v>
      </c>
      <c r="I28" t="s">
        <v>27</v>
      </c>
      <c r="J28" t="s">
        <v>108</v>
      </c>
      <c r="K28">
        <v>216018</v>
      </c>
      <c r="M28">
        <v>0</v>
      </c>
      <c r="N28" t="s">
        <v>4001</v>
      </c>
      <c r="O28" t="s">
        <v>3985</v>
      </c>
      <c r="P28" t="str">
        <f>TRIM(Table13_1[[#This Row],[Genre]])</f>
        <v>Horror</v>
      </c>
    </row>
    <row r="29" spans="1:16" x14ac:dyDescent="0.3">
      <c r="A29" t="s">
        <v>109</v>
      </c>
      <c r="B29" t="s">
        <v>110</v>
      </c>
      <c r="C29">
        <v>1977</v>
      </c>
      <c r="D29">
        <v>1970</v>
      </c>
      <c r="E29" t="s">
        <v>54</v>
      </c>
      <c r="F29">
        <v>107</v>
      </c>
      <c r="G29" t="s">
        <v>3997</v>
      </c>
      <c r="H29" t="s">
        <v>112</v>
      </c>
      <c r="I29" t="s">
        <v>113</v>
      </c>
      <c r="J29" t="s">
        <v>114</v>
      </c>
      <c r="K29">
        <v>70408</v>
      </c>
      <c r="L29">
        <v>19.98</v>
      </c>
      <c r="M29">
        <v>19.98</v>
      </c>
      <c r="N29" t="s">
        <v>4001</v>
      </c>
      <c r="O29" t="s">
        <v>767</v>
      </c>
      <c r="P29" t="str">
        <f>TRIM(Table13_1[[#This Row],[Genre]])</f>
        <v>Fantasy</v>
      </c>
    </row>
    <row r="30" spans="1:16" x14ac:dyDescent="0.3">
      <c r="A30" t="s">
        <v>109</v>
      </c>
      <c r="B30" t="s">
        <v>110</v>
      </c>
      <c r="C30">
        <v>1977</v>
      </c>
      <c r="D30">
        <v>1970</v>
      </c>
      <c r="E30" t="s">
        <v>54</v>
      </c>
      <c r="F30">
        <v>107</v>
      </c>
      <c r="G30" t="s">
        <v>3997</v>
      </c>
      <c r="H30" t="s">
        <v>112</v>
      </c>
      <c r="I30" t="s">
        <v>113</v>
      </c>
      <c r="J30" t="s">
        <v>114</v>
      </c>
      <c r="K30">
        <v>70408</v>
      </c>
      <c r="L30">
        <v>19.98</v>
      </c>
      <c r="M30">
        <v>19.98</v>
      </c>
      <c r="N30" t="s">
        <v>4001</v>
      </c>
      <c r="O30" t="s">
        <v>3982</v>
      </c>
      <c r="P30" t="str">
        <f>TRIM(Table13_1[[#This Row],[Genre]])</f>
        <v>Family</v>
      </c>
    </row>
    <row r="31" spans="1:16" x14ac:dyDescent="0.3">
      <c r="A31" t="s">
        <v>109</v>
      </c>
      <c r="B31" t="s">
        <v>110</v>
      </c>
      <c r="C31">
        <v>1977</v>
      </c>
      <c r="D31">
        <v>1970</v>
      </c>
      <c r="E31" t="s">
        <v>54</v>
      </c>
      <c r="F31">
        <v>107</v>
      </c>
      <c r="G31" t="s">
        <v>3997</v>
      </c>
      <c r="H31" t="s">
        <v>112</v>
      </c>
      <c r="I31" t="s">
        <v>113</v>
      </c>
      <c r="J31" t="s">
        <v>114</v>
      </c>
      <c r="K31">
        <v>70408</v>
      </c>
      <c r="L31">
        <v>19.98</v>
      </c>
      <c r="M31">
        <v>19.98</v>
      </c>
      <c r="N31" t="s">
        <v>4001</v>
      </c>
      <c r="O31" t="s">
        <v>3980</v>
      </c>
      <c r="P31" t="str">
        <f>TRIM(Table13_1[[#This Row],[Genre]])</f>
        <v>Action</v>
      </c>
    </row>
    <row r="32" spans="1:16" x14ac:dyDescent="0.3">
      <c r="A32" t="s">
        <v>115</v>
      </c>
      <c r="B32" t="s">
        <v>116</v>
      </c>
      <c r="C32">
        <v>1997</v>
      </c>
      <c r="D32">
        <v>1990</v>
      </c>
      <c r="E32" t="s">
        <v>17</v>
      </c>
      <c r="F32">
        <v>132</v>
      </c>
      <c r="G32" t="s">
        <v>3999</v>
      </c>
      <c r="H32" t="s">
        <v>118</v>
      </c>
      <c r="I32" t="s">
        <v>119</v>
      </c>
      <c r="J32" t="s">
        <v>120</v>
      </c>
      <c r="K32">
        <v>157304</v>
      </c>
      <c r="L32">
        <v>181.29</v>
      </c>
      <c r="M32">
        <v>181.29</v>
      </c>
      <c r="N32" t="s">
        <v>4002</v>
      </c>
      <c r="O32" t="s">
        <v>72</v>
      </c>
      <c r="P32" t="str">
        <f>TRIM(Table13_1[[#This Row],[Genre]])</f>
        <v>War</v>
      </c>
    </row>
    <row r="33" spans="1:16" x14ac:dyDescent="0.3">
      <c r="A33" t="s">
        <v>115</v>
      </c>
      <c r="B33" t="s">
        <v>116</v>
      </c>
      <c r="C33">
        <v>1997</v>
      </c>
      <c r="D33">
        <v>1990</v>
      </c>
      <c r="E33" t="s">
        <v>17</v>
      </c>
      <c r="F33">
        <v>132</v>
      </c>
      <c r="G33" t="s">
        <v>3999</v>
      </c>
      <c r="H33" t="s">
        <v>118</v>
      </c>
      <c r="I33" t="s">
        <v>119</v>
      </c>
      <c r="J33" t="s">
        <v>120</v>
      </c>
      <c r="K33">
        <v>157304</v>
      </c>
      <c r="L33">
        <v>181.29</v>
      </c>
      <c r="M33">
        <v>181.29</v>
      </c>
      <c r="N33" t="s">
        <v>4002</v>
      </c>
      <c r="O33" t="s">
        <v>3986</v>
      </c>
      <c r="P33" t="str">
        <f>TRIM(Table13_1[[#This Row],[Genre]])</f>
        <v>Documentary</v>
      </c>
    </row>
    <row r="34" spans="1:16" x14ac:dyDescent="0.3">
      <c r="A34" t="s">
        <v>121</v>
      </c>
      <c r="B34" t="s">
        <v>122</v>
      </c>
      <c r="C34">
        <v>1960</v>
      </c>
      <c r="D34">
        <v>1960</v>
      </c>
      <c r="E34" t="s">
        <v>17</v>
      </c>
      <c r="F34">
        <v>119</v>
      </c>
      <c r="G34" t="s">
        <v>3997</v>
      </c>
      <c r="H34" t="s">
        <v>124</v>
      </c>
      <c r="I34" t="s">
        <v>125</v>
      </c>
      <c r="J34" t="s">
        <v>126</v>
      </c>
      <c r="K34">
        <v>1411</v>
      </c>
      <c r="L34">
        <v>263.5</v>
      </c>
      <c r="M34">
        <v>263.5</v>
      </c>
      <c r="N34" t="s">
        <v>3998</v>
      </c>
      <c r="O34" t="s">
        <v>230</v>
      </c>
      <c r="P34" t="str">
        <f>TRIM(Table13_1[[#This Row],[Genre]])</f>
        <v>Documentary</v>
      </c>
    </row>
    <row r="35" spans="1:16" x14ac:dyDescent="0.3">
      <c r="A35" t="s">
        <v>121</v>
      </c>
      <c r="B35" t="s">
        <v>122</v>
      </c>
      <c r="C35">
        <v>1960</v>
      </c>
      <c r="D35">
        <v>1960</v>
      </c>
      <c r="E35" t="s">
        <v>17</v>
      </c>
      <c r="F35">
        <v>119</v>
      </c>
      <c r="G35" t="s">
        <v>3997</v>
      </c>
      <c r="H35" t="s">
        <v>124</v>
      </c>
      <c r="I35" t="s">
        <v>125</v>
      </c>
      <c r="J35" t="s">
        <v>126</v>
      </c>
      <c r="K35">
        <v>1411</v>
      </c>
      <c r="L35">
        <v>263.5</v>
      </c>
      <c r="M35">
        <v>263.5</v>
      </c>
      <c r="N35" t="s">
        <v>3998</v>
      </c>
      <c r="O35" t="s">
        <v>3987</v>
      </c>
      <c r="P35" t="str">
        <f>TRIM(Table13_1[[#This Row],[Genre]])</f>
        <v>Fantasy</v>
      </c>
    </row>
    <row r="36" spans="1:16" x14ac:dyDescent="0.3">
      <c r="A36" t="s">
        <v>121</v>
      </c>
      <c r="B36" t="s">
        <v>122</v>
      </c>
      <c r="C36">
        <v>1960</v>
      </c>
      <c r="D36">
        <v>1960</v>
      </c>
      <c r="E36" t="s">
        <v>17</v>
      </c>
      <c r="F36">
        <v>119</v>
      </c>
      <c r="G36" t="s">
        <v>3997</v>
      </c>
      <c r="H36" t="s">
        <v>124</v>
      </c>
      <c r="I36" t="s">
        <v>125</v>
      </c>
      <c r="J36" t="s">
        <v>126</v>
      </c>
      <c r="K36">
        <v>1411</v>
      </c>
      <c r="L36">
        <v>263.5</v>
      </c>
      <c r="M36">
        <v>263.5</v>
      </c>
      <c r="N36" t="s">
        <v>3998</v>
      </c>
      <c r="O36" t="s">
        <v>3979</v>
      </c>
      <c r="P36" t="str">
        <f>TRIM(Table13_1[[#This Row],[Genre]])</f>
        <v>War</v>
      </c>
    </row>
    <row r="37" spans="1:16" x14ac:dyDescent="0.3">
      <c r="A37" t="s">
        <v>127</v>
      </c>
      <c r="B37" t="s">
        <v>128</v>
      </c>
      <c r="C37">
        <v>1963</v>
      </c>
      <c r="D37">
        <v>1960</v>
      </c>
      <c r="E37" t="s">
        <v>17</v>
      </c>
      <c r="F37">
        <v>127</v>
      </c>
      <c r="G37" t="s">
        <v>3999</v>
      </c>
      <c r="H37" t="s">
        <v>130</v>
      </c>
      <c r="I37" t="s">
        <v>131</v>
      </c>
      <c r="J37" t="s">
        <v>132</v>
      </c>
      <c r="K37">
        <v>33020</v>
      </c>
      <c r="L37">
        <v>218.75</v>
      </c>
      <c r="M37">
        <v>218.75</v>
      </c>
      <c r="N37" t="s">
        <v>3998</v>
      </c>
      <c r="O37" t="s">
        <v>129</v>
      </c>
      <c r="P37" t="str">
        <f>TRIM(Table13_1[[#This Row],[Genre]])</f>
        <v>Horror</v>
      </c>
    </row>
    <row r="38" spans="1:16" x14ac:dyDescent="0.3">
      <c r="A38" t="s">
        <v>133</v>
      </c>
      <c r="B38" t="s">
        <v>134</v>
      </c>
      <c r="C38">
        <v>1961</v>
      </c>
      <c r="D38">
        <v>1960</v>
      </c>
      <c r="E38" t="s">
        <v>17</v>
      </c>
      <c r="F38">
        <v>96</v>
      </c>
      <c r="G38" t="s">
        <v>3997</v>
      </c>
      <c r="H38" t="s">
        <v>136</v>
      </c>
      <c r="I38" t="s">
        <v>137</v>
      </c>
      <c r="J38" t="s">
        <v>138</v>
      </c>
      <c r="K38">
        <v>221952</v>
      </c>
      <c r="L38">
        <v>186.09</v>
      </c>
      <c r="M38">
        <v>186.09</v>
      </c>
      <c r="N38" t="s">
        <v>4002</v>
      </c>
      <c r="O38" t="s">
        <v>43</v>
      </c>
      <c r="P38" t="str">
        <f>TRIM(Table13_1[[#This Row],[Genre]])</f>
        <v>Mystery</v>
      </c>
    </row>
    <row r="39" spans="1:16" x14ac:dyDescent="0.3">
      <c r="A39" t="s">
        <v>133</v>
      </c>
      <c r="B39" t="s">
        <v>134</v>
      </c>
      <c r="C39">
        <v>1961</v>
      </c>
      <c r="D39">
        <v>1960</v>
      </c>
      <c r="E39" t="s">
        <v>17</v>
      </c>
      <c r="F39">
        <v>96</v>
      </c>
      <c r="G39" t="s">
        <v>3997</v>
      </c>
      <c r="H39" t="s">
        <v>136</v>
      </c>
      <c r="I39" t="s">
        <v>137</v>
      </c>
      <c r="J39" t="s">
        <v>138</v>
      </c>
      <c r="K39">
        <v>221952</v>
      </c>
      <c r="L39">
        <v>186.09</v>
      </c>
      <c r="M39">
        <v>186.09</v>
      </c>
      <c r="N39" t="s">
        <v>4002</v>
      </c>
      <c r="O39" t="s">
        <v>3988</v>
      </c>
      <c r="P39" t="str">
        <f>TRIM(Table13_1[[#This Row],[Genre]])</f>
        <v>Drama</v>
      </c>
    </row>
    <row r="40" spans="1:16" x14ac:dyDescent="0.3">
      <c r="A40" t="s">
        <v>139</v>
      </c>
      <c r="B40" t="s">
        <v>140</v>
      </c>
      <c r="C40">
        <v>2024</v>
      </c>
      <c r="D40">
        <v>2020</v>
      </c>
      <c r="E40" t="s">
        <v>54</v>
      </c>
      <c r="F40">
        <v>70</v>
      </c>
      <c r="G40" t="s">
        <v>4000</v>
      </c>
      <c r="H40" t="s">
        <v>141</v>
      </c>
      <c r="I40" t="s">
        <v>86</v>
      </c>
      <c r="J40" t="s">
        <v>142</v>
      </c>
      <c r="K40">
        <v>97124</v>
      </c>
      <c r="L40">
        <v>642.62</v>
      </c>
      <c r="M40">
        <v>642.62</v>
      </c>
      <c r="N40" t="s">
        <v>3998</v>
      </c>
      <c r="O40" t="s">
        <v>78</v>
      </c>
      <c r="P40" t="str">
        <f>TRIM(Table13_1[[#This Row],[Genre]])</f>
        <v>Adventure</v>
      </c>
    </row>
    <row r="41" spans="1:16" x14ac:dyDescent="0.3">
      <c r="A41" t="s">
        <v>143</v>
      </c>
      <c r="B41" t="s">
        <v>144</v>
      </c>
      <c r="C41">
        <v>2011</v>
      </c>
      <c r="D41">
        <v>2010</v>
      </c>
      <c r="E41" t="s">
        <v>54</v>
      </c>
      <c r="F41">
        <v>80</v>
      </c>
      <c r="G41" t="s">
        <v>4000</v>
      </c>
      <c r="H41" t="s">
        <v>146</v>
      </c>
      <c r="I41" t="s">
        <v>147</v>
      </c>
      <c r="J41" t="s">
        <v>148</v>
      </c>
      <c r="K41">
        <v>22886</v>
      </c>
      <c r="M41">
        <v>0</v>
      </c>
      <c r="N41" t="s">
        <v>4001</v>
      </c>
      <c r="O41" t="s">
        <v>230</v>
      </c>
      <c r="P41" t="str">
        <f>TRIM(Table13_1[[#This Row],[Genre]])</f>
        <v>Documentary</v>
      </c>
    </row>
    <row r="42" spans="1:16" x14ac:dyDescent="0.3">
      <c r="A42" t="s">
        <v>143</v>
      </c>
      <c r="B42" t="s">
        <v>144</v>
      </c>
      <c r="C42">
        <v>2011</v>
      </c>
      <c r="D42">
        <v>2010</v>
      </c>
      <c r="E42" t="s">
        <v>54</v>
      </c>
      <c r="F42">
        <v>80</v>
      </c>
      <c r="G42" t="s">
        <v>4000</v>
      </c>
      <c r="H42" t="s">
        <v>146</v>
      </c>
      <c r="I42" t="s">
        <v>147</v>
      </c>
      <c r="J42" t="s">
        <v>148</v>
      </c>
      <c r="K42">
        <v>22886</v>
      </c>
      <c r="M42">
        <v>0</v>
      </c>
      <c r="N42" t="s">
        <v>4001</v>
      </c>
      <c r="O42" t="s">
        <v>3981</v>
      </c>
      <c r="P42" t="str">
        <f>TRIM(Table13_1[[#This Row],[Genre]])</f>
        <v>Romance</v>
      </c>
    </row>
    <row r="43" spans="1:16" x14ac:dyDescent="0.3">
      <c r="A43" t="s">
        <v>149</v>
      </c>
      <c r="B43" t="s">
        <v>150</v>
      </c>
      <c r="C43">
        <v>2018</v>
      </c>
      <c r="D43">
        <v>2010</v>
      </c>
      <c r="E43" t="s">
        <v>54</v>
      </c>
      <c r="F43">
        <v>132</v>
      </c>
      <c r="G43" t="s">
        <v>3999</v>
      </c>
      <c r="H43" t="s">
        <v>152</v>
      </c>
      <c r="I43" t="s">
        <v>153</v>
      </c>
      <c r="J43" t="s">
        <v>154</v>
      </c>
      <c r="K43">
        <v>123542</v>
      </c>
      <c r="L43">
        <v>987.17</v>
      </c>
      <c r="M43">
        <v>987.17</v>
      </c>
      <c r="N43" t="s">
        <v>3998</v>
      </c>
      <c r="O43" t="s">
        <v>210</v>
      </c>
      <c r="P43" t="str">
        <f>TRIM(Table13_1[[#This Row],[Genre]])</f>
        <v>Action</v>
      </c>
    </row>
    <row r="44" spans="1:16" x14ac:dyDescent="0.3">
      <c r="A44" t="s">
        <v>149</v>
      </c>
      <c r="B44" t="s">
        <v>150</v>
      </c>
      <c r="C44">
        <v>2018</v>
      </c>
      <c r="D44">
        <v>2010</v>
      </c>
      <c r="E44" t="s">
        <v>54</v>
      </c>
      <c r="F44">
        <v>132</v>
      </c>
      <c r="G44" t="s">
        <v>3999</v>
      </c>
      <c r="H44" t="s">
        <v>152</v>
      </c>
      <c r="I44" t="s">
        <v>153</v>
      </c>
      <c r="J44" t="s">
        <v>154</v>
      </c>
      <c r="K44">
        <v>123542</v>
      </c>
      <c r="L44">
        <v>987.17</v>
      </c>
      <c r="M44">
        <v>987.17</v>
      </c>
      <c r="N44" t="s">
        <v>3998</v>
      </c>
      <c r="O44" t="s">
        <v>3978</v>
      </c>
      <c r="P44" t="str">
        <f>TRIM(Table13_1[[#This Row],[Genre]])</f>
        <v>Mystery</v>
      </c>
    </row>
    <row r="45" spans="1:16" x14ac:dyDescent="0.3">
      <c r="A45" t="s">
        <v>155</v>
      </c>
      <c r="B45" t="s">
        <v>156</v>
      </c>
      <c r="C45">
        <v>2004</v>
      </c>
      <c r="D45">
        <v>2000</v>
      </c>
      <c r="E45" t="s">
        <v>54</v>
      </c>
      <c r="F45">
        <v>118</v>
      </c>
      <c r="G45" t="s">
        <v>3997</v>
      </c>
      <c r="H45" t="s">
        <v>158</v>
      </c>
      <c r="I45" t="s">
        <v>159</v>
      </c>
      <c r="J45" t="s">
        <v>160</v>
      </c>
      <c r="K45">
        <v>82668</v>
      </c>
      <c r="L45">
        <v>50.27</v>
      </c>
      <c r="M45">
        <v>50.27</v>
      </c>
      <c r="N45" t="s">
        <v>4001</v>
      </c>
      <c r="O45" t="s">
        <v>157</v>
      </c>
      <c r="P45" t="str">
        <f>TRIM(Table13_1[[#This Row],[Genre]])</f>
        <v>Animation</v>
      </c>
    </row>
    <row r="46" spans="1:16" x14ac:dyDescent="0.3">
      <c r="A46" t="s">
        <v>161</v>
      </c>
      <c r="B46" t="s">
        <v>162</v>
      </c>
      <c r="C46">
        <v>1987</v>
      </c>
      <c r="D46">
        <v>1980</v>
      </c>
      <c r="E46" t="s">
        <v>24</v>
      </c>
      <c r="F46">
        <v>131</v>
      </c>
      <c r="G46" t="s">
        <v>3999</v>
      </c>
      <c r="H46" t="s">
        <v>164</v>
      </c>
      <c r="I46" t="s">
        <v>165</v>
      </c>
      <c r="J46" t="s">
        <v>166</v>
      </c>
      <c r="K46">
        <v>300536</v>
      </c>
      <c r="L46">
        <v>38.26</v>
      </c>
      <c r="M46">
        <v>38.26</v>
      </c>
      <c r="N46" t="s">
        <v>4001</v>
      </c>
      <c r="O46" t="s">
        <v>1044</v>
      </c>
      <c r="P46" t="str">
        <f>TRIM(Table13_1[[#This Row],[Genre]])</f>
        <v>Comedy</v>
      </c>
    </row>
    <row r="47" spans="1:16" x14ac:dyDescent="0.3">
      <c r="A47" t="s">
        <v>161</v>
      </c>
      <c r="B47" t="s">
        <v>162</v>
      </c>
      <c r="C47">
        <v>1987</v>
      </c>
      <c r="D47">
        <v>1980</v>
      </c>
      <c r="E47" t="s">
        <v>24</v>
      </c>
      <c r="F47">
        <v>131</v>
      </c>
      <c r="G47" t="s">
        <v>3999</v>
      </c>
      <c r="H47" t="s">
        <v>164</v>
      </c>
      <c r="I47" t="s">
        <v>165</v>
      </c>
      <c r="J47" t="s">
        <v>166</v>
      </c>
      <c r="K47">
        <v>300536</v>
      </c>
      <c r="L47">
        <v>38.26</v>
      </c>
      <c r="M47">
        <v>38.26</v>
      </c>
      <c r="N47" t="s">
        <v>4001</v>
      </c>
      <c r="O47" t="s">
        <v>3986</v>
      </c>
      <c r="P47" t="str">
        <f>TRIM(Table13_1[[#This Row],[Genre]])</f>
        <v>Documentary</v>
      </c>
    </row>
    <row r="48" spans="1:16" x14ac:dyDescent="0.3">
      <c r="A48" t="s">
        <v>167</v>
      </c>
      <c r="B48" t="s">
        <v>168</v>
      </c>
      <c r="C48">
        <v>1992</v>
      </c>
      <c r="D48">
        <v>1990</v>
      </c>
      <c r="E48" t="s">
        <v>169</v>
      </c>
      <c r="F48">
        <v>110</v>
      </c>
      <c r="G48" t="s">
        <v>3997</v>
      </c>
      <c r="H48" t="s">
        <v>170</v>
      </c>
      <c r="I48" t="s">
        <v>50</v>
      </c>
      <c r="J48" t="s">
        <v>171</v>
      </c>
      <c r="K48">
        <v>41424</v>
      </c>
      <c r="L48">
        <v>204.77</v>
      </c>
      <c r="M48">
        <v>204.77</v>
      </c>
      <c r="N48" t="s">
        <v>3998</v>
      </c>
      <c r="O48" t="s">
        <v>78</v>
      </c>
      <c r="P48" t="str">
        <f>TRIM(Table13_1[[#This Row],[Genre]])</f>
        <v>Adventure</v>
      </c>
    </row>
    <row r="49" spans="1:16" x14ac:dyDescent="0.3">
      <c r="A49" t="s">
        <v>172</v>
      </c>
      <c r="B49" t="s">
        <v>173</v>
      </c>
      <c r="C49">
        <v>2017</v>
      </c>
      <c r="D49">
        <v>2010</v>
      </c>
      <c r="E49" t="s">
        <v>54</v>
      </c>
      <c r="F49">
        <v>123</v>
      </c>
      <c r="G49" t="s">
        <v>3999</v>
      </c>
      <c r="H49" t="s">
        <v>175</v>
      </c>
      <c r="I49" t="s">
        <v>20</v>
      </c>
      <c r="J49" t="s">
        <v>176</v>
      </c>
      <c r="K49">
        <v>42588</v>
      </c>
      <c r="L49">
        <v>67.67</v>
      </c>
      <c r="M49">
        <v>67.67</v>
      </c>
      <c r="N49" t="s">
        <v>4001</v>
      </c>
      <c r="O49" t="s">
        <v>78</v>
      </c>
      <c r="P49" t="str">
        <f>TRIM(Table13_1[[#This Row],[Genre]])</f>
        <v>Adventure</v>
      </c>
    </row>
    <row r="50" spans="1:16" x14ac:dyDescent="0.3">
      <c r="A50" t="s">
        <v>172</v>
      </c>
      <c r="B50" t="s">
        <v>173</v>
      </c>
      <c r="C50">
        <v>2017</v>
      </c>
      <c r="D50">
        <v>2010</v>
      </c>
      <c r="E50" t="s">
        <v>54</v>
      </c>
      <c r="F50">
        <v>123</v>
      </c>
      <c r="G50" t="s">
        <v>3999</v>
      </c>
      <c r="H50" t="s">
        <v>175</v>
      </c>
      <c r="I50" t="s">
        <v>20</v>
      </c>
      <c r="J50" t="s">
        <v>176</v>
      </c>
      <c r="K50">
        <v>42588</v>
      </c>
      <c r="L50">
        <v>67.67</v>
      </c>
      <c r="M50">
        <v>67.67</v>
      </c>
      <c r="N50" t="s">
        <v>4001</v>
      </c>
      <c r="O50" t="s">
        <v>3976</v>
      </c>
      <c r="P50" t="str">
        <f>TRIM(Table13_1[[#This Row],[Genre]])</f>
        <v>Musical</v>
      </c>
    </row>
    <row r="51" spans="1:16" x14ac:dyDescent="0.3">
      <c r="A51" t="s">
        <v>177</v>
      </c>
      <c r="B51" t="s">
        <v>178</v>
      </c>
      <c r="C51">
        <v>2023</v>
      </c>
      <c r="D51">
        <v>2020</v>
      </c>
      <c r="E51" t="s">
        <v>24</v>
      </c>
      <c r="F51">
        <v>103</v>
      </c>
      <c r="G51" t="s">
        <v>3997</v>
      </c>
      <c r="H51" t="s">
        <v>180</v>
      </c>
      <c r="I51" t="s">
        <v>27</v>
      </c>
      <c r="J51" t="s">
        <v>181</v>
      </c>
      <c r="K51">
        <v>20164</v>
      </c>
      <c r="L51">
        <v>698.26</v>
      </c>
      <c r="M51">
        <v>698.26</v>
      </c>
      <c r="N51" t="s">
        <v>3998</v>
      </c>
      <c r="O51" t="s">
        <v>1044</v>
      </c>
      <c r="P51" t="str">
        <f>TRIM(Table13_1[[#This Row],[Genre]])</f>
        <v>Comedy</v>
      </c>
    </row>
    <row r="52" spans="1:16" x14ac:dyDescent="0.3">
      <c r="A52" t="s">
        <v>177</v>
      </c>
      <c r="B52" t="s">
        <v>178</v>
      </c>
      <c r="C52">
        <v>2023</v>
      </c>
      <c r="D52">
        <v>2020</v>
      </c>
      <c r="E52" t="s">
        <v>24</v>
      </c>
      <c r="F52">
        <v>103</v>
      </c>
      <c r="G52" t="s">
        <v>3997</v>
      </c>
      <c r="H52" t="s">
        <v>180</v>
      </c>
      <c r="I52" t="s">
        <v>27</v>
      </c>
      <c r="J52" t="s">
        <v>181</v>
      </c>
      <c r="K52">
        <v>20164</v>
      </c>
      <c r="L52">
        <v>698.26</v>
      </c>
      <c r="M52">
        <v>698.26</v>
      </c>
      <c r="N52" t="s">
        <v>3998</v>
      </c>
      <c r="O52" t="s">
        <v>3989</v>
      </c>
      <c r="P52" t="str">
        <f>TRIM(Table13_1[[#This Row],[Genre]])</f>
        <v>Sci-Fi</v>
      </c>
    </row>
    <row r="53" spans="1:16" x14ac:dyDescent="0.3">
      <c r="A53" t="s">
        <v>182</v>
      </c>
      <c r="B53" t="s">
        <v>183</v>
      </c>
      <c r="C53">
        <v>2003</v>
      </c>
      <c r="D53">
        <v>2000</v>
      </c>
      <c r="E53" t="s">
        <v>17</v>
      </c>
      <c r="F53">
        <v>124</v>
      </c>
      <c r="G53" t="s">
        <v>3999</v>
      </c>
      <c r="H53" t="s">
        <v>185</v>
      </c>
      <c r="I53" t="s">
        <v>63</v>
      </c>
      <c r="J53" t="s">
        <v>186</v>
      </c>
      <c r="K53">
        <v>30152</v>
      </c>
      <c r="L53">
        <v>481.83</v>
      </c>
      <c r="M53">
        <v>481.83</v>
      </c>
      <c r="N53" t="s">
        <v>3998</v>
      </c>
      <c r="O53" t="s">
        <v>55</v>
      </c>
      <c r="P53" t="str">
        <f>TRIM(Table13_1[[#This Row],[Genre]])</f>
        <v>Romance</v>
      </c>
    </row>
    <row r="54" spans="1:16" x14ac:dyDescent="0.3">
      <c r="A54" t="s">
        <v>182</v>
      </c>
      <c r="B54" t="s">
        <v>183</v>
      </c>
      <c r="C54">
        <v>2003</v>
      </c>
      <c r="D54">
        <v>2000</v>
      </c>
      <c r="E54" t="s">
        <v>17</v>
      </c>
      <c r="F54">
        <v>124</v>
      </c>
      <c r="G54" t="s">
        <v>3999</v>
      </c>
      <c r="H54" t="s">
        <v>185</v>
      </c>
      <c r="I54" t="s">
        <v>63</v>
      </c>
      <c r="J54" t="s">
        <v>186</v>
      </c>
      <c r="K54">
        <v>30152</v>
      </c>
      <c r="L54">
        <v>481.83</v>
      </c>
      <c r="M54">
        <v>481.83</v>
      </c>
      <c r="N54" t="s">
        <v>3998</v>
      </c>
      <c r="O54" t="s">
        <v>3979</v>
      </c>
      <c r="P54" t="str">
        <f>TRIM(Table13_1[[#This Row],[Genre]])</f>
        <v>War</v>
      </c>
    </row>
    <row r="55" spans="1:16" x14ac:dyDescent="0.3">
      <c r="A55" t="s">
        <v>182</v>
      </c>
      <c r="B55" t="s">
        <v>183</v>
      </c>
      <c r="C55">
        <v>2003</v>
      </c>
      <c r="D55">
        <v>2000</v>
      </c>
      <c r="E55" t="s">
        <v>17</v>
      </c>
      <c r="F55">
        <v>124</v>
      </c>
      <c r="G55" t="s">
        <v>3999</v>
      </c>
      <c r="H55" t="s">
        <v>185</v>
      </c>
      <c r="I55" t="s">
        <v>63</v>
      </c>
      <c r="J55" t="s">
        <v>186</v>
      </c>
      <c r="K55">
        <v>30152</v>
      </c>
      <c r="L55">
        <v>481.83</v>
      </c>
      <c r="M55">
        <v>481.83</v>
      </c>
      <c r="N55" t="s">
        <v>3998</v>
      </c>
      <c r="O55" t="s">
        <v>3990</v>
      </c>
      <c r="P55" t="str">
        <f>TRIM(Table13_1[[#This Row],[Genre]])</f>
        <v>Western</v>
      </c>
    </row>
    <row r="56" spans="1:16" x14ac:dyDescent="0.3">
      <c r="A56" t="s">
        <v>187</v>
      </c>
      <c r="B56" t="s">
        <v>188</v>
      </c>
      <c r="C56">
        <v>1949</v>
      </c>
      <c r="D56">
        <v>1940</v>
      </c>
      <c r="E56" t="s">
        <v>24</v>
      </c>
      <c r="F56">
        <v>118</v>
      </c>
      <c r="G56" t="s">
        <v>3997</v>
      </c>
      <c r="H56" t="s">
        <v>190</v>
      </c>
      <c r="I56" t="s">
        <v>191</v>
      </c>
      <c r="J56" t="s">
        <v>192</v>
      </c>
      <c r="K56">
        <v>123595</v>
      </c>
      <c r="L56">
        <v>281.54000000000002</v>
      </c>
      <c r="M56">
        <v>281.54000000000002</v>
      </c>
      <c r="N56" t="s">
        <v>3998</v>
      </c>
      <c r="O56" t="s">
        <v>277</v>
      </c>
      <c r="P56" t="str">
        <f>TRIM(Table13_1[[#This Row],[Genre]])</f>
        <v>Thriller</v>
      </c>
    </row>
    <row r="57" spans="1:16" x14ac:dyDescent="0.3">
      <c r="A57" t="s">
        <v>187</v>
      </c>
      <c r="B57" t="s">
        <v>188</v>
      </c>
      <c r="C57">
        <v>1949</v>
      </c>
      <c r="D57">
        <v>1940</v>
      </c>
      <c r="E57" t="s">
        <v>24</v>
      </c>
      <c r="F57">
        <v>118</v>
      </c>
      <c r="G57" t="s">
        <v>3997</v>
      </c>
      <c r="H57" t="s">
        <v>190</v>
      </c>
      <c r="I57" t="s">
        <v>191</v>
      </c>
      <c r="J57" t="s">
        <v>192</v>
      </c>
      <c r="K57">
        <v>123595</v>
      </c>
      <c r="L57">
        <v>281.54000000000002</v>
      </c>
      <c r="M57">
        <v>281.54000000000002</v>
      </c>
      <c r="N57" t="s">
        <v>3998</v>
      </c>
      <c r="O57" t="s">
        <v>3980</v>
      </c>
      <c r="P57" t="str">
        <f>TRIM(Table13_1[[#This Row],[Genre]])</f>
        <v>Action</v>
      </c>
    </row>
    <row r="58" spans="1:16" x14ac:dyDescent="0.3">
      <c r="A58" t="s">
        <v>193</v>
      </c>
      <c r="B58" t="s">
        <v>194</v>
      </c>
      <c r="C58">
        <v>2014</v>
      </c>
      <c r="D58">
        <v>2010</v>
      </c>
      <c r="E58" t="s">
        <v>54</v>
      </c>
      <c r="F58">
        <v>150</v>
      </c>
      <c r="G58" t="s">
        <v>3999</v>
      </c>
      <c r="H58" t="s">
        <v>38</v>
      </c>
      <c r="I58" t="s">
        <v>196</v>
      </c>
      <c r="J58" t="s">
        <v>197</v>
      </c>
      <c r="K58">
        <v>2500000</v>
      </c>
      <c r="L58">
        <v>386.05</v>
      </c>
      <c r="M58">
        <v>386.05</v>
      </c>
      <c r="N58" t="s">
        <v>3998</v>
      </c>
      <c r="O58" t="s">
        <v>37</v>
      </c>
      <c r="P58" t="str">
        <f>TRIM(Table13_1[[#This Row],[Genre]])</f>
        <v>Biography</v>
      </c>
    </row>
    <row r="59" spans="1:16" x14ac:dyDescent="0.3">
      <c r="A59" t="s">
        <v>193</v>
      </c>
      <c r="B59" t="s">
        <v>194</v>
      </c>
      <c r="C59">
        <v>2014</v>
      </c>
      <c r="D59">
        <v>2010</v>
      </c>
      <c r="E59" t="s">
        <v>54</v>
      </c>
      <c r="F59">
        <v>150</v>
      </c>
      <c r="G59" t="s">
        <v>3999</v>
      </c>
      <c r="H59" t="s">
        <v>38</v>
      </c>
      <c r="I59" t="s">
        <v>196</v>
      </c>
      <c r="J59" t="s">
        <v>197</v>
      </c>
      <c r="K59">
        <v>2500000</v>
      </c>
      <c r="L59">
        <v>386.05</v>
      </c>
      <c r="M59">
        <v>386.05</v>
      </c>
      <c r="N59" t="s">
        <v>3998</v>
      </c>
      <c r="O59" t="s">
        <v>3983</v>
      </c>
      <c r="P59" t="str">
        <f>TRIM(Table13_1[[#This Row],[Genre]])</f>
        <v>Crime</v>
      </c>
    </row>
    <row r="60" spans="1:16" x14ac:dyDescent="0.3">
      <c r="A60" t="s">
        <v>198</v>
      </c>
      <c r="B60" t="s">
        <v>199</v>
      </c>
      <c r="C60">
        <v>1976</v>
      </c>
      <c r="D60">
        <v>1970</v>
      </c>
      <c r="E60" t="s">
        <v>17</v>
      </c>
      <c r="F60">
        <v>121</v>
      </c>
      <c r="G60" t="s">
        <v>3999</v>
      </c>
      <c r="H60" t="s">
        <v>201</v>
      </c>
      <c r="I60" t="s">
        <v>191</v>
      </c>
      <c r="J60" t="s">
        <v>202</v>
      </c>
      <c r="K60">
        <v>25064</v>
      </c>
      <c r="M60">
        <v>0</v>
      </c>
      <c r="N60" t="s">
        <v>4001</v>
      </c>
      <c r="O60" t="s">
        <v>235</v>
      </c>
      <c r="P60" t="str">
        <f>TRIM(Table13_1[[#This Row],[Genre]])</f>
        <v>Drama</v>
      </c>
    </row>
    <row r="61" spans="1:16" x14ac:dyDescent="0.3">
      <c r="A61" t="s">
        <v>198</v>
      </c>
      <c r="B61" t="s">
        <v>199</v>
      </c>
      <c r="C61">
        <v>1976</v>
      </c>
      <c r="D61">
        <v>1970</v>
      </c>
      <c r="E61" t="s">
        <v>17</v>
      </c>
      <c r="F61">
        <v>121</v>
      </c>
      <c r="G61" t="s">
        <v>3999</v>
      </c>
      <c r="H61" t="s">
        <v>201</v>
      </c>
      <c r="I61" t="s">
        <v>191</v>
      </c>
      <c r="J61" t="s">
        <v>202</v>
      </c>
      <c r="K61">
        <v>25064</v>
      </c>
      <c r="M61">
        <v>0</v>
      </c>
      <c r="N61" t="s">
        <v>4001</v>
      </c>
      <c r="O61" t="s">
        <v>3985</v>
      </c>
      <c r="P61" t="str">
        <f>TRIM(Table13_1[[#This Row],[Genre]])</f>
        <v>Horror</v>
      </c>
    </row>
    <row r="62" spans="1:16" x14ac:dyDescent="0.3">
      <c r="A62" t="s">
        <v>203</v>
      </c>
      <c r="B62" t="s">
        <v>204</v>
      </c>
      <c r="C62">
        <v>1990</v>
      </c>
      <c r="D62">
        <v>1990</v>
      </c>
      <c r="E62" t="s">
        <v>24</v>
      </c>
      <c r="F62">
        <v>96</v>
      </c>
      <c r="G62" t="s">
        <v>3997</v>
      </c>
      <c r="H62" t="s">
        <v>206</v>
      </c>
      <c r="I62" t="s">
        <v>80</v>
      </c>
      <c r="J62" t="s">
        <v>207</v>
      </c>
      <c r="K62">
        <v>126252</v>
      </c>
      <c r="L62">
        <v>203.62</v>
      </c>
      <c r="M62">
        <v>203.62</v>
      </c>
      <c r="N62" t="s">
        <v>3998</v>
      </c>
      <c r="O62" t="s">
        <v>1044</v>
      </c>
      <c r="P62" t="str">
        <f>TRIM(Table13_1[[#This Row],[Genre]])</f>
        <v>Comedy</v>
      </c>
    </row>
    <row r="63" spans="1:16" x14ac:dyDescent="0.3">
      <c r="A63" t="s">
        <v>203</v>
      </c>
      <c r="B63" t="s">
        <v>204</v>
      </c>
      <c r="C63">
        <v>1990</v>
      </c>
      <c r="D63">
        <v>1990</v>
      </c>
      <c r="E63" t="s">
        <v>24</v>
      </c>
      <c r="F63">
        <v>96</v>
      </c>
      <c r="G63" t="s">
        <v>3997</v>
      </c>
      <c r="H63" t="s">
        <v>206</v>
      </c>
      <c r="I63" t="s">
        <v>80</v>
      </c>
      <c r="J63" t="s">
        <v>207</v>
      </c>
      <c r="K63">
        <v>126252</v>
      </c>
      <c r="L63">
        <v>203.62</v>
      </c>
      <c r="M63">
        <v>203.62</v>
      </c>
      <c r="N63" t="s">
        <v>3998</v>
      </c>
      <c r="O63" t="s">
        <v>3980</v>
      </c>
      <c r="P63" t="str">
        <f>TRIM(Table13_1[[#This Row],[Genre]])</f>
        <v>Action</v>
      </c>
    </row>
    <row r="64" spans="1:16" x14ac:dyDescent="0.3">
      <c r="A64" t="s">
        <v>208</v>
      </c>
      <c r="B64" t="s">
        <v>209</v>
      </c>
      <c r="C64">
        <v>2022</v>
      </c>
      <c r="D64">
        <v>2020</v>
      </c>
      <c r="E64" t="s">
        <v>54</v>
      </c>
      <c r="F64">
        <v>154</v>
      </c>
      <c r="G64" t="s">
        <v>3999</v>
      </c>
      <c r="H64" t="s">
        <v>211</v>
      </c>
      <c r="I64" t="s">
        <v>103</v>
      </c>
      <c r="J64" t="s">
        <v>212</v>
      </c>
      <c r="K64">
        <v>37916</v>
      </c>
      <c r="L64">
        <v>572.53</v>
      </c>
      <c r="M64">
        <v>572.53</v>
      </c>
      <c r="N64" t="s">
        <v>3998</v>
      </c>
      <c r="O64" t="s">
        <v>210</v>
      </c>
      <c r="P64" t="str">
        <f>TRIM(Table13_1[[#This Row],[Genre]])</f>
        <v>Action</v>
      </c>
    </row>
    <row r="65" spans="1:16" x14ac:dyDescent="0.3">
      <c r="A65" t="s">
        <v>213</v>
      </c>
      <c r="B65" t="s">
        <v>214</v>
      </c>
      <c r="C65">
        <v>1988</v>
      </c>
      <c r="D65">
        <v>1980</v>
      </c>
      <c r="E65" t="s">
        <v>24</v>
      </c>
      <c r="F65">
        <v>162</v>
      </c>
      <c r="G65" t="s">
        <v>3999</v>
      </c>
      <c r="H65" t="s">
        <v>215</v>
      </c>
      <c r="I65" t="s">
        <v>131</v>
      </c>
      <c r="J65" t="s">
        <v>216</v>
      </c>
      <c r="K65">
        <v>7354</v>
      </c>
      <c r="M65">
        <v>0</v>
      </c>
      <c r="N65" t="s">
        <v>4001</v>
      </c>
      <c r="O65" t="s">
        <v>55</v>
      </c>
      <c r="P65" t="str">
        <f>TRIM(Table13_1[[#This Row],[Genre]])</f>
        <v>Romance</v>
      </c>
    </row>
    <row r="66" spans="1:16" x14ac:dyDescent="0.3">
      <c r="A66" t="s">
        <v>217</v>
      </c>
      <c r="B66" t="s">
        <v>218</v>
      </c>
      <c r="C66">
        <v>2013</v>
      </c>
      <c r="D66">
        <v>2010</v>
      </c>
      <c r="E66" t="s">
        <v>169</v>
      </c>
      <c r="F66">
        <v>131</v>
      </c>
      <c r="G66" t="s">
        <v>3999</v>
      </c>
      <c r="H66" t="s">
        <v>220</v>
      </c>
      <c r="I66" t="s">
        <v>221</v>
      </c>
      <c r="J66" t="s">
        <v>222</v>
      </c>
      <c r="K66">
        <v>11460</v>
      </c>
      <c r="M66">
        <v>0</v>
      </c>
      <c r="N66" t="s">
        <v>4001</v>
      </c>
      <c r="O66" t="s">
        <v>606</v>
      </c>
      <c r="P66" t="str">
        <f>TRIM(Table13_1[[#This Row],[Genre]])</f>
        <v>Sci-Fi</v>
      </c>
    </row>
    <row r="67" spans="1:16" x14ac:dyDescent="0.3">
      <c r="A67" t="s">
        <v>217</v>
      </c>
      <c r="B67" t="s">
        <v>218</v>
      </c>
      <c r="C67">
        <v>2013</v>
      </c>
      <c r="D67">
        <v>2010</v>
      </c>
      <c r="E67" t="s">
        <v>169</v>
      </c>
      <c r="F67">
        <v>131</v>
      </c>
      <c r="G67" t="s">
        <v>3999</v>
      </c>
      <c r="H67" t="s">
        <v>220</v>
      </c>
      <c r="I67" t="s">
        <v>221</v>
      </c>
      <c r="J67" t="s">
        <v>222</v>
      </c>
      <c r="K67">
        <v>11460</v>
      </c>
      <c r="M67">
        <v>0</v>
      </c>
      <c r="N67" t="s">
        <v>4001</v>
      </c>
      <c r="O67" t="s">
        <v>3981</v>
      </c>
      <c r="P67" t="str">
        <f>TRIM(Table13_1[[#This Row],[Genre]])</f>
        <v>Romance</v>
      </c>
    </row>
    <row r="68" spans="1:16" x14ac:dyDescent="0.3">
      <c r="A68" t="s">
        <v>223</v>
      </c>
      <c r="B68" t="s">
        <v>224</v>
      </c>
      <c r="C68">
        <v>2017</v>
      </c>
      <c r="D68">
        <v>2010</v>
      </c>
      <c r="E68" t="s">
        <v>54</v>
      </c>
      <c r="F68">
        <v>102</v>
      </c>
      <c r="G68" t="s">
        <v>3997</v>
      </c>
      <c r="H68" t="s">
        <v>226</v>
      </c>
      <c r="I68" t="s">
        <v>113</v>
      </c>
      <c r="J68" t="s">
        <v>227</v>
      </c>
      <c r="K68">
        <v>53996</v>
      </c>
      <c r="M68">
        <v>0</v>
      </c>
      <c r="N68" t="s">
        <v>4001</v>
      </c>
      <c r="O68" t="s">
        <v>1044</v>
      </c>
      <c r="P68" t="str">
        <f>TRIM(Table13_1[[#This Row],[Genre]])</f>
        <v>Comedy</v>
      </c>
    </row>
    <row r="69" spans="1:16" x14ac:dyDescent="0.3">
      <c r="A69" t="s">
        <v>223</v>
      </c>
      <c r="B69" t="s">
        <v>224</v>
      </c>
      <c r="C69">
        <v>2017</v>
      </c>
      <c r="D69">
        <v>2010</v>
      </c>
      <c r="E69" t="s">
        <v>54</v>
      </c>
      <c r="F69">
        <v>102</v>
      </c>
      <c r="G69" t="s">
        <v>3997</v>
      </c>
      <c r="H69" t="s">
        <v>226</v>
      </c>
      <c r="I69" t="s">
        <v>113</v>
      </c>
      <c r="J69" t="s">
        <v>227</v>
      </c>
      <c r="K69">
        <v>53996</v>
      </c>
      <c r="M69">
        <v>0</v>
      </c>
      <c r="N69" t="s">
        <v>4001</v>
      </c>
      <c r="O69" t="s">
        <v>3982</v>
      </c>
      <c r="P69" t="str">
        <f>TRIM(Table13_1[[#This Row],[Genre]])</f>
        <v>Family</v>
      </c>
    </row>
    <row r="70" spans="1:16" x14ac:dyDescent="0.3">
      <c r="A70" t="s">
        <v>228</v>
      </c>
      <c r="B70" t="s">
        <v>229</v>
      </c>
      <c r="C70">
        <v>1972</v>
      </c>
      <c r="D70">
        <v>1970</v>
      </c>
      <c r="E70" t="s">
        <v>17</v>
      </c>
      <c r="F70">
        <v>140</v>
      </c>
      <c r="G70" t="s">
        <v>3999</v>
      </c>
      <c r="H70" t="s">
        <v>231</v>
      </c>
      <c r="I70" t="s">
        <v>68</v>
      </c>
      <c r="J70" t="s">
        <v>232</v>
      </c>
      <c r="K70">
        <v>20403</v>
      </c>
      <c r="L70">
        <v>163.31</v>
      </c>
      <c r="M70">
        <v>163.31</v>
      </c>
      <c r="N70" t="s">
        <v>4002</v>
      </c>
      <c r="O70" t="s">
        <v>230</v>
      </c>
      <c r="P70" t="str">
        <f>TRIM(Table13_1[[#This Row],[Genre]])</f>
        <v>Documentary</v>
      </c>
    </row>
    <row r="71" spans="1:16" x14ac:dyDescent="0.3">
      <c r="A71" t="s">
        <v>233</v>
      </c>
      <c r="B71" t="s">
        <v>234</v>
      </c>
      <c r="C71">
        <v>1984</v>
      </c>
      <c r="D71">
        <v>1980</v>
      </c>
      <c r="E71" t="s">
        <v>17</v>
      </c>
      <c r="F71">
        <v>131</v>
      </c>
      <c r="G71" t="s">
        <v>3999</v>
      </c>
      <c r="H71" t="s">
        <v>201</v>
      </c>
      <c r="I71" t="s">
        <v>236</v>
      </c>
      <c r="J71" t="s">
        <v>237</v>
      </c>
      <c r="K71">
        <v>349068</v>
      </c>
      <c r="L71">
        <v>204.76</v>
      </c>
      <c r="M71">
        <v>204.76</v>
      </c>
      <c r="N71" t="s">
        <v>3998</v>
      </c>
      <c r="O71" t="s">
        <v>235</v>
      </c>
      <c r="P71" t="str">
        <f>TRIM(Table13_1[[#This Row],[Genre]])</f>
        <v>Drama</v>
      </c>
    </row>
    <row r="72" spans="1:16" x14ac:dyDescent="0.3">
      <c r="A72" t="s">
        <v>238</v>
      </c>
      <c r="B72" t="s">
        <v>239</v>
      </c>
      <c r="C72">
        <v>1983</v>
      </c>
      <c r="D72">
        <v>1980</v>
      </c>
      <c r="E72" t="s">
        <v>24</v>
      </c>
      <c r="F72">
        <v>125</v>
      </c>
      <c r="G72" t="s">
        <v>3999</v>
      </c>
      <c r="H72" t="s">
        <v>240</v>
      </c>
      <c r="I72" t="s">
        <v>131</v>
      </c>
      <c r="J72" t="s">
        <v>241</v>
      </c>
      <c r="K72">
        <v>73263</v>
      </c>
      <c r="M72">
        <v>0</v>
      </c>
      <c r="N72" t="s">
        <v>4001</v>
      </c>
      <c r="O72" t="s">
        <v>767</v>
      </c>
      <c r="P72" t="str">
        <f>TRIM(Table13_1[[#This Row],[Genre]])</f>
        <v>Fantasy</v>
      </c>
    </row>
    <row r="73" spans="1:16" x14ac:dyDescent="0.3">
      <c r="A73" t="s">
        <v>238</v>
      </c>
      <c r="B73" t="s">
        <v>239</v>
      </c>
      <c r="C73">
        <v>1983</v>
      </c>
      <c r="D73">
        <v>1980</v>
      </c>
      <c r="E73" t="s">
        <v>24</v>
      </c>
      <c r="F73">
        <v>125</v>
      </c>
      <c r="G73" t="s">
        <v>3999</v>
      </c>
      <c r="H73" t="s">
        <v>240</v>
      </c>
      <c r="I73" t="s">
        <v>131</v>
      </c>
      <c r="J73" t="s">
        <v>241</v>
      </c>
      <c r="K73">
        <v>73263</v>
      </c>
      <c r="M73">
        <v>0</v>
      </c>
      <c r="N73" t="s">
        <v>4001</v>
      </c>
      <c r="O73" t="s">
        <v>3981</v>
      </c>
      <c r="P73" t="str">
        <f>TRIM(Table13_1[[#This Row],[Genre]])</f>
        <v>Romance</v>
      </c>
    </row>
    <row r="74" spans="1:16" x14ac:dyDescent="0.3">
      <c r="A74" t="s">
        <v>242</v>
      </c>
      <c r="B74" t="s">
        <v>243</v>
      </c>
      <c r="C74">
        <v>2024</v>
      </c>
      <c r="D74">
        <v>2020</v>
      </c>
      <c r="E74" t="s">
        <v>54</v>
      </c>
      <c r="F74">
        <v>129</v>
      </c>
      <c r="G74" t="s">
        <v>3999</v>
      </c>
      <c r="H74" t="s">
        <v>245</v>
      </c>
      <c r="I74" t="s">
        <v>80</v>
      </c>
      <c r="J74" t="s">
        <v>246</v>
      </c>
      <c r="K74">
        <v>901014</v>
      </c>
      <c r="L74">
        <v>632.39</v>
      </c>
      <c r="M74">
        <v>632.39</v>
      </c>
      <c r="N74" t="s">
        <v>3998</v>
      </c>
      <c r="O74" t="s">
        <v>43</v>
      </c>
      <c r="P74" t="str">
        <f>TRIM(Table13_1[[#This Row],[Genre]])</f>
        <v>Mystery</v>
      </c>
    </row>
    <row r="75" spans="1:16" x14ac:dyDescent="0.3">
      <c r="A75" t="s">
        <v>242</v>
      </c>
      <c r="B75" t="s">
        <v>243</v>
      </c>
      <c r="C75">
        <v>2024</v>
      </c>
      <c r="D75">
        <v>2020</v>
      </c>
      <c r="E75" t="s">
        <v>54</v>
      </c>
      <c r="F75">
        <v>129</v>
      </c>
      <c r="G75" t="s">
        <v>3999</v>
      </c>
      <c r="H75" t="s">
        <v>245</v>
      </c>
      <c r="I75" t="s">
        <v>80</v>
      </c>
      <c r="J75" t="s">
        <v>246</v>
      </c>
      <c r="K75">
        <v>901014</v>
      </c>
      <c r="L75">
        <v>632.39</v>
      </c>
      <c r="M75">
        <v>632.39</v>
      </c>
      <c r="N75" t="s">
        <v>3998</v>
      </c>
      <c r="O75" t="s">
        <v>3991</v>
      </c>
      <c r="P75" t="str">
        <f>TRIM(Table13_1[[#This Row],[Genre]])</f>
        <v>Thriller</v>
      </c>
    </row>
    <row r="76" spans="1:16" x14ac:dyDescent="0.3">
      <c r="A76" t="s">
        <v>247</v>
      </c>
      <c r="B76" t="s">
        <v>248</v>
      </c>
      <c r="C76">
        <v>2013</v>
      </c>
      <c r="D76">
        <v>2010</v>
      </c>
      <c r="E76" t="s">
        <v>54</v>
      </c>
      <c r="F76">
        <v>108</v>
      </c>
      <c r="G76" t="s">
        <v>3997</v>
      </c>
      <c r="H76" t="s">
        <v>250</v>
      </c>
      <c r="I76" t="s">
        <v>251</v>
      </c>
      <c r="J76" t="s">
        <v>252</v>
      </c>
      <c r="K76">
        <v>13644</v>
      </c>
      <c r="L76">
        <v>489.01</v>
      </c>
      <c r="M76">
        <v>489.01</v>
      </c>
      <c r="N76" t="s">
        <v>3998</v>
      </c>
      <c r="O76" t="s">
        <v>606</v>
      </c>
      <c r="P76" t="str">
        <f>TRIM(Table13_1[[#This Row],[Genre]])</f>
        <v>Sci-Fi</v>
      </c>
    </row>
    <row r="77" spans="1:16" x14ac:dyDescent="0.3">
      <c r="A77" t="s">
        <v>247</v>
      </c>
      <c r="B77" t="s">
        <v>248</v>
      </c>
      <c r="C77">
        <v>2013</v>
      </c>
      <c r="D77">
        <v>2010</v>
      </c>
      <c r="E77" t="s">
        <v>54</v>
      </c>
      <c r="F77">
        <v>108</v>
      </c>
      <c r="G77" t="s">
        <v>3997</v>
      </c>
      <c r="H77" t="s">
        <v>250</v>
      </c>
      <c r="I77" t="s">
        <v>251</v>
      </c>
      <c r="J77" t="s">
        <v>252</v>
      </c>
      <c r="K77">
        <v>13644</v>
      </c>
      <c r="L77">
        <v>489.01</v>
      </c>
      <c r="M77">
        <v>489.01</v>
      </c>
      <c r="N77" t="s">
        <v>3998</v>
      </c>
      <c r="O77" t="s">
        <v>3983</v>
      </c>
      <c r="P77" t="str">
        <f>TRIM(Table13_1[[#This Row],[Genre]])</f>
        <v>Crime</v>
      </c>
    </row>
    <row r="78" spans="1:16" x14ac:dyDescent="0.3">
      <c r="A78" t="s">
        <v>253</v>
      </c>
      <c r="B78" t="s">
        <v>254</v>
      </c>
      <c r="C78">
        <v>1988</v>
      </c>
      <c r="D78">
        <v>1980</v>
      </c>
      <c r="E78" t="s">
        <v>24</v>
      </c>
      <c r="F78">
        <v>126</v>
      </c>
      <c r="G78" t="s">
        <v>3999</v>
      </c>
      <c r="H78" t="s">
        <v>255</v>
      </c>
      <c r="I78" t="s">
        <v>236</v>
      </c>
      <c r="J78" t="s">
        <v>256</v>
      </c>
      <c r="K78">
        <v>184750</v>
      </c>
      <c r="M78">
        <v>0</v>
      </c>
      <c r="N78" t="s">
        <v>4001</v>
      </c>
      <c r="O78" t="s">
        <v>78</v>
      </c>
      <c r="P78" t="str">
        <f>TRIM(Table13_1[[#This Row],[Genre]])</f>
        <v>Adventure</v>
      </c>
    </row>
    <row r="79" spans="1:16" x14ac:dyDescent="0.3">
      <c r="A79" t="s">
        <v>257</v>
      </c>
      <c r="B79" t="s">
        <v>258</v>
      </c>
      <c r="C79">
        <v>1998</v>
      </c>
      <c r="D79">
        <v>1990</v>
      </c>
      <c r="E79" t="s">
        <v>24</v>
      </c>
      <c r="F79">
        <v>105</v>
      </c>
      <c r="G79" t="s">
        <v>3997</v>
      </c>
      <c r="H79" t="s">
        <v>201</v>
      </c>
      <c r="I79" t="s">
        <v>165</v>
      </c>
      <c r="J79" t="s">
        <v>260</v>
      </c>
      <c r="K79">
        <v>40038</v>
      </c>
      <c r="L79">
        <v>39.020000000000003</v>
      </c>
      <c r="M79">
        <v>39.020000000000003</v>
      </c>
      <c r="N79" t="s">
        <v>4001</v>
      </c>
      <c r="O79" t="s">
        <v>235</v>
      </c>
      <c r="P79" t="str">
        <f>TRIM(Table13_1[[#This Row],[Genre]])</f>
        <v>Drama</v>
      </c>
    </row>
    <row r="80" spans="1:16" x14ac:dyDescent="0.3">
      <c r="A80" t="s">
        <v>257</v>
      </c>
      <c r="B80" t="s">
        <v>258</v>
      </c>
      <c r="C80">
        <v>1998</v>
      </c>
      <c r="D80">
        <v>1990</v>
      </c>
      <c r="E80" t="s">
        <v>24</v>
      </c>
      <c r="F80">
        <v>105</v>
      </c>
      <c r="G80" t="s">
        <v>3997</v>
      </c>
      <c r="H80" t="s">
        <v>201</v>
      </c>
      <c r="I80" t="s">
        <v>165</v>
      </c>
      <c r="J80" t="s">
        <v>260</v>
      </c>
      <c r="K80">
        <v>40038</v>
      </c>
      <c r="L80">
        <v>39.020000000000003</v>
      </c>
      <c r="M80">
        <v>39.020000000000003</v>
      </c>
      <c r="N80" t="s">
        <v>4001</v>
      </c>
      <c r="O80" t="s">
        <v>3980</v>
      </c>
      <c r="P80" t="str">
        <f>TRIM(Table13_1[[#This Row],[Genre]])</f>
        <v>Action</v>
      </c>
    </row>
    <row r="81" spans="1:16" x14ac:dyDescent="0.3">
      <c r="A81" t="s">
        <v>261</v>
      </c>
      <c r="B81" t="s">
        <v>262</v>
      </c>
      <c r="C81">
        <v>1984</v>
      </c>
      <c r="D81">
        <v>1980</v>
      </c>
      <c r="E81" t="s">
        <v>54</v>
      </c>
      <c r="F81">
        <v>128</v>
      </c>
      <c r="G81" t="s">
        <v>3999</v>
      </c>
      <c r="H81" t="s">
        <v>264</v>
      </c>
      <c r="I81" t="s">
        <v>50</v>
      </c>
      <c r="J81" t="s">
        <v>265</v>
      </c>
      <c r="K81">
        <v>17888</v>
      </c>
      <c r="L81">
        <v>23.19</v>
      </c>
      <c r="M81">
        <v>23.19</v>
      </c>
      <c r="N81" t="s">
        <v>4001</v>
      </c>
      <c r="O81" t="s">
        <v>767</v>
      </c>
      <c r="P81" t="str">
        <f>TRIM(Table13_1[[#This Row],[Genre]])</f>
        <v>Fantasy</v>
      </c>
    </row>
    <row r="82" spans="1:16" x14ac:dyDescent="0.3">
      <c r="A82" t="s">
        <v>261</v>
      </c>
      <c r="B82" t="s">
        <v>262</v>
      </c>
      <c r="C82">
        <v>1984</v>
      </c>
      <c r="D82">
        <v>1980</v>
      </c>
      <c r="E82" t="s">
        <v>54</v>
      </c>
      <c r="F82">
        <v>128</v>
      </c>
      <c r="G82" t="s">
        <v>3999</v>
      </c>
      <c r="H82" t="s">
        <v>264</v>
      </c>
      <c r="I82" t="s">
        <v>50</v>
      </c>
      <c r="J82" t="s">
        <v>265</v>
      </c>
      <c r="K82">
        <v>17888</v>
      </c>
      <c r="L82">
        <v>23.19</v>
      </c>
      <c r="M82">
        <v>23.19</v>
      </c>
      <c r="N82" t="s">
        <v>4001</v>
      </c>
      <c r="O82" t="s">
        <v>3989</v>
      </c>
      <c r="P82" t="str">
        <f>TRIM(Table13_1[[#This Row],[Genre]])</f>
        <v>Sci-Fi</v>
      </c>
    </row>
    <row r="83" spans="1:16" x14ac:dyDescent="0.3">
      <c r="A83" t="s">
        <v>266</v>
      </c>
      <c r="B83" t="s">
        <v>267</v>
      </c>
      <c r="C83">
        <v>2002</v>
      </c>
      <c r="D83">
        <v>2000</v>
      </c>
      <c r="E83" t="s">
        <v>54</v>
      </c>
      <c r="F83">
        <v>106</v>
      </c>
      <c r="G83" t="s">
        <v>3997</v>
      </c>
      <c r="H83" t="s">
        <v>269</v>
      </c>
      <c r="I83" t="s">
        <v>131</v>
      </c>
      <c r="J83" t="s">
        <v>270</v>
      </c>
      <c r="K83">
        <v>605142</v>
      </c>
      <c r="L83">
        <v>498.25</v>
      </c>
      <c r="M83">
        <v>498.25</v>
      </c>
      <c r="N83" t="s">
        <v>3998</v>
      </c>
      <c r="O83" t="s">
        <v>453</v>
      </c>
      <c r="P83" t="str">
        <f>TRIM(Table13_1[[#This Row],[Genre]])</f>
        <v>Musical</v>
      </c>
    </row>
    <row r="84" spans="1:16" x14ac:dyDescent="0.3">
      <c r="A84" t="s">
        <v>266</v>
      </c>
      <c r="B84" t="s">
        <v>267</v>
      </c>
      <c r="C84">
        <v>2002</v>
      </c>
      <c r="D84">
        <v>2000</v>
      </c>
      <c r="E84" t="s">
        <v>54</v>
      </c>
      <c r="F84">
        <v>106</v>
      </c>
      <c r="G84" t="s">
        <v>3997</v>
      </c>
      <c r="H84" t="s">
        <v>269</v>
      </c>
      <c r="I84" t="s">
        <v>131</v>
      </c>
      <c r="J84" t="s">
        <v>270</v>
      </c>
      <c r="K84">
        <v>605142</v>
      </c>
      <c r="L84">
        <v>498.25</v>
      </c>
      <c r="M84">
        <v>498.25</v>
      </c>
      <c r="N84" t="s">
        <v>3998</v>
      </c>
      <c r="O84" t="s">
        <v>3991</v>
      </c>
      <c r="P84" t="str">
        <f>TRIM(Table13_1[[#This Row],[Genre]])</f>
        <v>Thriller</v>
      </c>
    </row>
    <row r="85" spans="1:16" x14ac:dyDescent="0.3">
      <c r="A85" t="s">
        <v>271</v>
      </c>
      <c r="B85" t="s">
        <v>272</v>
      </c>
      <c r="C85">
        <v>1996</v>
      </c>
      <c r="D85">
        <v>1990</v>
      </c>
      <c r="E85" t="s">
        <v>24</v>
      </c>
      <c r="F85">
        <v>162</v>
      </c>
      <c r="G85" t="s">
        <v>3999</v>
      </c>
      <c r="H85" t="s">
        <v>164</v>
      </c>
      <c r="I85" t="s">
        <v>153</v>
      </c>
      <c r="J85" t="s">
        <v>274</v>
      </c>
      <c r="K85">
        <v>5740</v>
      </c>
      <c r="M85">
        <v>0</v>
      </c>
      <c r="N85" t="s">
        <v>4001</v>
      </c>
      <c r="O85" t="s">
        <v>1044</v>
      </c>
      <c r="P85" t="str">
        <f>TRIM(Table13_1[[#This Row],[Genre]])</f>
        <v>Comedy</v>
      </c>
    </row>
    <row r="86" spans="1:16" x14ac:dyDescent="0.3">
      <c r="A86" t="s">
        <v>271</v>
      </c>
      <c r="B86" t="s">
        <v>272</v>
      </c>
      <c r="C86">
        <v>1996</v>
      </c>
      <c r="D86">
        <v>1990</v>
      </c>
      <c r="E86" t="s">
        <v>24</v>
      </c>
      <c r="F86">
        <v>162</v>
      </c>
      <c r="G86" t="s">
        <v>3999</v>
      </c>
      <c r="H86" t="s">
        <v>164</v>
      </c>
      <c r="I86" t="s">
        <v>153</v>
      </c>
      <c r="J86" t="s">
        <v>274</v>
      </c>
      <c r="K86">
        <v>5740</v>
      </c>
      <c r="M86">
        <v>0</v>
      </c>
      <c r="N86" t="s">
        <v>4001</v>
      </c>
      <c r="O86" t="s">
        <v>3990</v>
      </c>
      <c r="P86" t="str">
        <f>TRIM(Table13_1[[#This Row],[Genre]])</f>
        <v>Western</v>
      </c>
    </row>
    <row r="87" spans="1:16" x14ac:dyDescent="0.3">
      <c r="A87" t="s">
        <v>271</v>
      </c>
      <c r="B87" t="s">
        <v>272</v>
      </c>
      <c r="C87">
        <v>1996</v>
      </c>
      <c r="D87">
        <v>1990</v>
      </c>
      <c r="E87" t="s">
        <v>24</v>
      </c>
      <c r="F87">
        <v>162</v>
      </c>
      <c r="G87" t="s">
        <v>3999</v>
      </c>
      <c r="H87" t="s">
        <v>164</v>
      </c>
      <c r="I87" t="s">
        <v>153</v>
      </c>
      <c r="J87" t="s">
        <v>274</v>
      </c>
      <c r="K87">
        <v>5740</v>
      </c>
      <c r="M87">
        <v>0</v>
      </c>
      <c r="N87" t="s">
        <v>4001</v>
      </c>
      <c r="O87" t="s">
        <v>3981</v>
      </c>
      <c r="P87" t="str">
        <f>TRIM(Table13_1[[#This Row],[Genre]])</f>
        <v>Romance</v>
      </c>
    </row>
    <row r="88" spans="1:16" x14ac:dyDescent="0.3">
      <c r="A88" t="s">
        <v>275</v>
      </c>
      <c r="B88" t="s">
        <v>276</v>
      </c>
      <c r="C88">
        <v>2006</v>
      </c>
      <c r="D88">
        <v>2000</v>
      </c>
      <c r="E88" t="s">
        <v>169</v>
      </c>
      <c r="F88">
        <v>99</v>
      </c>
      <c r="G88" t="s">
        <v>3997</v>
      </c>
      <c r="H88" t="s">
        <v>278</v>
      </c>
      <c r="I88" t="s">
        <v>147</v>
      </c>
      <c r="J88" t="s">
        <v>279</v>
      </c>
      <c r="K88">
        <v>747654</v>
      </c>
      <c r="L88">
        <v>52.74</v>
      </c>
      <c r="M88">
        <v>52.74</v>
      </c>
      <c r="N88" t="s">
        <v>4001</v>
      </c>
      <c r="O88" t="s">
        <v>277</v>
      </c>
      <c r="P88" t="str">
        <f>TRIM(Table13_1[[#This Row],[Genre]])</f>
        <v>Thriller</v>
      </c>
    </row>
    <row r="89" spans="1:16" x14ac:dyDescent="0.3">
      <c r="A89" t="s">
        <v>280</v>
      </c>
      <c r="B89" t="s">
        <v>281</v>
      </c>
      <c r="C89">
        <v>2020</v>
      </c>
      <c r="D89">
        <v>2020</v>
      </c>
      <c r="E89" t="s">
        <v>17</v>
      </c>
      <c r="F89">
        <v>114</v>
      </c>
      <c r="G89" t="s">
        <v>3997</v>
      </c>
      <c r="H89" t="s">
        <v>278</v>
      </c>
      <c r="I89" t="s">
        <v>119</v>
      </c>
      <c r="J89" t="s">
        <v>282</v>
      </c>
      <c r="K89">
        <v>1372418</v>
      </c>
      <c r="L89">
        <v>128.5</v>
      </c>
      <c r="M89">
        <v>128.5</v>
      </c>
      <c r="N89" t="s">
        <v>4002</v>
      </c>
      <c r="O89" t="s">
        <v>277</v>
      </c>
      <c r="P89" t="str">
        <f>TRIM(Table13_1[[#This Row],[Genre]])</f>
        <v>Thriller</v>
      </c>
    </row>
    <row r="90" spans="1:16" x14ac:dyDescent="0.3">
      <c r="A90" t="s">
        <v>283</v>
      </c>
      <c r="B90" t="s">
        <v>284</v>
      </c>
      <c r="C90">
        <v>1944</v>
      </c>
      <c r="D90">
        <v>1940</v>
      </c>
      <c r="E90" t="s">
        <v>285</v>
      </c>
      <c r="F90">
        <v>151</v>
      </c>
      <c r="G90" t="s">
        <v>3999</v>
      </c>
      <c r="H90" t="s">
        <v>287</v>
      </c>
      <c r="I90" t="s">
        <v>50</v>
      </c>
      <c r="J90" t="s">
        <v>288</v>
      </c>
      <c r="K90">
        <v>35528</v>
      </c>
      <c r="L90">
        <v>137.85</v>
      </c>
      <c r="M90">
        <v>137.85</v>
      </c>
      <c r="N90" t="s">
        <v>4002</v>
      </c>
      <c r="O90" t="s">
        <v>277</v>
      </c>
      <c r="P90" t="str">
        <f>TRIM(Table13_1[[#This Row],[Genre]])</f>
        <v>Thriller</v>
      </c>
    </row>
    <row r="91" spans="1:16" x14ac:dyDescent="0.3">
      <c r="A91" t="s">
        <v>283</v>
      </c>
      <c r="B91" t="s">
        <v>284</v>
      </c>
      <c r="C91">
        <v>1944</v>
      </c>
      <c r="D91">
        <v>1940</v>
      </c>
      <c r="E91" t="s">
        <v>285</v>
      </c>
      <c r="F91">
        <v>151</v>
      </c>
      <c r="G91" t="s">
        <v>3999</v>
      </c>
      <c r="H91" t="s">
        <v>287</v>
      </c>
      <c r="I91" t="s">
        <v>50</v>
      </c>
      <c r="J91" t="s">
        <v>288</v>
      </c>
      <c r="K91">
        <v>35528</v>
      </c>
      <c r="L91">
        <v>137.85</v>
      </c>
      <c r="M91">
        <v>137.85</v>
      </c>
      <c r="N91" t="s">
        <v>4002</v>
      </c>
      <c r="O91" t="s">
        <v>3989</v>
      </c>
      <c r="P91" t="str">
        <f>TRIM(Table13_1[[#This Row],[Genre]])</f>
        <v>Sci-Fi</v>
      </c>
    </row>
    <row r="92" spans="1:16" x14ac:dyDescent="0.3">
      <c r="A92" t="s">
        <v>289</v>
      </c>
      <c r="B92" t="s">
        <v>290</v>
      </c>
      <c r="C92">
        <v>1974</v>
      </c>
      <c r="D92">
        <v>1970</v>
      </c>
      <c r="E92" t="s">
        <v>17</v>
      </c>
      <c r="F92">
        <v>123</v>
      </c>
      <c r="G92" t="s">
        <v>3999</v>
      </c>
      <c r="H92" t="s">
        <v>124</v>
      </c>
      <c r="I92" t="s">
        <v>147</v>
      </c>
      <c r="J92" t="s">
        <v>291</v>
      </c>
      <c r="K92">
        <v>92908</v>
      </c>
      <c r="L92">
        <v>267.33</v>
      </c>
      <c r="M92">
        <v>267.33</v>
      </c>
      <c r="N92" t="s">
        <v>3998</v>
      </c>
      <c r="O92" t="s">
        <v>230</v>
      </c>
      <c r="P92" t="str">
        <f>TRIM(Table13_1[[#This Row],[Genre]])</f>
        <v>Documentary</v>
      </c>
    </row>
    <row r="93" spans="1:16" x14ac:dyDescent="0.3">
      <c r="A93" t="s">
        <v>292</v>
      </c>
      <c r="B93" t="s">
        <v>214</v>
      </c>
      <c r="C93">
        <v>1970</v>
      </c>
      <c r="D93">
        <v>1970</v>
      </c>
      <c r="E93" t="s">
        <v>293</v>
      </c>
      <c r="F93">
        <v>98</v>
      </c>
      <c r="G93" t="s">
        <v>3997</v>
      </c>
      <c r="H93" t="s">
        <v>295</v>
      </c>
      <c r="I93" t="s">
        <v>86</v>
      </c>
      <c r="J93" t="s">
        <v>296</v>
      </c>
      <c r="K93">
        <v>11510</v>
      </c>
      <c r="L93">
        <v>63.84</v>
      </c>
      <c r="M93">
        <v>63.84</v>
      </c>
      <c r="N93" t="s">
        <v>4001</v>
      </c>
      <c r="O93" t="s">
        <v>43</v>
      </c>
      <c r="P93" t="str">
        <f>TRIM(Table13_1[[#This Row],[Genre]])</f>
        <v>Mystery</v>
      </c>
    </row>
    <row r="94" spans="1:16" x14ac:dyDescent="0.3">
      <c r="A94" t="s">
        <v>292</v>
      </c>
      <c r="B94" t="s">
        <v>214</v>
      </c>
      <c r="C94">
        <v>1970</v>
      </c>
      <c r="D94">
        <v>1970</v>
      </c>
      <c r="E94" t="s">
        <v>293</v>
      </c>
      <c r="F94">
        <v>98</v>
      </c>
      <c r="G94" t="s">
        <v>3997</v>
      </c>
      <c r="H94" t="s">
        <v>295</v>
      </c>
      <c r="I94" t="s">
        <v>86</v>
      </c>
      <c r="J94" t="s">
        <v>296</v>
      </c>
      <c r="K94">
        <v>11510</v>
      </c>
      <c r="L94">
        <v>63.84</v>
      </c>
      <c r="M94">
        <v>63.84</v>
      </c>
      <c r="N94" t="s">
        <v>4001</v>
      </c>
      <c r="O94" t="s">
        <v>3981</v>
      </c>
      <c r="P94" t="str">
        <f>TRIM(Table13_1[[#This Row],[Genre]])</f>
        <v>Romance</v>
      </c>
    </row>
    <row r="95" spans="1:16" x14ac:dyDescent="0.3">
      <c r="A95" t="s">
        <v>292</v>
      </c>
      <c r="B95" t="s">
        <v>214</v>
      </c>
      <c r="C95">
        <v>1970</v>
      </c>
      <c r="D95">
        <v>1970</v>
      </c>
      <c r="E95" t="s">
        <v>293</v>
      </c>
      <c r="F95">
        <v>98</v>
      </c>
      <c r="G95" t="s">
        <v>3997</v>
      </c>
      <c r="H95" t="s">
        <v>295</v>
      </c>
      <c r="I95" t="s">
        <v>86</v>
      </c>
      <c r="J95" t="s">
        <v>296</v>
      </c>
      <c r="K95">
        <v>11510</v>
      </c>
      <c r="L95">
        <v>63.84</v>
      </c>
      <c r="M95">
        <v>63.84</v>
      </c>
      <c r="N95" t="s">
        <v>4001</v>
      </c>
      <c r="O95" t="s">
        <v>3980</v>
      </c>
      <c r="P95" t="str">
        <f>TRIM(Table13_1[[#This Row],[Genre]])</f>
        <v>Action</v>
      </c>
    </row>
    <row r="96" spans="1:16" x14ac:dyDescent="0.3">
      <c r="A96" t="s">
        <v>297</v>
      </c>
      <c r="B96" t="s">
        <v>298</v>
      </c>
      <c r="C96">
        <v>2019</v>
      </c>
      <c r="D96">
        <v>2010</v>
      </c>
      <c r="E96" t="s">
        <v>54</v>
      </c>
      <c r="F96">
        <v>127</v>
      </c>
      <c r="G96" t="s">
        <v>3999</v>
      </c>
      <c r="H96" t="s">
        <v>300</v>
      </c>
      <c r="I96" t="s">
        <v>125</v>
      </c>
      <c r="J96" t="s">
        <v>301</v>
      </c>
      <c r="K96">
        <v>85642</v>
      </c>
      <c r="L96">
        <v>461.89</v>
      </c>
      <c r="M96">
        <v>461.89</v>
      </c>
      <c r="N96" t="s">
        <v>3998</v>
      </c>
      <c r="O96" t="s">
        <v>767</v>
      </c>
      <c r="P96" t="str">
        <f>TRIM(Table13_1[[#This Row],[Genre]])</f>
        <v>Fantasy</v>
      </c>
    </row>
    <row r="97" spans="1:16" x14ac:dyDescent="0.3">
      <c r="A97" t="s">
        <v>297</v>
      </c>
      <c r="B97" t="s">
        <v>298</v>
      </c>
      <c r="C97">
        <v>2019</v>
      </c>
      <c r="D97">
        <v>2010</v>
      </c>
      <c r="E97" t="s">
        <v>54</v>
      </c>
      <c r="F97">
        <v>127</v>
      </c>
      <c r="G97" t="s">
        <v>3999</v>
      </c>
      <c r="H97" t="s">
        <v>300</v>
      </c>
      <c r="I97" t="s">
        <v>125</v>
      </c>
      <c r="J97" t="s">
        <v>301</v>
      </c>
      <c r="K97">
        <v>85642</v>
      </c>
      <c r="L97">
        <v>461.89</v>
      </c>
      <c r="M97">
        <v>461.89</v>
      </c>
      <c r="N97" t="s">
        <v>3998</v>
      </c>
      <c r="O97" t="s">
        <v>3991</v>
      </c>
      <c r="P97" t="str">
        <f>TRIM(Table13_1[[#This Row],[Genre]])</f>
        <v>Thriller</v>
      </c>
    </row>
    <row r="98" spans="1:16" x14ac:dyDescent="0.3">
      <c r="A98" t="s">
        <v>302</v>
      </c>
      <c r="B98" t="s">
        <v>303</v>
      </c>
      <c r="C98">
        <v>1998</v>
      </c>
      <c r="D98">
        <v>1990</v>
      </c>
      <c r="E98" t="s">
        <v>17</v>
      </c>
      <c r="F98">
        <v>128</v>
      </c>
      <c r="G98" t="s">
        <v>3999</v>
      </c>
      <c r="H98" t="s">
        <v>305</v>
      </c>
      <c r="I98" t="s">
        <v>27</v>
      </c>
      <c r="J98" t="s">
        <v>306</v>
      </c>
      <c r="K98">
        <v>2060246</v>
      </c>
      <c r="L98">
        <v>59.8</v>
      </c>
      <c r="M98">
        <v>59.8</v>
      </c>
      <c r="N98" t="s">
        <v>4001</v>
      </c>
      <c r="O98" t="s">
        <v>78</v>
      </c>
      <c r="P98" t="str">
        <f>TRIM(Table13_1[[#This Row],[Genre]])</f>
        <v>Adventure</v>
      </c>
    </row>
    <row r="99" spans="1:16" x14ac:dyDescent="0.3">
      <c r="A99" t="s">
        <v>302</v>
      </c>
      <c r="B99" t="s">
        <v>303</v>
      </c>
      <c r="C99">
        <v>1998</v>
      </c>
      <c r="D99">
        <v>1990</v>
      </c>
      <c r="E99" t="s">
        <v>17</v>
      </c>
      <c r="F99">
        <v>128</v>
      </c>
      <c r="G99" t="s">
        <v>3999</v>
      </c>
      <c r="H99" t="s">
        <v>305</v>
      </c>
      <c r="I99" t="s">
        <v>27</v>
      </c>
      <c r="J99" t="s">
        <v>306</v>
      </c>
      <c r="K99">
        <v>2060246</v>
      </c>
      <c r="L99">
        <v>59.8</v>
      </c>
      <c r="M99">
        <v>59.8</v>
      </c>
      <c r="N99" t="s">
        <v>4001</v>
      </c>
      <c r="O99" t="s">
        <v>3982</v>
      </c>
      <c r="P99" t="str">
        <f>TRIM(Table13_1[[#This Row],[Genre]])</f>
        <v>Family</v>
      </c>
    </row>
    <row r="100" spans="1:16" x14ac:dyDescent="0.3">
      <c r="A100" t="s">
        <v>307</v>
      </c>
      <c r="B100">
        <v>1917</v>
      </c>
      <c r="C100">
        <v>1962</v>
      </c>
      <c r="D100">
        <v>1960</v>
      </c>
      <c r="E100" t="s">
        <v>285</v>
      </c>
      <c r="F100">
        <v>125</v>
      </c>
      <c r="G100" t="s">
        <v>3999</v>
      </c>
      <c r="H100" t="s">
        <v>309</v>
      </c>
      <c r="I100" t="s">
        <v>63</v>
      </c>
      <c r="J100" t="s">
        <v>310</v>
      </c>
      <c r="K100">
        <v>11235</v>
      </c>
      <c r="L100">
        <v>185.74</v>
      </c>
      <c r="M100">
        <v>185.74</v>
      </c>
      <c r="N100" t="s">
        <v>4002</v>
      </c>
      <c r="O100" t="s">
        <v>157</v>
      </c>
      <c r="P100" t="str">
        <f>TRIM(Table13_1[[#This Row],[Genre]])</f>
        <v>Animation</v>
      </c>
    </row>
    <row r="101" spans="1:16" x14ac:dyDescent="0.3">
      <c r="A101" t="s">
        <v>307</v>
      </c>
      <c r="B101">
        <v>1917</v>
      </c>
      <c r="C101">
        <v>1962</v>
      </c>
      <c r="D101">
        <v>1960</v>
      </c>
      <c r="E101" t="s">
        <v>285</v>
      </c>
      <c r="F101">
        <v>125</v>
      </c>
      <c r="G101" t="s">
        <v>3999</v>
      </c>
      <c r="H101" t="s">
        <v>309</v>
      </c>
      <c r="I101" t="s">
        <v>63</v>
      </c>
      <c r="J101" t="s">
        <v>310</v>
      </c>
      <c r="K101">
        <v>11235</v>
      </c>
      <c r="L101">
        <v>185.74</v>
      </c>
      <c r="M101">
        <v>185.74</v>
      </c>
      <c r="N101" t="s">
        <v>4002</v>
      </c>
      <c r="O101" t="s">
        <v>3978</v>
      </c>
      <c r="P101" t="str">
        <f>TRIM(Table13_1[[#This Row],[Genre]])</f>
        <v>Mystery</v>
      </c>
    </row>
    <row r="102" spans="1:16" x14ac:dyDescent="0.3">
      <c r="A102" t="s">
        <v>311</v>
      </c>
      <c r="B102" t="s">
        <v>312</v>
      </c>
      <c r="C102">
        <v>1962</v>
      </c>
      <c r="D102">
        <v>1960</v>
      </c>
      <c r="E102" t="s">
        <v>24</v>
      </c>
      <c r="F102">
        <v>96</v>
      </c>
      <c r="G102" t="s">
        <v>3997</v>
      </c>
      <c r="H102" t="s">
        <v>314</v>
      </c>
      <c r="I102" t="s">
        <v>315</v>
      </c>
      <c r="J102" t="s">
        <v>316</v>
      </c>
      <c r="K102">
        <v>549453</v>
      </c>
      <c r="L102">
        <v>297.89</v>
      </c>
      <c r="M102">
        <v>297.89</v>
      </c>
      <c r="N102" t="s">
        <v>3998</v>
      </c>
      <c r="O102" t="s">
        <v>606</v>
      </c>
      <c r="P102" t="str">
        <f>TRIM(Table13_1[[#This Row],[Genre]])</f>
        <v>Sci-Fi</v>
      </c>
    </row>
    <row r="103" spans="1:16" x14ac:dyDescent="0.3">
      <c r="A103" t="s">
        <v>311</v>
      </c>
      <c r="B103" t="s">
        <v>312</v>
      </c>
      <c r="C103">
        <v>1962</v>
      </c>
      <c r="D103">
        <v>1960</v>
      </c>
      <c r="E103" t="s">
        <v>24</v>
      </c>
      <c r="F103">
        <v>96</v>
      </c>
      <c r="G103" t="s">
        <v>3997</v>
      </c>
      <c r="H103" t="s">
        <v>314</v>
      </c>
      <c r="I103" t="s">
        <v>315</v>
      </c>
      <c r="J103" t="s">
        <v>316</v>
      </c>
      <c r="K103">
        <v>549453</v>
      </c>
      <c r="L103">
        <v>297.89</v>
      </c>
      <c r="M103">
        <v>297.89</v>
      </c>
      <c r="N103" t="s">
        <v>3998</v>
      </c>
      <c r="O103" t="s">
        <v>3987</v>
      </c>
      <c r="P103" t="str">
        <f>TRIM(Table13_1[[#This Row],[Genre]])</f>
        <v>Fantasy</v>
      </c>
    </row>
    <row r="104" spans="1:16" x14ac:dyDescent="0.3">
      <c r="A104" t="s">
        <v>317</v>
      </c>
      <c r="B104" t="s">
        <v>318</v>
      </c>
      <c r="C104">
        <v>2005</v>
      </c>
      <c r="D104">
        <v>2000</v>
      </c>
      <c r="E104" t="s">
        <v>17</v>
      </c>
      <c r="F104">
        <v>87</v>
      </c>
      <c r="G104" t="s">
        <v>4000</v>
      </c>
      <c r="H104" t="s">
        <v>320</v>
      </c>
      <c r="I104" t="s">
        <v>103</v>
      </c>
      <c r="J104" t="s">
        <v>321</v>
      </c>
      <c r="K104">
        <v>951056</v>
      </c>
      <c r="L104">
        <v>478.05</v>
      </c>
      <c r="M104">
        <v>478.05</v>
      </c>
      <c r="N104" t="s">
        <v>3998</v>
      </c>
      <c r="O104" t="s">
        <v>767</v>
      </c>
      <c r="P104" t="str">
        <f>TRIM(Table13_1[[#This Row],[Genre]])</f>
        <v>Fantasy</v>
      </c>
    </row>
    <row r="105" spans="1:16" x14ac:dyDescent="0.3">
      <c r="A105" t="s">
        <v>317</v>
      </c>
      <c r="B105" t="s">
        <v>318</v>
      </c>
      <c r="C105">
        <v>2005</v>
      </c>
      <c r="D105">
        <v>2000</v>
      </c>
      <c r="E105" t="s">
        <v>17</v>
      </c>
      <c r="F105">
        <v>87</v>
      </c>
      <c r="G105" t="s">
        <v>4000</v>
      </c>
      <c r="H105" t="s">
        <v>320</v>
      </c>
      <c r="I105" t="s">
        <v>103</v>
      </c>
      <c r="J105" t="s">
        <v>321</v>
      </c>
      <c r="K105">
        <v>951056</v>
      </c>
      <c r="L105">
        <v>478.05</v>
      </c>
      <c r="M105">
        <v>478.05</v>
      </c>
      <c r="N105" t="s">
        <v>3998</v>
      </c>
      <c r="O105" t="s">
        <v>3983</v>
      </c>
      <c r="P105" t="str">
        <f>TRIM(Table13_1[[#This Row],[Genre]])</f>
        <v>Crime</v>
      </c>
    </row>
    <row r="106" spans="1:16" x14ac:dyDescent="0.3">
      <c r="A106" t="s">
        <v>322</v>
      </c>
      <c r="B106" t="s">
        <v>323</v>
      </c>
      <c r="C106">
        <v>1975</v>
      </c>
      <c r="D106">
        <v>1970</v>
      </c>
      <c r="E106" t="s">
        <v>24</v>
      </c>
      <c r="F106">
        <v>93</v>
      </c>
      <c r="G106" t="s">
        <v>3997</v>
      </c>
      <c r="H106" t="s">
        <v>325</v>
      </c>
      <c r="I106" t="s">
        <v>326</v>
      </c>
      <c r="J106" t="s">
        <v>327</v>
      </c>
      <c r="K106">
        <v>112172</v>
      </c>
      <c r="L106">
        <v>174.69</v>
      </c>
      <c r="M106">
        <v>174.69</v>
      </c>
      <c r="N106" t="s">
        <v>4002</v>
      </c>
      <c r="O106" t="s">
        <v>157</v>
      </c>
      <c r="P106" t="str">
        <f>TRIM(Table13_1[[#This Row],[Genre]])</f>
        <v>Animation</v>
      </c>
    </row>
    <row r="107" spans="1:16" x14ac:dyDescent="0.3">
      <c r="A107" t="s">
        <v>322</v>
      </c>
      <c r="B107" t="s">
        <v>323</v>
      </c>
      <c r="C107">
        <v>1975</v>
      </c>
      <c r="D107">
        <v>1970</v>
      </c>
      <c r="E107" t="s">
        <v>24</v>
      </c>
      <c r="F107">
        <v>93</v>
      </c>
      <c r="G107" t="s">
        <v>3997</v>
      </c>
      <c r="H107" t="s">
        <v>325</v>
      </c>
      <c r="I107" t="s">
        <v>326</v>
      </c>
      <c r="J107" t="s">
        <v>327</v>
      </c>
      <c r="K107">
        <v>112172</v>
      </c>
      <c r="L107">
        <v>174.69</v>
      </c>
      <c r="M107">
        <v>174.69</v>
      </c>
      <c r="N107" t="s">
        <v>4002</v>
      </c>
      <c r="O107" t="s">
        <v>3990</v>
      </c>
      <c r="P107" t="str">
        <f>TRIM(Table13_1[[#This Row],[Genre]])</f>
        <v>Western</v>
      </c>
    </row>
    <row r="108" spans="1:16" x14ac:dyDescent="0.3">
      <c r="A108" t="s">
        <v>328</v>
      </c>
      <c r="B108" t="s">
        <v>329</v>
      </c>
      <c r="C108">
        <v>1968</v>
      </c>
      <c r="D108">
        <v>1960</v>
      </c>
      <c r="E108" t="s">
        <v>17</v>
      </c>
      <c r="F108">
        <v>91</v>
      </c>
      <c r="G108" t="s">
        <v>3997</v>
      </c>
      <c r="H108" t="s">
        <v>305</v>
      </c>
      <c r="I108" t="s">
        <v>92</v>
      </c>
      <c r="J108" t="s">
        <v>330</v>
      </c>
      <c r="K108">
        <v>1920324</v>
      </c>
      <c r="L108">
        <v>84.58</v>
      </c>
      <c r="M108">
        <v>84.58</v>
      </c>
      <c r="N108" t="s">
        <v>4001</v>
      </c>
      <c r="O108" t="s">
        <v>78</v>
      </c>
      <c r="P108" t="str">
        <f>TRIM(Table13_1[[#This Row],[Genre]])</f>
        <v>Adventure</v>
      </c>
    </row>
    <row r="109" spans="1:16" x14ac:dyDescent="0.3">
      <c r="A109" t="s">
        <v>331</v>
      </c>
      <c r="B109" t="s">
        <v>332</v>
      </c>
      <c r="C109">
        <v>2023</v>
      </c>
      <c r="D109">
        <v>2020</v>
      </c>
      <c r="E109" t="s">
        <v>17</v>
      </c>
      <c r="F109">
        <v>107</v>
      </c>
      <c r="G109" t="s">
        <v>3997</v>
      </c>
      <c r="H109" t="s">
        <v>333</v>
      </c>
      <c r="I109" t="s">
        <v>137</v>
      </c>
      <c r="J109" t="s">
        <v>334</v>
      </c>
      <c r="K109">
        <v>73960</v>
      </c>
      <c r="L109">
        <v>835.91</v>
      </c>
      <c r="M109">
        <v>835.91</v>
      </c>
      <c r="N109" t="s">
        <v>3998</v>
      </c>
      <c r="O109" t="s">
        <v>55</v>
      </c>
      <c r="P109" t="str">
        <f>TRIM(Table13_1[[#This Row],[Genre]])</f>
        <v>Romance</v>
      </c>
    </row>
    <row r="110" spans="1:16" x14ac:dyDescent="0.3">
      <c r="A110" t="s">
        <v>335</v>
      </c>
      <c r="B110" t="s">
        <v>336</v>
      </c>
      <c r="C110">
        <v>2000</v>
      </c>
      <c r="D110">
        <v>2000</v>
      </c>
      <c r="E110" t="s">
        <v>17</v>
      </c>
      <c r="F110">
        <v>157</v>
      </c>
      <c r="G110" t="s">
        <v>3999</v>
      </c>
      <c r="H110" t="s">
        <v>338</v>
      </c>
      <c r="I110" t="s">
        <v>63</v>
      </c>
      <c r="J110" t="s">
        <v>339</v>
      </c>
      <c r="K110">
        <v>20054</v>
      </c>
      <c r="L110">
        <v>193.94</v>
      </c>
      <c r="M110">
        <v>193.94</v>
      </c>
      <c r="N110" t="s">
        <v>4002</v>
      </c>
      <c r="O110" t="s">
        <v>235</v>
      </c>
      <c r="P110" t="str">
        <f>TRIM(Table13_1[[#This Row],[Genre]])</f>
        <v>Drama</v>
      </c>
    </row>
    <row r="111" spans="1:16" x14ac:dyDescent="0.3">
      <c r="A111" t="s">
        <v>335</v>
      </c>
      <c r="B111" t="s">
        <v>336</v>
      </c>
      <c r="C111">
        <v>2000</v>
      </c>
      <c r="D111">
        <v>2000</v>
      </c>
      <c r="E111" t="s">
        <v>17</v>
      </c>
      <c r="F111">
        <v>157</v>
      </c>
      <c r="G111" t="s">
        <v>3999</v>
      </c>
      <c r="H111" t="s">
        <v>338</v>
      </c>
      <c r="I111" t="s">
        <v>63</v>
      </c>
      <c r="J111" t="s">
        <v>339</v>
      </c>
      <c r="K111">
        <v>20054</v>
      </c>
      <c r="L111">
        <v>193.94</v>
      </c>
      <c r="M111">
        <v>193.94</v>
      </c>
      <c r="N111" t="s">
        <v>4002</v>
      </c>
      <c r="O111" t="s">
        <v>3983</v>
      </c>
      <c r="P111" t="str">
        <f>TRIM(Table13_1[[#This Row],[Genre]])</f>
        <v>Crime</v>
      </c>
    </row>
    <row r="112" spans="1:16" x14ac:dyDescent="0.3">
      <c r="A112" t="s">
        <v>340</v>
      </c>
      <c r="B112" t="s">
        <v>341</v>
      </c>
      <c r="C112">
        <v>1940</v>
      </c>
      <c r="D112">
        <v>1940</v>
      </c>
      <c r="E112" t="s">
        <v>17</v>
      </c>
      <c r="F112">
        <v>98</v>
      </c>
      <c r="G112" t="s">
        <v>3997</v>
      </c>
      <c r="H112" t="s">
        <v>158</v>
      </c>
      <c r="I112" t="s">
        <v>63</v>
      </c>
      <c r="J112" t="s">
        <v>342</v>
      </c>
      <c r="K112">
        <v>18091</v>
      </c>
      <c r="M112">
        <v>0</v>
      </c>
      <c r="N112" t="s">
        <v>4001</v>
      </c>
      <c r="O112" t="s">
        <v>157</v>
      </c>
      <c r="P112" t="str">
        <f>TRIM(Table13_1[[#This Row],[Genre]])</f>
        <v>Animation</v>
      </c>
    </row>
    <row r="113" spans="1:16" x14ac:dyDescent="0.3">
      <c r="A113" t="s">
        <v>340</v>
      </c>
      <c r="B113" t="s">
        <v>341</v>
      </c>
      <c r="C113">
        <v>1940</v>
      </c>
      <c r="D113">
        <v>1940</v>
      </c>
      <c r="E113" t="s">
        <v>17</v>
      </c>
      <c r="F113">
        <v>98</v>
      </c>
      <c r="G113" t="s">
        <v>3997</v>
      </c>
      <c r="H113" t="s">
        <v>158</v>
      </c>
      <c r="I113" t="s">
        <v>63</v>
      </c>
      <c r="J113" t="s">
        <v>342</v>
      </c>
      <c r="K113">
        <v>18091</v>
      </c>
      <c r="M113">
        <v>0</v>
      </c>
      <c r="N113" t="s">
        <v>4001</v>
      </c>
      <c r="O113" t="s">
        <v>3978</v>
      </c>
      <c r="P113" t="str">
        <f>TRIM(Table13_1[[#This Row],[Genre]])</f>
        <v>Mystery</v>
      </c>
    </row>
    <row r="114" spans="1:16" x14ac:dyDescent="0.3">
      <c r="A114" t="s">
        <v>343</v>
      </c>
      <c r="B114" t="s">
        <v>344</v>
      </c>
      <c r="C114">
        <v>2013</v>
      </c>
      <c r="D114">
        <v>2010</v>
      </c>
      <c r="E114" t="s">
        <v>293</v>
      </c>
      <c r="F114">
        <v>162</v>
      </c>
      <c r="G114" t="s">
        <v>3999</v>
      </c>
      <c r="H114" t="s">
        <v>164</v>
      </c>
      <c r="I114" t="s">
        <v>27</v>
      </c>
      <c r="J114" t="s">
        <v>346</v>
      </c>
      <c r="K114">
        <v>230412</v>
      </c>
      <c r="M114">
        <v>0</v>
      </c>
      <c r="N114" t="s">
        <v>4001</v>
      </c>
      <c r="O114" t="s">
        <v>1044</v>
      </c>
      <c r="P114" t="str">
        <f>TRIM(Table13_1[[#This Row],[Genre]])</f>
        <v>Comedy</v>
      </c>
    </row>
    <row r="115" spans="1:16" x14ac:dyDescent="0.3">
      <c r="A115" t="s">
        <v>343</v>
      </c>
      <c r="B115" t="s">
        <v>344</v>
      </c>
      <c r="C115">
        <v>2013</v>
      </c>
      <c r="D115">
        <v>2010</v>
      </c>
      <c r="E115" t="s">
        <v>293</v>
      </c>
      <c r="F115">
        <v>162</v>
      </c>
      <c r="G115" t="s">
        <v>3999</v>
      </c>
      <c r="H115" t="s">
        <v>164</v>
      </c>
      <c r="I115" t="s">
        <v>27</v>
      </c>
      <c r="J115" t="s">
        <v>346</v>
      </c>
      <c r="K115">
        <v>230412</v>
      </c>
      <c r="M115">
        <v>0</v>
      </c>
      <c r="N115" t="s">
        <v>4001</v>
      </c>
      <c r="O115" t="s">
        <v>3977</v>
      </c>
      <c r="P115" t="str">
        <f>TRIM(Table13_1[[#This Row],[Genre]])</f>
        <v>Animation</v>
      </c>
    </row>
    <row r="116" spans="1:16" x14ac:dyDescent="0.3">
      <c r="A116" t="s">
        <v>347</v>
      </c>
      <c r="B116" t="s">
        <v>348</v>
      </c>
      <c r="C116">
        <v>2022</v>
      </c>
      <c r="D116">
        <v>2020</v>
      </c>
      <c r="E116" t="s">
        <v>17</v>
      </c>
      <c r="F116">
        <v>107</v>
      </c>
      <c r="G116" t="s">
        <v>3997</v>
      </c>
      <c r="H116" t="s">
        <v>350</v>
      </c>
      <c r="I116" t="s">
        <v>137</v>
      </c>
      <c r="J116" t="s">
        <v>351</v>
      </c>
      <c r="K116">
        <v>346200</v>
      </c>
      <c r="L116">
        <v>512.29999999999995</v>
      </c>
      <c r="M116">
        <v>512.29999999999995</v>
      </c>
      <c r="N116" t="s">
        <v>3998</v>
      </c>
      <c r="O116" t="s">
        <v>868</v>
      </c>
      <c r="P116" t="str">
        <f>TRIM(Table13_1[[#This Row],[Genre]])</f>
        <v>Western</v>
      </c>
    </row>
    <row r="117" spans="1:16" x14ac:dyDescent="0.3">
      <c r="A117" t="s">
        <v>347</v>
      </c>
      <c r="B117" t="s">
        <v>348</v>
      </c>
      <c r="C117">
        <v>2022</v>
      </c>
      <c r="D117">
        <v>2020</v>
      </c>
      <c r="E117" t="s">
        <v>17</v>
      </c>
      <c r="F117">
        <v>107</v>
      </c>
      <c r="G117" t="s">
        <v>3997</v>
      </c>
      <c r="H117" t="s">
        <v>350</v>
      </c>
      <c r="I117" t="s">
        <v>137</v>
      </c>
      <c r="J117" t="s">
        <v>351</v>
      </c>
      <c r="K117">
        <v>346200</v>
      </c>
      <c r="L117">
        <v>512.29999999999995</v>
      </c>
      <c r="M117">
        <v>512.29999999999995</v>
      </c>
      <c r="N117" t="s">
        <v>3998</v>
      </c>
      <c r="O117" t="s">
        <v>3978</v>
      </c>
      <c r="P117" t="str">
        <f>TRIM(Table13_1[[#This Row],[Genre]])</f>
        <v>Mystery</v>
      </c>
    </row>
    <row r="118" spans="1:16" x14ac:dyDescent="0.3">
      <c r="A118" t="s">
        <v>352</v>
      </c>
      <c r="B118" t="s">
        <v>353</v>
      </c>
      <c r="C118">
        <v>2007</v>
      </c>
      <c r="D118">
        <v>2000</v>
      </c>
      <c r="E118" t="s">
        <v>17</v>
      </c>
      <c r="F118">
        <v>106</v>
      </c>
      <c r="G118" t="s">
        <v>3997</v>
      </c>
      <c r="H118" t="s">
        <v>355</v>
      </c>
      <c r="I118" t="s">
        <v>103</v>
      </c>
      <c r="J118" t="s">
        <v>356</v>
      </c>
      <c r="K118">
        <v>112746</v>
      </c>
      <c r="L118">
        <v>383.09</v>
      </c>
      <c r="M118">
        <v>383.09</v>
      </c>
      <c r="N118" t="s">
        <v>3998</v>
      </c>
      <c r="O118" t="s">
        <v>868</v>
      </c>
      <c r="P118" t="str">
        <f>TRIM(Table13_1[[#This Row],[Genre]])</f>
        <v>Western</v>
      </c>
    </row>
    <row r="119" spans="1:16" x14ac:dyDescent="0.3">
      <c r="A119" t="s">
        <v>352</v>
      </c>
      <c r="B119" t="s">
        <v>353</v>
      </c>
      <c r="C119">
        <v>2007</v>
      </c>
      <c r="D119">
        <v>2000</v>
      </c>
      <c r="E119" t="s">
        <v>17</v>
      </c>
      <c r="F119">
        <v>106</v>
      </c>
      <c r="G119" t="s">
        <v>3997</v>
      </c>
      <c r="H119" t="s">
        <v>355</v>
      </c>
      <c r="I119" t="s">
        <v>103</v>
      </c>
      <c r="J119" t="s">
        <v>356</v>
      </c>
      <c r="K119">
        <v>112746</v>
      </c>
      <c r="L119">
        <v>383.09</v>
      </c>
      <c r="M119">
        <v>383.09</v>
      </c>
      <c r="N119" t="s">
        <v>3998</v>
      </c>
      <c r="O119" t="s">
        <v>3991</v>
      </c>
      <c r="P119" t="str">
        <f>TRIM(Table13_1[[#This Row],[Genre]])</f>
        <v>Thriller</v>
      </c>
    </row>
    <row r="120" spans="1:16" x14ac:dyDescent="0.3">
      <c r="A120" t="s">
        <v>357</v>
      </c>
      <c r="B120" t="s">
        <v>358</v>
      </c>
      <c r="C120">
        <v>2003</v>
      </c>
      <c r="D120">
        <v>2000</v>
      </c>
      <c r="E120" t="s">
        <v>285</v>
      </c>
      <c r="F120">
        <v>129</v>
      </c>
      <c r="G120" t="s">
        <v>3999</v>
      </c>
      <c r="H120" t="s">
        <v>360</v>
      </c>
      <c r="I120" t="s">
        <v>86</v>
      </c>
      <c r="J120" t="s">
        <v>361</v>
      </c>
      <c r="K120">
        <v>89930</v>
      </c>
      <c r="L120">
        <v>473.41</v>
      </c>
      <c r="M120">
        <v>473.41</v>
      </c>
      <c r="N120" t="s">
        <v>3998</v>
      </c>
      <c r="O120" t="s">
        <v>72</v>
      </c>
      <c r="P120" t="str">
        <f>TRIM(Table13_1[[#This Row],[Genre]])</f>
        <v>War</v>
      </c>
    </row>
    <row r="121" spans="1:16" x14ac:dyDescent="0.3">
      <c r="A121" t="s">
        <v>357</v>
      </c>
      <c r="B121" t="s">
        <v>358</v>
      </c>
      <c r="C121">
        <v>2003</v>
      </c>
      <c r="D121">
        <v>2000</v>
      </c>
      <c r="E121" t="s">
        <v>285</v>
      </c>
      <c r="F121">
        <v>129</v>
      </c>
      <c r="G121" t="s">
        <v>3999</v>
      </c>
      <c r="H121" t="s">
        <v>360</v>
      </c>
      <c r="I121" t="s">
        <v>86</v>
      </c>
      <c r="J121" t="s">
        <v>361</v>
      </c>
      <c r="K121">
        <v>89930</v>
      </c>
      <c r="L121">
        <v>473.41</v>
      </c>
      <c r="M121">
        <v>473.41</v>
      </c>
      <c r="N121" t="s">
        <v>3998</v>
      </c>
      <c r="O121" t="s">
        <v>3981</v>
      </c>
      <c r="P121" t="str">
        <f>TRIM(Table13_1[[#This Row],[Genre]])</f>
        <v>Romance</v>
      </c>
    </row>
    <row r="122" spans="1:16" x14ac:dyDescent="0.3">
      <c r="A122" t="s">
        <v>357</v>
      </c>
      <c r="B122" t="s">
        <v>358</v>
      </c>
      <c r="C122">
        <v>2003</v>
      </c>
      <c r="D122">
        <v>2000</v>
      </c>
      <c r="E122" t="s">
        <v>285</v>
      </c>
      <c r="F122">
        <v>129</v>
      </c>
      <c r="G122" t="s">
        <v>3999</v>
      </c>
      <c r="H122" t="s">
        <v>360</v>
      </c>
      <c r="I122" t="s">
        <v>86</v>
      </c>
      <c r="J122" t="s">
        <v>361</v>
      </c>
      <c r="K122">
        <v>89930</v>
      </c>
      <c r="L122">
        <v>473.41</v>
      </c>
      <c r="M122">
        <v>473.41</v>
      </c>
      <c r="N122" t="s">
        <v>3998</v>
      </c>
      <c r="O122" t="s">
        <v>3987</v>
      </c>
      <c r="P122" t="str">
        <f>TRIM(Table13_1[[#This Row],[Genre]])</f>
        <v>Fantasy</v>
      </c>
    </row>
    <row r="123" spans="1:16" x14ac:dyDescent="0.3">
      <c r="A123" t="s">
        <v>362</v>
      </c>
      <c r="B123" t="s">
        <v>363</v>
      </c>
      <c r="C123">
        <v>1997</v>
      </c>
      <c r="D123">
        <v>1990</v>
      </c>
      <c r="E123" t="s">
        <v>24</v>
      </c>
      <c r="F123">
        <v>130</v>
      </c>
      <c r="G123" t="s">
        <v>3999</v>
      </c>
      <c r="H123" t="s">
        <v>201</v>
      </c>
      <c r="I123" t="s">
        <v>153</v>
      </c>
      <c r="J123" t="s">
        <v>364</v>
      </c>
      <c r="K123">
        <v>2500000</v>
      </c>
      <c r="L123">
        <v>217.75</v>
      </c>
      <c r="M123">
        <v>217.75</v>
      </c>
      <c r="N123" t="s">
        <v>3998</v>
      </c>
      <c r="O123" t="s">
        <v>235</v>
      </c>
      <c r="P123" t="str">
        <f>TRIM(Table13_1[[#This Row],[Genre]])</f>
        <v>Drama</v>
      </c>
    </row>
    <row r="124" spans="1:16" x14ac:dyDescent="0.3">
      <c r="A124" t="s">
        <v>365</v>
      </c>
      <c r="B124" t="s">
        <v>366</v>
      </c>
      <c r="C124">
        <v>1997</v>
      </c>
      <c r="D124">
        <v>1990</v>
      </c>
      <c r="E124" t="s">
        <v>24</v>
      </c>
      <c r="F124">
        <v>161</v>
      </c>
      <c r="G124" t="s">
        <v>3999</v>
      </c>
      <c r="H124" t="s">
        <v>269</v>
      </c>
      <c r="I124" t="s">
        <v>368</v>
      </c>
      <c r="J124" t="s">
        <v>369</v>
      </c>
      <c r="K124">
        <v>82428</v>
      </c>
      <c r="M124">
        <v>0</v>
      </c>
      <c r="N124" t="s">
        <v>4001</v>
      </c>
      <c r="O124" t="s">
        <v>453</v>
      </c>
      <c r="P124" t="str">
        <f>TRIM(Table13_1[[#This Row],[Genre]])</f>
        <v>Musical</v>
      </c>
    </row>
    <row r="125" spans="1:16" x14ac:dyDescent="0.3">
      <c r="A125" t="s">
        <v>365</v>
      </c>
      <c r="B125" t="s">
        <v>366</v>
      </c>
      <c r="C125">
        <v>1997</v>
      </c>
      <c r="D125">
        <v>1990</v>
      </c>
      <c r="E125" t="s">
        <v>24</v>
      </c>
      <c r="F125">
        <v>161</v>
      </c>
      <c r="G125" t="s">
        <v>3999</v>
      </c>
      <c r="H125" t="s">
        <v>269</v>
      </c>
      <c r="I125" t="s">
        <v>368</v>
      </c>
      <c r="J125" t="s">
        <v>369</v>
      </c>
      <c r="K125">
        <v>82428</v>
      </c>
      <c r="M125">
        <v>0</v>
      </c>
      <c r="N125" t="s">
        <v>4001</v>
      </c>
      <c r="O125" t="s">
        <v>3986</v>
      </c>
      <c r="P125" t="str">
        <f>TRIM(Table13_1[[#This Row],[Genre]])</f>
        <v>Documentary</v>
      </c>
    </row>
    <row r="126" spans="1:16" x14ac:dyDescent="0.3">
      <c r="A126" t="s">
        <v>365</v>
      </c>
      <c r="B126" t="s">
        <v>366</v>
      </c>
      <c r="C126">
        <v>1997</v>
      </c>
      <c r="D126">
        <v>1990</v>
      </c>
      <c r="E126" t="s">
        <v>24</v>
      </c>
      <c r="F126">
        <v>161</v>
      </c>
      <c r="G126" t="s">
        <v>3999</v>
      </c>
      <c r="H126" t="s">
        <v>269</v>
      </c>
      <c r="I126" t="s">
        <v>368</v>
      </c>
      <c r="J126" t="s">
        <v>369</v>
      </c>
      <c r="K126">
        <v>82428</v>
      </c>
      <c r="M126">
        <v>0</v>
      </c>
      <c r="N126" t="s">
        <v>4001</v>
      </c>
      <c r="O126" t="s">
        <v>3984</v>
      </c>
      <c r="P126" t="str">
        <f>TRIM(Table13_1[[#This Row],[Genre]])</f>
        <v>Adventure</v>
      </c>
    </row>
    <row r="127" spans="1:16" x14ac:dyDescent="0.3">
      <c r="A127" t="s">
        <v>370</v>
      </c>
      <c r="B127" t="s">
        <v>371</v>
      </c>
      <c r="C127">
        <v>2001</v>
      </c>
      <c r="D127">
        <v>2000</v>
      </c>
      <c r="E127" t="s">
        <v>54</v>
      </c>
      <c r="F127">
        <v>113</v>
      </c>
      <c r="G127" t="s">
        <v>3997</v>
      </c>
      <c r="H127" t="s">
        <v>38</v>
      </c>
      <c r="I127" t="s">
        <v>165</v>
      </c>
      <c r="J127" t="s">
        <v>372</v>
      </c>
      <c r="K127">
        <v>169100</v>
      </c>
      <c r="M127">
        <v>0</v>
      </c>
      <c r="N127" t="s">
        <v>4001</v>
      </c>
      <c r="O127" t="s">
        <v>37</v>
      </c>
      <c r="P127" t="str">
        <f>TRIM(Table13_1[[#This Row],[Genre]])</f>
        <v>Biography</v>
      </c>
    </row>
    <row r="128" spans="1:16" x14ac:dyDescent="0.3">
      <c r="A128" t="s">
        <v>373</v>
      </c>
      <c r="B128" t="s">
        <v>374</v>
      </c>
      <c r="C128">
        <v>2003</v>
      </c>
      <c r="D128">
        <v>2000</v>
      </c>
      <c r="E128" t="s">
        <v>54</v>
      </c>
      <c r="F128">
        <v>123</v>
      </c>
      <c r="G128" t="s">
        <v>3999</v>
      </c>
      <c r="H128" t="s">
        <v>376</v>
      </c>
      <c r="I128" t="s">
        <v>315</v>
      </c>
      <c r="J128" t="s">
        <v>377</v>
      </c>
      <c r="K128">
        <v>768016</v>
      </c>
      <c r="L128">
        <v>185.42</v>
      </c>
      <c r="M128">
        <v>185.42</v>
      </c>
      <c r="N128" t="s">
        <v>4002</v>
      </c>
      <c r="O128" t="s">
        <v>375</v>
      </c>
      <c r="P128" t="str">
        <f>TRIM(Table13_1[[#This Row],[Genre]])</f>
        <v>Family</v>
      </c>
    </row>
    <row r="129" spans="1:16" x14ac:dyDescent="0.3">
      <c r="A129" t="s">
        <v>378</v>
      </c>
      <c r="B129" t="s">
        <v>379</v>
      </c>
      <c r="C129">
        <v>2004</v>
      </c>
      <c r="D129">
        <v>2000</v>
      </c>
      <c r="E129" t="s">
        <v>54</v>
      </c>
      <c r="F129">
        <v>148</v>
      </c>
      <c r="G129" t="s">
        <v>3999</v>
      </c>
      <c r="H129" t="s">
        <v>381</v>
      </c>
      <c r="I129" t="s">
        <v>326</v>
      </c>
      <c r="J129" t="s">
        <v>382</v>
      </c>
      <c r="K129">
        <v>519922</v>
      </c>
      <c r="L129">
        <v>415.45</v>
      </c>
      <c r="M129">
        <v>415.45</v>
      </c>
      <c r="N129" t="s">
        <v>3998</v>
      </c>
      <c r="O129" t="s">
        <v>375</v>
      </c>
      <c r="P129" t="str">
        <f>TRIM(Table13_1[[#This Row],[Genre]])</f>
        <v>Family</v>
      </c>
    </row>
    <row r="130" spans="1:16" x14ac:dyDescent="0.3">
      <c r="A130" t="s">
        <v>378</v>
      </c>
      <c r="B130" t="s">
        <v>379</v>
      </c>
      <c r="C130">
        <v>2004</v>
      </c>
      <c r="D130">
        <v>2000</v>
      </c>
      <c r="E130" t="s">
        <v>54</v>
      </c>
      <c r="F130">
        <v>148</v>
      </c>
      <c r="G130" t="s">
        <v>3999</v>
      </c>
      <c r="H130" t="s">
        <v>381</v>
      </c>
      <c r="I130" t="s">
        <v>326</v>
      </c>
      <c r="J130" t="s">
        <v>382</v>
      </c>
      <c r="K130">
        <v>519922</v>
      </c>
      <c r="L130">
        <v>415.45</v>
      </c>
      <c r="M130">
        <v>415.45</v>
      </c>
      <c r="N130" t="s">
        <v>3998</v>
      </c>
      <c r="O130" t="s">
        <v>3989</v>
      </c>
      <c r="P130" t="str">
        <f>TRIM(Table13_1[[#This Row],[Genre]])</f>
        <v>Sci-Fi</v>
      </c>
    </row>
    <row r="131" spans="1:16" x14ac:dyDescent="0.3">
      <c r="A131" t="s">
        <v>383</v>
      </c>
      <c r="B131" t="s">
        <v>384</v>
      </c>
      <c r="C131">
        <v>1969</v>
      </c>
      <c r="D131">
        <v>1960</v>
      </c>
      <c r="E131" t="s">
        <v>17</v>
      </c>
      <c r="F131">
        <v>113</v>
      </c>
      <c r="G131" t="s">
        <v>3997</v>
      </c>
      <c r="H131" t="s">
        <v>386</v>
      </c>
      <c r="I131" t="s">
        <v>165</v>
      </c>
      <c r="J131" t="s">
        <v>387</v>
      </c>
      <c r="K131">
        <v>310406</v>
      </c>
      <c r="L131">
        <v>169.85</v>
      </c>
      <c r="M131">
        <v>169.85</v>
      </c>
      <c r="N131" t="s">
        <v>4002</v>
      </c>
      <c r="O131" t="s">
        <v>55</v>
      </c>
      <c r="P131" t="str">
        <f>TRIM(Table13_1[[#This Row],[Genre]])</f>
        <v>Romance</v>
      </c>
    </row>
    <row r="132" spans="1:16" x14ac:dyDescent="0.3">
      <c r="A132" t="s">
        <v>383</v>
      </c>
      <c r="B132" t="s">
        <v>384</v>
      </c>
      <c r="C132">
        <v>1969</v>
      </c>
      <c r="D132">
        <v>1960</v>
      </c>
      <c r="E132" t="s">
        <v>17</v>
      </c>
      <c r="F132">
        <v>113</v>
      </c>
      <c r="G132" t="s">
        <v>3997</v>
      </c>
      <c r="H132" t="s">
        <v>386</v>
      </c>
      <c r="I132" t="s">
        <v>165</v>
      </c>
      <c r="J132" t="s">
        <v>387</v>
      </c>
      <c r="K132">
        <v>310406</v>
      </c>
      <c r="L132">
        <v>169.85</v>
      </c>
      <c r="M132">
        <v>169.85</v>
      </c>
      <c r="N132" t="s">
        <v>4002</v>
      </c>
      <c r="O132" t="s">
        <v>3988</v>
      </c>
      <c r="P132" t="str">
        <f>TRIM(Table13_1[[#This Row],[Genre]])</f>
        <v>Drama</v>
      </c>
    </row>
    <row r="133" spans="1:16" x14ac:dyDescent="0.3">
      <c r="A133" t="s">
        <v>388</v>
      </c>
      <c r="B133" t="s">
        <v>389</v>
      </c>
      <c r="C133">
        <v>1981</v>
      </c>
      <c r="D133">
        <v>1980</v>
      </c>
      <c r="E133" t="s">
        <v>169</v>
      </c>
      <c r="F133">
        <v>121</v>
      </c>
      <c r="G133" t="s">
        <v>3999</v>
      </c>
      <c r="H133" t="s">
        <v>391</v>
      </c>
      <c r="I133" t="s">
        <v>221</v>
      </c>
      <c r="J133" t="s">
        <v>392</v>
      </c>
      <c r="K133">
        <v>9064</v>
      </c>
      <c r="M133">
        <v>0</v>
      </c>
      <c r="N133" t="s">
        <v>4001</v>
      </c>
      <c r="O133" t="s">
        <v>43</v>
      </c>
      <c r="P133" t="str">
        <f>TRIM(Table13_1[[#This Row],[Genre]])</f>
        <v>Mystery</v>
      </c>
    </row>
    <row r="134" spans="1:16" x14ac:dyDescent="0.3">
      <c r="A134" t="s">
        <v>388</v>
      </c>
      <c r="B134" t="s">
        <v>389</v>
      </c>
      <c r="C134">
        <v>1981</v>
      </c>
      <c r="D134">
        <v>1980</v>
      </c>
      <c r="E134" t="s">
        <v>169</v>
      </c>
      <c r="F134">
        <v>121</v>
      </c>
      <c r="G134" t="s">
        <v>3999</v>
      </c>
      <c r="H134" t="s">
        <v>391</v>
      </c>
      <c r="I134" t="s">
        <v>221</v>
      </c>
      <c r="J134" t="s">
        <v>392</v>
      </c>
      <c r="K134">
        <v>9064</v>
      </c>
      <c r="M134">
        <v>0</v>
      </c>
      <c r="N134" t="s">
        <v>4001</v>
      </c>
      <c r="O134" t="s">
        <v>3980</v>
      </c>
      <c r="P134" t="str">
        <f>TRIM(Table13_1[[#This Row],[Genre]])</f>
        <v>Action</v>
      </c>
    </row>
    <row r="135" spans="1:16" x14ac:dyDescent="0.3">
      <c r="A135" t="s">
        <v>393</v>
      </c>
      <c r="B135" t="s">
        <v>394</v>
      </c>
      <c r="C135">
        <v>2024</v>
      </c>
      <c r="D135">
        <v>2020</v>
      </c>
      <c r="E135" t="s">
        <v>17</v>
      </c>
      <c r="F135">
        <v>128</v>
      </c>
      <c r="G135" t="s">
        <v>3999</v>
      </c>
      <c r="H135" t="s">
        <v>395</v>
      </c>
      <c r="I135" t="s">
        <v>236</v>
      </c>
      <c r="J135" t="s">
        <v>396</v>
      </c>
      <c r="K135">
        <v>236438</v>
      </c>
      <c r="L135">
        <v>150.6</v>
      </c>
      <c r="M135">
        <v>150.6</v>
      </c>
      <c r="N135" t="s">
        <v>4002</v>
      </c>
      <c r="O135" t="s">
        <v>277</v>
      </c>
      <c r="P135" t="str">
        <f>TRIM(Table13_1[[#This Row],[Genre]])</f>
        <v>Thriller</v>
      </c>
    </row>
    <row r="136" spans="1:16" x14ac:dyDescent="0.3">
      <c r="A136" t="s">
        <v>393</v>
      </c>
      <c r="B136" t="s">
        <v>394</v>
      </c>
      <c r="C136">
        <v>2024</v>
      </c>
      <c r="D136">
        <v>2020</v>
      </c>
      <c r="E136" t="s">
        <v>17</v>
      </c>
      <c r="F136">
        <v>128</v>
      </c>
      <c r="G136" t="s">
        <v>3999</v>
      </c>
      <c r="H136" t="s">
        <v>395</v>
      </c>
      <c r="I136" t="s">
        <v>236</v>
      </c>
      <c r="J136" t="s">
        <v>396</v>
      </c>
      <c r="K136">
        <v>236438</v>
      </c>
      <c r="L136">
        <v>150.6</v>
      </c>
      <c r="M136">
        <v>150.6</v>
      </c>
      <c r="N136" t="s">
        <v>4002</v>
      </c>
      <c r="O136" t="s">
        <v>3980</v>
      </c>
      <c r="P136" t="str">
        <f>TRIM(Table13_1[[#This Row],[Genre]])</f>
        <v>Action</v>
      </c>
    </row>
    <row r="137" spans="1:16" x14ac:dyDescent="0.3">
      <c r="A137" t="s">
        <v>397</v>
      </c>
      <c r="B137" t="s">
        <v>398</v>
      </c>
      <c r="C137">
        <v>2001</v>
      </c>
      <c r="D137">
        <v>2000</v>
      </c>
      <c r="E137" t="s">
        <v>54</v>
      </c>
      <c r="F137">
        <v>78</v>
      </c>
      <c r="G137" t="s">
        <v>4000</v>
      </c>
      <c r="H137" t="s">
        <v>400</v>
      </c>
      <c r="I137" t="s">
        <v>125</v>
      </c>
      <c r="J137" t="s">
        <v>401</v>
      </c>
      <c r="K137">
        <v>164336</v>
      </c>
      <c r="M137">
        <v>0</v>
      </c>
      <c r="N137" t="s">
        <v>4001</v>
      </c>
      <c r="O137" t="s">
        <v>606</v>
      </c>
      <c r="P137" t="str">
        <f>TRIM(Table13_1[[#This Row],[Genre]])</f>
        <v>Sci-Fi</v>
      </c>
    </row>
    <row r="138" spans="1:16" x14ac:dyDescent="0.3">
      <c r="A138" t="s">
        <v>397</v>
      </c>
      <c r="B138" t="s">
        <v>398</v>
      </c>
      <c r="C138">
        <v>2001</v>
      </c>
      <c r="D138">
        <v>2000</v>
      </c>
      <c r="E138" t="s">
        <v>54</v>
      </c>
      <c r="F138">
        <v>78</v>
      </c>
      <c r="G138" t="s">
        <v>4000</v>
      </c>
      <c r="H138" t="s">
        <v>400</v>
      </c>
      <c r="I138" t="s">
        <v>125</v>
      </c>
      <c r="J138" t="s">
        <v>401</v>
      </c>
      <c r="K138">
        <v>164336</v>
      </c>
      <c r="M138">
        <v>0</v>
      </c>
      <c r="N138" t="s">
        <v>4001</v>
      </c>
      <c r="O138" t="s">
        <v>3984</v>
      </c>
      <c r="P138" t="str">
        <f>TRIM(Table13_1[[#This Row],[Genre]])</f>
        <v>Adventure</v>
      </c>
    </row>
    <row r="139" spans="1:16" x14ac:dyDescent="0.3">
      <c r="A139" t="s">
        <v>397</v>
      </c>
      <c r="B139" t="s">
        <v>398</v>
      </c>
      <c r="C139">
        <v>2001</v>
      </c>
      <c r="D139">
        <v>2000</v>
      </c>
      <c r="E139" t="s">
        <v>54</v>
      </c>
      <c r="F139">
        <v>78</v>
      </c>
      <c r="G139" t="s">
        <v>4000</v>
      </c>
      <c r="H139" t="s">
        <v>400</v>
      </c>
      <c r="I139" t="s">
        <v>125</v>
      </c>
      <c r="J139" t="s">
        <v>401</v>
      </c>
      <c r="K139">
        <v>164336</v>
      </c>
      <c r="M139">
        <v>0</v>
      </c>
      <c r="N139" t="s">
        <v>4001</v>
      </c>
      <c r="O139" t="s">
        <v>3982</v>
      </c>
      <c r="P139" t="str">
        <f>TRIM(Table13_1[[#This Row],[Genre]])</f>
        <v>Family</v>
      </c>
    </row>
    <row r="140" spans="1:16" x14ac:dyDescent="0.3">
      <c r="A140" t="s">
        <v>402</v>
      </c>
      <c r="B140" t="s">
        <v>403</v>
      </c>
      <c r="C140">
        <v>2019</v>
      </c>
      <c r="D140">
        <v>2010</v>
      </c>
      <c r="E140" t="s">
        <v>54</v>
      </c>
      <c r="F140">
        <v>120</v>
      </c>
      <c r="G140" t="s">
        <v>3997</v>
      </c>
      <c r="H140" t="s">
        <v>231</v>
      </c>
      <c r="I140" t="s">
        <v>119</v>
      </c>
      <c r="J140" t="s">
        <v>405</v>
      </c>
      <c r="K140">
        <v>47058</v>
      </c>
      <c r="M140">
        <v>0</v>
      </c>
      <c r="N140" t="s">
        <v>4001</v>
      </c>
      <c r="O140" t="s">
        <v>230</v>
      </c>
      <c r="P140" t="str">
        <f>TRIM(Table13_1[[#This Row],[Genre]])</f>
        <v>Documentary</v>
      </c>
    </row>
    <row r="141" spans="1:16" x14ac:dyDescent="0.3">
      <c r="A141" t="s">
        <v>402</v>
      </c>
      <c r="B141" t="s">
        <v>403</v>
      </c>
      <c r="C141">
        <v>2019</v>
      </c>
      <c r="D141">
        <v>2010</v>
      </c>
      <c r="E141" t="s">
        <v>54</v>
      </c>
      <c r="F141">
        <v>120</v>
      </c>
      <c r="G141" t="s">
        <v>3997</v>
      </c>
      <c r="H141" t="s">
        <v>231</v>
      </c>
      <c r="I141" t="s">
        <v>119</v>
      </c>
      <c r="J141" t="s">
        <v>405</v>
      </c>
      <c r="K141">
        <v>47058</v>
      </c>
      <c r="M141">
        <v>0</v>
      </c>
      <c r="N141" t="s">
        <v>4001</v>
      </c>
      <c r="O141" t="s">
        <v>3992</v>
      </c>
      <c r="P141" t="str">
        <f>TRIM(Table13_1[[#This Row],[Genre]])</f>
        <v>Biography</v>
      </c>
    </row>
    <row r="142" spans="1:16" x14ac:dyDescent="0.3">
      <c r="A142" t="s">
        <v>406</v>
      </c>
      <c r="B142" t="s">
        <v>407</v>
      </c>
      <c r="C142">
        <v>1982</v>
      </c>
      <c r="D142">
        <v>1980</v>
      </c>
      <c r="E142" t="s">
        <v>17</v>
      </c>
      <c r="F142">
        <v>125</v>
      </c>
      <c r="G142" t="s">
        <v>3999</v>
      </c>
      <c r="H142" t="s">
        <v>408</v>
      </c>
      <c r="I142" t="s">
        <v>68</v>
      </c>
      <c r="J142" t="s">
        <v>409</v>
      </c>
      <c r="K142">
        <v>25906</v>
      </c>
      <c r="L142">
        <v>282.5</v>
      </c>
      <c r="M142">
        <v>282.5</v>
      </c>
      <c r="N142" t="s">
        <v>3998</v>
      </c>
      <c r="O142" t="s">
        <v>55</v>
      </c>
      <c r="P142" t="str">
        <f>TRIM(Table13_1[[#This Row],[Genre]])</f>
        <v>Romance</v>
      </c>
    </row>
    <row r="143" spans="1:16" x14ac:dyDescent="0.3">
      <c r="A143" t="s">
        <v>410</v>
      </c>
      <c r="B143" t="s">
        <v>411</v>
      </c>
      <c r="C143">
        <v>1983</v>
      </c>
      <c r="D143">
        <v>1980</v>
      </c>
      <c r="E143" t="s">
        <v>293</v>
      </c>
      <c r="F143">
        <v>124</v>
      </c>
      <c r="G143" t="s">
        <v>3999</v>
      </c>
      <c r="H143" t="s">
        <v>412</v>
      </c>
      <c r="I143" t="s">
        <v>57</v>
      </c>
      <c r="J143" t="s">
        <v>413</v>
      </c>
      <c r="K143">
        <v>24607</v>
      </c>
      <c r="L143">
        <v>106.21</v>
      </c>
      <c r="M143">
        <v>106.21</v>
      </c>
      <c r="N143" t="s">
        <v>4002</v>
      </c>
      <c r="O143" t="s">
        <v>78</v>
      </c>
      <c r="P143" t="str">
        <f>TRIM(Table13_1[[#This Row],[Genre]])</f>
        <v>Adventure</v>
      </c>
    </row>
    <row r="144" spans="1:16" x14ac:dyDescent="0.3">
      <c r="A144" t="s">
        <v>414</v>
      </c>
      <c r="B144" t="s">
        <v>415</v>
      </c>
      <c r="C144">
        <v>1974</v>
      </c>
      <c r="D144">
        <v>1970</v>
      </c>
      <c r="E144" t="s">
        <v>293</v>
      </c>
      <c r="F144">
        <v>125</v>
      </c>
      <c r="G144" t="s">
        <v>3999</v>
      </c>
      <c r="H144" t="s">
        <v>417</v>
      </c>
      <c r="I144" t="s">
        <v>125</v>
      </c>
      <c r="J144" t="s">
        <v>418</v>
      </c>
      <c r="K144">
        <v>72402</v>
      </c>
      <c r="M144">
        <v>0</v>
      </c>
      <c r="N144" t="s">
        <v>4001</v>
      </c>
      <c r="O144" t="s">
        <v>230</v>
      </c>
      <c r="P144" t="str">
        <f>TRIM(Table13_1[[#This Row],[Genre]])</f>
        <v>Documentary</v>
      </c>
    </row>
    <row r="145" spans="1:16" x14ac:dyDescent="0.3">
      <c r="A145" t="s">
        <v>414</v>
      </c>
      <c r="B145" t="s">
        <v>415</v>
      </c>
      <c r="C145">
        <v>1974</v>
      </c>
      <c r="D145">
        <v>1970</v>
      </c>
      <c r="E145" t="s">
        <v>293</v>
      </c>
      <c r="F145">
        <v>125</v>
      </c>
      <c r="G145" t="s">
        <v>3999</v>
      </c>
      <c r="H145" t="s">
        <v>417</v>
      </c>
      <c r="I145" t="s">
        <v>125</v>
      </c>
      <c r="J145" t="s">
        <v>418</v>
      </c>
      <c r="K145">
        <v>72402</v>
      </c>
      <c r="M145">
        <v>0</v>
      </c>
      <c r="N145" t="s">
        <v>4001</v>
      </c>
      <c r="O145" t="s">
        <v>3980</v>
      </c>
      <c r="P145" t="str">
        <f>TRIM(Table13_1[[#This Row],[Genre]])</f>
        <v>Action</v>
      </c>
    </row>
    <row r="146" spans="1:16" x14ac:dyDescent="0.3">
      <c r="A146" t="s">
        <v>414</v>
      </c>
      <c r="B146" t="s">
        <v>415</v>
      </c>
      <c r="C146">
        <v>1974</v>
      </c>
      <c r="D146">
        <v>1970</v>
      </c>
      <c r="E146" t="s">
        <v>293</v>
      </c>
      <c r="F146">
        <v>125</v>
      </c>
      <c r="G146" t="s">
        <v>3999</v>
      </c>
      <c r="H146" t="s">
        <v>417</v>
      </c>
      <c r="I146" t="s">
        <v>125</v>
      </c>
      <c r="J146" t="s">
        <v>418</v>
      </c>
      <c r="K146">
        <v>72402</v>
      </c>
      <c r="M146">
        <v>0</v>
      </c>
      <c r="N146" t="s">
        <v>4001</v>
      </c>
      <c r="O146" t="s">
        <v>3993</v>
      </c>
      <c r="P146" t="str">
        <f>TRIM(Table13_1[[#This Row],[Genre]])</f>
        <v>Comedy</v>
      </c>
    </row>
    <row r="147" spans="1:16" x14ac:dyDescent="0.3">
      <c r="A147" t="s">
        <v>419</v>
      </c>
      <c r="B147" t="s">
        <v>420</v>
      </c>
      <c r="C147">
        <v>1955</v>
      </c>
      <c r="D147">
        <v>1950</v>
      </c>
      <c r="E147" t="s">
        <v>17</v>
      </c>
      <c r="F147">
        <v>116</v>
      </c>
      <c r="G147" t="s">
        <v>3997</v>
      </c>
      <c r="H147" t="s">
        <v>422</v>
      </c>
      <c r="I147" t="s">
        <v>27</v>
      </c>
      <c r="J147" t="s">
        <v>423</v>
      </c>
      <c r="K147">
        <v>68203</v>
      </c>
      <c r="L147">
        <v>255.59</v>
      </c>
      <c r="M147">
        <v>255.59</v>
      </c>
      <c r="N147" t="s">
        <v>3998</v>
      </c>
      <c r="O147" t="s">
        <v>375</v>
      </c>
      <c r="P147" t="str">
        <f>TRIM(Table13_1[[#This Row],[Genre]])</f>
        <v>Family</v>
      </c>
    </row>
    <row r="148" spans="1:16" x14ac:dyDescent="0.3">
      <c r="A148" t="s">
        <v>419</v>
      </c>
      <c r="B148" t="s">
        <v>420</v>
      </c>
      <c r="C148">
        <v>1955</v>
      </c>
      <c r="D148">
        <v>1950</v>
      </c>
      <c r="E148" t="s">
        <v>17</v>
      </c>
      <c r="F148">
        <v>116</v>
      </c>
      <c r="G148" t="s">
        <v>3997</v>
      </c>
      <c r="H148" t="s">
        <v>422</v>
      </c>
      <c r="I148" t="s">
        <v>27</v>
      </c>
      <c r="J148" t="s">
        <v>423</v>
      </c>
      <c r="K148">
        <v>68203</v>
      </c>
      <c r="L148">
        <v>255.59</v>
      </c>
      <c r="M148">
        <v>255.59</v>
      </c>
      <c r="N148" t="s">
        <v>3998</v>
      </c>
      <c r="O148" t="s">
        <v>3978</v>
      </c>
      <c r="P148" t="str">
        <f>TRIM(Table13_1[[#This Row],[Genre]])</f>
        <v>Mystery</v>
      </c>
    </row>
    <row r="149" spans="1:16" x14ac:dyDescent="0.3">
      <c r="A149" t="s">
        <v>424</v>
      </c>
      <c r="B149" t="s">
        <v>425</v>
      </c>
      <c r="C149">
        <v>1943</v>
      </c>
      <c r="D149">
        <v>1940</v>
      </c>
      <c r="E149" t="s">
        <v>24</v>
      </c>
      <c r="F149">
        <v>107</v>
      </c>
      <c r="G149" t="s">
        <v>3997</v>
      </c>
      <c r="H149" t="s">
        <v>381</v>
      </c>
      <c r="I149" t="s">
        <v>125</v>
      </c>
      <c r="J149" t="s">
        <v>427</v>
      </c>
      <c r="K149">
        <v>721707</v>
      </c>
      <c r="L149">
        <v>18.05</v>
      </c>
      <c r="M149">
        <v>18.05</v>
      </c>
      <c r="N149" t="s">
        <v>4001</v>
      </c>
      <c r="O149" t="s">
        <v>375</v>
      </c>
      <c r="P149" t="str">
        <f>TRIM(Table13_1[[#This Row],[Genre]])</f>
        <v>Family</v>
      </c>
    </row>
    <row r="150" spans="1:16" x14ac:dyDescent="0.3">
      <c r="A150" t="s">
        <v>424</v>
      </c>
      <c r="B150" t="s">
        <v>425</v>
      </c>
      <c r="C150">
        <v>1943</v>
      </c>
      <c r="D150">
        <v>1940</v>
      </c>
      <c r="E150" t="s">
        <v>24</v>
      </c>
      <c r="F150">
        <v>107</v>
      </c>
      <c r="G150" t="s">
        <v>3997</v>
      </c>
      <c r="H150" t="s">
        <v>381</v>
      </c>
      <c r="I150" t="s">
        <v>125</v>
      </c>
      <c r="J150" t="s">
        <v>427</v>
      </c>
      <c r="K150">
        <v>721707</v>
      </c>
      <c r="L150">
        <v>18.05</v>
      </c>
      <c r="M150">
        <v>18.05</v>
      </c>
      <c r="N150" t="s">
        <v>4001</v>
      </c>
      <c r="O150" t="s">
        <v>3983</v>
      </c>
      <c r="P150" t="str">
        <f>TRIM(Table13_1[[#This Row],[Genre]])</f>
        <v>Crime</v>
      </c>
    </row>
    <row r="151" spans="1:16" x14ac:dyDescent="0.3">
      <c r="A151" t="s">
        <v>428</v>
      </c>
      <c r="B151" t="s">
        <v>429</v>
      </c>
      <c r="C151">
        <v>2024</v>
      </c>
      <c r="D151">
        <v>2020</v>
      </c>
      <c r="E151" t="s">
        <v>24</v>
      </c>
      <c r="F151">
        <v>114</v>
      </c>
      <c r="G151" t="s">
        <v>3997</v>
      </c>
      <c r="H151" t="s">
        <v>431</v>
      </c>
      <c r="I151" t="s">
        <v>165</v>
      </c>
      <c r="J151" t="s">
        <v>432</v>
      </c>
      <c r="K151">
        <v>894336</v>
      </c>
      <c r="L151">
        <v>676.44</v>
      </c>
      <c r="M151">
        <v>676.44</v>
      </c>
      <c r="N151" t="s">
        <v>3998</v>
      </c>
      <c r="O151" t="s">
        <v>210</v>
      </c>
      <c r="P151" t="str">
        <f>TRIM(Table13_1[[#This Row],[Genre]])</f>
        <v>Action</v>
      </c>
    </row>
    <row r="152" spans="1:16" x14ac:dyDescent="0.3">
      <c r="A152" t="s">
        <v>428</v>
      </c>
      <c r="B152" t="s">
        <v>429</v>
      </c>
      <c r="C152">
        <v>2024</v>
      </c>
      <c r="D152">
        <v>2020</v>
      </c>
      <c r="E152" t="s">
        <v>24</v>
      </c>
      <c r="F152">
        <v>114</v>
      </c>
      <c r="G152" t="s">
        <v>3997</v>
      </c>
      <c r="H152" t="s">
        <v>431</v>
      </c>
      <c r="I152" t="s">
        <v>165</v>
      </c>
      <c r="J152" t="s">
        <v>432</v>
      </c>
      <c r="K152">
        <v>894336</v>
      </c>
      <c r="L152">
        <v>676.44</v>
      </c>
      <c r="M152">
        <v>676.44</v>
      </c>
      <c r="N152" t="s">
        <v>3998</v>
      </c>
      <c r="O152" t="s">
        <v>3989</v>
      </c>
      <c r="P152" t="str">
        <f>TRIM(Table13_1[[#This Row],[Genre]])</f>
        <v>Sci-Fi</v>
      </c>
    </row>
    <row r="153" spans="1:16" x14ac:dyDescent="0.3">
      <c r="A153" t="s">
        <v>433</v>
      </c>
      <c r="B153" t="s">
        <v>434</v>
      </c>
      <c r="C153">
        <v>2015</v>
      </c>
      <c r="D153">
        <v>2010</v>
      </c>
      <c r="E153" t="s">
        <v>24</v>
      </c>
      <c r="F153">
        <v>129</v>
      </c>
      <c r="G153" t="s">
        <v>3999</v>
      </c>
      <c r="H153" t="s">
        <v>435</v>
      </c>
      <c r="I153" t="s">
        <v>86</v>
      </c>
      <c r="J153" t="s">
        <v>436</v>
      </c>
      <c r="K153">
        <v>118746</v>
      </c>
      <c r="L153">
        <v>434.07</v>
      </c>
      <c r="M153">
        <v>434.07</v>
      </c>
      <c r="N153" t="s">
        <v>3998</v>
      </c>
      <c r="O153" t="s">
        <v>453</v>
      </c>
      <c r="P153" t="str">
        <f>TRIM(Table13_1[[#This Row],[Genre]])</f>
        <v>Musical</v>
      </c>
    </row>
    <row r="154" spans="1:16" x14ac:dyDescent="0.3">
      <c r="A154" t="s">
        <v>433</v>
      </c>
      <c r="B154" t="s">
        <v>434</v>
      </c>
      <c r="C154">
        <v>2015</v>
      </c>
      <c r="D154">
        <v>2010</v>
      </c>
      <c r="E154" t="s">
        <v>24</v>
      </c>
      <c r="F154">
        <v>129</v>
      </c>
      <c r="G154" t="s">
        <v>3999</v>
      </c>
      <c r="H154" t="s">
        <v>435</v>
      </c>
      <c r="I154" t="s">
        <v>86</v>
      </c>
      <c r="J154" t="s">
        <v>436</v>
      </c>
      <c r="K154">
        <v>118746</v>
      </c>
      <c r="L154">
        <v>434.07</v>
      </c>
      <c r="M154">
        <v>434.07</v>
      </c>
      <c r="N154" t="s">
        <v>3998</v>
      </c>
      <c r="O154" t="s">
        <v>3991</v>
      </c>
      <c r="P154" t="str">
        <f>TRIM(Table13_1[[#This Row],[Genre]])</f>
        <v>Thriller</v>
      </c>
    </row>
    <row r="155" spans="1:16" x14ac:dyDescent="0.3">
      <c r="A155" t="s">
        <v>437</v>
      </c>
      <c r="B155" t="s">
        <v>438</v>
      </c>
      <c r="C155">
        <v>1982</v>
      </c>
      <c r="D155">
        <v>1980</v>
      </c>
      <c r="E155" t="s">
        <v>17</v>
      </c>
      <c r="F155">
        <v>120</v>
      </c>
      <c r="G155" t="s">
        <v>3997</v>
      </c>
      <c r="H155" t="s">
        <v>440</v>
      </c>
      <c r="I155" t="s">
        <v>50</v>
      </c>
      <c r="J155" t="s">
        <v>441</v>
      </c>
      <c r="K155">
        <v>117325</v>
      </c>
      <c r="L155">
        <v>106.37</v>
      </c>
      <c r="M155">
        <v>106.37</v>
      </c>
      <c r="N155" t="s">
        <v>4002</v>
      </c>
      <c r="O155" t="s">
        <v>55</v>
      </c>
      <c r="P155" t="str">
        <f>TRIM(Table13_1[[#This Row],[Genre]])</f>
        <v>Romance</v>
      </c>
    </row>
    <row r="156" spans="1:16" x14ac:dyDescent="0.3">
      <c r="A156" t="s">
        <v>437</v>
      </c>
      <c r="B156" t="s">
        <v>438</v>
      </c>
      <c r="C156">
        <v>1982</v>
      </c>
      <c r="D156">
        <v>1980</v>
      </c>
      <c r="E156" t="s">
        <v>17</v>
      </c>
      <c r="F156">
        <v>120</v>
      </c>
      <c r="G156" t="s">
        <v>3997</v>
      </c>
      <c r="H156" t="s">
        <v>440</v>
      </c>
      <c r="I156" t="s">
        <v>50</v>
      </c>
      <c r="J156" t="s">
        <v>441</v>
      </c>
      <c r="K156">
        <v>117325</v>
      </c>
      <c r="L156">
        <v>106.37</v>
      </c>
      <c r="M156">
        <v>106.37</v>
      </c>
      <c r="N156" t="s">
        <v>4002</v>
      </c>
      <c r="O156" t="s">
        <v>3985</v>
      </c>
      <c r="P156" t="str">
        <f>TRIM(Table13_1[[#This Row],[Genre]])</f>
        <v>Horror</v>
      </c>
    </row>
    <row r="157" spans="1:16" x14ac:dyDescent="0.3">
      <c r="A157" t="s">
        <v>442</v>
      </c>
      <c r="B157" t="s">
        <v>443</v>
      </c>
      <c r="C157">
        <v>2010</v>
      </c>
      <c r="D157">
        <v>2010</v>
      </c>
      <c r="E157" t="s">
        <v>54</v>
      </c>
      <c r="F157">
        <v>144</v>
      </c>
      <c r="G157" t="s">
        <v>3999</v>
      </c>
      <c r="H157" t="s">
        <v>102</v>
      </c>
      <c r="I157" t="s">
        <v>33</v>
      </c>
      <c r="J157" t="s">
        <v>445</v>
      </c>
      <c r="K157">
        <v>278582</v>
      </c>
      <c r="L157">
        <v>385.34</v>
      </c>
      <c r="M157">
        <v>385.34</v>
      </c>
      <c r="N157" t="s">
        <v>3998</v>
      </c>
      <c r="O157" t="s">
        <v>868</v>
      </c>
      <c r="P157" t="str">
        <f>TRIM(Table13_1[[#This Row],[Genre]])</f>
        <v>Western</v>
      </c>
    </row>
    <row r="158" spans="1:16" x14ac:dyDescent="0.3">
      <c r="A158" t="s">
        <v>442</v>
      </c>
      <c r="B158" t="s">
        <v>443</v>
      </c>
      <c r="C158">
        <v>2010</v>
      </c>
      <c r="D158">
        <v>2010</v>
      </c>
      <c r="E158" t="s">
        <v>54</v>
      </c>
      <c r="F158">
        <v>144</v>
      </c>
      <c r="G158" t="s">
        <v>3999</v>
      </c>
      <c r="H158" t="s">
        <v>102</v>
      </c>
      <c r="I158" t="s">
        <v>33</v>
      </c>
      <c r="J158" t="s">
        <v>445</v>
      </c>
      <c r="K158">
        <v>278582</v>
      </c>
      <c r="L158">
        <v>385.34</v>
      </c>
      <c r="M158">
        <v>385.34</v>
      </c>
      <c r="N158" t="s">
        <v>3998</v>
      </c>
      <c r="O158" t="s">
        <v>3986</v>
      </c>
      <c r="P158" t="str">
        <f>TRIM(Table13_1[[#This Row],[Genre]])</f>
        <v>Documentary</v>
      </c>
    </row>
    <row r="159" spans="1:16" x14ac:dyDescent="0.3">
      <c r="A159" t="s">
        <v>446</v>
      </c>
      <c r="B159" t="s">
        <v>447</v>
      </c>
      <c r="C159">
        <v>1957</v>
      </c>
      <c r="D159">
        <v>1950</v>
      </c>
      <c r="E159" t="s">
        <v>293</v>
      </c>
      <c r="F159">
        <v>119</v>
      </c>
      <c r="G159" t="s">
        <v>3997</v>
      </c>
      <c r="H159" t="s">
        <v>449</v>
      </c>
      <c r="I159" t="s">
        <v>39</v>
      </c>
      <c r="J159" t="s">
        <v>450</v>
      </c>
      <c r="K159">
        <v>2500000</v>
      </c>
      <c r="M159">
        <v>0</v>
      </c>
      <c r="N159" t="s">
        <v>4001</v>
      </c>
      <c r="O159" t="s">
        <v>210</v>
      </c>
      <c r="P159" t="str">
        <f>TRIM(Table13_1[[#This Row],[Genre]])</f>
        <v>Action</v>
      </c>
    </row>
    <row r="160" spans="1:16" x14ac:dyDescent="0.3">
      <c r="A160" t="s">
        <v>446</v>
      </c>
      <c r="B160" t="s">
        <v>447</v>
      </c>
      <c r="C160">
        <v>1957</v>
      </c>
      <c r="D160">
        <v>1950</v>
      </c>
      <c r="E160" t="s">
        <v>293</v>
      </c>
      <c r="F160">
        <v>119</v>
      </c>
      <c r="G160" t="s">
        <v>3997</v>
      </c>
      <c r="H160" t="s">
        <v>449</v>
      </c>
      <c r="I160" t="s">
        <v>39</v>
      </c>
      <c r="J160" t="s">
        <v>450</v>
      </c>
      <c r="K160">
        <v>2500000</v>
      </c>
      <c r="M160">
        <v>0</v>
      </c>
      <c r="N160" t="s">
        <v>4001</v>
      </c>
      <c r="O160" t="s">
        <v>3984</v>
      </c>
      <c r="P160" t="str">
        <f>TRIM(Table13_1[[#This Row],[Genre]])</f>
        <v>Adventure</v>
      </c>
    </row>
    <row r="161" spans="1:16" x14ac:dyDescent="0.3">
      <c r="A161" t="s">
        <v>451</v>
      </c>
      <c r="B161" t="s">
        <v>452</v>
      </c>
      <c r="C161">
        <v>2006</v>
      </c>
      <c r="D161">
        <v>2000</v>
      </c>
      <c r="E161" t="s">
        <v>17</v>
      </c>
      <c r="F161">
        <v>114</v>
      </c>
      <c r="G161" t="s">
        <v>3997</v>
      </c>
      <c r="H161" t="s">
        <v>454</v>
      </c>
      <c r="I161" t="s">
        <v>74</v>
      </c>
      <c r="J161" t="s">
        <v>455</v>
      </c>
      <c r="K161">
        <v>2244</v>
      </c>
      <c r="L161">
        <v>266.39999999999998</v>
      </c>
      <c r="M161">
        <v>266.39999999999998</v>
      </c>
      <c r="N161" t="s">
        <v>3998</v>
      </c>
      <c r="O161" t="s">
        <v>453</v>
      </c>
      <c r="P161" t="str">
        <f>TRIM(Table13_1[[#This Row],[Genre]])</f>
        <v>Musical</v>
      </c>
    </row>
    <row r="162" spans="1:16" x14ac:dyDescent="0.3">
      <c r="A162" t="s">
        <v>456</v>
      </c>
      <c r="B162" t="s">
        <v>457</v>
      </c>
      <c r="C162">
        <v>1969</v>
      </c>
      <c r="D162">
        <v>1960</v>
      </c>
      <c r="E162" t="s">
        <v>17</v>
      </c>
      <c r="F162">
        <v>115</v>
      </c>
      <c r="G162" t="s">
        <v>3997</v>
      </c>
      <c r="H162" t="s">
        <v>458</v>
      </c>
      <c r="I162" t="s">
        <v>147</v>
      </c>
      <c r="J162" t="s">
        <v>459</v>
      </c>
      <c r="K162">
        <v>8476</v>
      </c>
      <c r="M162">
        <v>0</v>
      </c>
      <c r="N162" t="s">
        <v>4001</v>
      </c>
      <c r="O162" t="s">
        <v>37</v>
      </c>
      <c r="P162" t="str">
        <f>TRIM(Table13_1[[#This Row],[Genre]])</f>
        <v>Biography</v>
      </c>
    </row>
    <row r="163" spans="1:16" x14ac:dyDescent="0.3">
      <c r="A163" t="s">
        <v>456</v>
      </c>
      <c r="B163" t="s">
        <v>457</v>
      </c>
      <c r="C163">
        <v>1969</v>
      </c>
      <c r="D163">
        <v>1960</v>
      </c>
      <c r="E163" t="s">
        <v>17</v>
      </c>
      <c r="F163">
        <v>115</v>
      </c>
      <c r="G163" t="s">
        <v>3997</v>
      </c>
      <c r="H163" t="s">
        <v>458</v>
      </c>
      <c r="I163" t="s">
        <v>147</v>
      </c>
      <c r="J163" t="s">
        <v>459</v>
      </c>
      <c r="K163">
        <v>8476</v>
      </c>
      <c r="M163">
        <v>0</v>
      </c>
      <c r="N163" t="s">
        <v>4001</v>
      </c>
      <c r="O163" t="s">
        <v>3985</v>
      </c>
      <c r="P163" t="str">
        <f>TRIM(Table13_1[[#This Row],[Genre]])</f>
        <v>Horror</v>
      </c>
    </row>
    <row r="164" spans="1:16" x14ac:dyDescent="0.3">
      <c r="A164" t="s">
        <v>460</v>
      </c>
      <c r="B164" t="s">
        <v>461</v>
      </c>
      <c r="C164">
        <v>2002</v>
      </c>
      <c r="D164">
        <v>2000</v>
      </c>
      <c r="E164" t="s">
        <v>17</v>
      </c>
      <c r="F164">
        <v>86</v>
      </c>
      <c r="G164" t="s">
        <v>4000</v>
      </c>
      <c r="H164" t="s">
        <v>395</v>
      </c>
      <c r="I164" t="s">
        <v>147</v>
      </c>
      <c r="J164" t="s">
        <v>463</v>
      </c>
      <c r="K164">
        <v>94478</v>
      </c>
      <c r="M164">
        <v>0</v>
      </c>
      <c r="N164" t="s">
        <v>4001</v>
      </c>
      <c r="O164" t="s">
        <v>277</v>
      </c>
      <c r="P164" t="str">
        <f>TRIM(Table13_1[[#This Row],[Genre]])</f>
        <v>Thriller</v>
      </c>
    </row>
    <row r="165" spans="1:16" x14ac:dyDescent="0.3">
      <c r="A165" t="s">
        <v>460</v>
      </c>
      <c r="B165" t="s">
        <v>461</v>
      </c>
      <c r="C165">
        <v>2002</v>
      </c>
      <c r="D165">
        <v>2000</v>
      </c>
      <c r="E165" t="s">
        <v>17</v>
      </c>
      <c r="F165">
        <v>86</v>
      </c>
      <c r="G165" t="s">
        <v>4000</v>
      </c>
      <c r="H165" t="s">
        <v>395</v>
      </c>
      <c r="I165" t="s">
        <v>147</v>
      </c>
      <c r="J165" t="s">
        <v>463</v>
      </c>
      <c r="K165">
        <v>94478</v>
      </c>
      <c r="M165">
        <v>0</v>
      </c>
      <c r="N165" t="s">
        <v>4001</v>
      </c>
      <c r="O165" t="s">
        <v>3982</v>
      </c>
      <c r="P165" t="str">
        <f>TRIM(Table13_1[[#This Row],[Genre]])</f>
        <v>Family</v>
      </c>
    </row>
    <row r="166" spans="1:16" x14ac:dyDescent="0.3">
      <c r="A166" t="s">
        <v>460</v>
      </c>
      <c r="B166" t="s">
        <v>461</v>
      </c>
      <c r="C166">
        <v>2002</v>
      </c>
      <c r="D166">
        <v>2000</v>
      </c>
      <c r="E166" t="s">
        <v>17</v>
      </c>
      <c r="F166">
        <v>86</v>
      </c>
      <c r="G166" t="s">
        <v>4000</v>
      </c>
      <c r="H166" t="s">
        <v>395</v>
      </c>
      <c r="I166" t="s">
        <v>147</v>
      </c>
      <c r="J166" t="s">
        <v>463</v>
      </c>
      <c r="K166">
        <v>94478</v>
      </c>
      <c r="M166">
        <v>0</v>
      </c>
      <c r="N166" t="s">
        <v>4001</v>
      </c>
      <c r="O166" t="s">
        <v>3987</v>
      </c>
      <c r="P166" t="str">
        <f>TRIM(Table13_1[[#This Row],[Genre]])</f>
        <v>Fantasy</v>
      </c>
    </row>
    <row r="167" spans="1:16" x14ac:dyDescent="0.3">
      <c r="A167" t="s">
        <v>464</v>
      </c>
      <c r="B167" t="s">
        <v>465</v>
      </c>
      <c r="C167">
        <v>1959</v>
      </c>
      <c r="D167">
        <v>1950</v>
      </c>
      <c r="E167" t="s">
        <v>17</v>
      </c>
      <c r="F167">
        <v>109</v>
      </c>
      <c r="G167" t="s">
        <v>3997</v>
      </c>
      <c r="H167" t="s">
        <v>269</v>
      </c>
      <c r="I167" t="s">
        <v>92</v>
      </c>
      <c r="J167" t="s">
        <v>467</v>
      </c>
      <c r="K167">
        <v>12782</v>
      </c>
      <c r="M167">
        <v>0</v>
      </c>
      <c r="N167" t="s">
        <v>4001</v>
      </c>
      <c r="O167" t="s">
        <v>453</v>
      </c>
      <c r="P167" t="str">
        <f>TRIM(Table13_1[[#This Row],[Genre]])</f>
        <v>Musical</v>
      </c>
    </row>
    <row r="168" spans="1:16" x14ac:dyDescent="0.3">
      <c r="A168" t="s">
        <v>464</v>
      </c>
      <c r="B168" t="s">
        <v>465</v>
      </c>
      <c r="C168">
        <v>1959</v>
      </c>
      <c r="D168">
        <v>1950</v>
      </c>
      <c r="E168" t="s">
        <v>17</v>
      </c>
      <c r="F168">
        <v>109</v>
      </c>
      <c r="G168" t="s">
        <v>3997</v>
      </c>
      <c r="H168" t="s">
        <v>269</v>
      </c>
      <c r="I168" t="s">
        <v>92</v>
      </c>
      <c r="J168" t="s">
        <v>467</v>
      </c>
      <c r="K168">
        <v>12782</v>
      </c>
      <c r="M168">
        <v>0</v>
      </c>
      <c r="N168" t="s">
        <v>4001</v>
      </c>
      <c r="O168" t="s">
        <v>3978</v>
      </c>
      <c r="P168" t="str">
        <f>TRIM(Table13_1[[#This Row],[Genre]])</f>
        <v>Mystery</v>
      </c>
    </row>
    <row r="169" spans="1:16" x14ac:dyDescent="0.3">
      <c r="A169" t="s">
        <v>468</v>
      </c>
      <c r="B169" t="s">
        <v>469</v>
      </c>
      <c r="C169">
        <v>1964</v>
      </c>
      <c r="D169">
        <v>1960</v>
      </c>
      <c r="E169" t="s">
        <v>54</v>
      </c>
      <c r="F169">
        <v>136</v>
      </c>
      <c r="G169" t="s">
        <v>3999</v>
      </c>
      <c r="H169" t="s">
        <v>471</v>
      </c>
      <c r="I169" t="s">
        <v>251</v>
      </c>
      <c r="J169" t="s">
        <v>472</v>
      </c>
      <c r="K169">
        <v>45880</v>
      </c>
      <c r="M169">
        <v>0</v>
      </c>
      <c r="N169" t="s">
        <v>4001</v>
      </c>
      <c r="O169" t="s">
        <v>72</v>
      </c>
      <c r="P169" t="str">
        <f>TRIM(Table13_1[[#This Row],[Genre]])</f>
        <v>War</v>
      </c>
    </row>
    <row r="170" spans="1:16" x14ac:dyDescent="0.3">
      <c r="A170" t="s">
        <v>468</v>
      </c>
      <c r="B170" t="s">
        <v>469</v>
      </c>
      <c r="C170">
        <v>1964</v>
      </c>
      <c r="D170">
        <v>1960</v>
      </c>
      <c r="E170" t="s">
        <v>54</v>
      </c>
      <c r="F170">
        <v>136</v>
      </c>
      <c r="G170" t="s">
        <v>3999</v>
      </c>
      <c r="H170" t="s">
        <v>471</v>
      </c>
      <c r="I170" t="s">
        <v>251</v>
      </c>
      <c r="J170" t="s">
        <v>472</v>
      </c>
      <c r="K170">
        <v>45880</v>
      </c>
      <c r="M170">
        <v>0</v>
      </c>
      <c r="N170" t="s">
        <v>4001</v>
      </c>
      <c r="O170" t="s">
        <v>3982</v>
      </c>
      <c r="P170" t="str">
        <f>TRIM(Table13_1[[#This Row],[Genre]])</f>
        <v>Family</v>
      </c>
    </row>
    <row r="171" spans="1:16" x14ac:dyDescent="0.3">
      <c r="A171" t="s">
        <v>473</v>
      </c>
      <c r="B171" t="s">
        <v>474</v>
      </c>
      <c r="C171">
        <v>1950</v>
      </c>
      <c r="D171">
        <v>1950</v>
      </c>
      <c r="E171" t="s">
        <v>24</v>
      </c>
      <c r="F171">
        <v>125</v>
      </c>
      <c r="G171" t="s">
        <v>3999</v>
      </c>
      <c r="H171" t="s">
        <v>475</v>
      </c>
      <c r="I171" t="s">
        <v>131</v>
      </c>
      <c r="J171" t="s">
        <v>476</v>
      </c>
      <c r="K171">
        <v>4040</v>
      </c>
      <c r="L171">
        <v>254.37</v>
      </c>
      <c r="M171">
        <v>254.37</v>
      </c>
      <c r="N171" t="s">
        <v>3998</v>
      </c>
      <c r="O171" t="s">
        <v>43</v>
      </c>
      <c r="P171" t="str">
        <f>TRIM(Table13_1[[#This Row],[Genre]])</f>
        <v>Mystery</v>
      </c>
    </row>
    <row r="172" spans="1:16" x14ac:dyDescent="0.3">
      <c r="A172" t="s">
        <v>473</v>
      </c>
      <c r="B172" t="s">
        <v>474</v>
      </c>
      <c r="C172">
        <v>1950</v>
      </c>
      <c r="D172">
        <v>1950</v>
      </c>
      <c r="E172" t="s">
        <v>24</v>
      </c>
      <c r="F172">
        <v>125</v>
      </c>
      <c r="G172" t="s">
        <v>3999</v>
      </c>
      <c r="H172" t="s">
        <v>475</v>
      </c>
      <c r="I172" t="s">
        <v>131</v>
      </c>
      <c r="J172" t="s">
        <v>476</v>
      </c>
      <c r="K172">
        <v>4040</v>
      </c>
      <c r="L172">
        <v>254.37</v>
      </c>
      <c r="M172">
        <v>254.37</v>
      </c>
      <c r="N172" t="s">
        <v>3998</v>
      </c>
      <c r="O172" t="s">
        <v>3991</v>
      </c>
      <c r="P172" t="str">
        <f>TRIM(Table13_1[[#This Row],[Genre]])</f>
        <v>Thriller</v>
      </c>
    </row>
    <row r="173" spans="1:16" x14ac:dyDescent="0.3">
      <c r="A173" t="s">
        <v>477</v>
      </c>
      <c r="B173" t="s">
        <v>478</v>
      </c>
      <c r="C173">
        <v>2008</v>
      </c>
      <c r="D173">
        <v>2000</v>
      </c>
      <c r="E173" t="s">
        <v>54</v>
      </c>
      <c r="F173">
        <v>124</v>
      </c>
      <c r="G173" t="s">
        <v>3999</v>
      </c>
      <c r="H173" t="s">
        <v>136</v>
      </c>
      <c r="I173" t="s">
        <v>137</v>
      </c>
      <c r="J173" t="s">
        <v>480</v>
      </c>
      <c r="K173">
        <v>103798</v>
      </c>
      <c r="L173">
        <v>110.53</v>
      </c>
      <c r="M173">
        <v>110.53</v>
      </c>
      <c r="N173" t="s">
        <v>4002</v>
      </c>
      <c r="O173" t="s">
        <v>43</v>
      </c>
      <c r="P173" t="str">
        <f>TRIM(Table13_1[[#This Row],[Genre]])</f>
        <v>Mystery</v>
      </c>
    </row>
    <row r="174" spans="1:16" x14ac:dyDescent="0.3">
      <c r="A174" t="s">
        <v>477</v>
      </c>
      <c r="B174" t="s">
        <v>478</v>
      </c>
      <c r="C174">
        <v>2008</v>
      </c>
      <c r="D174">
        <v>2000</v>
      </c>
      <c r="E174" t="s">
        <v>54</v>
      </c>
      <c r="F174">
        <v>124</v>
      </c>
      <c r="G174" t="s">
        <v>3999</v>
      </c>
      <c r="H174" t="s">
        <v>136</v>
      </c>
      <c r="I174" t="s">
        <v>137</v>
      </c>
      <c r="J174" t="s">
        <v>480</v>
      </c>
      <c r="K174">
        <v>103798</v>
      </c>
      <c r="L174">
        <v>110.53</v>
      </c>
      <c r="M174">
        <v>110.53</v>
      </c>
      <c r="N174" t="s">
        <v>4002</v>
      </c>
      <c r="O174" t="s">
        <v>3992</v>
      </c>
      <c r="P174" t="str">
        <f>TRIM(Table13_1[[#This Row],[Genre]])</f>
        <v>Biography</v>
      </c>
    </row>
    <row r="175" spans="1:16" x14ac:dyDescent="0.3">
      <c r="A175" t="s">
        <v>481</v>
      </c>
      <c r="B175" t="s">
        <v>482</v>
      </c>
      <c r="C175">
        <v>2013</v>
      </c>
      <c r="D175">
        <v>2010</v>
      </c>
      <c r="E175" t="s">
        <v>54</v>
      </c>
      <c r="F175">
        <v>127</v>
      </c>
      <c r="G175" t="s">
        <v>3999</v>
      </c>
      <c r="H175" t="s">
        <v>226</v>
      </c>
      <c r="I175" t="s">
        <v>483</v>
      </c>
      <c r="J175" t="s">
        <v>484</v>
      </c>
      <c r="K175">
        <v>108500</v>
      </c>
      <c r="M175">
        <v>0</v>
      </c>
      <c r="N175" t="s">
        <v>4001</v>
      </c>
      <c r="O175" t="s">
        <v>1044</v>
      </c>
      <c r="P175" t="str">
        <f>TRIM(Table13_1[[#This Row],[Genre]])</f>
        <v>Comedy</v>
      </c>
    </row>
    <row r="176" spans="1:16" x14ac:dyDescent="0.3">
      <c r="A176" t="s">
        <v>481</v>
      </c>
      <c r="B176" t="s">
        <v>482</v>
      </c>
      <c r="C176">
        <v>2013</v>
      </c>
      <c r="D176">
        <v>2010</v>
      </c>
      <c r="E176" t="s">
        <v>54</v>
      </c>
      <c r="F176">
        <v>127</v>
      </c>
      <c r="G176" t="s">
        <v>3999</v>
      </c>
      <c r="H176" t="s">
        <v>226</v>
      </c>
      <c r="I176" t="s">
        <v>483</v>
      </c>
      <c r="J176" t="s">
        <v>484</v>
      </c>
      <c r="K176">
        <v>108500</v>
      </c>
      <c r="M176">
        <v>0</v>
      </c>
      <c r="N176" t="s">
        <v>4001</v>
      </c>
      <c r="O176" t="s">
        <v>3989</v>
      </c>
      <c r="P176" t="str">
        <f>TRIM(Table13_1[[#This Row],[Genre]])</f>
        <v>Sci-Fi</v>
      </c>
    </row>
    <row r="177" spans="1:16" x14ac:dyDescent="0.3">
      <c r="A177" t="s">
        <v>485</v>
      </c>
      <c r="B177" t="s">
        <v>486</v>
      </c>
      <c r="C177">
        <v>2003</v>
      </c>
      <c r="D177">
        <v>2000</v>
      </c>
      <c r="E177" t="s">
        <v>24</v>
      </c>
      <c r="F177">
        <v>89</v>
      </c>
      <c r="G177" t="s">
        <v>4000</v>
      </c>
      <c r="H177" t="s">
        <v>231</v>
      </c>
      <c r="I177" t="s">
        <v>68</v>
      </c>
      <c r="J177" t="s">
        <v>488</v>
      </c>
      <c r="K177">
        <v>1770838</v>
      </c>
      <c r="L177">
        <v>432.74</v>
      </c>
      <c r="M177">
        <v>432.74</v>
      </c>
      <c r="N177" t="s">
        <v>3998</v>
      </c>
      <c r="O177" t="s">
        <v>230</v>
      </c>
      <c r="P177" t="str">
        <f>TRIM(Table13_1[[#This Row],[Genre]])</f>
        <v>Documentary</v>
      </c>
    </row>
    <row r="178" spans="1:16" x14ac:dyDescent="0.3">
      <c r="A178" t="s">
        <v>485</v>
      </c>
      <c r="B178" t="s">
        <v>486</v>
      </c>
      <c r="C178">
        <v>2003</v>
      </c>
      <c r="D178">
        <v>2000</v>
      </c>
      <c r="E178" t="s">
        <v>24</v>
      </c>
      <c r="F178">
        <v>89</v>
      </c>
      <c r="G178" t="s">
        <v>4000</v>
      </c>
      <c r="H178" t="s">
        <v>231</v>
      </c>
      <c r="I178" t="s">
        <v>68</v>
      </c>
      <c r="J178" t="s">
        <v>488</v>
      </c>
      <c r="K178">
        <v>1770838</v>
      </c>
      <c r="L178">
        <v>432.74</v>
      </c>
      <c r="M178">
        <v>432.74</v>
      </c>
      <c r="N178" t="s">
        <v>3998</v>
      </c>
      <c r="O178" t="s">
        <v>3987</v>
      </c>
      <c r="P178" t="str">
        <f>TRIM(Table13_1[[#This Row],[Genre]])</f>
        <v>Fantasy</v>
      </c>
    </row>
    <row r="179" spans="1:16" x14ac:dyDescent="0.3">
      <c r="A179" t="s">
        <v>485</v>
      </c>
      <c r="B179" t="s">
        <v>486</v>
      </c>
      <c r="C179">
        <v>2003</v>
      </c>
      <c r="D179">
        <v>2000</v>
      </c>
      <c r="E179" t="s">
        <v>24</v>
      </c>
      <c r="F179">
        <v>89</v>
      </c>
      <c r="G179" t="s">
        <v>4000</v>
      </c>
      <c r="H179" t="s">
        <v>231</v>
      </c>
      <c r="I179" t="s">
        <v>68</v>
      </c>
      <c r="J179" t="s">
        <v>488</v>
      </c>
      <c r="K179">
        <v>1770838</v>
      </c>
      <c r="L179">
        <v>432.74</v>
      </c>
      <c r="M179">
        <v>432.74</v>
      </c>
      <c r="N179" t="s">
        <v>3998</v>
      </c>
      <c r="O179" t="s">
        <v>3990</v>
      </c>
      <c r="P179" t="str">
        <f>TRIM(Table13_1[[#This Row],[Genre]])</f>
        <v>Western</v>
      </c>
    </row>
    <row r="180" spans="1:16" x14ac:dyDescent="0.3">
      <c r="A180" t="s">
        <v>489</v>
      </c>
      <c r="B180" t="s">
        <v>490</v>
      </c>
      <c r="C180">
        <v>2002</v>
      </c>
      <c r="D180">
        <v>2000</v>
      </c>
      <c r="E180" t="s">
        <v>54</v>
      </c>
      <c r="F180">
        <v>129</v>
      </c>
      <c r="G180" t="s">
        <v>3999</v>
      </c>
      <c r="H180" t="s">
        <v>491</v>
      </c>
      <c r="I180" t="s">
        <v>326</v>
      </c>
      <c r="J180" t="s">
        <v>492</v>
      </c>
      <c r="K180">
        <v>28846</v>
      </c>
      <c r="L180">
        <v>10.23</v>
      </c>
      <c r="M180">
        <v>10.23</v>
      </c>
      <c r="N180" t="s">
        <v>4001</v>
      </c>
      <c r="O180" t="s">
        <v>72</v>
      </c>
      <c r="P180" t="str">
        <f>TRIM(Table13_1[[#This Row],[Genre]])</f>
        <v>War</v>
      </c>
    </row>
    <row r="181" spans="1:16" x14ac:dyDescent="0.3">
      <c r="A181" t="s">
        <v>493</v>
      </c>
      <c r="B181" t="s">
        <v>494</v>
      </c>
      <c r="C181">
        <v>2019</v>
      </c>
      <c r="D181">
        <v>2010</v>
      </c>
      <c r="E181" t="s">
        <v>17</v>
      </c>
      <c r="F181">
        <v>117</v>
      </c>
      <c r="G181" t="s">
        <v>3997</v>
      </c>
      <c r="H181" t="s">
        <v>495</v>
      </c>
      <c r="I181" t="s">
        <v>20</v>
      </c>
      <c r="J181" t="s">
        <v>496</v>
      </c>
      <c r="K181">
        <v>13580</v>
      </c>
      <c r="L181">
        <v>677.4</v>
      </c>
      <c r="M181">
        <v>677.4</v>
      </c>
      <c r="N181" t="s">
        <v>3998</v>
      </c>
      <c r="O181" t="s">
        <v>277</v>
      </c>
      <c r="P181" t="str">
        <f>TRIM(Table13_1[[#This Row],[Genre]])</f>
        <v>Thriller</v>
      </c>
    </row>
    <row r="182" spans="1:16" x14ac:dyDescent="0.3">
      <c r="A182" t="s">
        <v>497</v>
      </c>
      <c r="B182" t="s">
        <v>498</v>
      </c>
      <c r="C182">
        <v>1980</v>
      </c>
      <c r="D182">
        <v>1980</v>
      </c>
      <c r="E182" t="s">
        <v>17</v>
      </c>
      <c r="F182">
        <v>141</v>
      </c>
      <c r="G182" t="s">
        <v>3999</v>
      </c>
      <c r="H182" t="s">
        <v>500</v>
      </c>
      <c r="I182" t="s">
        <v>326</v>
      </c>
      <c r="J182" t="s">
        <v>501</v>
      </c>
      <c r="K182">
        <v>14266</v>
      </c>
      <c r="L182">
        <v>131.65</v>
      </c>
      <c r="M182">
        <v>131.65</v>
      </c>
      <c r="N182" t="s">
        <v>4002</v>
      </c>
      <c r="O182" t="s">
        <v>129</v>
      </c>
      <c r="P182" t="str">
        <f>TRIM(Table13_1[[#This Row],[Genre]])</f>
        <v>Horror</v>
      </c>
    </row>
    <row r="183" spans="1:16" x14ac:dyDescent="0.3">
      <c r="A183" t="s">
        <v>497</v>
      </c>
      <c r="B183" t="s">
        <v>498</v>
      </c>
      <c r="C183">
        <v>1980</v>
      </c>
      <c r="D183">
        <v>1980</v>
      </c>
      <c r="E183" t="s">
        <v>17</v>
      </c>
      <c r="F183">
        <v>141</v>
      </c>
      <c r="G183" t="s">
        <v>3999</v>
      </c>
      <c r="H183" t="s">
        <v>500</v>
      </c>
      <c r="I183" t="s">
        <v>326</v>
      </c>
      <c r="J183" t="s">
        <v>501</v>
      </c>
      <c r="K183">
        <v>14266</v>
      </c>
      <c r="L183">
        <v>131.65</v>
      </c>
      <c r="M183">
        <v>131.65</v>
      </c>
      <c r="N183" t="s">
        <v>4002</v>
      </c>
      <c r="O183" t="s">
        <v>3993</v>
      </c>
      <c r="P183" t="str">
        <f>TRIM(Table13_1[[#This Row],[Genre]])</f>
        <v>Comedy</v>
      </c>
    </row>
    <row r="184" spans="1:16" x14ac:dyDescent="0.3">
      <c r="A184" t="s">
        <v>502</v>
      </c>
      <c r="B184" t="s">
        <v>503</v>
      </c>
      <c r="C184">
        <v>2001</v>
      </c>
      <c r="D184">
        <v>2000</v>
      </c>
      <c r="E184" t="s">
        <v>54</v>
      </c>
      <c r="F184">
        <v>107</v>
      </c>
      <c r="G184" t="s">
        <v>3997</v>
      </c>
      <c r="H184" t="s">
        <v>269</v>
      </c>
      <c r="I184" t="s">
        <v>251</v>
      </c>
      <c r="J184" t="s">
        <v>505</v>
      </c>
      <c r="K184">
        <v>53606</v>
      </c>
      <c r="L184">
        <v>46.22</v>
      </c>
      <c r="M184">
        <v>46.22</v>
      </c>
      <c r="N184" t="s">
        <v>4001</v>
      </c>
      <c r="O184" t="s">
        <v>453</v>
      </c>
      <c r="P184" t="str">
        <f>TRIM(Table13_1[[#This Row],[Genre]])</f>
        <v>Musical</v>
      </c>
    </row>
    <row r="185" spans="1:16" x14ac:dyDescent="0.3">
      <c r="A185" t="s">
        <v>502</v>
      </c>
      <c r="B185" t="s">
        <v>503</v>
      </c>
      <c r="C185">
        <v>2001</v>
      </c>
      <c r="D185">
        <v>2000</v>
      </c>
      <c r="E185" t="s">
        <v>54</v>
      </c>
      <c r="F185">
        <v>107</v>
      </c>
      <c r="G185" t="s">
        <v>3997</v>
      </c>
      <c r="H185" t="s">
        <v>269</v>
      </c>
      <c r="I185" t="s">
        <v>251</v>
      </c>
      <c r="J185" t="s">
        <v>505</v>
      </c>
      <c r="K185">
        <v>53606</v>
      </c>
      <c r="L185">
        <v>46.22</v>
      </c>
      <c r="M185">
        <v>46.22</v>
      </c>
      <c r="N185" t="s">
        <v>4001</v>
      </c>
      <c r="O185" t="s">
        <v>3977</v>
      </c>
      <c r="P185" t="str">
        <f>TRIM(Table13_1[[#This Row],[Genre]])</f>
        <v>Animation</v>
      </c>
    </row>
    <row r="186" spans="1:16" x14ac:dyDescent="0.3">
      <c r="A186" t="s">
        <v>506</v>
      </c>
      <c r="B186" t="s">
        <v>507</v>
      </c>
      <c r="C186">
        <v>1982</v>
      </c>
      <c r="D186">
        <v>1980</v>
      </c>
      <c r="E186" t="s">
        <v>169</v>
      </c>
      <c r="F186">
        <v>112</v>
      </c>
      <c r="G186" t="s">
        <v>3997</v>
      </c>
      <c r="H186" t="s">
        <v>508</v>
      </c>
      <c r="I186" t="s">
        <v>147</v>
      </c>
      <c r="J186" t="s">
        <v>509</v>
      </c>
      <c r="K186">
        <v>193981</v>
      </c>
      <c r="L186">
        <v>182.49</v>
      </c>
      <c r="M186">
        <v>182.49</v>
      </c>
      <c r="N186" t="s">
        <v>4002</v>
      </c>
      <c r="O186" t="s">
        <v>453</v>
      </c>
      <c r="P186" t="str">
        <f>TRIM(Table13_1[[#This Row],[Genre]])</f>
        <v>Musical</v>
      </c>
    </row>
    <row r="187" spans="1:16" x14ac:dyDescent="0.3">
      <c r="A187" t="s">
        <v>510</v>
      </c>
      <c r="B187" t="s">
        <v>511</v>
      </c>
      <c r="C187">
        <v>1985</v>
      </c>
      <c r="D187">
        <v>1980</v>
      </c>
      <c r="E187" t="s">
        <v>17</v>
      </c>
      <c r="F187">
        <v>124</v>
      </c>
      <c r="G187" t="s">
        <v>3999</v>
      </c>
      <c r="H187" t="s">
        <v>513</v>
      </c>
      <c r="I187" t="s">
        <v>191</v>
      </c>
      <c r="J187" t="s">
        <v>514</v>
      </c>
      <c r="K187">
        <v>27034</v>
      </c>
      <c r="M187">
        <v>0</v>
      </c>
      <c r="N187" t="s">
        <v>4001</v>
      </c>
      <c r="O187" t="s">
        <v>375</v>
      </c>
      <c r="P187" t="str">
        <f>TRIM(Table13_1[[#This Row],[Genre]])</f>
        <v>Family</v>
      </c>
    </row>
    <row r="188" spans="1:16" x14ac:dyDescent="0.3">
      <c r="A188" t="s">
        <v>510</v>
      </c>
      <c r="B188" t="s">
        <v>511</v>
      </c>
      <c r="C188">
        <v>1985</v>
      </c>
      <c r="D188">
        <v>1980</v>
      </c>
      <c r="E188" t="s">
        <v>17</v>
      </c>
      <c r="F188">
        <v>124</v>
      </c>
      <c r="G188" t="s">
        <v>3999</v>
      </c>
      <c r="H188" t="s">
        <v>513</v>
      </c>
      <c r="I188" t="s">
        <v>191</v>
      </c>
      <c r="J188" t="s">
        <v>514</v>
      </c>
      <c r="K188">
        <v>27034</v>
      </c>
      <c r="M188">
        <v>0</v>
      </c>
      <c r="N188" t="s">
        <v>4001</v>
      </c>
      <c r="O188" t="s">
        <v>3979</v>
      </c>
      <c r="P188" t="str">
        <f>TRIM(Table13_1[[#This Row],[Genre]])</f>
        <v>War</v>
      </c>
    </row>
    <row r="189" spans="1:16" x14ac:dyDescent="0.3">
      <c r="A189" t="s">
        <v>510</v>
      </c>
      <c r="B189" t="s">
        <v>511</v>
      </c>
      <c r="C189">
        <v>1985</v>
      </c>
      <c r="D189">
        <v>1980</v>
      </c>
      <c r="E189" t="s">
        <v>17</v>
      </c>
      <c r="F189">
        <v>124</v>
      </c>
      <c r="G189" t="s">
        <v>3999</v>
      </c>
      <c r="H189" t="s">
        <v>513</v>
      </c>
      <c r="I189" t="s">
        <v>191</v>
      </c>
      <c r="J189" t="s">
        <v>514</v>
      </c>
      <c r="K189">
        <v>27034</v>
      </c>
      <c r="M189">
        <v>0</v>
      </c>
      <c r="N189" t="s">
        <v>4001</v>
      </c>
      <c r="O189" t="s">
        <v>3987</v>
      </c>
      <c r="P189" t="str">
        <f>TRIM(Table13_1[[#This Row],[Genre]])</f>
        <v>Fantasy</v>
      </c>
    </row>
    <row r="190" spans="1:16" x14ac:dyDescent="0.3">
      <c r="A190" t="s">
        <v>515</v>
      </c>
      <c r="B190" t="s">
        <v>516</v>
      </c>
      <c r="C190">
        <v>1991</v>
      </c>
      <c r="D190">
        <v>1990</v>
      </c>
      <c r="E190" t="s">
        <v>17</v>
      </c>
      <c r="F190">
        <v>129</v>
      </c>
      <c r="G190" t="s">
        <v>3999</v>
      </c>
      <c r="H190" t="s">
        <v>226</v>
      </c>
      <c r="I190" t="s">
        <v>518</v>
      </c>
      <c r="J190" t="s">
        <v>519</v>
      </c>
      <c r="K190">
        <v>33622</v>
      </c>
      <c r="L190">
        <v>148.97</v>
      </c>
      <c r="M190">
        <v>148.97</v>
      </c>
      <c r="N190" t="s">
        <v>4002</v>
      </c>
      <c r="O190" t="s">
        <v>1044</v>
      </c>
      <c r="P190" t="str">
        <f>TRIM(Table13_1[[#This Row],[Genre]])</f>
        <v>Comedy</v>
      </c>
    </row>
    <row r="191" spans="1:16" x14ac:dyDescent="0.3">
      <c r="A191" t="s">
        <v>515</v>
      </c>
      <c r="B191" t="s">
        <v>516</v>
      </c>
      <c r="C191">
        <v>1991</v>
      </c>
      <c r="D191">
        <v>1990</v>
      </c>
      <c r="E191" t="s">
        <v>17</v>
      </c>
      <c r="F191">
        <v>129</v>
      </c>
      <c r="G191" t="s">
        <v>3999</v>
      </c>
      <c r="H191" t="s">
        <v>226</v>
      </c>
      <c r="I191" t="s">
        <v>518</v>
      </c>
      <c r="J191" t="s">
        <v>519</v>
      </c>
      <c r="K191">
        <v>33622</v>
      </c>
      <c r="L191">
        <v>148.97</v>
      </c>
      <c r="M191">
        <v>148.97</v>
      </c>
      <c r="N191" t="s">
        <v>4002</v>
      </c>
      <c r="O191" t="s">
        <v>3990</v>
      </c>
      <c r="P191" t="str">
        <f>TRIM(Table13_1[[#This Row],[Genre]])</f>
        <v>Western</v>
      </c>
    </row>
    <row r="192" spans="1:16" x14ac:dyDescent="0.3">
      <c r="A192" t="s">
        <v>520</v>
      </c>
      <c r="B192" t="s">
        <v>521</v>
      </c>
      <c r="C192">
        <v>1987</v>
      </c>
      <c r="D192">
        <v>1980</v>
      </c>
      <c r="E192" t="s">
        <v>54</v>
      </c>
      <c r="F192">
        <v>103</v>
      </c>
      <c r="G192" t="s">
        <v>3997</v>
      </c>
      <c r="H192" t="s">
        <v>523</v>
      </c>
      <c r="I192" t="s">
        <v>524</v>
      </c>
      <c r="J192" t="s">
        <v>525</v>
      </c>
      <c r="K192">
        <v>119856</v>
      </c>
      <c r="L192">
        <v>54.62</v>
      </c>
      <c r="M192">
        <v>54.62</v>
      </c>
      <c r="N192" t="s">
        <v>4001</v>
      </c>
      <c r="O192" t="s">
        <v>453</v>
      </c>
      <c r="P192" t="str">
        <f>TRIM(Table13_1[[#This Row],[Genre]])</f>
        <v>Musical</v>
      </c>
    </row>
    <row r="193" spans="1:16" x14ac:dyDescent="0.3">
      <c r="A193" t="s">
        <v>520</v>
      </c>
      <c r="B193" t="s">
        <v>521</v>
      </c>
      <c r="C193">
        <v>1987</v>
      </c>
      <c r="D193">
        <v>1980</v>
      </c>
      <c r="E193" t="s">
        <v>54</v>
      </c>
      <c r="F193">
        <v>103</v>
      </c>
      <c r="G193" t="s">
        <v>3997</v>
      </c>
      <c r="H193" t="s">
        <v>523</v>
      </c>
      <c r="I193" t="s">
        <v>524</v>
      </c>
      <c r="J193" t="s">
        <v>525</v>
      </c>
      <c r="K193">
        <v>119856</v>
      </c>
      <c r="L193">
        <v>54.62</v>
      </c>
      <c r="M193">
        <v>54.62</v>
      </c>
      <c r="N193" t="s">
        <v>4001</v>
      </c>
      <c r="O193" t="s">
        <v>3986</v>
      </c>
      <c r="P193" t="str">
        <f>TRIM(Table13_1[[#This Row],[Genre]])</f>
        <v>Documentary</v>
      </c>
    </row>
    <row r="194" spans="1:16" x14ac:dyDescent="0.3">
      <c r="A194" t="s">
        <v>526</v>
      </c>
      <c r="B194" t="s">
        <v>527</v>
      </c>
      <c r="C194">
        <v>1980</v>
      </c>
      <c r="D194">
        <v>1980</v>
      </c>
      <c r="E194" t="s">
        <v>24</v>
      </c>
      <c r="F194">
        <v>104</v>
      </c>
      <c r="G194" t="s">
        <v>3997</v>
      </c>
      <c r="H194" t="s">
        <v>201</v>
      </c>
      <c r="I194" t="s">
        <v>251</v>
      </c>
      <c r="J194" t="s">
        <v>529</v>
      </c>
      <c r="K194">
        <v>153246</v>
      </c>
      <c r="L194">
        <v>107.19</v>
      </c>
      <c r="M194">
        <v>107.19</v>
      </c>
      <c r="N194" t="s">
        <v>4002</v>
      </c>
      <c r="O194" t="s">
        <v>235</v>
      </c>
      <c r="P194" t="str">
        <f>TRIM(Table13_1[[#This Row],[Genre]])</f>
        <v>Drama</v>
      </c>
    </row>
    <row r="195" spans="1:16" x14ac:dyDescent="0.3">
      <c r="A195" t="s">
        <v>526</v>
      </c>
      <c r="B195" t="s">
        <v>527</v>
      </c>
      <c r="C195">
        <v>1980</v>
      </c>
      <c r="D195">
        <v>1980</v>
      </c>
      <c r="E195" t="s">
        <v>24</v>
      </c>
      <c r="F195">
        <v>104</v>
      </c>
      <c r="G195" t="s">
        <v>3997</v>
      </c>
      <c r="H195" t="s">
        <v>201</v>
      </c>
      <c r="I195" t="s">
        <v>251</v>
      </c>
      <c r="J195" t="s">
        <v>529</v>
      </c>
      <c r="K195">
        <v>153246</v>
      </c>
      <c r="L195">
        <v>107.19</v>
      </c>
      <c r="M195">
        <v>107.19</v>
      </c>
      <c r="N195" t="s">
        <v>4002</v>
      </c>
      <c r="O195" t="s">
        <v>3978</v>
      </c>
      <c r="P195" t="str">
        <f>TRIM(Table13_1[[#This Row],[Genre]])</f>
        <v>Mystery</v>
      </c>
    </row>
    <row r="196" spans="1:16" x14ac:dyDescent="0.3">
      <c r="A196" t="s">
        <v>526</v>
      </c>
      <c r="B196" t="s">
        <v>527</v>
      </c>
      <c r="C196">
        <v>1980</v>
      </c>
      <c r="D196">
        <v>1980</v>
      </c>
      <c r="E196" t="s">
        <v>24</v>
      </c>
      <c r="F196">
        <v>104</v>
      </c>
      <c r="G196" t="s">
        <v>3997</v>
      </c>
      <c r="H196" t="s">
        <v>201</v>
      </c>
      <c r="I196" t="s">
        <v>251</v>
      </c>
      <c r="J196" t="s">
        <v>529</v>
      </c>
      <c r="K196">
        <v>153246</v>
      </c>
      <c r="L196">
        <v>107.19</v>
      </c>
      <c r="M196">
        <v>107.19</v>
      </c>
      <c r="N196" t="s">
        <v>4002</v>
      </c>
      <c r="O196" t="s">
        <v>3982</v>
      </c>
      <c r="P196" t="str">
        <f>TRIM(Table13_1[[#This Row],[Genre]])</f>
        <v>Family</v>
      </c>
    </row>
    <row r="197" spans="1:16" x14ac:dyDescent="0.3">
      <c r="A197" t="s">
        <v>530</v>
      </c>
      <c r="B197" t="s">
        <v>531</v>
      </c>
      <c r="C197">
        <v>2008</v>
      </c>
      <c r="D197">
        <v>2000</v>
      </c>
      <c r="E197" t="s">
        <v>24</v>
      </c>
      <c r="F197">
        <v>75</v>
      </c>
      <c r="G197" t="s">
        <v>4000</v>
      </c>
      <c r="H197" t="s">
        <v>533</v>
      </c>
      <c r="I197" t="s">
        <v>147</v>
      </c>
      <c r="J197" t="s">
        <v>534</v>
      </c>
      <c r="K197">
        <v>14146</v>
      </c>
      <c r="M197">
        <v>0</v>
      </c>
      <c r="N197" t="s">
        <v>4001</v>
      </c>
      <c r="O197" t="s">
        <v>43</v>
      </c>
      <c r="P197" t="str">
        <f>TRIM(Table13_1[[#This Row],[Genre]])</f>
        <v>Mystery</v>
      </c>
    </row>
    <row r="198" spans="1:16" x14ac:dyDescent="0.3">
      <c r="A198" t="s">
        <v>530</v>
      </c>
      <c r="B198" t="s">
        <v>531</v>
      </c>
      <c r="C198">
        <v>2008</v>
      </c>
      <c r="D198">
        <v>2000</v>
      </c>
      <c r="E198" t="s">
        <v>24</v>
      </c>
      <c r="F198">
        <v>75</v>
      </c>
      <c r="G198" t="s">
        <v>4000</v>
      </c>
      <c r="H198" t="s">
        <v>533</v>
      </c>
      <c r="I198" t="s">
        <v>147</v>
      </c>
      <c r="J198" t="s">
        <v>534</v>
      </c>
      <c r="K198">
        <v>14146</v>
      </c>
      <c r="M198">
        <v>0</v>
      </c>
      <c r="N198" t="s">
        <v>4001</v>
      </c>
      <c r="O198" t="s">
        <v>3990</v>
      </c>
      <c r="P198" t="str">
        <f>TRIM(Table13_1[[#This Row],[Genre]])</f>
        <v>Western</v>
      </c>
    </row>
    <row r="199" spans="1:16" x14ac:dyDescent="0.3">
      <c r="A199" t="s">
        <v>535</v>
      </c>
      <c r="B199" t="s">
        <v>536</v>
      </c>
      <c r="C199">
        <v>2022</v>
      </c>
      <c r="D199">
        <v>2020</v>
      </c>
      <c r="E199" t="s">
        <v>54</v>
      </c>
      <c r="F199">
        <v>142</v>
      </c>
      <c r="G199" t="s">
        <v>3999</v>
      </c>
      <c r="H199" t="s">
        <v>538</v>
      </c>
      <c r="I199" t="s">
        <v>113</v>
      </c>
      <c r="J199" t="s">
        <v>539</v>
      </c>
      <c r="K199">
        <v>26120</v>
      </c>
      <c r="L199">
        <v>316.14</v>
      </c>
      <c r="M199">
        <v>316.14</v>
      </c>
      <c r="N199" t="s">
        <v>3998</v>
      </c>
      <c r="O199" t="s">
        <v>157</v>
      </c>
      <c r="P199" t="str">
        <f>TRIM(Table13_1[[#This Row],[Genre]])</f>
        <v>Animation</v>
      </c>
    </row>
    <row r="200" spans="1:16" x14ac:dyDescent="0.3">
      <c r="A200" t="s">
        <v>535</v>
      </c>
      <c r="B200" t="s">
        <v>536</v>
      </c>
      <c r="C200">
        <v>2022</v>
      </c>
      <c r="D200">
        <v>2020</v>
      </c>
      <c r="E200" t="s">
        <v>54</v>
      </c>
      <c r="F200">
        <v>142</v>
      </c>
      <c r="G200" t="s">
        <v>3999</v>
      </c>
      <c r="H200" t="s">
        <v>538</v>
      </c>
      <c r="I200" t="s">
        <v>113</v>
      </c>
      <c r="J200" t="s">
        <v>539</v>
      </c>
      <c r="K200">
        <v>26120</v>
      </c>
      <c r="L200">
        <v>316.14</v>
      </c>
      <c r="M200">
        <v>316.14</v>
      </c>
      <c r="N200" t="s">
        <v>3998</v>
      </c>
      <c r="O200" t="s">
        <v>3980</v>
      </c>
      <c r="P200" t="str">
        <f>TRIM(Table13_1[[#This Row],[Genre]])</f>
        <v>Action</v>
      </c>
    </row>
    <row r="201" spans="1:16" x14ac:dyDescent="0.3">
      <c r="A201" t="s">
        <v>540</v>
      </c>
      <c r="B201" t="s">
        <v>541</v>
      </c>
      <c r="C201">
        <v>2019</v>
      </c>
      <c r="D201">
        <v>2010</v>
      </c>
      <c r="E201" t="s">
        <v>54</v>
      </c>
      <c r="F201">
        <v>117</v>
      </c>
      <c r="G201" t="s">
        <v>3997</v>
      </c>
      <c r="H201" t="s">
        <v>38</v>
      </c>
      <c r="I201" t="s">
        <v>165</v>
      </c>
      <c r="J201" t="s">
        <v>543</v>
      </c>
      <c r="K201">
        <v>308464</v>
      </c>
      <c r="L201">
        <v>225.6</v>
      </c>
      <c r="M201">
        <v>225.6</v>
      </c>
      <c r="N201" t="s">
        <v>3998</v>
      </c>
      <c r="O201" t="s">
        <v>37</v>
      </c>
      <c r="P201" t="str">
        <f>TRIM(Table13_1[[#This Row],[Genre]])</f>
        <v>Biography</v>
      </c>
    </row>
    <row r="202" spans="1:16" x14ac:dyDescent="0.3">
      <c r="A202" t="s">
        <v>540</v>
      </c>
      <c r="B202" t="s">
        <v>541</v>
      </c>
      <c r="C202">
        <v>2019</v>
      </c>
      <c r="D202">
        <v>2010</v>
      </c>
      <c r="E202" t="s">
        <v>54</v>
      </c>
      <c r="F202">
        <v>117</v>
      </c>
      <c r="G202" t="s">
        <v>3997</v>
      </c>
      <c r="H202" t="s">
        <v>38</v>
      </c>
      <c r="I202" t="s">
        <v>165</v>
      </c>
      <c r="J202" t="s">
        <v>543</v>
      </c>
      <c r="K202">
        <v>308464</v>
      </c>
      <c r="L202">
        <v>225.6</v>
      </c>
      <c r="M202">
        <v>225.6</v>
      </c>
      <c r="N202" t="s">
        <v>3998</v>
      </c>
      <c r="O202" t="s">
        <v>3978</v>
      </c>
      <c r="P202" t="str">
        <f>TRIM(Table13_1[[#This Row],[Genre]])</f>
        <v>Mystery</v>
      </c>
    </row>
    <row r="203" spans="1:16" x14ac:dyDescent="0.3">
      <c r="A203" t="s">
        <v>540</v>
      </c>
      <c r="B203" t="s">
        <v>541</v>
      </c>
      <c r="C203">
        <v>2019</v>
      </c>
      <c r="D203">
        <v>2010</v>
      </c>
      <c r="E203" t="s">
        <v>54</v>
      </c>
      <c r="F203">
        <v>117</v>
      </c>
      <c r="G203" t="s">
        <v>3997</v>
      </c>
      <c r="H203" t="s">
        <v>38</v>
      </c>
      <c r="I203" t="s">
        <v>165</v>
      </c>
      <c r="J203" t="s">
        <v>543</v>
      </c>
      <c r="K203">
        <v>308464</v>
      </c>
      <c r="L203">
        <v>225.6</v>
      </c>
      <c r="M203">
        <v>225.6</v>
      </c>
      <c r="N203" t="s">
        <v>3998</v>
      </c>
      <c r="O203" t="s">
        <v>3981</v>
      </c>
      <c r="P203" t="str">
        <f>TRIM(Table13_1[[#This Row],[Genre]])</f>
        <v>Romance</v>
      </c>
    </row>
    <row r="204" spans="1:16" x14ac:dyDescent="0.3">
      <c r="A204" t="s">
        <v>544</v>
      </c>
      <c r="B204" t="s">
        <v>545</v>
      </c>
      <c r="C204">
        <v>1992</v>
      </c>
      <c r="D204">
        <v>1990</v>
      </c>
      <c r="E204" t="s">
        <v>17</v>
      </c>
      <c r="F204">
        <v>130</v>
      </c>
      <c r="G204" t="s">
        <v>3999</v>
      </c>
      <c r="H204" t="s">
        <v>220</v>
      </c>
      <c r="I204" t="s">
        <v>547</v>
      </c>
      <c r="J204" t="s">
        <v>548</v>
      </c>
      <c r="K204">
        <v>101722</v>
      </c>
      <c r="L204">
        <v>126.87</v>
      </c>
      <c r="M204">
        <v>126.87</v>
      </c>
      <c r="N204" t="s">
        <v>4002</v>
      </c>
      <c r="O204" t="s">
        <v>606</v>
      </c>
      <c r="P204" t="str">
        <f>TRIM(Table13_1[[#This Row],[Genre]])</f>
        <v>Sci-Fi</v>
      </c>
    </row>
    <row r="205" spans="1:16" x14ac:dyDescent="0.3">
      <c r="A205" t="s">
        <v>544</v>
      </c>
      <c r="B205" t="s">
        <v>545</v>
      </c>
      <c r="C205">
        <v>1992</v>
      </c>
      <c r="D205">
        <v>1990</v>
      </c>
      <c r="E205" t="s">
        <v>17</v>
      </c>
      <c r="F205">
        <v>130</v>
      </c>
      <c r="G205" t="s">
        <v>3999</v>
      </c>
      <c r="H205" t="s">
        <v>220</v>
      </c>
      <c r="I205" t="s">
        <v>547</v>
      </c>
      <c r="J205" t="s">
        <v>548</v>
      </c>
      <c r="K205">
        <v>101722</v>
      </c>
      <c r="L205">
        <v>126.87</v>
      </c>
      <c r="M205">
        <v>126.87</v>
      </c>
      <c r="N205" t="s">
        <v>4002</v>
      </c>
      <c r="O205" t="s">
        <v>3982</v>
      </c>
      <c r="P205" t="str">
        <f>TRIM(Table13_1[[#This Row],[Genre]])</f>
        <v>Family</v>
      </c>
    </row>
    <row r="206" spans="1:16" x14ac:dyDescent="0.3">
      <c r="A206" t="s">
        <v>544</v>
      </c>
      <c r="B206" t="s">
        <v>545</v>
      </c>
      <c r="C206">
        <v>1992</v>
      </c>
      <c r="D206">
        <v>1990</v>
      </c>
      <c r="E206" t="s">
        <v>17</v>
      </c>
      <c r="F206">
        <v>130</v>
      </c>
      <c r="G206" t="s">
        <v>3999</v>
      </c>
      <c r="H206" t="s">
        <v>220</v>
      </c>
      <c r="I206" t="s">
        <v>547</v>
      </c>
      <c r="J206" t="s">
        <v>548</v>
      </c>
      <c r="K206">
        <v>101722</v>
      </c>
      <c r="L206">
        <v>126.87</v>
      </c>
      <c r="M206">
        <v>126.87</v>
      </c>
      <c r="N206" t="s">
        <v>4002</v>
      </c>
      <c r="O206" t="s">
        <v>3983</v>
      </c>
      <c r="P206" t="str">
        <f>TRIM(Table13_1[[#This Row],[Genre]])</f>
        <v>Crime</v>
      </c>
    </row>
    <row r="207" spans="1:16" x14ac:dyDescent="0.3">
      <c r="A207" t="s">
        <v>549</v>
      </c>
      <c r="B207" t="s">
        <v>550</v>
      </c>
      <c r="C207">
        <v>2024</v>
      </c>
      <c r="D207">
        <v>2020</v>
      </c>
      <c r="E207" t="s">
        <v>17</v>
      </c>
      <c r="F207">
        <v>131</v>
      </c>
      <c r="G207" t="s">
        <v>3999</v>
      </c>
      <c r="H207" t="s">
        <v>552</v>
      </c>
      <c r="I207" t="s">
        <v>165</v>
      </c>
      <c r="J207" t="s">
        <v>553</v>
      </c>
      <c r="K207">
        <v>745112</v>
      </c>
      <c r="L207">
        <v>287.20999999999998</v>
      </c>
      <c r="M207">
        <v>287.20999999999998</v>
      </c>
      <c r="N207" t="s">
        <v>3998</v>
      </c>
      <c r="O207" t="s">
        <v>48</v>
      </c>
      <c r="P207" t="str">
        <f>TRIM(Table13_1[[#This Row],[Genre]])</f>
        <v>Crime</v>
      </c>
    </row>
    <row r="208" spans="1:16" x14ac:dyDescent="0.3">
      <c r="A208" t="s">
        <v>549</v>
      </c>
      <c r="B208" t="s">
        <v>550</v>
      </c>
      <c r="C208">
        <v>2024</v>
      </c>
      <c r="D208">
        <v>2020</v>
      </c>
      <c r="E208" t="s">
        <v>17</v>
      </c>
      <c r="F208">
        <v>131</v>
      </c>
      <c r="G208" t="s">
        <v>3999</v>
      </c>
      <c r="H208" t="s">
        <v>552</v>
      </c>
      <c r="I208" t="s">
        <v>165</v>
      </c>
      <c r="J208" t="s">
        <v>553</v>
      </c>
      <c r="K208">
        <v>745112</v>
      </c>
      <c r="L208">
        <v>287.20999999999998</v>
      </c>
      <c r="M208">
        <v>287.20999999999998</v>
      </c>
      <c r="N208" t="s">
        <v>3998</v>
      </c>
      <c r="O208" t="s">
        <v>3993</v>
      </c>
      <c r="P208" t="str">
        <f>TRIM(Table13_1[[#This Row],[Genre]])</f>
        <v>Comedy</v>
      </c>
    </row>
    <row r="209" spans="1:16" x14ac:dyDescent="0.3">
      <c r="A209" t="s">
        <v>549</v>
      </c>
      <c r="B209" t="s">
        <v>550</v>
      </c>
      <c r="C209">
        <v>2024</v>
      </c>
      <c r="D209">
        <v>2020</v>
      </c>
      <c r="E209" t="s">
        <v>17</v>
      </c>
      <c r="F209">
        <v>131</v>
      </c>
      <c r="G209" t="s">
        <v>3999</v>
      </c>
      <c r="H209" t="s">
        <v>552</v>
      </c>
      <c r="I209" t="s">
        <v>165</v>
      </c>
      <c r="J209" t="s">
        <v>553</v>
      </c>
      <c r="K209">
        <v>745112</v>
      </c>
      <c r="L209">
        <v>287.20999999999998</v>
      </c>
      <c r="M209">
        <v>287.20999999999998</v>
      </c>
      <c r="N209" t="s">
        <v>3998</v>
      </c>
      <c r="O209" t="s">
        <v>3988</v>
      </c>
      <c r="P209" t="str">
        <f>TRIM(Table13_1[[#This Row],[Genre]])</f>
        <v>Drama</v>
      </c>
    </row>
    <row r="210" spans="1:16" x14ac:dyDescent="0.3">
      <c r="A210" t="s">
        <v>554</v>
      </c>
      <c r="B210" t="s">
        <v>555</v>
      </c>
      <c r="C210">
        <v>2003</v>
      </c>
      <c r="D210">
        <v>2000</v>
      </c>
      <c r="E210" t="s">
        <v>24</v>
      </c>
      <c r="F210">
        <v>146</v>
      </c>
      <c r="G210" t="s">
        <v>3999</v>
      </c>
      <c r="H210" t="s">
        <v>557</v>
      </c>
      <c r="I210" t="s">
        <v>159</v>
      </c>
      <c r="J210" t="s">
        <v>558</v>
      </c>
      <c r="K210">
        <v>125636</v>
      </c>
      <c r="L210">
        <v>177.65</v>
      </c>
      <c r="M210">
        <v>177.65</v>
      </c>
      <c r="N210" t="s">
        <v>4002</v>
      </c>
      <c r="O210" t="s">
        <v>453</v>
      </c>
      <c r="P210" t="str">
        <f>TRIM(Table13_1[[#This Row],[Genre]])</f>
        <v>Musical</v>
      </c>
    </row>
    <row r="211" spans="1:16" x14ac:dyDescent="0.3">
      <c r="A211" t="s">
        <v>554</v>
      </c>
      <c r="B211" t="s">
        <v>555</v>
      </c>
      <c r="C211">
        <v>2003</v>
      </c>
      <c r="D211">
        <v>2000</v>
      </c>
      <c r="E211" t="s">
        <v>24</v>
      </c>
      <c r="F211">
        <v>146</v>
      </c>
      <c r="G211" t="s">
        <v>3999</v>
      </c>
      <c r="H211" t="s">
        <v>557</v>
      </c>
      <c r="I211" t="s">
        <v>159</v>
      </c>
      <c r="J211" t="s">
        <v>558</v>
      </c>
      <c r="K211">
        <v>125636</v>
      </c>
      <c r="L211">
        <v>177.65</v>
      </c>
      <c r="M211">
        <v>177.65</v>
      </c>
      <c r="N211" t="s">
        <v>4002</v>
      </c>
      <c r="O211" t="s">
        <v>3982</v>
      </c>
      <c r="P211" t="str">
        <f>TRIM(Table13_1[[#This Row],[Genre]])</f>
        <v>Family</v>
      </c>
    </row>
    <row r="212" spans="1:16" x14ac:dyDescent="0.3">
      <c r="A212" t="s">
        <v>559</v>
      </c>
      <c r="B212" t="s">
        <v>560</v>
      </c>
      <c r="C212">
        <v>2000</v>
      </c>
      <c r="D212">
        <v>2000</v>
      </c>
      <c r="E212" t="s">
        <v>17</v>
      </c>
      <c r="F212">
        <v>111</v>
      </c>
      <c r="G212" t="s">
        <v>3997</v>
      </c>
      <c r="H212" t="s">
        <v>561</v>
      </c>
      <c r="I212" t="s">
        <v>159</v>
      </c>
      <c r="J212" t="s">
        <v>562</v>
      </c>
      <c r="K212">
        <v>428684</v>
      </c>
      <c r="L212">
        <v>294.49</v>
      </c>
      <c r="M212">
        <v>294.49</v>
      </c>
      <c r="N212" t="s">
        <v>3998</v>
      </c>
      <c r="O212" t="s">
        <v>37</v>
      </c>
      <c r="P212" t="str">
        <f>TRIM(Table13_1[[#This Row],[Genre]])</f>
        <v>Biography</v>
      </c>
    </row>
    <row r="213" spans="1:16" x14ac:dyDescent="0.3">
      <c r="A213" t="s">
        <v>563</v>
      </c>
      <c r="B213" t="s">
        <v>564</v>
      </c>
      <c r="C213">
        <v>2020</v>
      </c>
      <c r="D213">
        <v>2020</v>
      </c>
      <c r="E213" t="s">
        <v>293</v>
      </c>
      <c r="F213">
        <v>149</v>
      </c>
      <c r="G213" t="s">
        <v>3999</v>
      </c>
      <c r="H213" t="s">
        <v>566</v>
      </c>
      <c r="I213" t="s">
        <v>221</v>
      </c>
      <c r="J213" t="s">
        <v>567</v>
      </c>
      <c r="K213">
        <v>54658</v>
      </c>
      <c r="L213">
        <v>186.68</v>
      </c>
      <c r="M213">
        <v>186.68</v>
      </c>
      <c r="N213" t="s">
        <v>4002</v>
      </c>
      <c r="O213" t="s">
        <v>48</v>
      </c>
      <c r="P213" t="str">
        <f>TRIM(Table13_1[[#This Row],[Genre]])</f>
        <v>Crime</v>
      </c>
    </row>
    <row r="214" spans="1:16" x14ac:dyDescent="0.3">
      <c r="A214" t="s">
        <v>563</v>
      </c>
      <c r="B214" t="s">
        <v>564</v>
      </c>
      <c r="C214">
        <v>2020</v>
      </c>
      <c r="D214">
        <v>2020</v>
      </c>
      <c r="E214" t="s">
        <v>293</v>
      </c>
      <c r="F214">
        <v>149</v>
      </c>
      <c r="G214" t="s">
        <v>3999</v>
      </c>
      <c r="H214" t="s">
        <v>566</v>
      </c>
      <c r="I214" t="s">
        <v>221</v>
      </c>
      <c r="J214" t="s">
        <v>567</v>
      </c>
      <c r="K214">
        <v>54658</v>
      </c>
      <c r="L214">
        <v>186.68</v>
      </c>
      <c r="M214">
        <v>186.68</v>
      </c>
      <c r="N214" t="s">
        <v>4002</v>
      </c>
      <c r="O214" t="s">
        <v>3991</v>
      </c>
      <c r="P214" t="str">
        <f>TRIM(Table13_1[[#This Row],[Genre]])</f>
        <v>Thriller</v>
      </c>
    </row>
    <row r="215" spans="1:16" x14ac:dyDescent="0.3">
      <c r="A215" t="s">
        <v>568</v>
      </c>
      <c r="B215" t="s">
        <v>569</v>
      </c>
      <c r="C215">
        <v>2003</v>
      </c>
      <c r="D215">
        <v>2000</v>
      </c>
      <c r="E215" t="s">
        <v>24</v>
      </c>
      <c r="F215">
        <v>114</v>
      </c>
      <c r="G215" t="s">
        <v>3997</v>
      </c>
      <c r="H215" t="s">
        <v>570</v>
      </c>
      <c r="I215" t="s">
        <v>326</v>
      </c>
      <c r="J215" t="s">
        <v>571</v>
      </c>
      <c r="K215">
        <v>277762</v>
      </c>
      <c r="L215">
        <v>251.71</v>
      </c>
      <c r="M215">
        <v>251.71</v>
      </c>
      <c r="N215" t="s">
        <v>3998</v>
      </c>
      <c r="O215" t="s">
        <v>230</v>
      </c>
      <c r="P215" t="str">
        <f>TRIM(Table13_1[[#This Row],[Genre]])</f>
        <v>Documentary</v>
      </c>
    </row>
    <row r="216" spans="1:16" x14ac:dyDescent="0.3">
      <c r="A216" t="s">
        <v>572</v>
      </c>
      <c r="B216" t="s">
        <v>573</v>
      </c>
      <c r="C216">
        <v>2024</v>
      </c>
      <c r="D216">
        <v>2020</v>
      </c>
      <c r="E216" t="s">
        <v>24</v>
      </c>
      <c r="F216">
        <v>122</v>
      </c>
      <c r="G216" t="s">
        <v>3999</v>
      </c>
      <c r="H216" t="s">
        <v>574</v>
      </c>
      <c r="I216" t="s">
        <v>80</v>
      </c>
      <c r="J216" t="s">
        <v>575</v>
      </c>
      <c r="K216">
        <v>18666</v>
      </c>
      <c r="L216">
        <v>491.06</v>
      </c>
      <c r="M216">
        <v>491.06</v>
      </c>
      <c r="N216" t="s">
        <v>3998</v>
      </c>
      <c r="O216" t="s">
        <v>210</v>
      </c>
      <c r="P216" t="str">
        <f>TRIM(Table13_1[[#This Row],[Genre]])</f>
        <v>Action</v>
      </c>
    </row>
    <row r="217" spans="1:16" x14ac:dyDescent="0.3">
      <c r="A217" t="s">
        <v>572</v>
      </c>
      <c r="B217" t="s">
        <v>573</v>
      </c>
      <c r="C217">
        <v>2024</v>
      </c>
      <c r="D217">
        <v>2020</v>
      </c>
      <c r="E217" t="s">
        <v>24</v>
      </c>
      <c r="F217">
        <v>122</v>
      </c>
      <c r="G217" t="s">
        <v>3999</v>
      </c>
      <c r="H217" t="s">
        <v>574</v>
      </c>
      <c r="I217" t="s">
        <v>80</v>
      </c>
      <c r="J217" t="s">
        <v>575</v>
      </c>
      <c r="K217">
        <v>18666</v>
      </c>
      <c r="L217">
        <v>491.06</v>
      </c>
      <c r="M217">
        <v>491.06</v>
      </c>
      <c r="N217" t="s">
        <v>3998</v>
      </c>
      <c r="O217" t="s">
        <v>3978</v>
      </c>
      <c r="P217" t="str">
        <f>TRIM(Table13_1[[#This Row],[Genre]])</f>
        <v>Mystery</v>
      </c>
    </row>
    <row r="218" spans="1:16" x14ac:dyDescent="0.3">
      <c r="A218" t="s">
        <v>576</v>
      </c>
      <c r="B218" t="s">
        <v>577</v>
      </c>
      <c r="C218">
        <v>2013</v>
      </c>
      <c r="D218">
        <v>2010</v>
      </c>
      <c r="E218" t="s">
        <v>17</v>
      </c>
      <c r="F218">
        <v>103</v>
      </c>
      <c r="G218" t="s">
        <v>3997</v>
      </c>
      <c r="H218" t="s">
        <v>578</v>
      </c>
      <c r="I218" t="s">
        <v>518</v>
      </c>
      <c r="J218" t="s">
        <v>579</v>
      </c>
      <c r="K218">
        <v>79734</v>
      </c>
      <c r="L218">
        <v>916.56</v>
      </c>
      <c r="M218">
        <v>916.56</v>
      </c>
      <c r="N218" t="s">
        <v>3998</v>
      </c>
      <c r="O218" t="s">
        <v>72</v>
      </c>
      <c r="P218" t="str">
        <f>TRIM(Table13_1[[#This Row],[Genre]])</f>
        <v>War</v>
      </c>
    </row>
    <row r="219" spans="1:16" x14ac:dyDescent="0.3">
      <c r="A219" t="s">
        <v>580</v>
      </c>
      <c r="B219" t="s">
        <v>581</v>
      </c>
      <c r="C219">
        <v>2001</v>
      </c>
      <c r="D219">
        <v>2000</v>
      </c>
      <c r="E219" t="s">
        <v>17</v>
      </c>
      <c r="F219">
        <v>115</v>
      </c>
      <c r="G219" t="s">
        <v>3997</v>
      </c>
      <c r="H219" t="s">
        <v>582</v>
      </c>
      <c r="I219" t="s">
        <v>119</v>
      </c>
      <c r="J219" t="s">
        <v>583</v>
      </c>
      <c r="K219">
        <v>149664</v>
      </c>
      <c r="L219">
        <v>62.77</v>
      </c>
      <c r="M219">
        <v>62.77</v>
      </c>
      <c r="N219" t="s">
        <v>4001</v>
      </c>
      <c r="O219" t="s">
        <v>375</v>
      </c>
      <c r="P219" t="str">
        <f>TRIM(Table13_1[[#This Row],[Genre]])</f>
        <v>Family</v>
      </c>
    </row>
    <row r="220" spans="1:16" x14ac:dyDescent="0.3">
      <c r="A220" t="s">
        <v>580</v>
      </c>
      <c r="B220" t="s">
        <v>581</v>
      </c>
      <c r="C220">
        <v>2001</v>
      </c>
      <c r="D220">
        <v>2000</v>
      </c>
      <c r="E220" t="s">
        <v>17</v>
      </c>
      <c r="F220">
        <v>115</v>
      </c>
      <c r="G220" t="s">
        <v>3997</v>
      </c>
      <c r="H220" t="s">
        <v>582</v>
      </c>
      <c r="I220" t="s">
        <v>119</v>
      </c>
      <c r="J220" t="s">
        <v>583</v>
      </c>
      <c r="K220">
        <v>149664</v>
      </c>
      <c r="L220">
        <v>62.77</v>
      </c>
      <c r="M220">
        <v>62.77</v>
      </c>
      <c r="N220" t="s">
        <v>4001</v>
      </c>
      <c r="O220" t="s">
        <v>3983</v>
      </c>
      <c r="P220" t="str">
        <f>TRIM(Table13_1[[#This Row],[Genre]])</f>
        <v>Crime</v>
      </c>
    </row>
    <row r="221" spans="1:16" x14ac:dyDescent="0.3">
      <c r="A221" t="s">
        <v>584</v>
      </c>
      <c r="B221" t="s">
        <v>585</v>
      </c>
      <c r="C221">
        <v>1940</v>
      </c>
      <c r="D221">
        <v>1940</v>
      </c>
      <c r="E221" t="s">
        <v>17</v>
      </c>
      <c r="F221">
        <v>117</v>
      </c>
      <c r="G221" t="s">
        <v>3997</v>
      </c>
      <c r="H221" t="s">
        <v>587</v>
      </c>
      <c r="I221" t="s">
        <v>50</v>
      </c>
      <c r="J221" t="s">
        <v>588</v>
      </c>
      <c r="K221">
        <v>7820</v>
      </c>
      <c r="M221">
        <v>0</v>
      </c>
      <c r="N221" t="s">
        <v>4001</v>
      </c>
      <c r="O221" t="s">
        <v>48</v>
      </c>
      <c r="P221" t="str">
        <f>TRIM(Table13_1[[#This Row],[Genre]])</f>
        <v>Crime</v>
      </c>
    </row>
    <row r="222" spans="1:16" x14ac:dyDescent="0.3">
      <c r="A222" t="s">
        <v>584</v>
      </c>
      <c r="B222" t="s">
        <v>585</v>
      </c>
      <c r="C222">
        <v>1940</v>
      </c>
      <c r="D222">
        <v>1940</v>
      </c>
      <c r="E222" t="s">
        <v>17</v>
      </c>
      <c r="F222">
        <v>117</v>
      </c>
      <c r="G222" t="s">
        <v>3997</v>
      </c>
      <c r="H222" t="s">
        <v>587</v>
      </c>
      <c r="I222" t="s">
        <v>50</v>
      </c>
      <c r="J222" t="s">
        <v>588</v>
      </c>
      <c r="K222">
        <v>7820</v>
      </c>
      <c r="M222">
        <v>0</v>
      </c>
      <c r="N222" t="s">
        <v>4001</v>
      </c>
      <c r="O222" t="s">
        <v>3984</v>
      </c>
      <c r="P222" t="str">
        <f>TRIM(Table13_1[[#This Row],[Genre]])</f>
        <v>Adventure</v>
      </c>
    </row>
    <row r="223" spans="1:16" x14ac:dyDescent="0.3">
      <c r="A223" t="s">
        <v>589</v>
      </c>
      <c r="B223" t="s">
        <v>590</v>
      </c>
      <c r="C223">
        <v>2012</v>
      </c>
      <c r="D223">
        <v>2010</v>
      </c>
      <c r="E223" t="s">
        <v>293</v>
      </c>
      <c r="F223">
        <v>88</v>
      </c>
      <c r="G223" t="s">
        <v>4000</v>
      </c>
      <c r="H223" t="s">
        <v>592</v>
      </c>
      <c r="I223" t="s">
        <v>593</v>
      </c>
      <c r="J223" t="s">
        <v>594</v>
      </c>
      <c r="K223">
        <v>949114</v>
      </c>
      <c r="M223">
        <v>0</v>
      </c>
      <c r="N223" t="s">
        <v>4001</v>
      </c>
      <c r="O223" t="s">
        <v>767</v>
      </c>
      <c r="P223" t="str">
        <f>TRIM(Table13_1[[#This Row],[Genre]])</f>
        <v>Fantasy</v>
      </c>
    </row>
    <row r="224" spans="1:16" x14ac:dyDescent="0.3">
      <c r="A224" t="s">
        <v>589</v>
      </c>
      <c r="B224" t="s">
        <v>590</v>
      </c>
      <c r="C224">
        <v>2012</v>
      </c>
      <c r="D224">
        <v>2010</v>
      </c>
      <c r="E224" t="s">
        <v>293</v>
      </c>
      <c r="F224">
        <v>88</v>
      </c>
      <c r="G224" t="s">
        <v>4000</v>
      </c>
      <c r="H224" t="s">
        <v>592</v>
      </c>
      <c r="I224" t="s">
        <v>593</v>
      </c>
      <c r="J224" t="s">
        <v>594</v>
      </c>
      <c r="K224">
        <v>949114</v>
      </c>
      <c r="M224">
        <v>0</v>
      </c>
      <c r="N224" t="s">
        <v>4001</v>
      </c>
      <c r="O224" t="s">
        <v>3988</v>
      </c>
      <c r="P224" t="str">
        <f>TRIM(Table13_1[[#This Row],[Genre]])</f>
        <v>Drama</v>
      </c>
    </row>
    <row r="225" spans="1:16" x14ac:dyDescent="0.3">
      <c r="A225" t="s">
        <v>589</v>
      </c>
      <c r="B225" t="s">
        <v>590</v>
      </c>
      <c r="C225">
        <v>2012</v>
      </c>
      <c r="D225">
        <v>2010</v>
      </c>
      <c r="E225" t="s">
        <v>293</v>
      </c>
      <c r="F225">
        <v>88</v>
      </c>
      <c r="G225" t="s">
        <v>4000</v>
      </c>
      <c r="H225" t="s">
        <v>592</v>
      </c>
      <c r="I225" t="s">
        <v>593</v>
      </c>
      <c r="J225" t="s">
        <v>594</v>
      </c>
      <c r="K225">
        <v>949114</v>
      </c>
      <c r="M225">
        <v>0</v>
      </c>
      <c r="N225" t="s">
        <v>4001</v>
      </c>
      <c r="O225" t="s">
        <v>3986</v>
      </c>
      <c r="P225" t="str">
        <f>TRIM(Table13_1[[#This Row],[Genre]])</f>
        <v>Documentary</v>
      </c>
    </row>
    <row r="226" spans="1:16" x14ac:dyDescent="0.3">
      <c r="A226" t="s">
        <v>595</v>
      </c>
      <c r="B226" t="s">
        <v>596</v>
      </c>
      <c r="C226">
        <v>2024</v>
      </c>
      <c r="D226">
        <v>2020</v>
      </c>
      <c r="E226" t="s">
        <v>17</v>
      </c>
      <c r="F226">
        <v>89</v>
      </c>
      <c r="G226" t="s">
        <v>4000</v>
      </c>
      <c r="H226" t="s">
        <v>597</v>
      </c>
      <c r="I226" t="s">
        <v>326</v>
      </c>
      <c r="J226" t="s">
        <v>598</v>
      </c>
      <c r="K226">
        <v>20774</v>
      </c>
      <c r="L226">
        <v>640.57000000000005</v>
      </c>
      <c r="M226">
        <v>640.57000000000005</v>
      </c>
      <c r="N226" t="s">
        <v>3998</v>
      </c>
      <c r="O226" t="s">
        <v>157</v>
      </c>
      <c r="P226" t="str">
        <f>TRIM(Table13_1[[#This Row],[Genre]])</f>
        <v>Animation</v>
      </c>
    </row>
    <row r="227" spans="1:16" x14ac:dyDescent="0.3">
      <c r="A227" t="s">
        <v>599</v>
      </c>
      <c r="B227" t="s">
        <v>600</v>
      </c>
      <c r="C227">
        <v>1950</v>
      </c>
      <c r="D227">
        <v>1950</v>
      </c>
      <c r="E227" t="s">
        <v>169</v>
      </c>
      <c r="F227">
        <v>129</v>
      </c>
      <c r="G227" t="s">
        <v>3999</v>
      </c>
      <c r="H227" t="s">
        <v>602</v>
      </c>
      <c r="I227" t="s">
        <v>50</v>
      </c>
      <c r="J227" t="s">
        <v>603</v>
      </c>
      <c r="K227">
        <v>189823</v>
      </c>
      <c r="L227">
        <v>156.84</v>
      </c>
      <c r="M227">
        <v>156.84</v>
      </c>
      <c r="N227" t="s">
        <v>4002</v>
      </c>
      <c r="O227" t="s">
        <v>55</v>
      </c>
      <c r="P227" t="str">
        <f>TRIM(Table13_1[[#This Row],[Genre]])</f>
        <v>Romance</v>
      </c>
    </row>
    <row r="228" spans="1:16" x14ac:dyDescent="0.3">
      <c r="A228" t="s">
        <v>599</v>
      </c>
      <c r="B228" t="s">
        <v>600</v>
      </c>
      <c r="C228">
        <v>1950</v>
      </c>
      <c r="D228">
        <v>1950</v>
      </c>
      <c r="E228" t="s">
        <v>169</v>
      </c>
      <c r="F228">
        <v>129</v>
      </c>
      <c r="G228" t="s">
        <v>3999</v>
      </c>
      <c r="H228" t="s">
        <v>602</v>
      </c>
      <c r="I228" t="s">
        <v>50</v>
      </c>
      <c r="J228" t="s">
        <v>603</v>
      </c>
      <c r="K228">
        <v>189823</v>
      </c>
      <c r="L228">
        <v>156.84</v>
      </c>
      <c r="M228">
        <v>156.84</v>
      </c>
      <c r="N228" t="s">
        <v>4002</v>
      </c>
      <c r="O228" t="s">
        <v>3976</v>
      </c>
      <c r="P228" t="str">
        <f>TRIM(Table13_1[[#This Row],[Genre]])</f>
        <v>Musical</v>
      </c>
    </row>
    <row r="229" spans="1:16" x14ac:dyDescent="0.3">
      <c r="A229" t="s">
        <v>604</v>
      </c>
      <c r="B229" t="s">
        <v>605</v>
      </c>
      <c r="C229">
        <v>1970</v>
      </c>
      <c r="D229">
        <v>1970</v>
      </c>
      <c r="E229" t="s">
        <v>24</v>
      </c>
      <c r="F229">
        <v>150</v>
      </c>
      <c r="G229" t="s">
        <v>3999</v>
      </c>
      <c r="H229" t="s">
        <v>607</v>
      </c>
      <c r="I229" t="s">
        <v>608</v>
      </c>
      <c r="J229" t="s">
        <v>609</v>
      </c>
      <c r="K229">
        <v>50569</v>
      </c>
      <c r="L229">
        <v>7.41</v>
      </c>
      <c r="M229">
        <v>7.41</v>
      </c>
      <c r="N229" t="s">
        <v>4001</v>
      </c>
      <c r="O229" t="s">
        <v>606</v>
      </c>
      <c r="P229" t="str">
        <f>TRIM(Table13_1[[#This Row],[Genre]])</f>
        <v>Sci-Fi</v>
      </c>
    </row>
    <row r="230" spans="1:16" x14ac:dyDescent="0.3">
      <c r="A230" t="s">
        <v>610</v>
      </c>
      <c r="B230" t="s">
        <v>611</v>
      </c>
      <c r="C230">
        <v>2016</v>
      </c>
      <c r="D230">
        <v>2010</v>
      </c>
      <c r="E230" t="s">
        <v>24</v>
      </c>
      <c r="F230">
        <v>137</v>
      </c>
      <c r="G230" t="s">
        <v>3999</v>
      </c>
      <c r="H230" t="s">
        <v>613</v>
      </c>
      <c r="I230" t="s">
        <v>251</v>
      </c>
      <c r="J230" t="s">
        <v>614</v>
      </c>
      <c r="K230">
        <v>48396</v>
      </c>
      <c r="L230">
        <v>421.14</v>
      </c>
      <c r="M230">
        <v>421.14</v>
      </c>
      <c r="N230" t="s">
        <v>3998</v>
      </c>
      <c r="O230" t="s">
        <v>1044</v>
      </c>
      <c r="P230" t="str">
        <f>TRIM(Table13_1[[#This Row],[Genre]])</f>
        <v>Comedy</v>
      </c>
    </row>
    <row r="231" spans="1:16" x14ac:dyDescent="0.3">
      <c r="A231" t="s">
        <v>610</v>
      </c>
      <c r="B231" t="s">
        <v>611</v>
      </c>
      <c r="C231">
        <v>2016</v>
      </c>
      <c r="D231">
        <v>2010</v>
      </c>
      <c r="E231" t="s">
        <v>24</v>
      </c>
      <c r="F231">
        <v>137</v>
      </c>
      <c r="G231" t="s">
        <v>3999</v>
      </c>
      <c r="H231" t="s">
        <v>613</v>
      </c>
      <c r="I231" t="s">
        <v>251</v>
      </c>
      <c r="J231" t="s">
        <v>614</v>
      </c>
      <c r="K231">
        <v>48396</v>
      </c>
      <c r="L231">
        <v>421.14</v>
      </c>
      <c r="M231">
        <v>421.14</v>
      </c>
      <c r="N231" t="s">
        <v>3998</v>
      </c>
      <c r="O231" t="s">
        <v>3980</v>
      </c>
      <c r="P231" t="str">
        <f>TRIM(Table13_1[[#This Row],[Genre]])</f>
        <v>Action</v>
      </c>
    </row>
    <row r="232" spans="1:16" x14ac:dyDescent="0.3">
      <c r="A232" t="s">
        <v>610</v>
      </c>
      <c r="B232" t="s">
        <v>611</v>
      </c>
      <c r="C232">
        <v>2016</v>
      </c>
      <c r="D232">
        <v>2010</v>
      </c>
      <c r="E232" t="s">
        <v>24</v>
      </c>
      <c r="F232">
        <v>137</v>
      </c>
      <c r="G232" t="s">
        <v>3999</v>
      </c>
      <c r="H232" t="s">
        <v>613</v>
      </c>
      <c r="I232" t="s">
        <v>251</v>
      </c>
      <c r="J232" t="s">
        <v>614</v>
      </c>
      <c r="K232">
        <v>48396</v>
      </c>
      <c r="L232">
        <v>421.14</v>
      </c>
      <c r="M232">
        <v>421.14</v>
      </c>
      <c r="N232" t="s">
        <v>3998</v>
      </c>
      <c r="O232" t="s">
        <v>3991</v>
      </c>
      <c r="P232" t="str">
        <f>TRIM(Table13_1[[#This Row],[Genre]])</f>
        <v>Thriller</v>
      </c>
    </row>
    <row r="233" spans="1:16" x14ac:dyDescent="0.3">
      <c r="A233" t="s">
        <v>615</v>
      </c>
      <c r="B233" t="s">
        <v>616</v>
      </c>
      <c r="C233">
        <v>1944</v>
      </c>
      <c r="D233">
        <v>1940</v>
      </c>
      <c r="E233" t="s">
        <v>54</v>
      </c>
      <c r="F233">
        <v>110</v>
      </c>
      <c r="G233" t="s">
        <v>3997</v>
      </c>
      <c r="H233" t="s">
        <v>618</v>
      </c>
      <c r="I233" t="s">
        <v>27</v>
      </c>
      <c r="J233" t="s">
        <v>619</v>
      </c>
      <c r="K233">
        <v>13668</v>
      </c>
      <c r="M233">
        <v>0</v>
      </c>
      <c r="N233" t="s">
        <v>4001</v>
      </c>
      <c r="O233" t="s">
        <v>55</v>
      </c>
      <c r="P233" t="str">
        <f>TRIM(Table13_1[[#This Row],[Genre]])</f>
        <v>Romance</v>
      </c>
    </row>
    <row r="234" spans="1:16" x14ac:dyDescent="0.3">
      <c r="A234" t="s">
        <v>615</v>
      </c>
      <c r="B234" t="s">
        <v>616</v>
      </c>
      <c r="C234">
        <v>1944</v>
      </c>
      <c r="D234">
        <v>1940</v>
      </c>
      <c r="E234" t="s">
        <v>54</v>
      </c>
      <c r="F234">
        <v>110</v>
      </c>
      <c r="G234" t="s">
        <v>3997</v>
      </c>
      <c r="H234" t="s">
        <v>618</v>
      </c>
      <c r="I234" t="s">
        <v>27</v>
      </c>
      <c r="J234" t="s">
        <v>619</v>
      </c>
      <c r="K234">
        <v>13668</v>
      </c>
      <c r="M234">
        <v>0</v>
      </c>
      <c r="N234" t="s">
        <v>4001</v>
      </c>
      <c r="O234" t="s">
        <v>3979</v>
      </c>
      <c r="P234" t="str">
        <f>TRIM(Table13_1[[#This Row],[Genre]])</f>
        <v>War</v>
      </c>
    </row>
    <row r="235" spans="1:16" x14ac:dyDescent="0.3">
      <c r="A235" t="s">
        <v>620</v>
      </c>
      <c r="B235" t="s">
        <v>621</v>
      </c>
      <c r="C235">
        <v>2015</v>
      </c>
      <c r="D235">
        <v>2010</v>
      </c>
      <c r="E235" t="s">
        <v>17</v>
      </c>
      <c r="F235">
        <v>131</v>
      </c>
      <c r="G235" t="s">
        <v>3999</v>
      </c>
      <c r="H235" t="s">
        <v>158</v>
      </c>
      <c r="I235" t="s">
        <v>103</v>
      </c>
      <c r="J235" t="s">
        <v>622</v>
      </c>
      <c r="K235">
        <v>479306</v>
      </c>
      <c r="L235">
        <v>986.48</v>
      </c>
      <c r="M235">
        <v>986.48</v>
      </c>
      <c r="N235" t="s">
        <v>3998</v>
      </c>
      <c r="O235" t="s">
        <v>157</v>
      </c>
      <c r="P235" t="str">
        <f>TRIM(Table13_1[[#This Row],[Genre]])</f>
        <v>Animation</v>
      </c>
    </row>
    <row r="236" spans="1:16" x14ac:dyDescent="0.3">
      <c r="A236" t="s">
        <v>620</v>
      </c>
      <c r="B236" t="s">
        <v>621</v>
      </c>
      <c r="C236">
        <v>2015</v>
      </c>
      <c r="D236">
        <v>2010</v>
      </c>
      <c r="E236" t="s">
        <v>17</v>
      </c>
      <c r="F236">
        <v>131</v>
      </c>
      <c r="G236" t="s">
        <v>3999</v>
      </c>
      <c r="H236" t="s">
        <v>158</v>
      </c>
      <c r="I236" t="s">
        <v>103</v>
      </c>
      <c r="J236" t="s">
        <v>622</v>
      </c>
      <c r="K236">
        <v>479306</v>
      </c>
      <c r="L236">
        <v>986.48</v>
      </c>
      <c r="M236">
        <v>986.48</v>
      </c>
      <c r="N236" t="s">
        <v>3998</v>
      </c>
      <c r="O236" t="s">
        <v>3978</v>
      </c>
      <c r="P236" t="str">
        <f>TRIM(Table13_1[[#This Row],[Genre]])</f>
        <v>Mystery</v>
      </c>
    </row>
    <row r="237" spans="1:16" x14ac:dyDescent="0.3">
      <c r="A237" t="s">
        <v>623</v>
      </c>
      <c r="B237" t="s">
        <v>624</v>
      </c>
      <c r="C237">
        <v>2001</v>
      </c>
      <c r="D237">
        <v>2000</v>
      </c>
      <c r="E237" t="s">
        <v>285</v>
      </c>
      <c r="F237">
        <v>126</v>
      </c>
      <c r="G237" t="s">
        <v>3999</v>
      </c>
      <c r="H237" t="s">
        <v>278</v>
      </c>
      <c r="I237" t="s">
        <v>27</v>
      </c>
      <c r="J237" t="s">
        <v>625</v>
      </c>
      <c r="K237">
        <v>606704</v>
      </c>
      <c r="L237">
        <v>297.95999999999998</v>
      </c>
      <c r="M237">
        <v>297.95999999999998</v>
      </c>
      <c r="N237" t="s">
        <v>3998</v>
      </c>
      <c r="O237" t="s">
        <v>277</v>
      </c>
      <c r="P237" t="str">
        <f>TRIM(Table13_1[[#This Row],[Genre]])</f>
        <v>Thriller</v>
      </c>
    </row>
    <row r="238" spans="1:16" x14ac:dyDescent="0.3">
      <c r="A238" t="s">
        <v>626</v>
      </c>
      <c r="B238" t="s">
        <v>627</v>
      </c>
      <c r="C238">
        <v>1984</v>
      </c>
      <c r="D238">
        <v>1980</v>
      </c>
      <c r="E238" t="s">
        <v>17</v>
      </c>
      <c r="F238">
        <v>129</v>
      </c>
      <c r="G238" t="s">
        <v>3999</v>
      </c>
      <c r="H238" t="s">
        <v>629</v>
      </c>
      <c r="I238" t="s">
        <v>33</v>
      </c>
      <c r="J238" t="s">
        <v>630</v>
      </c>
      <c r="K238">
        <v>209676</v>
      </c>
      <c r="L238">
        <v>214.86</v>
      </c>
      <c r="M238">
        <v>214.86</v>
      </c>
      <c r="N238" t="s">
        <v>3998</v>
      </c>
      <c r="O238" t="s">
        <v>157</v>
      </c>
      <c r="P238" t="str">
        <f>TRIM(Table13_1[[#This Row],[Genre]])</f>
        <v>Animation</v>
      </c>
    </row>
    <row r="239" spans="1:16" x14ac:dyDescent="0.3">
      <c r="A239" t="s">
        <v>626</v>
      </c>
      <c r="B239" t="s">
        <v>627</v>
      </c>
      <c r="C239">
        <v>1984</v>
      </c>
      <c r="D239">
        <v>1980</v>
      </c>
      <c r="E239" t="s">
        <v>17</v>
      </c>
      <c r="F239">
        <v>129</v>
      </c>
      <c r="G239" t="s">
        <v>3999</v>
      </c>
      <c r="H239" t="s">
        <v>629</v>
      </c>
      <c r="I239" t="s">
        <v>33</v>
      </c>
      <c r="J239" t="s">
        <v>630</v>
      </c>
      <c r="K239">
        <v>209676</v>
      </c>
      <c r="L239">
        <v>214.86</v>
      </c>
      <c r="M239">
        <v>214.86</v>
      </c>
      <c r="N239" t="s">
        <v>3998</v>
      </c>
      <c r="O239" t="s">
        <v>3976</v>
      </c>
      <c r="P239" t="str">
        <f>TRIM(Table13_1[[#This Row],[Genre]])</f>
        <v>Musical</v>
      </c>
    </row>
    <row r="240" spans="1:16" x14ac:dyDescent="0.3">
      <c r="A240" t="s">
        <v>626</v>
      </c>
      <c r="B240" t="s">
        <v>627</v>
      </c>
      <c r="C240">
        <v>1984</v>
      </c>
      <c r="D240">
        <v>1980</v>
      </c>
      <c r="E240" t="s">
        <v>17</v>
      </c>
      <c r="F240">
        <v>129</v>
      </c>
      <c r="G240" t="s">
        <v>3999</v>
      </c>
      <c r="H240" t="s">
        <v>629</v>
      </c>
      <c r="I240" t="s">
        <v>33</v>
      </c>
      <c r="J240" t="s">
        <v>630</v>
      </c>
      <c r="K240">
        <v>209676</v>
      </c>
      <c r="L240">
        <v>214.86</v>
      </c>
      <c r="M240">
        <v>214.86</v>
      </c>
      <c r="N240" t="s">
        <v>3998</v>
      </c>
      <c r="O240" t="s">
        <v>3989</v>
      </c>
      <c r="P240" t="str">
        <f>TRIM(Table13_1[[#This Row],[Genre]])</f>
        <v>Sci-Fi</v>
      </c>
    </row>
    <row r="241" spans="1:16" x14ac:dyDescent="0.3">
      <c r="A241" t="s">
        <v>631</v>
      </c>
      <c r="B241" t="s">
        <v>632</v>
      </c>
      <c r="C241">
        <v>2008</v>
      </c>
      <c r="D241">
        <v>2000</v>
      </c>
      <c r="E241" t="s">
        <v>17</v>
      </c>
      <c r="F241">
        <v>121</v>
      </c>
      <c r="G241" t="s">
        <v>3999</v>
      </c>
      <c r="H241" t="s">
        <v>634</v>
      </c>
      <c r="I241" t="s">
        <v>236</v>
      </c>
      <c r="J241" t="s">
        <v>635</v>
      </c>
      <c r="K241">
        <v>221414</v>
      </c>
      <c r="L241">
        <v>153.63999999999999</v>
      </c>
      <c r="M241">
        <v>153.63999999999999</v>
      </c>
      <c r="N241" t="s">
        <v>4002</v>
      </c>
      <c r="O241" t="s">
        <v>129</v>
      </c>
      <c r="P241" t="str">
        <f>TRIM(Table13_1[[#This Row],[Genre]])</f>
        <v>Horror</v>
      </c>
    </row>
    <row r="242" spans="1:16" x14ac:dyDescent="0.3">
      <c r="A242" t="s">
        <v>631</v>
      </c>
      <c r="B242" t="s">
        <v>632</v>
      </c>
      <c r="C242">
        <v>2008</v>
      </c>
      <c r="D242">
        <v>2000</v>
      </c>
      <c r="E242" t="s">
        <v>17</v>
      </c>
      <c r="F242">
        <v>121</v>
      </c>
      <c r="G242" t="s">
        <v>3999</v>
      </c>
      <c r="H242" t="s">
        <v>634</v>
      </c>
      <c r="I242" t="s">
        <v>236</v>
      </c>
      <c r="J242" t="s">
        <v>635</v>
      </c>
      <c r="K242">
        <v>221414</v>
      </c>
      <c r="L242">
        <v>153.63999999999999</v>
      </c>
      <c r="M242">
        <v>153.63999999999999</v>
      </c>
      <c r="N242" t="s">
        <v>4002</v>
      </c>
      <c r="O242" t="s">
        <v>3984</v>
      </c>
      <c r="P242" t="str">
        <f>TRIM(Table13_1[[#This Row],[Genre]])</f>
        <v>Adventure</v>
      </c>
    </row>
    <row r="243" spans="1:16" x14ac:dyDescent="0.3">
      <c r="A243" t="s">
        <v>631</v>
      </c>
      <c r="B243" t="s">
        <v>632</v>
      </c>
      <c r="C243">
        <v>2008</v>
      </c>
      <c r="D243">
        <v>2000</v>
      </c>
      <c r="E243" t="s">
        <v>17</v>
      </c>
      <c r="F243">
        <v>121</v>
      </c>
      <c r="G243" t="s">
        <v>3999</v>
      </c>
      <c r="H243" t="s">
        <v>634</v>
      </c>
      <c r="I243" t="s">
        <v>236</v>
      </c>
      <c r="J243" t="s">
        <v>635</v>
      </c>
      <c r="K243">
        <v>221414</v>
      </c>
      <c r="L243">
        <v>153.63999999999999</v>
      </c>
      <c r="M243">
        <v>153.63999999999999</v>
      </c>
      <c r="N243" t="s">
        <v>4002</v>
      </c>
      <c r="O243" t="s">
        <v>3987</v>
      </c>
      <c r="P243" t="str">
        <f>TRIM(Table13_1[[#This Row],[Genre]])</f>
        <v>Fantasy</v>
      </c>
    </row>
    <row r="244" spans="1:16" x14ac:dyDescent="0.3">
      <c r="A244" t="s">
        <v>636</v>
      </c>
      <c r="B244" t="s">
        <v>637</v>
      </c>
      <c r="C244">
        <v>2013</v>
      </c>
      <c r="D244">
        <v>2010</v>
      </c>
      <c r="E244" t="s">
        <v>17</v>
      </c>
      <c r="F244">
        <v>102</v>
      </c>
      <c r="G244" t="s">
        <v>3997</v>
      </c>
      <c r="H244" t="s">
        <v>638</v>
      </c>
      <c r="I244" t="s">
        <v>80</v>
      </c>
      <c r="J244" t="s">
        <v>639</v>
      </c>
      <c r="K244">
        <v>341124</v>
      </c>
      <c r="M244">
        <v>0</v>
      </c>
      <c r="N244" t="s">
        <v>4001</v>
      </c>
      <c r="O244" t="s">
        <v>48</v>
      </c>
      <c r="P244" t="str">
        <f>TRIM(Table13_1[[#This Row],[Genre]])</f>
        <v>Crime</v>
      </c>
    </row>
    <row r="245" spans="1:16" x14ac:dyDescent="0.3">
      <c r="A245" t="s">
        <v>640</v>
      </c>
      <c r="B245" t="s">
        <v>641</v>
      </c>
      <c r="C245">
        <v>2016</v>
      </c>
      <c r="D245">
        <v>2010</v>
      </c>
      <c r="E245" t="s">
        <v>24</v>
      </c>
      <c r="F245">
        <v>129</v>
      </c>
      <c r="G245" t="s">
        <v>3999</v>
      </c>
      <c r="H245" t="s">
        <v>305</v>
      </c>
      <c r="I245" t="s">
        <v>524</v>
      </c>
      <c r="J245" t="s">
        <v>643</v>
      </c>
      <c r="K245">
        <v>204140</v>
      </c>
      <c r="M245">
        <v>0</v>
      </c>
      <c r="N245" t="s">
        <v>4001</v>
      </c>
      <c r="O245" t="s">
        <v>78</v>
      </c>
      <c r="P245" t="str">
        <f>TRIM(Table13_1[[#This Row],[Genre]])</f>
        <v>Adventure</v>
      </c>
    </row>
    <row r="246" spans="1:16" x14ac:dyDescent="0.3">
      <c r="A246" t="s">
        <v>640</v>
      </c>
      <c r="B246" t="s">
        <v>641</v>
      </c>
      <c r="C246">
        <v>2016</v>
      </c>
      <c r="D246">
        <v>2010</v>
      </c>
      <c r="E246" t="s">
        <v>24</v>
      </c>
      <c r="F246">
        <v>129</v>
      </c>
      <c r="G246" t="s">
        <v>3999</v>
      </c>
      <c r="H246" t="s">
        <v>305</v>
      </c>
      <c r="I246" t="s">
        <v>524</v>
      </c>
      <c r="J246" t="s">
        <v>643</v>
      </c>
      <c r="K246">
        <v>204140</v>
      </c>
      <c r="M246">
        <v>0</v>
      </c>
      <c r="N246" t="s">
        <v>4001</v>
      </c>
      <c r="O246" t="s">
        <v>3992</v>
      </c>
      <c r="P246" t="str">
        <f>TRIM(Table13_1[[#This Row],[Genre]])</f>
        <v>Biography</v>
      </c>
    </row>
    <row r="247" spans="1:16" x14ac:dyDescent="0.3">
      <c r="A247" t="s">
        <v>644</v>
      </c>
      <c r="B247" t="s">
        <v>645</v>
      </c>
      <c r="C247">
        <v>2004</v>
      </c>
      <c r="D247">
        <v>2000</v>
      </c>
      <c r="E247" t="s">
        <v>54</v>
      </c>
      <c r="F247">
        <v>110</v>
      </c>
      <c r="G247" t="s">
        <v>3997</v>
      </c>
      <c r="H247" t="s">
        <v>629</v>
      </c>
      <c r="I247" t="s">
        <v>524</v>
      </c>
      <c r="J247" t="s">
        <v>646</v>
      </c>
      <c r="K247">
        <v>195488</v>
      </c>
      <c r="L247">
        <v>474.92</v>
      </c>
      <c r="M247">
        <v>474.92</v>
      </c>
      <c r="N247" t="s">
        <v>3998</v>
      </c>
      <c r="O247" t="s">
        <v>157</v>
      </c>
      <c r="P247" t="str">
        <f>TRIM(Table13_1[[#This Row],[Genre]])</f>
        <v>Animation</v>
      </c>
    </row>
    <row r="248" spans="1:16" x14ac:dyDescent="0.3">
      <c r="A248" t="s">
        <v>647</v>
      </c>
      <c r="B248" t="s">
        <v>648</v>
      </c>
      <c r="C248">
        <v>1993</v>
      </c>
      <c r="D248">
        <v>1990</v>
      </c>
      <c r="E248" t="s">
        <v>54</v>
      </c>
      <c r="F248">
        <v>80</v>
      </c>
      <c r="G248" t="s">
        <v>4000</v>
      </c>
      <c r="H248" t="s">
        <v>650</v>
      </c>
      <c r="I248" t="s">
        <v>368</v>
      </c>
      <c r="J248" t="s">
        <v>651</v>
      </c>
      <c r="K248">
        <v>289416</v>
      </c>
      <c r="M248">
        <v>0</v>
      </c>
      <c r="N248" t="s">
        <v>4001</v>
      </c>
      <c r="O248" t="s">
        <v>43</v>
      </c>
      <c r="P248" t="str">
        <f>TRIM(Table13_1[[#This Row],[Genre]])</f>
        <v>Mystery</v>
      </c>
    </row>
    <row r="249" spans="1:16" x14ac:dyDescent="0.3">
      <c r="A249" t="s">
        <v>647</v>
      </c>
      <c r="B249" t="s">
        <v>648</v>
      </c>
      <c r="C249">
        <v>1993</v>
      </c>
      <c r="D249">
        <v>1990</v>
      </c>
      <c r="E249" t="s">
        <v>54</v>
      </c>
      <c r="F249">
        <v>80</v>
      </c>
      <c r="G249" t="s">
        <v>4000</v>
      </c>
      <c r="H249" t="s">
        <v>650</v>
      </c>
      <c r="I249" t="s">
        <v>368</v>
      </c>
      <c r="J249" t="s">
        <v>651</v>
      </c>
      <c r="K249">
        <v>289416</v>
      </c>
      <c r="M249">
        <v>0</v>
      </c>
      <c r="N249" t="s">
        <v>4001</v>
      </c>
      <c r="O249" t="s">
        <v>3984</v>
      </c>
      <c r="P249" t="str">
        <f>TRIM(Table13_1[[#This Row],[Genre]])</f>
        <v>Adventure</v>
      </c>
    </row>
    <row r="250" spans="1:16" x14ac:dyDescent="0.3">
      <c r="A250" t="s">
        <v>647</v>
      </c>
      <c r="B250" t="s">
        <v>648</v>
      </c>
      <c r="C250">
        <v>1993</v>
      </c>
      <c r="D250">
        <v>1990</v>
      </c>
      <c r="E250" t="s">
        <v>54</v>
      </c>
      <c r="F250">
        <v>80</v>
      </c>
      <c r="G250" t="s">
        <v>4000</v>
      </c>
      <c r="H250" t="s">
        <v>650</v>
      </c>
      <c r="I250" t="s">
        <v>368</v>
      </c>
      <c r="J250" t="s">
        <v>651</v>
      </c>
      <c r="K250">
        <v>289416</v>
      </c>
      <c r="M250">
        <v>0</v>
      </c>
      <c r="N250" t="s">
        <v>4001</v>
      </c>
      <c r="O250" t="s">
        <v>3992</v>
      </c>
      <c r="P250" t="str">
        <f>TRIM(Table13_1[[#This Row],[Genre]])</f>
        <v>Biography</v>
      </c>
    </row>
    <row r="251" spans="1:16" x14ac:dyDescent="0.3">
      <c r="A251" t="s">
        <v>652</v>
      </c>
      <c r="B251" t="s">
        <v>653</v>
      </c>
      <c r="C251">
        <v>1987</v>
      </c>
      <c r="D251">
        <v>1980</v>
      </c>
      <c r="E251" t="s">
        <v>17</v>
      </c>
      <c r="F251">
        <v>149</v>
      </c>
      <c r="G251" t="s">
        <v>3999</v>
      </c>
      <c r="H251" t="s">
        <v>491</v>
      </c>
      <c r="I251" t="s">
        <v>68</v>
      </c>
      <c r="J251" t="s">
        <v>654</v>
      </c>
      <c r="K251">
        <v>2500000</v>
      </c>
      <c r="L251">
        <v>222.6</v>
      </c>
      <c r="M251">
        <v>222.6</v>
      </c>
      <c r="N251" t="s">
        <v>3998</v>
      </c>
      <c r="O251" t="s">
        <v>72</v>
      </c>
      <c r="P251" t="str">
        <f>TRIM(Table13_1[[#This Row],[Genre]])</f>
        <v>War</v>
      </c>
    </row>
    <row r="252" spans="1:16" x14ac:dyDescent="0.3">
      <c r="A252" t="s">
        <v>652</v>
      </c>
      <c r="B252" t="s">
        <v>653</v>
      </c>
      <c r="C252">
        <v>1987</v>
      </c>
      <c r="D252">
        <v>1980</v>
      </c>
      <c r="E252" t="s">
        <v>17</v>
      </c>
      <c r="F252">
        <v>149</v>
      </c>
      <c r="G252" t="s">
        <v>3999</v>
      </c>
      <c r="H252" t="s">
        <v>491</v>
      </c>
      <c r="I252" t="s">
        <v>68</v>
      </c>
      <c r="J252" t="s">
        <v>654</v>
      </c>
      <c r="K252">
        <v>2500000</v>
      </c>
      <c r="L252">
        <v>222.6</v>
      </c>
      <c r="M252">
        <v>222.6</v>
      </c>
      <c r="N252" t="s">
        <v>3998</v>
      </c>
      <c r="O252" t="s">
        <v>3984</v>
      </c>
      <c r="P252" t="str">
        <f>TRIM(Table13_1[[#This Row],[Genre]])</f>
        <v>Adventure</v>
      </c>
    </row>
    <row r="253" spans="1:16" x14ac:dyDescent="0.3">
      <c r="A253" t="s">
        <v>655</v>
      </c>
      <c r="B253" t="s">
        <v>656</v>
      </c>
      <c r="C253">
        <v>1993</v>
      </c>
      <c r="D253">
        <v>1990</v>
      </c>
      <c r="E253" t="s">
        <v>54</v>
      </c>
      <c r="F253">
        <v>104</v>
      </c>
      <c r="G253" t="s">
        <v>3997</v>
      </c>
      <c r="H253" t="s">
        <v>381</v>
      </c>
      <c r="I253" t="s">
        <v>153</v>
      </c>
      <c r="J253" t="s">
        <v>657</v>
      </c>
      <c r="K253">
        <v>57820</v>
      </c>
      <c r="L253">
        <v>123.67</v>
      </c>
      <c r="M253">
        <v>123.67</v>
      </c>
      <c r="N253" t="s">
        <v>4002</v>
      </c>
      <c r="O253" t="s">
        <v>375</v>
      </c>
      <c r="P253" t="str">
        <f>TRIM(Table13_1[[#This Row],[Genre]])</f>
        <v>Family</v>
      </c>
    </row>
    <row r="254" spans="1:16" x14ac:dyDescent="0.3">
      <c r="A254" t="s">
        <v>655</v>
      </c>
      <c r="B254" t="s">
        <v>656</v>
      </c>
      <c r="C254">
        <v>1993</v>
      </c>
      <c r="D254">
        <v>1990</v>
      </c>
      <c r="E254" t="s">
        <v>54</v>
      </c>
      <c r="F254">
        <v>104</v>
      </c>
      <c r="G254" t="s">
        <v>3997</v>
      </c>
      <c r="H254" t="s">
        <v>381</v>
      </c>
      <c r="I254" t="s">
        <v>153</v>
      </c>
      <c r="J254" t="s">
        <v>657</v>
      </c>
      <c r="K254">
        <v>57820</v>
      </c>
      <c r="L254">
        <v>123.67</v>
      </c>
      <c r="M254">
        <v>123.67</v>
      </c>
      <c r="N254" t="s">
        <v>4002</v>
      </c>
      <c r="O254" t="s">
        <v>3989</v>
      </c>
      <c r="P254" t="str">
        <f>TRIM(Table13_1[[#This Row],[Genre]])</f>
        <v>Sci-Fi</v>
      </c>
    </row>
    <row r="255" spans="1:16" x14ac:dyDescent="0.3">
      <c r="A255" t="s">
        <v>658</v>
      </c>
      <c r="B255" t="s">
        <v>659</v>
      </c>
      <c r="C255">
        <v>2023</v>
      </c>
      <c r="D255">
        <v>2020</v>
      </c>
      <c r="E255" t="s">
        <v>17</v>
      </c>
      <c r="F255">
        <v>133</v>
      </c>
      <c r="G255" t="s">
        <v>3999</v>
      </c>
      <c r="H255" t="s">
        <v>634</v>
      </c>
      <c r="I255" t="s">
        <v>125</v>
      </c>
      <c r="J255" t="s">
        <v>661</v>
      </c>
      <c r="K255">
        <v>50164</v>
      </c>
      <c r="L255">
        <v>477.01</v>
      </c>
      <c r="M255">
        <v>477.01</v>
      </c>
      <c r="N255" t="s">
        <v>3998</v>
      </c>
      <c r="O255" t="s">
        <v>129</v>
      </c>
      <c r="P255" t="str">
        <f>TRIM(Table13_1[[#This Row],[Genre]])</f>
        <v>Horror</v>
      </c>
    </row>
    <row r="256" spans="1:16" x14ac:dyDescent="0.3">
      <c r="A256" t="s">
        <v>658</v>
      </c>
      <c r="B256" t="s">
        <v>659</v>
      </c>
      <c r="C256">
        <v>2023</v>
      </c>
      <c r="D256">
        <v>2020</v>
      </c>
      <c r="E256" t="s">
        <v>17</v>
      </c>
      <c r="F256">
        <v>133</v>
      </c>
      <c r="G256" t="s">
        <v>3999</v>
      </c>
      <c r="H256" t="s">
        <v>634</v>
      </c>
      <c r="I256" t="s">
        <v>125</v>
      </c>
      <c r="J256" t="s">
        <v>661</v>
      </c>
      <c r="K256">
        <v>50164</v>
      </c>
      <c r="L256">
        <v>477.01</v>
      </c>
      <c r="M256">
        <v>477.01</v>
      </c>
      <c r="N256" t="s">
        <v>3998</v>
      </c>
      <c r="O256" t="s">
        <v>3989</v>
      </c>
      <c r="P256" t="str">
        <f>TRIM(Table13_1[[#This Row],[Genre]])</f>
        <v>Sci-Fi</v>
      </c>
    </row>
    <row r="257" spans="1:16" x14ac:dyDescent="0.3">
      <c r="A257" t="s">
        <v>662</v>
      </c>
      <c r="B257" t="s">
        <v>663</v>
      </c>
      <c r="C257">
        <v>2005</v>
      </c>
      <c r="D257">
        <v>2000</v>
      </c>
      <c r="E257" t="s">
        <v>17</v>
      </c>
      <c r="F257">
        <v>136</v>
      </c>
      <c r="G257" t="s">
        <v>3999</v>
      </c>
      <c r="H257" t="s">
        <v>491</v>
      </c>
      <c r="I257" t="s">
        <v>368</v>
      </c>
      <c r="J257" t="s">
        <v>665</v>
      </c>
      <c r="K257">
        <v>276470</v>
      </c>
      <c r="L257">
        <v>97.99</v>
      </c>
      <c r="M257">
        <v>97.99</v>
      </c>
      <c r="N257" t="s">
        <v>4001</v>
      </c>
      <c r="O257" t="s">
        <v>72</v>
      </c>
      <c r="P257" t="str">
        <f>TRIM(Table13_1[[#This Row],[Genre]])</f>
        <v>War</v>
      </c>
    </row>
    <row r="258" spans="1:16" x14ac:dyDescent="0.3">
      <c r="A258" t="s">
        <v>662</v>
      </c>
      <c r="B258" t="s">
        <v>663</v>
      </c>
      <c r="C258">
        <v>2005</v>
      </c>
      <c r="D258">
        <v>2000</v>
      </c>
      <c r="E258" t="s">
        <v>17</v>
      </c>
      <c r="F258">
        <v>136</v>
      </c>
      <c r="G258" t="s">
        <v>3999</v>
      </c>
      <c r="H258" t="s">
        <v>491</v>
      </c>
      <c r="I258" t="s">
        <v>368</v>
      </c>
      <c r="J258" t="s">
        <v>665</v>
      </c>
      <c r="K258">
        <v>276470</v>
      </c>
      <c r="L258">
        <v>97.99</v>
      </c>
      <c r="M258">
        <v>97.99</v>
      </c>
      <c r="N258" t="s">
        <v>4001</v>
      </c>
      <c r="O258" t="s">
        <v>3990</v>
      </c>
      <c r="P258" t="str">
        <f>TRIM(Table13_1[[#This Row],[Genre]])</f>
        <v>Western</v>
      </c>
    </row>
    <row r="259" spans="1:16" x14ac:dyDescent="0.3">
      <c r="A259" t="s">
        <v>666</v>
      </c>
      <c r="B259" t="s">
        <v>667</v>
      </c>
      <c r="C259">
        <v>2020</v>
      </c>
      <c r="D259">
        <v>2020</v>
      </c>
      <c r="E259" t="s">
        <v>285</v>
      </c>
      <c r="F259">
        <v>117</v>
      </c>
      <c r="G259" t="s">
        <v>3997</v>
      </c>
      <c r="H259" t="s">
        <v>668</v>
      </c>
      <c r="I259" t="s">
        <v>86</v>
      </c>
      <c r="J259" t="s">
        <v>669</v>
      </c>
      <c r="K259">
        <v>480446</v>
      </c>
      <c r="M259">
        <v>0</v>
      </c>
      <c r="N259" t="s">
        <v>4001</v>
      </c>
      <c r="O259" t="s">
        <v>230</v>
      </c>
      <c r="P259" t="str">
        <f>TRIM(Table13_1[[#This Row],[Genre]])</f>
        <v>Documentary</v>
      </c>
    </row>
    <row r="260" spans="1:16" x14ac:dyDescent="0.3">
      <c r="A260" t="s">
        <v>670</v>
      </c>
      <c r="B260" t="s">
        <v>671</v>
      </c>
      <c r="C260">
        <v>1995</v>
      </c>
      <c r="D260">
        <v>1990</v>
      </c>
      <c r="E260" t="s">
        <v>169</v>
      </c>
      <c r="F260">
        <v>133</v>
      </c>
      <c r="G260" t="s">
        <v>3999</v>
      </c>
      <c r="H260" t="s">
        <v>673</v>
      </c>
      <c r="I260" t="s">
        <v>68</v>
      </c>
      <c r="J260" t="s">
        <v>674</v>
      </c>
      <c r="K260">
        <v>373846</v>
      </c>
      <c r="M260">
        <v>0</v>
      </c>
      <c r="N260" t="s">
        <v>4001</v>
      </c>
      <c r="O260" t="s">
        <v>235</v>
      </c>
      <c r="P260" t="str">
        <f>TRIM(Table13_1[[#This Row],[Genre]])</f>
        <v>Drama</v>
      </c>
    </row>
    <row r="261" spans="1:16" x14ac:dyDescent="0.3">
      <c r="A261" t="s">
        <v>670</v>
      </c>
      <c r="B261" t="s">
        <v>671</v>
      </c>
      <c r="C261">
        <v>1995</v>
      </c>
      <c r="D261">
        <v>1990</v>
      </c>
      <c r="E261" t="s">
        <v>169</v>
      </c>
      <c r="F261">
        <v>133</v>
      </c>
      <c r="G261" t="s">
        <v>3999</v>
      </c>
      <c r="H261" t="s">
        <v>673</v>
      </c>
      <c r="I261" t="s">
        <v>68</v>
      </c>
      <c r="J261" t="s">
        <v>674</v>
      </c>
      <c r="K261">
        <v>373846</v>
      </c>
      <c r="M261">
        <v>0</v>
      </c>
      <c r="N261" t="s">
        <v>4001</v>
      </c>
      <c r="O261" t="s">
        <v>3993</v>
      </c>
      <c r="P261" t="str">
        <f>TRIM(Table13_1[[#This Row],[Genre]])</f>
        <v>Comedy</v>
      </c>
    </row>
    <row r="262" spans="1:16" x14ac:dyDescent="0.3">
      <c r="A262" t="s">
        <v>675</v>
      </c>
      <c r="B262" t="s">
        <v>676</v>
      </c>
      <c r="C262">
        <v>2019</v>
      </c>
      <c r="D262">
        <v>2010</v>
      </c>
      <c r="E262" t="s">
        <v>24</v>
      </c>
      <c r="F262">
        <v>109</v>
      </c>
      <c r="G262" t="s">
        <v>3997</v>
      </c>
      <c r="H262" t="s">
        <v>678</v>
      </c>
      <c r="I262" t="s">
        <v>80</v>
      </c>
      <c r="J262" t="s">
        <v>679</v>
      </c>
      <c r="K262">
        <v>33606</v>
      </c>
      <c r="L262">
        <v>422.17</v>
      </c>
      <c r="M262">
        <v>422.17</v>
      </c>
      <c r="N262" t="s">
        <v>3998</v>
      </c>
      <c r="O262" t="s">
        <v>37</v>
      </c>
      <c r="P262" t="str">
        <f>TRIM(Table13_1[[#This Row],[Genre]])</f>
        <v>Biography</v>
      </c>
    </row>
    <row r="263" spans="1:16" x14ac:dyDescent="0.3">
      <c r="A263" t="s">
        <v>675</v>
      </c>
      <c r="B263" t="s">
        <v>676</v>
      </c>
      <c r="C263">
        <v>2019</v>
      </c>
      <c r="D263">
        <v>2010</v>
      </c>
      <c r="E263" t="s">
        <v>24</v>
      </c>
      <c r="F263">
        <v>109</v>
      </c>
      <c r="G263" t="s">
        <v>3997</v>
      </c>
      <c r="H263" t="s">
        <v>678</v>
      </c>
      <c r="I263" t="s">
        <v>80</v>
      </c>
      <c r="J263" t="s">
        <v>679</v>
      </c>
      <c r="K263">
        <v>33606</v>
      </c>
      <c r="L263">
        <v>422.17</v>
      </c>
      <c r="M263">
        <v>422.17</v>
      </c>
      <c r="N263" t="s">
        <v>3998</v>
      </c>
      <c r="O263" t="s">
        <v>3989</v>
      </c>
      <c r="P263" t="str">
        <f>TRIM(Table13_1[[#This Row],[Genre]])</f>
        <v>Sci-Fi</v>
      </c>
    </row>
    <row r="264" spans="1:16" x14ac:dyDescent="0.3">
      <c r="A264" t="s">
        <v>680</v>
      </c>
      <c r="B264" t="s">
        <v>681</v>
      </c>
      <c r="C264">
        <v>1978</v>
      </c>
      <c r="D264">
        <v>1970</v>
      </c>
      <c r="E264" t="s">
        <v>17</v>
      </c>
      <c r="F264">
        <v>100</v>
      </c>
      <c r="G264" t="s">
        <v>3997</v>
      </c>
      <c r="H264" t="s">
        <v>683</v>
      </c>
      <c r="I264" t="s">
        <v>86</v>
      </c>
      <c r="J264" t="s">
        <v>684</v>
      </c>
      <c r="K264">
        <v>41716</v>
      </c>
      <c r="M264">
        <v>0</v>
      </c>
      <c r="N264" t="s">
        <v>4001</v>
      </c>
      <c r="O264" t="s">
        <v>235</v>
      </c>
      <c r="P264" t="str">
        <f>TRIM(Table13_1[[#This Row],[Genre]])</f>
        <v>Drama</v>
      </c>
    </row>
    <row r="265" spans="1:16" x14ac:dyDescent="0.3">
      <c r="A265" t="s">
        <v>680</v>
      </c>
      <c r="B265" t="s">
        <v>681</v>
      </c>
      <c r="C265">
        <v>1978</v>
      </c>
      <c r="D265">
        <v>1970</v>
      </c>
      <c r="E265" t="s">
        <v>17</v>
      </c>
      <c r="F265">
        <v>100</v>
      </c>
      <c r="G265" t="s">
        <v>3997</v>
      </c>
      <c r="H265" t="s">
        <v>683</v>
      </c>
      <c r="I265" t="s">
        <v>86</v>
      </c>
      <c r="J265" t="s">
        <v>684</v>
      </c>
      <c r="K265">
        <v>41716</v>
      </c>
      <c r="M265">
        <v>0</v>
      </c>
      <c r="N265" t="s">
        <v>4001</v>
      </c>
      <c r="O265" t="s">
        <v>3981</v>
      </c>
      <c r="P265" t="str">
        <f>TRIM(Table13_1[[#This Row],[Genre]])</f>
        <v>Romance</v>
      </c>
    </row>
    <row r="266" spans="1:16" x14ac:dyDescent="0.3">
      <c r="A266" t="s">
        <v>680</v>
      </c>
      <c r="B266" t="s">
        <v>681</v>
      </c>
      <c r="C266">
        <v>1978</v>
      </c>
      <c r="D266">
        <v>1970</v>
      </c>
      <c r="E266" t="s">
        <v>17</v>
      </c>
      <c r="F266">
        <v>100</v>
      </c>
      <c r="G266" t="s">
        <v>3997</v>
      </c>
      <c r="H266" t="s">
        <v>683</v>
      </c>
      <c r="I266" t="s">
        <v>86</v>
      </c>
      <c r="J266" t="s">
        <v>684</v>
      </c>
      <c r="K266">
        <v>41716</v>
      </c>
      <c r="M266">
        <v>0</v>
      </c>
      <c r="N266" t="s">
        <v>4001</v>
      </c>
      <c r="O266" t="s">
        <v>3979</v>
      </c>
      <c r="P266" t="str">
        <f>TRIM(Table13_1[[#This Row],[Genre]])</f>
        <v>War</v>
      </c>
    </row>
    <row r="267" spans="1:16" x14ac:dyDescent="0.3">
      <c r="A267" t="s">
        <v>685</v>
      </c>
      <c r="B267" t="s">
        <v>686</v>
      </c>
      <c r="C267">
        <v>1964</v>
      </c>
      <c r="D267">
        <v>1960</v>
      </c>
      <c r="E267" t="s">
        <v>24</v>
      </c>
      <c r="F267">
        <v>126</v>
      </c>
      <c r="G267" t="s">
        <v>3999</v>
      </c>
      <c r="H267" t="s">
        <v>38</v>
      </c>
      <c r="I267" t="s">
        <v>20</v>
      </c>
      <c r="J267" t="s">
        <v>688</v>
      </c>
      <c r="K267">
        <v>77580</v>
      </c>
      <c r="L267">
        <v>196.37</v>
      </c>
      <c r="M267">
        <v>196.37</v>
      </c>
      <c r="N267" t="s">
        <v>4002</v>
      </c>
      <c r="O267" t="s">
        <v>37</v>
      </c>
      <c r="P267" t="str">
        <f>TRIM(Table13_1[[#This Row],[Genre]])</f>
        <v>Biography</v>
      </c>
    </row>
    <row r="268" spans="1:16" x14ac:dyDescent="0.3">
      <c r="A268" t="s">
        <v>685</v>
      </c>
      <c r="B268" t="s">
        <v>686</v>
      </c>
      <c r="C268">
        <v>1964</v>
      </c>
      <c r="D268">
        <v>1960</v>
      </c>
      <c r="E268" t="s">
        <v>24</v>
      </c>
      <c r="F268">
        <v>126</v>
      </c>
      <c r="G268" t="s">
        <v>3999</v>
      </c>
      <c r="H268" t="s">
        <v>38</v>
      </c>
      <c r="I268" t="s">
        <v>20</v>
      </c>
      <c r="J268" t="s">
        <v>688</v>
      </c>
      <c r="K268">
        <v>77580</v>
      </c>
      <c r="L268">
        <v>196.37</v>
      </c>
      <c r="M268">
        <v>196.37</v>
      </c>
      <c r="N268" t="s">
        <v>4002</v>
      </c>
      <c r="O268" t="s">
        <v>3986</v>
      </c>
      <c r="P268" t="str">
        <f>TRIM(Table13_1[[#This Row],[Genre]])</f>
        <v>Documentary</v>
      </c>
    </row>
    <row r="269" spans="1:16" x14ac:dyDescent="0.3">
      <c r="A269" t="s">
        <v>689</v>
      </c>
      <c r="B269" t="s">
        <v>690</v>
      </c>
      <c r="C269">
        <v>1972</v>
      </c>
      <c r="D269">
        <v>1970</v>
      </c>
      <c r="E269" t="s">
        <v>17</v>
      </c>
      <c r="F269">
        <v>130</v>
      </c>
      <c r="G269" t="s">
        <v>3999</v>
      </c>
      <c r="H269" t="s">
        <v>435</v>
      </c>
      <c r="I269" t="s">
        <v>326</v>
      </c>
      <c r="J269" t="s">
        <v>691</v>
      </c>
      <c r="K269">
        <v>17864</v>
      </c>
      <c r="L269">
        <v>16.48</v>
      </c>
      <c r="M269">
        <v>16.48</v>
      </c>
      <c r="N269" t="s">
        <v>4001</v>
      </c>
      <c r="O269" t="s">
        <v>453</v>
      </c>
      <c r="P269" t="str">
        <f>TRIM(Table13_1[[#This Row],[Genre]])</f>
        <v>Musical</v>
      </c>
    </row>
    <row r="270" spans="1:16" x14ac:dyDescent="0.3">
      <c r="A270" t="s">
        <v>689</v>
      </c>
      <c r="B270" t="s">
        <v>690</v>
      </c>
      <c r="C270">
        <v>1972</v>
      </c>
      <c r="D270">
        <v>1970</v>
      </c>
      <c r="E270" t="s">
        <v>17</v>
      </c>
      <c r="F270">
        <v>130</v>
      </c>
      <c r="G270" t="s">
        <v>3999</v>
      </c>
      <c r="H270" t="s">
        <v>435</v>
      </c>
      <c r="I270" t="s">
        <v>326</v>
      </c>
      <c r="J270" t="s">
        <v>691</v>
      </c>
      <c r="K270">
        <v>17864</v>
      </c>
      <c r="L270">
        <v>16.48</v>
      </c>
      <c r="M270">
        <v>16.48</v>
      </c>
      <c r="N270" t="s">
        <v>4001</v>
      </c>
      <c r="O270" t="s">
        <v>3986</v>
      </c>
      <c r="P270" t="str">
        <f>TRIM(Table13_1[[#This Row],[Genre]])</f>
        <v>Documentary</v>
      </c>
    </row>
    <row r="271" spans="1:16" x14ac:dyDescent="0.3">
      <c r="A271" t="s">
        <v>692</v>
      </c>
      <c r="B271" t="s">
        <v>693</v>
      </c>
      <c r="C271">
        <v>1961</v>
      </c>
      <c r="D271">
        <v>1960</v>
      </c>
      <c r="E271" t="s">
        <v>285</v>
      </c>
      <c r="F271">
        <v>103</v>
      </c>
      <c r="G271" t="s">
        <v>3997</v>
      </c>
      <c r="H271" t="s">
        <v>67</v>
      </c>
      <c r="I271" t="s">
        <v>524</v>
      </c>
      <c r="J271" t="s">
        <v>694</v>
      </c>
      <c r="K271">
        <v>141814</v>
      </c>
      <c r="L271">
        <v>273.14999999999998</v>
      </c>
      <c r="M271">
        <v>273.14999999999998</v>
      </c>
      <c r="N271" t="s">
        <v>3998</v>
      </c>
      <c r="O271" t="s">
        <v>48</v>
      </c>
      <c r="P271" t="str">
        <f>TRIM(Table13_1[[#This Row],[Genre]])</f>
        <v>Crime</v>
      </c>
    </row>
    <row r="272" spans="1:16" x14ac:dyDescent="0.3">
      <c r="A272" t="s">
        <v>695</v>
      </c>
      <c r="B272" t="s">
        <v>696</v>
      </c>
      <c r="C272">
        <v>1971</v>
      </c>
      <c r="D272">
        <v>1970</v>
      </c>
      <c r="E272" t="s">
        <v>17</v>
      </c>
      <c r="F272">
        <v>113</v>
      </c>
      <c r="G272" t="s">
        <v>3997</v>
      </c>
      <c r="H272" t="s">
        <v>697</v>
      </c>
      <c r="I272" t="s">
        <v>518</v>
      </c>
      <c r="J272" t="s">
        <v>698</v>
      </c>
      <c r="K272">
        <v>3999</v>
      </c>
      <c r="L272">
        <v>283.32</v>
      </c>
      <c r="M272">
        <v>283.32</v>
      </c>
      <c r="N272" t="s">
        <v>3998</v>
      </c>
      <c r="O272" t="s">
        <v>453</v>
      </c>
      <c r="P272" t="str">
        <f>TRIM(Table13_1[[#This Row],[Genre]])</f>
        <v>Musical</v>
      </c>
    </row>
    <row r="273" spans="1:16" x14ac:dyDescent="0.3">
      <c r="A273" t="s">
        <v>695</v>
      </c>
      <c r="B273" t="s">
        <v>696</v>
      </c>
      <c r="C273">
        <v>1971</v>
      </c>
      <c r="D273">
        <v>1970</v>
      </c>
      <c r="E273" t="s">
        <v>17</v>
      </c>
      <c r="F273">
        <v>113</v>
      </c>
      <c r="G273" t="s">
        <v>3997</v>
      </c>
      <c r="H273" t="s">
        <v>697</v>
      </c>
      <c r="I273" t="s">
        <v>518</v>
      </c>
      <c r="J273" t="s">
        <v>698</v>
      </c>
      <c r="K273">
        <v>3999</v>
      </c>
      <c r="L273">
        <v>283.32</v>
      </c>
      <c r="M273">
        <v>283.32</v>
      </c>
      <c r="N273" t="s">
        <v>3998</v>
      </c>
      <c r="O273" t="s">
        <v>3982</v>
      </c>
      <c r="P273" t="str">
        <f>TRIM(Table13_1[[#This Row],[Genre]])</f>
        <v>Family</v>
      </c>
    </row>
    <row r="274" spans="1:16" x14ac:dyDescent="0.3">
      <c r="A274" t="s">
        <v>699</v>
      </c>
      <c r="B274" t="s">
        <v>700</v>
      </c>
      <c r="C274">
        <v>1995</v>
      </c>
      <c r="D274">
        <v>1990</v>
      </c>
      <c r="E274" t="s">
        <v>24</v>
      </c>
      <c r="F274">
        <v>89</v>
      </c>
      <c r="G274" t="s">
        <v>4000</v>
      </c>
      <c r="H274" t="s">
        <v>702</v>
      </c>
      <c r="I274" t="s">
        <v>125</v>
      </c>
      <c r="J274" t="s">
        <v>703</v>
      </c>
      <c r="K274">
        <v>216338</v>
      </c>
      <c r="L274">
        <v>249.36</v>
      </c>
      <c r="M274">
        <v>249.36</v>
      </c>
      <c r="N274" t="s">
        <v>3998</v>
      </c>
      <c r="O274" t="s">
        <v>606</v>
      </c>
      <c r="P274" t="str">
        <f>TRIM(Table13_1[[#This Row],[Genre]])</f>
        <v>Sci-Fi</v>
      </c>
    </row>
    <row r="275" spans="1:16" x14ac:dyDescent="0.3">
      <c r="A275" t="s">
        <v>699</v>
      </c>
      <c r="B275" t="s">
        <v>700</v>
      </c>
      <c r="C275">
        <v>1995</v>
      </c>
      <c r="D275">
        <v>1990</v>
      </c>
      <c r="E275" t="s">
        <v>24</v>
      </c>
      <c r="F275">
        <v>89</v>
      </c>
      <c r="G275" t="s">
        <v>4000</v>
      </c>
      <c r="H275" t="s">
        <v>702</v>
      </c>
      <c r="I275" t="s">
        <v>125</v>
      </c>
      <c r="J275" t="s">
        <v>703</v>
      </c>
      <c r="K275">
        <v>216338</v>
      </c>
      <c r="L275">
        <v>249.36</v>
      </c>
      <c r="M275">
        <v>249.36</v>
      </c>
      <c r="N275" t="s">
        <v>3998</v>
      </c>
      <c r="O275" t="s">
        <v>3976</v>
      </c>
      <c r="P275" t="str">
        <f>TRIM(Table13_1[[#This Row],[Genre]])</f>
        <v>Musical</v>
      </c>
    </row>
    <row r="276" spans="1:16" x14ac:dyDescent="0.3">
      <c r="A276" t="s">
        <v>704</v>
      </c>
      <c r="B276" t="s">
        <v>705</v>
      </c>
      <c r="C276">
        <v>2012</v>
      </c>
      <c r="D276">
        <v>2010</v>
      </c>
      <c r="E276" t="s">
        <v>293</v>
      </c>
      <c r="F276">
        <v>126</v>
      </c>
      <c r="G276" t="s">
        <v>3999</v>
      </c>
      <c r="H276" t="s">
        <v>707</v>
      </c>
      <c r="I276" t="s">
        <v>518</v>
      </c>
      <c r="J276" t="s">
        <v>708</v>
      </c>
      <c r="K276">
        <v>3594</v>
      </c>
      <c r="L276">
        <v>337.62</v>
      </c>
      <c r="M276">
        <v>337.62</v>
      </c>
      <c r="N276" t="s">
        <v>3998</v>
      </c>
      <c r="O276" t="s">
        <v>868</v>
      </c>
      <c r="P276" t="str">
        <f>TRIM(Table13_1[[#This Row],[Genre]])</f>
        <v>Western</v>
      </c>
    </row>
    <row r="277" spans="1:16" x14ac:dyDescent="0.3">
      <c r="A277" t="s">
        <v>704</v>
      </c>
      <c r="B277" t="s">
        <v>705</v>
      </c>
      <c r="C277">
        <v>2012</v>
      </c>
      <c r="D277">
        <v>2010</v>
      </c>
      <c r="E277" t="s">
        <v>293</v>
      </c>
      <c r="F277">
        <v>126</v>
      </c>
      <c r="G277" t="s">
        <v>3999</v>
      </c>
      <c r="H277" t="s">
        <v>707</v>
      </c>
      <c r="I277" t="s">
        <v>518</v>
      </c>
      <c r="J277" t="s">
        <v>708</v>
      </c>
      <c r="K277">
        <v>3594</v>
      </c>
      <c r="L277">
        <v>337.62</v>
      </c>
      <c r="M277">
        <v>337.62</v>
      </c>
      <c r="N277" t="s">
        <v>3998</v>
      </c>
      <c r="O277" t="s">
        <v>3980</v>
      </c>
      <c r="P277" t="str">
        <f>TRIM(Table13_1[[#This Row],[Genre]])</f>
        <v>Action</v>
      </c>
    </row>
    <row r="278" spans="1:16" x14ac:dyDescent="0.3">
      <c r="A278" t="s">
        <v>709</v>
      </c>
      <c r="B278" t="s">
        <v>710</v>
      </c>
      <c r="C278">
        <v>2017</v>
      </c>
      <c r="D278">
        <v>2010</v>
      </c>
      <c r="E278" t="s">
        <v>285</v>
      </c>
      <c r="F278">
        <v>85</v>
      </c>
      <c r="G278" t="s">
        <v>4000</v>
      </c>
      <c r="H278" t="s">
        <v>711</v>
      </c>
      <c r="I278" t="s">
        <v>315</v>
      </c>
      <c r="J278" t="s">
        <v>712</v>
      </c>
      <c r="K278">
        <v>4945</v>
      </c>
      <c r="M278">
        <v>0</v>
      </c>
      <c r="N278" t="s">
        <v>4001</v>
      </c>
      <c r="O278" t="s">
        <v>129</v>
      </c>
      <c r="P278" t="str">
        <f>TRIM(Table13_1[[#This Row],[Genre]])</f>
        <v>Horror</v>
      </c>
    </row>
    <row r="279" spans="1:16" x14ac:dyDescent="0.3">
      <c r="A279" t="s">
        <v>713</v>
      </c>
      <c r="B279" t="s">
        <v>714</v>
      </c>
      <c r="C279">
        <v>2000</v>
      </c>
      <c r="D279">
        <v>2000</v>
      </c>
      <c r="E279" t="s">
        <v>54</v>
      </c>
      <c r="F279">
        <v>113</v>
      </c>
      <c r="G279" t="s">
        <v>3997</v>
      </c>
      <c r="H279" t="s">
        <v>634</v>
      </c>
      <c r="I279" t="s">
        <v>608</v>
      </c>
      <c r="J279" t="s">
        <v>715</v>
      </c>
      <c r="K279">
        <v>138210</v>
      </c>
      <c r="M279">
        <v>0</v>
      </c>
      <c r="N279" t="s">
        <v>4001</v>
      </c>
      <c r="O279" t="s">
        <v>129</v>
      </c>
      <c r="P279" t="str">
        <f>TRIM(Table13_1[[#This Row],[Genre]])</f>
        <v>Horror</v>
      </c>
    </row>
    <row r="280" spans="1:16" x14ac:dyDescent="0.3">
      <c r="A280" t="s">
        <v>716</v>
      </c>
      <c r="B280" t="s">
        <v>717</v>
      </c>
      <c r="C280">
        <v>1995</v>
      </c>
      <c r="D280">
        <v>1990</v>
      </c>
      <c r="E280" t="s">
        <v>17</v>
      </c>
      <c r="F280">
        <v>91</v>
      </c>
      <c r="G280" t="s">
        <v>3997</v>
      </c>
      <c r="H280" t="s">
        <v>67</v>
      </c>
      <c r="I280" t="s">
        <v>718</v>
      </c>
      <c r="J280" t="s">
        <v>719</v>
      </c>
      <c r="K280">
        <v>72846</v>
      </c>
      <c r="L280">
        <v>87.53</v>
      </c>
      <c r="M280">
        <v>87.53</v>
      </c>
      <c r="N280" t="s">
        <v>4001</v>
      </c>
      <c r="O280" t="s">
        <v>48</v>
      </c>
      <c r="P280" t="str">
        <f>TRIM(Table13_1[[#This Row],[Genre]])</f>
        <v>Crime</v>
      </c>
    </row>
    <row r="281" spans="1:16" x14ac:dyDescent="0.3">
      <c r="A281" t="s">
        <v>720</v>
      </c>
      <c r="B281" t="s">
        <v>721</v>
      </c>
      <c r="C281">
        <v>1985</v>
      </c>
      <c r="D281">
        <v>1980</v>
      </c>
      <c r="E281" t="s">
        <v>54</v>
      </c>
      <c r="F281">
        <v>110</v>
      </c>
      <c r="G281" t="s">
        <v>3997</v>
      </c>
      <c r="H281" t="s">
        <v>723</v>
      </c>
      <c r="I281" t="s">
        <v>57</v>
      </c>
      <c r="J281" t="s">
        <v>724</v>
      </c>
      <c r="K281">
        <v>128485</v>
      </c>
      <c r="L281">
        <v>289.11</v>
      </c>
      <c r="M281">
        <v>289.11</v>
      </c>
      <c r="N281" t="s">
        <v>3998</v>
      </c>
      <c r="O281" t="s">
        <v>43</v>
      </c>
      <c r="P281" t="str">
        <f>TRIM(Table13_1[[#This Row],[Genre]])</f>
        <v>Mystery</v>
      </c>
    </row>
    <row r="282" spans="1:16" x14ac:dyDescent="0.3">
      <c r="A282" t="s">
        <v>720</v>
      </c>
      <c r="B282" t="s">
        <v>721</v>
      </c>
      <c r="C282">
        <v>1985</v>
      </c>
      <c r="D282">
        <v>1980</v>
      </c>
      <c r="E282" t="s">
        <v>54</v>
      </c>
      <c r="F282">
        <v>110</v>
      </c>
      <c r="G282" t="s">
        <v>3997</v>
      </c>
      <c r="H282" t="s">
        <v>723</v>
      </c>
      <c r="I282" t="s">
        <v>57</v>
      </c>
      <c r="J282" t="s">
        <v>724</v>
      </c>
      <c r="K282">
        <v>128485</v>
      </c>
      <c r="L282">
        <v>289.11</v>
      </c>
      <c r="M282">
        <v>289.11</v>
      </c>
      <c r="N282" t="s">
        <v>3998</v>
      </c>
      <c r="O282" t="s">
        <v>3990</v>
      </c>
      <c r="P282" t="str">
        <f>TRIM(Table13_1[[#This Row],[Genre]])</f>
        <v>Western</v>
      </c>
    </row>
    <row r="283" spans="1:16" x14ac:dyDescent="0.3">
      <c r="A283" t="s">
        <v>720</v>
      </c>
      <c r="B283" t="s">
        <v>721</v>
      </c>
      <c r="C283">
        <v>1985</v>
      </c>
      <c r="D283">
        <v>1980</v>
      </c>
      <c r="E283" t="s">
        <v>54</v>
      </c>
      <c r="F283">
        <v>110</v>
      </c>
      <c r="G283" t="s">
        <v>3997</v>
      </c>
      <c r="H283" t="s">
        <v>723</v>
      </c>
      <c r="I283" t="s">
        <v>57</v>
      </c>
      <c r="J283" t="s">
        <v>724</v>
      </c>
      <c r="K283">
        <v>128485</v>
      </c>
      <c r="L283">
        <v>289.11</v>
      </c>
      <c r="M283">
        <v>289.11</v>
      </c>
      <c r="N283" t="s">
        <v>3998</v>
      </c>
      <c r="O283" t="s">
        <v>3988</v>
      </c>
      <c r="P283" t="str">
        <f>TRIM(Table13_1[[#This Row],[Genre]])</f>
        <v>Drama</v>
      </c>
    </row>
    <row r="284" spans="1:16" x14ac:dyDescent="0.3">
      <c r="A284" t="s">
        <v>725</v>
      </c>
      <c r="B284" t="s">
        <v>726</v>
      </c>
      <c r="C284">
        <v>1998</v>
      </c>
      <c r="D284">
        <v>1990</v>
      </c>
      <c r="E284" t="s">
        <v>293</v>
      </c>
      <c r="F284">
        <v>125</v>
      </c>
      <c r="G284" t="s">
        <v>3999</v>
      </c>
      <c r="H284" t="s">
        <v>728</v>
      </c>
      <c r="I284" t="s">
        <v>593</v>
      </c>
      <c r="J284" t="s">
        <v>729</v>
      </c>
      <c r="K284">
        <v>43818</v>
      </c>
      <c r="L284">
        <v>298.31</v>
      </c>
      <c r="M284">
        <v>298.31</v>
      </c>
      <c r="N284" t="s">
        <v>3998</v>
      </c>
      <c r="O284" t="s">
        <v>210</v>
      </c>
      <c r="P284" t="str">
        <f>TRIM(Table13_1[[#This Row],[Genre]])</f>
        <v>Action</v>
      </c>
    </row>
    <row r="285" spans="1:16" x14ac:dyDescent="0.3">
      <c r="A285" t="s">
        <v>725</v>
      </c>
      <c r="B285" t="s">
        <v>726</v>
      </c>
      <c r="C285">
        <v>1998</v>
      </c>
      <c r="D285">
        <v>1990</v>
      </c>
      <c r="E285" t="s">
        <v>293</v>
      </c>
      <c r="F285">
        <v>125</v>
      </c>
      <c r="G285" t="s">
        <v>3999</v>
      </c>
      <c r="H285" t="s">
        <v>728</v>
      </c>
      <c r="I285" t="s">
        <v>593</v>
      </c>
      <c r="J285" t="s">
        <v>729</v>
      </c>
      <c r="K285">
        <v>43818</v>
      </c>
      <c r="L285">
        <v>298.31</v>
      </c>
      <c r="M285">
        <v>298.31</v>
      </c>
      <c r="N285" t="s">
        <v>3998</v>
      </c>
      <c r="O285" t="s">
        <v>3984</v>
      </c>
      <c r="P285" t="str">
        <f>TRIM(Table13_1[[#This Row],[Genre]])</f>
        <v>Adventure</v>
      </c>
    </row>
    <row r="286" spans="1:16" x14ac:dyDescent="0.3">
      <c r="A286" t="s">
        <v>725</v>
      </c>
      <c r="B286" t="s">
        <v>726</v>
      </c>
      <c r="C286">
        <v>1998</v>
      </c>
      <c r="D286">
        <v>1990</v>
      </c>
      <c r="E286" t="s">
        <v>293</v>
      </c>
      <c r="F286">
        <v>125</v>
      </c>
      <c r="G286" t="s">
        <v>3999</v>
      </c>
      <c r="H286" t="s">
        <v>728</v>
      </c>
      <c r="I286" t="s">
        <v>593</v>
      </c>
      <c r="J286" t="s">
        <v>729</v>
      </c>
      <c r="K286">
        <v>43818</v>
      </c>
      <c r="L286">
        <v>298.31</v>
      </c>
      <c r="M286">
        <v>298.31</v>
      </c>
      <c r="N286" t="s">
        <v>3998</v>
      </c>
      <c r="O286" t="s">
        <v>3978</v>
      </c>
      <c r="P286" t="str">
        <f>TRIM(Table13_1[[#This Row],[Genre]])</f>
        <v>Mystery</v>
      </c>
    </row>
    <row r="287" spans="1:16" x14ac:dyDescent="0.3">
      <c r="A287" t="s">
        <v>730</v>
      </c>
      <c r="B287" t="s">
        <v>731</v>
      </c>
      <c r="C287">
        <v>1991</v>
      </c>
      <c r="D287">
        <v>1990</v>
      </c>
      <c r="E287" t="s">
        <v>293</v>
      </c>
      <c r="F287">
        <v>123</v>
      </c>
      <c r="G287" t="s">
        <v>3999</v>
      </c>
      <c r="H287" t="s">
        <v>38</v>
      </c>
      <c r="I287" t="s">
        <v>547</v>
      </c>
      <c r="J287" t="s">
        <v>732</v>
      </c>
      <c r="K287">
        <v>66483</v>
      </c>
      <c r="M287">
        <v>0</v>
      </c>
      <c r="N287" t="s">
        <v>4001</v>
      </c>
      <c r="O287" t="s">
        <v>37</v>
      </c>
      <c r="P287" t="str">
        <f>TRIM(Table13_1[[#This Row],[Genre]])</f>
        <v>Biography</v>
      </c>
    </row>
    <row r="288" spans="1:16" x14ac:dyDescent="0.3">
      <c r="A288" t="s">
        <v>733</v>
      </c>
      <c r="B288" t="s">
        <v>734</v>
      </c>
      <c r="C288">
        <v>2013</v>
      </c>
      <c r="D288">
        <v>2010</v>
      </c>
      <c r="E288" t="s">
        <v>24</v>
      </c>
      <c r="F288">
        <v>123</v>
      </c>
      <c r="G288" t="s">
        <v>3999</v>
      </c>
      <c r="H288" t="s">
        <v>158</v>
      </c>
      <c r="I288" t="s">
        <v>547</v>
      </c>
      <c r="J288" t="s">
        <v>735</v>
      </c>
      <c r="K288">
        <v>13229</v>
      </c>
      <c r="L288">
        <v>974.82</v>
      </c>
      <c r="M288">
        <v>974.82</v>
      </c>
      <c r="N288" t="s">
        <v>3998</v>
      </c>
      <c r="O288" t="s">
        <v>157</v>
      </c>
      <c r="P288" t="str">
        <f>TRIM(Table13_1[[#This Row],[Genre]])</f>
        <v>Animation</v>
      </c>
    </row>
    <row r="289" spans="1:16" x14ac:dyDescent="0.3">
      <c r="A289" t="s">
        <v>736</v>
      </c>
      <c r="B289" t="s">
        <v>737</v>
      </c>
      <c r="C289">
        <v>2013</v>
      </c>
      <c r="D289">
        <v>2010</v>
      </c>
      <c r="E289" t="s">
        <v>17</v>
      </c>
      <c r="F289">
        <v>114</v>
      </c>
      <c r="G289" t="s">
        <v>3997</v>
      </c>
      <c r="H289" t="s">
        <v>231</v>
      </c>
      <c r="I289" t="s">
        <v>165</v>
      </c>
      <c r="J289" t="s">
        <v>739</v>
      </c>
      <c r="K289">
        <v>47806</v>
      </c>
      <c r="M289">
        <v>0</v>
      </c>
      <c r="N289" t="s">
        <v>4001</v>
      </c>
      <c r="O289" t="s">
        <v>230</v>
      </c>
      <c r="P289" t="str">
        <f>TRIM(Table13_1[[#This Row],[Genre]])</f>
        <v>Documentary</v>
      </c>
    </row>
    <row r="290" spans="1:16" x14ac:dyDescent="0.3">
      <c r="A290" t="s">
        <v>736</v>
      </c>
      <c r="B290" t="s">
        <v>737</v>
      </c>
      <c r="C290">
        <v>2013</v>
      </c>
      <c r="D290">
        <v>2010</v>
      </c>
      <c r="E290" t="s">
        <v>17</v>
      </c>
      <c r="F290">
        <v>114</v>
      </c>
      <c r="G290" t="s">
        <v>3997</v>
      </c>
      <c r="H290" t="s">
        <v>231</v>
      </c>
      <c r="I290" t="s">
        <v>165</v>
      </c>
      <c r="J290" t="s">
        <v>739</v>
      </c>
      <c r="K290">
        <v>47806</v>
      </c>
      <c r="M290">
        <v>0</v>
      </c>
      <c r="N290" t="s">
        <v>4001</v>
      </c>
      <c r="O290" t="s">
        <v>3992</v>
      </c>
      <c r="P290" t="str">
        <f>TRIM(Table13_1[[#This Row],[Genre]])</f>
        <v>Biography</v>
      </c>
    </row>
    <row r="291" spans="1:16" x14ac:dyDescent="0.3">
      <c r="A291" t="s">
        <v>736</v>
      </c>
      <c r="B291" t="s">
        <v>737</v>
      </c>
      <c r="C291">
        <v>2013</v>
      </c>
      <c r="D291">
        <v>2010</v>
      </c>
      <c r="E291" t="s">
        <v>17</v>
      </c>
      <c r="F291">
        <v>114</v>
      </c>
      <c r="G291" t="s">
        <v>3997</v>
      </c>
      <c r="H291" t="s">
        <v>231</v>
      </c>
      <c r="I291" t="s">
        <v>165</v>
      </c>
      <c r="J291" t="s">
        <v>739</v>
      </c>
      <c r="K291">
        <v>47806</v>
      </c>
      <c r="M291">
        <v>0</v>
      </c>
      <c r="N291" t="s">
        <v>4001</v>
      </c>
      <c r="O291" t="s">
        <v>3988</v>
      </c>
      <c r="P291" t="str">
        <f>TRIM(Table13_1[[#This Row],[Genre]])</f>
        <v>Drama</v>
      </c>
    </row>
    <row r="292" spans="1:16" x14ac:dyDescent="0.3">
      <c r="A292" t="s">
        <v>740</v>
      </c>
      <c r="B292" t="s">
        <v>741</v>
      </c>
      <c r="C292">
        <v>2011</v>
      </c>
      <c r="D292">
        <v>2010</v>
      </c>
      <c r="E292" t="s">
        <v>24</v>
      </c>
      <c r="F292">
        <v>111</v>
      </c>
      <c r="G292" t="s">
        <v>3997</v>
      </c>
      <c r="H292" t="s">
        <v>743</v>
      </c>
      <c r="I292" t="s">
        <v>63</v>
      </c>
      <c r="J292" t="s">
        <v>744</v>
      </c>
      <c r="K292">
        <v>66289</v>
      </c>
      <c r="M292">
        <v>0</v>
      </c>
      <c r="N292" t="s">
        <v>4001</v>
      </c>
      <c r="O292" t="s">
        <v>48</v>
      </c>
      <c r="P292" t="str">
        <f>TRIM(Table13_1[[#This Row],[Genre]])</f>
        <v>Crime</v>
      </c>
    </row>
    <row r="293" spans="1:16" x14ac:dyDescent="0.3">
      <c r="A293" t="s">
        <v>740</v>
      </c>
      <c r="B293" t="s">
        <v>741</v>
      </c>
      <c r="C293">
        <v>2011</v>
      </c>
      <c r="D293">
        <v>2010</v>
      </c>
      <c r="E293" t="s">
        <v>24</v>
      </c>
      <c r="F293">
        <v>111</v>
      </c>
      <c r="G293" t="s">
        <v>3997</v>
      </c>
      <c r="H293" t="s">
        <v>743</v>
      </c>
      <c r="I293" t="s">
        <v>63</v>
      </c>
      <c r="J293" t="s">
        <v>744</v>
      </c>
      <c r="K293">
        <v>66289</v>
      </c>
      <c r="M293">
        <v>0</v>
      </c>
      <c r="N293" t="s">
        <v>4001</v>
      </c>
      <c r="O293" t="s">
        <v>3980</v>
      </c>
      <c r="P293" t="str">
        <f>TRIM(Table13_1[[#This Row],[Genre]])</f>
        <v>Action</v>
      </c>
    </row>
    <row r="294" spans="1:16" x14ac:dyDescent="0.3">
      <c r="A294" t="s">
        <v>740</v>
      </c>
      <c r="B294" t="s">
        <v>741</v>
      </c>
      <c r="C294">
        <v>2011</v>
      </c>
      <c r="D294">
        <v>2010</v>
      </c>
      <c r="E294" t="s">
        <v>24</v>
      </c>
      <c r="F294">
        <v>111</v>
      </c>
      <c r="G294" t="s">
        <v>3997</v>
      </c>
      <c r="H294" t="s">
        <v>743</v>
      </c>
      <c r="I294" t="s">
        <v>63</v>
      </c>
      <c r="J294" t="s">
        <v>744</v>
      </c>
      <c r="K294">
        <v>66289</v>
      </c>
      <c r="M294">
        <v>0</v>
      </c>
      <c r="N294" t="s">
        <v>4001</v>
      </c>
      <c r="O294" t="s">
        <v>3982</v>
      </c>
      <c r="P294" t="str">
        <f>TRIM(Table13_1[[#This Row],[Genre]])</f>
        <v>Family</v>
      </c>
    </row>
    <row r="295" spans="1:16" x14ac:dyDescent="0.3">
      <c r="A295" t="s">
        <v>745</v>
      </c>
      <c r="B295" t="s">
        <v>746</v>
      </c>
      <c r="C295">
        <v>2007</v>
      </c>
      <c r="D295">
        <v>2000</v>
      </c>
      <c r="E295" t="s">
        <v>24</v>
      </c>
      <c r="F295">
        <v>142</v>
      </c>
      <c r="G295" t="s">
        <v>3999</v>
      </c>
      <c r="H295" t="s">
        <v>748</v>
      </c>
      <c r="I295" t="s">
        <v>236</v>
      </c>
      <c r="J295" t="s">
        <v>749</v>
      </c>
      <c r="K295">
        <v>50156</v>
      </c>
      <c r="L295">
        <v>402.57</v>
      </c>
      <c r="M295">
        <v>402.57</v>
      </c>
      <c r="N295" t="s">
        <v>3998</v>
      </c>
      <c r="O295" t="s">
        <v>157</v>
      </c>
      <c r="P295" t="str">
        <f>TRIM(Table13_1[[#This Row],[Genre]])</f>
        <v>Animation</v>
      </c>
    </row>
    <row r="296" spans="1:16" x14ac:dyDescent="0.3">
      <c r="A296" t="s">
        <v>745</v>
      </c>
      <c r="B296" t="s">
        <v>746</v>
      </c>
      <c r="C296">
        <v>2007</v>
      </c>
      <c r="D296">
        <v>2000</v>
      </c>
      <c r="E296" t="s">
        <v>24</v>
      </c>
      <c r="F296">
        <v>142</v>
      </c>
      <c r="G296" t="s">
        <v>3999</v>
      </c>
      <c r="H296" t="s">
        <v>748</v>
      </c>
      <c r="I296" t="s">
        <v>236</v>
      </c>
      <c r="J296" t="s">
        <v>749</v>
      </c>
      <c r="K296">
        <v>50156</v>
      </c>
      <c r="L296">
        <v>402.57</v>
      </c>
      <c r="M296">
        <v>402.57</v>
      </c>
      <c r="N296" t="s">
        <v>3998</v>
      </c>
      <c r="O296" t="s">
        <v>3985</v>
      </c>
      <c r="P296" t="str">
        <f>TRIM(Table13_1[[#This Row],[Genre]])</f>
        <v>Horror</v>
      </c>
    </row>
    <row r="297" spans="1:16" x14ac:dyDescent="0.3">
      <c r="A297" t="s">
        <v>750</v>
      </c>
      <c r="B297" t="s">
        <v>751</v>
      </c>
      <c r="C297">
        <v>1991</v>
      </c>
      <c r="D297">
        <v>1990</v>
      </c>
      <c r="E297" t="s">
        <v>54</v>
      </c>
      <c r="F297">
        <v>85</v>
      </c>
      <c r="G297" t="s">
        <v>4000</v>
      </c>
      <c r="H297" t="s">
        <v>753</v>
      </c>
      <c r="I297" t="s">
        <v>191</v>
      </c>
      <c r="J297" t="s">
        <v>754</v>
      </c>
      <c r="K297">
        <v>50422</v>
      </c>
      <c r="L297">
        <v>259.45999999999998</v>
      </c>
      <c r="M297">
        <v>259.45999999999998</v>
      </c>
      <c r="N297" t="s">
        <v>3998</v>
      </c>
      <c r="O297" t="s">
        <v>606</v>
      </c>
      <c r="P297" t="str">
        <f>TRIM(Table13_1[[#This Row],[Genre]])</f>
        <v>Sci-Fi</v>
      </c>
    </row>
    <row r="298" spans="1:16" x14ac:dyDescent="0.3">
      <c r="A298" t="s">
        <v>750</v>
      </c>
      <c r="B298" t="s">
        <v>751</v>
      </c>
      <c r="C298">
        <v>1991</v>
      </c>
      <c r="D298">
        <v>1990</v>
      </c>
      <c r="E298" t="s">
        <v>54</v>
      </c>
      <c r="F298">
        <v>85</v>
      </c>
      <c r="G298" t="s">
        <v>4000</v>
      </c>
      <c r="H298" t="s">
        <v>753</v>
      </c>
      <c r="I298" t="s">
        <v>191</v>
      </c>
      <c r="J298" t="s">
        <v>754</v>
      </c>
      <c r="K298">
        <v>50422</v>
      </c>
      <c r="L298">
        <v>259.45999999999998</v>
      </c>
      <c r="M298">
        <v>259.45999999999998</v>
      </c>
      <c r="N298" t="s">
        <v>3998</v>
      </c>
      <c r="O298" t="s">
        <v>3976</v>
      </c>
      <c r="P298" t="str">
        <f>TRIM(Table13_1[[#This Row],[Genre]])</f>
        <v>Musical</v>
      </c>
    </row>
    <row r="299" spans="1:16" x14ac:dyDescent="0.3">
      <c r="A299" t="s">
        <v>750</v>
      </c>
      <c r="B299" t="s">
        <v>751</v>
      </c>
      <c r="C299">
        <v>1991</v>
      </c>
      <c r="D299">
        <v>1990</v>
      </c>
      <c r="E299" t="s">
        <v>54</v>
      </c>
      <c r="F299">
        <v>85</v>
      </c>
      <c r="G299" t="s">
        <v>4000</v>
      </c>
      <c r="H299" t="s">
        <v>753</v>
      </c>
      <c r="I299" t="s">
        <v>191</v>
      </c>
      <c r="J299" t="s">
        <v>754</v>
      </c>
      <c r="K299">
        <v>50422</v>
      </c>
      <c r="L299">
        <v>259.45999999999998</v>
      </c>
      <c r="M299">
        <v>259.45999999999998</v>
      </c>
      <c r="N299" t="s">
        <v>3998</v>
      </c>
      <c r="O299" t="s">
        <v>3986</v>
      </c>
      <c r="P299" t="str">
        <f>TRIM(Table13_1[[#This Row],[Genre]])</f>
        <v>Documentary</v>
      </c>
    </row>
    <row r="300" spans="1:16" x14ac:dyDescent="0.3">
      <c r="A300" t="s">
        <v>755</v>
      </c>
      <c r="B300" t="s">
        <v>756</v>
      </c>
      <c r="C300">
        <v>2000</v>
      </c>
      <c r="D300">
        <v>2000</v>
      </c>
      <c r="E300" t="s">
        <v>24</v>
      </c>
      <c r="F300">
        <v>152</v>
      </c>
      <c r="G300" t="s">
        <v>3999</v>
      </c>
      <c r="H300" t="s">
        <v>758</v>
      </c>
      <c r="I300" t="s">
        <v>74</v>
      </c>
      <c r="J300" t="s">
        <v>759</v>
      </c>
      <c r="K300">
        <v>700778</v>
      </c>
      <c r="L300">
        <v>45.63</v>
      </c>
      <c r="M300">
        <v>45.63</v>
      </c>
      <c r="N300" t="s">
        <v>4001</v>
      </c>
      <c r="O300" t="s">
        <v>230</v>
      </c>
      <c r="P300" t="str">
        <f>TRIM(Table13_1[[#This Row],[Genre]])</f>
        <v>Documentary</v>
      </c>
    </row>
    <row r="301" spans="1:16" x14ac:dyDescent="0.3">
      <c r="A301" t="s">
        <v>755</v>
      </c>
      <c r="B301" t="s">
        <v>756</v>
      </c>
      <c r="C301">
        <v>2000</v>
      </c>
      <c r="D301">
        <v>2000</v>
      </c>
      <c r="E301" t="s">
        <v>24</v>
      </c>
      <c r="F301">
        <v>152</v>
      </c>
      <c r="G301" t="s">
        <v>3999</v>
      </c>
      <c r="H301" t="s">
        <v>758</v>
      </c>
      <c r="I301" t="s">
        <v>74</v>
      </c>
      <c r="J301" t="s">
        <v>759</v>
      </c>
      <c r="K301">
        <v>700778</v>
      </c>
      <c r="L301">
        <v>45.63</v>
      </c>
      <c r="M301">
        <v>45.63</v>
      </c>
      <c r="N301" t="s">
        <v>4001</v>
      </c>
      <c r="O301" t="s">
        <v>3989</v>
      </c>
      <c r="P301" t="str">
        <f>TRIM(Table13_1[[#This Row],[Genre]])</f>
        <v>Sci-Fi</v>
      </c>
    </row>
    <row r="302" spans="1:16" x14ac:dyDescent="0.3">
      <c r="A302" t="s">
        <v>755</v>
      </c>
      <c r="B302" t="s">
        <v>756</v>
      </c>
      <c r="C302">
        <v>2000</v>
      </c>
      <c r="D302">
        <v>2000</v>
      </c>
      <c r="E302" t="s">
        <v>24</v>
      </c>
      <c r="F302">
        <v>152</v>
      </c>
      <c r="G302" t="s">
        <v>3999</v>
      </c>
      <c r="H302" t="s">
        <v>758</v>
      </c>
      <c r="I302" t="s">
        <v>74</v>
      </c>
      <c r="J302" t="s">
        <v>759</v>
      </c>
      <c r="K302">
        <v>700778</v>
      </c>
      <c r="L302">
        <v>45.63</v>
      </c>
      <c r="M302">
        <v>45.63</v>
      </c>
      <c r="N302" t="s">
        <v>4001</v>
      </c>
      <c r="O302" t="s">
        <v>3993</v>
      </c>
      <c r="P302" t="str">
        <f>TRIM(Table13_1[[#This Row],[Genre]])</f>
        <v>Comedy</v>
      </c>
    </row>
    <row r="303" spans="1:16" x14ac:dyDescent="0.3">
      <c r="A303" t="s">
        <v>760</v>
      </c>
      <c r="B303" t="s">
        <v>761</v>
      </c>
      <c r="C303">
        <v>2008</v>
      </c>
      <c r="D303">
        <v>2000</v>
      </c>
      <c r="E303" t="s">
        <v>24</v>
      </c>
      <c r="F303">
        <v>132</v>
      </c>
      <c r="G303" t="s">
        <v>3999</v>
      </c>
      <c r="H303" t="s">
        <v>763</v>
      </c>
      <c r="I303" t="s">
        <v>57</v>
      </c>
      <c r="J303" t="s">
        <v>764</v>
      </c>
      <c r="K303">
        <v>80400</v>
      </c>
      <c r="M303">
        <v>0</v>
      </c>
      <c r="N303" t="s">
        <v>4001</v>
      </c>
      <c r="O303" t="s">
        <v>78</v>
      </c>
      <c r="P303" t="str">
        <f>TRIM(Table13_1[[#This Row],[Genre]])</f>
        <v>Adventure</v>
      </c>
    </row>
    <row r="304" spans="1:16" x14ac:dyDescent="0.3">
      <c r="A304" t="s">
        <v>760</v>
      </c>
      <c r="B304" t="s">
        <v>761</v>
      </c>
      <c r="C304">
        <v>2008</v>
      </c>
      <c r="D304">
        <v>2000</v>
      </c>
      <c r="E304" t="s">
        <v>24</v>
      </c>
      <c r="F304">
        <v>132</v>
      </c>
      <c r="G304" t="s">
        <v>3999</v>
      </c>
      <c r="H304" t="s">
        <v>763</v>
      </c>
      <c r="I304" t="s">
        <v>57</v>
      </c>
      <c r="J304" t="s">
        <v>764</v>
      </c>
      <c r="K304">
        <v>80400</v>
      </c>
      <c r="M304">
        <v>0</v>
      </c>
      <c r="N304" t="s">
        <v>4001</v>
      </c>
      <c r="O304" t="s">
        <v>3986</v>
      </c>
      <c r="P304" t="str">
        <f>TRIM(Table13_1[[#This Row],[Genre]])</f>
        <v>Documentary</v>
      </c>
    </row>
    <row r="305" spans="1:16" x14ac:dyDescent="0.3">
      <c r="A305" t="s">
        <v>765</v>
      </c>
      <c r="B305" t="s">
        <v>766</v>
      </c>
      <c r="C305">
        <v>1970</v>
      </c>
      <c r="D305">
        <v>1970</v>
      </c>
      <c r="E305" t="s">
        <v>17</v>
      </c>
      <c r="F305">
        <v>105</v>
      </c>
      <c r="G305" t="s">
        <v>3997</v>
      </c>
      <c r="H305" t="s">
        <v>768</v>
      </c>
      <c r="I305" t="s">
        <v>33</v>
      </c>
      <c r="J305" t="s">
        <v>769</v>
      </c>
      <c r="K305">
        <v>175405</v>
      </c>
      <c r="L305">
        <v>78.17</v>
      </c>
      <c r="M305">
        <v>78.17</v>
      </c>
      <c r="N305" t="s">
        <v>4001</v>
      </c>
      <c r="O305" t="s">
        <v>767</v>
      </c>
      <c r="P305" t="str">
        <f>TRIM(Table13_1[[#This Row],[Genre]])</f>
        <v>Fantasy</v>
      </c>
    </row>
    <row r="306" spans="1:16" x14ac:dyDescent="0.3">
      <c r="A306" t="s">
        <v>770</v>
      </c>
      <c r="B306" t="s">
        <v>771</v>
      </c>
      <c r="C306">
        <v>1949</v>
      </c>
      <c r="D306">
        <v>1940</v>
      </c>
      <c r="E306" t="s">
        <v>24</v>
      </c>
      <c r="F306">
        <v>127</v>
      </c>
      <c r="G306" t="s">
        <v>3999</v>
      </c>
      <c r="H306" t="s">
        <v>38</v>
      </c>
      <c r="I306" t="s">
        <v>483</v>
      </c>
      <c r="J306" t="s">
        <v>773</v>
      </c>
      <c r="K306">
        <v>23193</v>
      </c>
      <c r="L306">
        <v>89.85</v>
      </c>
      <c r="M306">
        <v>89.85</v>
      </c>
      <c r="N306" t="s">
        <v>4001</v>
      </c>
      <c r="O306" t="s">
        <v>37</v>
      </c>
      <c r="P306" t="str">
        <f>TRIM(Table13_1[[#This Row],[Genre]])</f>
        <v>Biography</v>
      </c>
    </row>
    <row r="307" spans="1:16" x14ac:dyDescent="0.3">
      <c r="A307" t="s">
        <v>770</v>
      </c>
      <c r="B307" t="s">
        <v>771</v>
      </c>
      <c r="C307">
        <v>1949</v>
      </c>
      <c r="D307">
        <v>1940</v>
      </c>
      <c r="E307" t="s">
        <v>24</v>
      </c>
      <c r="F307">
        <v>127</v>
      </c>
      <c r="G307" t="s">
        <v>3999</v>
      </c>
      <c r="H307" t="s">
        <v>38</v>
      </c>
      <c r="I307" t="s">
        <v>483</v>
      </c>
      <c r="J307" t="s">
        <v>773</v>
      </c>
      <c r="K307">
        <v>23193</v>
      </c>
      <c r="L307">
        <v>89.85</v>
      </c>
      <c r="M307">
        <v>89.85</v>
      </c>
      <c r="N307" t="s">
        <v>4001</v>
      </c>
      <c r="O307" t="s">
        <v>3990</v>
      </c>
      <c r="P307" t="str">
        <f>TRIM(Table13_1[[#This Row],[Genre]])</f>
        <v>Western</v>
      </c>
    </row>
    <row r="308" spans="1:16" x14ac:dyDescent="0.3">
      <c r="A308" t="s">
        <v>774</v>
      </c>
      <c r="B308" t="s">
        <v>775</v>
      </c>
      <c r="C308">
        <v>2016</v>
      </c>
      <c r="D308">
        <v>2010</v>
      </c>
      <c r="E308" t="s">
        <v>24</v>
      </c>
      <c r="F308">
        <v>130</v>
      </c>
      <c r="G308" t="s">
        <v>3999</v>
      </c>
      <c r="H308" t="s">
        <v>777</v>
      </c>
      <c r="I308" t="s">
        <v>608</v>
      </c>
      <c r="J308" t="s">
        <v>778</v>
      </c>
      <c r="K308">
        <v>23018</v>
      </c>
      <c r="L308">
        <v>823.99</v>
      </c>
      <c r="M308">
        <v>823.99</v>
      </c>
      <c r="N308" t="s">
        <v>3998</v>
      </c>
      <c r="O308" t="s">
        <v>235</v>
      </c>
      <c r="P308" t="str">
        <f>TRIM(Table13_1[[#This Row],[Genre]])</f>
        <v>Drama</v>
      </c>
    </row>
    <row r="309" spans="1:16" x14ac:dyDescent="0.3">
      <c r="A309" t="s">
        <v>774</v>
      </c>
      <c r="B309" t="s">
        <v>775</v>
      </c>
      <c r="C309">
        <v>2016</v>
      </c>
      <c r="D309">
        <v>2010</v>
      </c>
      <c r="E309" t="s">
        <v>24</v>
      </c>
      <c r="F309">
        <v>130</v>
      </c>
      <c r="G309" t="s">
        <v>3999</v>
      </c>
      <c r="H309" t="s">
        <v>777</v>
      </c>
      <c r="I309" t="s">
        <v>608</v>
      </c>
      <c r="J309" t="s">
        <v>778</v>
      </c>
      <c r="K309">
        <v>23018</v>
      </c>
      <c r="L309">
        <v>823.99</v>
      </c>
      <c r="M309">
        <v>823.99</v>
      </c>
      <c r="N309" t="s">
        <v>3998</v>
      </c>
      <c r="O309" t="s">
        <v>3987</v>
      </c>
      <c r="P309" t="str">
        <f>TRIM(Table13_1[[#This Row],[Genre]])</f>
        <v>Fantasy</v>
      </c>
    </row>
    <row r="310" spans="1:16" x14ac:dyDescent="0.3">
      <c r="A310" t="s">
        <v>779</v>
      </c>
      <c r="B310" t="s">
        <v>780</v>
      </c>
      <c r="C310">
        <v>2003</v>
      </c>
      <c r="D310">
        <v>2000</v>
      </c>
      <c r="E310" t="s">
        <v>54</v>
      </c>
      <c r="F310">
        <v>124</v>
      </c>
      <c r="G310" t="s">
        <v>3999</v>
      </c>
      <c r="H310" t="s">
        <v>231</v>
      </c>
      <c r="I310" t="s">
        <v>92</v>
      </c>
      <c r="J310" t="s">
        <v>781</v>
      </c>
      <c r="K310">
        <v>27728</v>
      </c>
      <c r="M310">
        <v>0</v>
      </c>
      <c r="N310" t="s">
        <v>4001</v>
      </c>
      <c r="O310" t="s">
        <v>230</v>
      </c>
      <c r="P310" t="str">
        <f>TRIM(Table13_1[[#This Row],[Genre]])</f>
        <v>Documentary</v>
      </c>
    </row>
    <row r="311" spans="1:16" x14ac:dyDescent="0.3">
      <c r="A311" t="s">
        <v>782</v>
      </c>
      <c r="B311" t="s">
        <v>783</v>
      </c>
      <c r="C311">
        <v>1960</v>
      </c>
      <c r="D311">
        <v>1960</v>
      </c>
      <c r="E311" t="s">
        <v>17</v>
      </c>
      <c r="F311">
        <v>150</v>
      </c>
      <c r="G311" t="s">
        <v>3999</v>
      </c>
      <c r="H311" t="s">
        <v>785</v>
      </c>
      <c r="I311" t="s">
        <v>50</v>
      </c>
      <c r="J311" t="s">
        <v>786</v>
      </c>
      <c r="K311">
        <v>22160</v>
      </c>
      <c r="L311">
        <v>210.01</v>
      </c>
      <c r="M311">
        <v>210.01</v>
      </c>
      <c r="N311" t="s">
        <v>3998</v>
      </c>
      <c r="O311" t="s">
        <v>767</v>
      </c>
      <c r="P311" t="str">
        <f>TRIM(Table13_1[[#This Row],[Genre]])</f>
        <v>Fantasy</v>
      </c>
    </row>
    <row r="312" spans="1:16" x14ac:dyDescent="0.3">
      <c r="A312" t="s">
        <v>782</v>
      </c>
      <c r="B312" t="s">
        <v>783</v>
      </c>
      <c r="C312">
        <v>1960</v>
      </c>
      <c r="D312">
        <v>1960</v>
      </c>
      <c r="E312" t="s">
        <v>17</v>
      </c>
      <c r="F312">
        <v>150</v>
      </c>
      <c r="G312" t="s">
        <v>3999</v>
      </c>
      <c r="H312" t="s">
        <v>785</v>
      </c>
      <c r="I312" t="s">
        <v>50</v>
      </c>
      <c r="J312" t="s">
        <v>786</v>
      </c>
      <c r="K312">
        <v>22160</v>
      </c>
      <c r="L312">
        <v>210.01</v>
      </c>
      <c r="M312">
        <v>210.01</v>
      </c>
      <c r="N312" t="s">
        <v>3998</v>
      </c>
      <c r="O312" t="s">
        <v>3978</v>
      </c>
      <c r="P312" t="str">
        <f>TRIM(Table13_1[[#This Row],[Genre]])</f>
        <v>Mystery</v>
      </c>
    </row>
    <row r="313" spans="1:16" x14ac:dyDescent="0.3">
      <c r="A313" t="s">
        <v>787</v>
      </c>
      <c r="B313" t="s">
        <v>788</v>
      </c>
      <c r="C313">
        <v>2008</v>
      </c>
      <c r="D313">
        <v>2000</v>
      </c>
      <c r="E313" t="s">
        <v>54</v>
      </c>
      <c r="F313">
        <v>118</v>
      </c>
      <c r="G313" t="s">
        <v>3997</v>
      </c>
      <c r="H313" t="s">
        <v>422</v>
      </c>
      <c r="I313" t="s">
        <v>221</v>
      </c>
      <c r="J313" t="s">
        <v>790</v>
      </c>
      <c r="K313">
        <v>30153</v>
      </c>
      <c r="L313">
        <v>133.74</v>
      </c>
      <c r="M313">
        <v>133.74</v>
      </c>
      <c r="N313" t="s">
        <v>4002</v>
      </c>
      <c r="O313" t="s">
        <v>375</v>
      </c>
      <c r="P313" t="str">
        <f>TRIM(Table13_1[[#This Row],[Genre]])</f>
        <v>Family</v>
      </c>
    </row>
    <row r="314" spans="1:16" x14ac:dyDescent="0.3">
      <c r="A314" t="s">
        <v>787</v>
      </c>
      <c r="B314" t="s">
        <v>788</v>
      </c>
      <c r="C314">
        <v>2008</v>
      </c>
      <c r="D314">
        <v>2000</v>
      </c>
      <c r="E314" t="s">
        <v>54</v>
      </c>
      <c r="F314">
        <v>118</v>
      </c>
      <c r="G314" t="s">
        <v>3997</v>
      </c>
      <c r="H314" t="s">
        <v>422</v>
      </c>
      <c r="I314" t="s">
        <v>221</v>
      </c>
      <c r="J314" t="s">
        <v>790</v>
      </c>
      <c r="K314">
        <v>30153</v>
      </c>
      <c r="L314">
        <v>133.74</v>
      </c>
      <c r="M314">
        <v>133.74</v>
      </c>
      <c r="N314" t="s">
        <v>4002</v>
      </c>
      <c r="O314" t="s">
        <v>3977</v>
      </c>
      <c r="P314" t="str">
        <f>TRIM(Table13_1[[#This Row],[Genre]])</f>
        <v>Animation</v>
      </c>
    </row>
    <row r="315" spans="1:16" x14ac:dyDescent="0.3">
      <c r="A315" t="s">
        <v>787</v>
      </c>
      <c r="B315" t="s">
        <v>788</v>
      </c>
      <c r="C315">
        <v>2008</v>
      </c>
      <c r="D315">
        <v>2000</v>
      </c>
      <c r="E315" t="s">
        <v>54</v>
      </c>
      <c r="F315">
        <v>118</v>
      </c>
      <c r="G315" t="s">
        <v>3997</v>
      </c>
      <c r="H315" t="s">
        <v>422</v>
      </c>
      <c r="I315" t="s">
        <v>221</v>
      </c>
      <c r="J315" t="s">
        <v>790</v>
      </c>
      <c r="K315">
        <v>30153</v>
      </c>
      <c r="L315">
        <v>133.74</v>
      </c>
      <c r="M315">
        <v>133.74</v>
      </c>
      <c r="N315" t="s">
        <v>4002</v>
      </c>
      <c r="O315" t="s">
        <v>3988</v>
      </c>
      <c r="P315" t="str">
        <f>TRIM(Table13_1[[#This Row],[Genre]])</f>
        <v>Drama</v>
      </c>
    </row>
    <row r="316" spans="1:16" x14ac:dyDescent="0.3">
      <c r="A316" t="s">
        <v>791</v>
      </c>
      <c r="B316" t="s">
        <v>792</v>
      </c>
      <c r="C316">
        <v>1989</v>
      </c>
      <c r="D316">
        <v>1980</v>
      </c>
      <c r="E316" t="s">
        <v>54</v>
      </c>
      <c r="F316">
        <v>143</v>
      </c>
      <c r="G316" t="s">
        <v>3999</v>
      </c>
      <c r="H316" t="s">
        <v>220</v>
      </c>
      <c r="I316" t="s">
        <v>153</v>
      </c>
      <c r="J316" t="s">
        <v>794</v>
      </c>
      <c r="K316">
        <v>152395</v>
      </c>
      <c r="M316">
        <v>0</v>
      </c>
      <c r="N316" t="s">
        <v>4001</v>
      </c>
      <c r="O316" t="s">
        <v>606</v>
      </c>
      <c r="P316" t="str">
        <f>TRIM(Table13_1[[#This Row],[Genre]])</f>
        <v>Sci-Fi</v>
      </c>
    </row>
    <row r="317" spans="1:16" x14ac:dyDescent="0.3">
      <c r="A317" t="s">
        <v>791</v>
      </c>
      <c r="B317" t="s">
        <v>792</v>
      </c>
      <c r="C317">
        <v>1989</v>
      </c>
      <c r="D317">
        <v>1980</v>
      </c>
      <c r="E317" t="s">
        <v>54</v>
      </c>
      <c r="F317">
        <v>143</v>
      </c>
      <c r="G317" t="s">
        <v>3999</v>
      </c>
      <c r="H317" t="s">
        <v>220</v>
      </c>
      <c r="I317" t="s">
        <v>153</v>
      </c>
      <c r="J317" t="s">
        <v>794</v>
      </c>
      <c r="K317">
        <v>152395</v>
      </c>
      <c r="M317">
        <v>0</v>
      </c>
      <c r="N317" t="s">
        <v>4001</v>
      </c>
      <c r="O317" t="s">
        <v>3978</v>
      </c>
      <c r="P317" t="str">
        <f>TRIM(Table13_1[[#This Row],[Genre]])</f>
        <v>Mystery</v>
      </c>
    </row>
    <row r="318" spans="1:16" x14ac:dyDescent="0.3">
      <c r="A318" t="s">
        <v>795</v>
      </c>
      <c r="B318" t="s">
        <v>796</v>
      </c>
      <c r="C318">
        <v>1995</v>
      </c>
      <c r="D318">
        <v>1990</v>
      </c>
      <c r="E318" t="s">
        <v>24</v>
      </c>
      <c r="F318">
        <v>115</v>
      </c>
      <c r="G318" t="s">
        <v>3997</v>
      </c>
      <c r="H318" t="s">
        <v>798</v>
      </c>
      <c r="I318" t="s">
        <v>191</v>
      </c>
      <c r="J318" t="s">
        <v>799</v>
      </c>
      <c r="K318">
        <v>15767</v>
      </c>
      <c r="L318">
        <v>245.49</v>
      </c>
      <c r="M318">
        <v>245.49</v>
      </c>
      <c r="N318" t="s">
        <v>3998</v>
      </c>
      <c r="O318" t="s">
        <v>230</v>
      </c>
      <c r="P318" t="str">
        <f>TRIM(Table13_1[[#This Row],[Genre]])</f>
        <v>Documentary</v>
      </c>
    </row>
    <row r="319" spans="1:16" x14ac:dyDescent="0.3">
      <c r="A319" t="s">
        <v>795</v>
      </c>
      <c r="B319" t="s">
        <v>796</v>
      </c>
      <c r="C319">
        <v>1995</v>
      </c>
      <c r="D319">
        <v>1990</v>
      </c>
      <c r="E319" t="s">
        <v>24</v>
      </c>
      <c r="F319">
        <v>115</v>
      </c>
      <c r="G319" t="s">
        <v>3997</v>
      </c>
      <c r="H319" t="s">
        <v>798</v>
      </c>
      <c r="I319" t="s">
        <v>191</v>
      </c>
      <c r="J319" t="s">
        <v>799</v>
      </c>
      <c r="K319">
        <v>15767</v>
      </c>
      <c r="L319">
        <v>245.49</v>
      </c>
      <c r="M319">
        <v>245.49</v>
      </c>
      <c r="N319" t="s">
        <v>3998</v>
      </c>
      <c r="O319" t="s">
        <v>3976</v>
      </c>
      <c r="P319" t="str">
        <f>TRIM(Table13_1[[#This Row],[Genre]])</f>
        <v>Musical</v>
      </c>
    </row>
    <row r="320" spans="1:16" x14ac:dyDescent="0.3">
      <c r="A320" t="s">
        <v>795</v>
      </c>
      <c r="B320" t="s">
        <v>796</v>
      </c>
      <c r="C320">
        <v>1995</v>
      </c>
      <c r="D320">
        <v>1990</v>
      </c>
      <c r="E320" t="s">
        <v>24</v>
      </c>
      <c r="F320">
        <v>115</v>
      </c>
      <c r="G320" t="s">
        <v>3997</v>
      </c>
      <c r="H320" t="s">
        <v>798</v>
      </c>
      <c r="I320" t="s">
        <v>191</v>
      </c>
      <c r="J320" t="s">
        <v>799</v>
      </c>
      <c r="K320">
        <v>15767</v>
      </c>
      <c r="L320">
        <v>245.49</v>
      </c>
      <c r="M320">
        <v>245.49</v>
      </c>
      <c r="N320" t="s">
        <v>3998</v>
      </c>
      <c r="O320" t="s">
        <v>3979</v>
      </c>
      <c r="P320" t="str">
        <f>TRIM(Table13_1[[#This Row],[Genre]])</f>
        <v>War</v>
      </c>
    </row>
    <row r="321" spans="1:16" x14ac:dyDescent="0.3">
      <c r="A321" t="s">
        <v>800</v>
      </c>
      <c r="B321" t="s">
        <v>801</v>
      </c>
      <c r="C321">
        <v>1990</v>
      </c>
      <c r="D321">
        <v>1990</v>
      </c>
      <c r="E321" t="s">
        <v>285</v>
      </c>
      <c r="F321">
        <v>132</v>
      </c>
      <c r="G321" t="s">
        <v>3999</v>
      </c>
      <c r="H321" t="s">
        <v>500</v>
      </c>
      <c r="I321" t="s">
        <v>326</v>
      </c>
      <c r="J321" t="s">
        <v>802</v>
      </c>
      <c r="K321">
        <v>12011</v>
      </c>
      <c r="M321">
        <v>0</v>
      </c>
      <c r="N321" t="s">
        <v>4001</v>
      </c>
      <c r="O321" t="s">
        <v>129</v>
      </c>
      <c r="P321" t="str">
        <f>TRIM(Table13_1[[#This Row],[Genre]])</f>
        <v>Horror</v>
      </c>
    </row>
    <row r="322" spans="1:16" x14ac:dyDescent="0.3">
      <c r="A322" t="s">
        <v>803</v>
      </c>
      <c r="B322" t="s">
        <v>804</v>
      </c>
      <c r="C322">
        <v>1982</v>
      </c>
      <c r="D322">
        <v>1980</v>
      </c>
      <c r="E322" t="s">
        <v>54</v>
      </c>
      <c r="F322">
        <v>110</v>
      </c>
      <c r="G322" t="s">
        <v>3997</v>
      </c>
      <c r="H322" t="s">
        <v>805</v>
      </c>
      <c r="I322" t="s">
        <v>39</v>
      </c>
      <c r="J322" t="s">
        <v>806</v>
      </c>
      <c r="K322">
        <v>507552</v>
      </c>
      <c r="L322">
        <v>23.37</v>
      </c>
      <c r="M322">
        <v>23.37</v>
      </c>
      <c r="N322" t="s">
        <v>4001</v>
      </c>
      <c r="O322" t="s">
        <v>606</v>
      </c>
      <c r="P322" t="str">
        <f>TRIM(Table13_1[[#This Row],[Genre]])</f>
        <v>Sci-Fi</v>
      </c>
    </row>
    <row r="323" spans="1:16" x14ac:dyDescent="0.3">
      <c r="A323" t="s">
        <v>803</v>
      </c>
      <c r="B323" t="s">
        <v>804</v>
      </c>
      <c r="C323">
        <v>1982</v>
      </c>
      <c r="D323">
        <v>1980</v>
      </c>
      <c r="E323" t="s">
        <v>54</v>
      </c>
      <c r="F323">
        <v>110</v>
      </c>
      <c r="G323" t="s">
        <v>3997</v>
      </c>
      <c r="H323" t="s">
        <v>805</v>
      </c>
      <c r="I323" t="s">
        <v>39</v>
      </c>
      <c r="J323" t="s">
        <v>806</v>
      </c>
      <c r="K323">
        <v>507552</v>
      </c>
      <c r="L323">
        <v>23.37</v>
      </c>
      <c r="M323">
        <v>23.37</v>
      </c>
      <c r="N323" t="s">
        <v>4001</v>
      </c>
      <c r="O323" t="s">
        <v>3987</v>
      </c>
      <c r="P323" t="str">
        <f>TRIM(Table13_1[[#This Row],[Genre]])</f>
        <v>Fantasy</v>
      </c>
    </row>
    <row r="324" spans="1:16" x14ac:dyDescent="0.3">
      <c r="A324" t="s">
        <v>807</v>
      </c>
      <c r="B324" t="s">
        <v>808</v>
      </c>
      <c r="C324">
        <v>2020</v>
      </c>
      <c r="D324">
        <v>2020</v>
      </c>
      <c r="E324" t="s">
        <v>54</v>
      </c>
      <c r="F324">
        <v>138</v>
      </c>
      <c r="G324" t="s">
        <v>3999</v>
      </c>
      <c r="H324" t="s">
        <v>201</v>
      </c>
      <c r="I324" t="s">
        <v>50</v>
      </c>
      <c r="J324" t="s">
        <v>810</v>
      </c>
      <c r="K324">
        <v>176752</v>
      </c>
      <c r="L324">
        <v>417.81</v>
      </c>
      <c r="M324">
        <v>417.81</v>
      </c>
      <c r="N324" t="s">
        <v>3998</v>
      </c>
      <c r="O324" t="s">
        <v>235</v>
      </c>
      <c r="P324" t="str">
        <f>TRIM(Table13_1[[#This Row],[Genre]])</f>
        <v>Drama</v>
      </c>
    </row>
    <row r="325" spans="1:16" x14ac:dyDescent="0.3">
      <c r="A325" t="s">
        <v>807</v>
      </c>
      <c r="B325" t="s">
        <v>808</v>
      </c>
      <c r="C325">
        <v>2020</v>
      </c>
      <c r="D325">
        <v>2020</v>
      </c>
      <c r="E325" t="s">
        <v>54</v>
      </c>
      <c r="F325">
        <v>138</v>
      </c>
      <c r="G325" t="s">
        <v>3999</v>
      </c>
      <c r="H325" t="s">
        <v>201</v>
      </c>
      <c r="I325" t="s">
        <v>50</v>
      </c>
      <c r="J325" t="s">
        <v>810</v>
      </c>
      <c r="K325">
        <v>176752</v>
      </c>
      <c r="L325">
        <v>417.81</v>
      </c>
      <c r="M325">
        <v>417.81</v>
      </c>
      <c r="N325" t="s">
        <v>3998</v>
      </c>
      <c r="O325" t="s">
        <v>3985</v>
      </c>
      <c r="P325" t="str">
        <f>TRIM(Table13_1[[#This Row],[Genre]])</f>
        <v>Horror</v>
      </c>
    </row>
    <row r="326" spans="1:16" x14ac:dyDescent="0.3">
      <c r="A326" t="s">
        <v>807</v>
      </c>
      <c r="B326" t="s">
        <v>808</v>
      </c>
      <c r="C326">
        <v>2020</v>
      </c>
      <c r="D326">
        <v>2020</v>
      </c>
      <c r="E326" t="s">
        <v>54</v>
      </c>
      <c r="F326">
        <v>138</v>
      </c>
      <c r="G326" t="s">
        <v>3999</v>
      </c>
      <c r="H326" t="s">
        <v>201</v>
      </c>
      <c r="I326" t="s">
        <v>50</v>
      </c>
      <c r="J326" t="s">
        <v>810</v>
      </c>
      <c r="K326">
        <v>176752</v>
      </c>
      <c r="L326">
        <v>417.81</v>
      </c>
      <c r="M326">
        <v>417.81</v>
      </c>
      <c r="N326" t="s">
        <v>3998</v>
      </c>
      <c r="O326" t="s">
        <v>3987</v>
      </c>
      <c r="P326" t="str">
        <f>TRIM(Table13_1[[#This Row],[Genre]])</f>
        <v>Fantasy</v>
      </c>
    </row>
    <row r="327" spans="1:16" x14ac:dyDescent="0.3">
      <c r="A327" t="s">
        <v>811</v>
      </c>
      <c r="B327" t="s">
        <v>812</v>
      </c>
      <c r="C327">
        <v>2022</v>
      </c>
      <c r="D327">
        <v>2020</v>
      </c>
      <c r="E327" t="s">
        <v>17</v>
      </c>
      <c r="F327">
        <v>141</v>
      </c>
      <c r="G327" t="s">
        <v>3999</v>
      </c>
      <c r="H327" t="s">
        <v>813</v>
      </c>
      <c r="I327" t="s">
        <v>33</v>
      </c>
      <c r="J327" t="s">
        <v>814</v>
      </c>
      <c r="K327">
        <v>2670</v>
      </c>
      <c r="L327">
        <v>100.43</v>
      </c>
      <c r="M327">
        <v>100.43</v>
      </c>
      <c r="N327" t="s">
        <v>4002</v>
      </c>
      <c r="O327" t="s">
        <v>235</v>
      </c>
      <c r="P327" t="str">
        <f>TRIM(Table13_1[[#This Row],[Genre]])</f>
        <v>Drama</v>
      </c>
    </row>
    <row r="328" spans="1:16" x14ac:dyDescent="0.3">
      <c r="A328" t="s">
        <v>811</v>
      </c>
      <c r="B328" t="s">
        <v>812</v>
      </c>
      <c r="C328">
        <v>2022</v>
      </c>
      <c r="D328">
        <v>2020</v>
      </c>
      <c r="E328" t="s">
        <v>17</v>
      </c>
      <c r="F328">
        <v>141</v>
      </c>
      <c r="G328" t="s">
        <v>3999</v>
      </c>
      <c r="H328" t="s">
        <v>813</v>
      </c>
      <c r="I328" t="s">
        <v>33</v>
      </c>
      <c r="J328" t="s">
        <v>814</v>
      </c>
      <c r="K328">
        <v>2670</v>
      </c>
      <c r="L328">
        <v>100.43</v>
      </c>
      <c r="M328">
        <v>100.43</v>
      </c>
      <c r="N328" t="s">
        <v>4002</v>
      </c>
      <c r="O328" t="s">
        <v>3993</v>
      </c>
      <c r="P328" t="str">
        <f>TRIM(Table13_1[[#This Row],[Genre]])</f>
        <v>Comedy</v>
      </c>
    </row>
    <row r="329" spans="1:16" x14ac:dyDescent="0.3">
      <c r="A329" t="s">
        <v>815</v>
      </c>
      <c r="B329" t="s">
        <v>816</v>
      </c>
      <c r="C329">
        <v>2012</v>
      </c>
      <c r="D329">
        <v>2010</v>
      </c>
      <c r="E329" t="s">
        <v>54</v>
      </c>
      <c r="F329">
        <v>99</v>
      </c>
      <c r="G329" t="s">
        <v>3997</v>
      </c>
      <c r="H329" t="s">
        <v>19</v>
      </c>
      <c r="I329" t="s">
        <v>368</v>
      </c>
      <c r="J329" t="s">
        <v>818</v>
      </c>
      <c r="K329">
        <v>16329</v>
      </c>
      <c r="L329">
        <v>869.63</v>
      </c>
      <c r="M329">
        <v>869.63</v>
      </c>
      <c r="N329" t="s">
        <v>3998</v>
      </c>
      <c r="O329" t="s">
        <v>210</v>
      </c>
      <c r="P329" t="str">
        <f>TRIM(Table13_1[[#This Row],[Genre]])</f>
        <v>Action</v>
      </c>
    </row>
    <row r="330" spans="1:16" x14ac:dyDescent="0.3">
      <c r="A330" t="s">
        <v>815</v>
      </c>
      <c r="B330" t="s">
        <v>816</v>
      </c>
      <c r="C330">
        <v>2012</v>
      </c>
      <c r="D330">
        <v>2010</v>
      </c>
      <c r="E330" t="s">
        <v>54</v>
      </c>
      <c r="F330">
        <v>99</v>
      </c>
      <c r="G330" t="s">
        <v>3997</v>
      </c>
      <c r="H330" t="s">
        <v>19</v>
      </c>
      <c r="I330" t="s">
        <v>368</v>
      </c>
      <c r="J330" t="s">
        <v>818</v>
      </c>
      <c r="K330">
        <v>16329</v>
      </c>
      <c r="L330">
        <v>869.63</v>
      </c>
      <c r="M330">
        <v>869.63</v>
      </c>
      <c r="N330" t="s">
        <v>3998</v>
      </c>
      <c r="O330" t="s">
        <v>3987</v>
      </c>
      <c r="P330" t="str">
        <f>TRIM(Table13_1[[#This Row],[Genre]])</f>
        <v>Fantasy</v>
      </c>
    </row>
    <row r="331" spans="1:16" x14ac:dyDescent="0.3">
      <c r="A331" t="s">
        <v>819</v>
      </c>
      <c r="B331" t="s">
        <v>820</v>
      </c>
      <c r="C331">
        <v>1957</v>
      </c>
      <c r="D331">
        <v>1950</v>
      </c>
      <c r="E331" t="s">
        <v>54</v>
      </c>
      <c r="F331">
        <v>113</v>
      </c>
      <c r="G331" t="s">
        <v>3997</v>
      </c>
      <c r="H331" t="s">
        <v>491</v>
      </c>
      <c r="I331" t="s">
        <v>159</v>
      </c>
      <c r="J331" t="s">
        <v>821</v>
      </c>
      <c r="K331">
        <v>28204</v>
      </c>
      <c r="L331">
        <v>89.57</v>
      </c>
      <c r="M331">
        <v>89.57</v>
      </c>
      <c r="N331" t="s">
        <v>4001</v>
      </c>
      <c r="O331" t="s">
        <v>72</v>
      </c>
      <c r="P331" t="str">
        <f>TRIM(Table13_1[[#This Row],[Genre]])</f>
        <v>War</v>
      </c>
    </row>
    <row r="332" spans="1:16" x14ac:dyDescent="0.3">
      <c r="A332" t="s">
        <v>819</v>
      </c>
      <c r="B332" t="s">
        <v>820</v>
      </c>
      <c r="C332">
        <v>1957</v>
      </c>
      <c r="D332">
        <v>1950</v>
      </c>
      <c r="E332" t="s">
        <v>54</v>
      </c>
      <c r="F332">
        <v>113</v>
      </c>
      <c r="G332" t="s">
        <v>3997</v>
      </c>
      <c r="H332" t="s">
        <v>491</v>
      </c>
      <c r="I332" t="s">
        <v>159</v>
      </c>
      <c r="J332" t="s">
        <v>821</v>
      </c>
      <c r="K332">
        <v>28204</v>
      </c>
      <c r="L332">
        <v>89.57</v>
      </c>
      <c r="M332">
        <v>89.57</v>
      </c>
      <c r="N332" t="s">
        <v>4001</v>
      </c>
      <c r="O332" t="s">
        <v>3984</v>
      </c>
      <c r="P332" t="str">
        <f>TRIM(Table13_1[[#This Row],[Genre]])</f>
        <v>Adventure</v>
      </c>
    </row>
    <row r="333" spans="1:16" x14ac:dyDescent="0.3">
      <c r="A333" t="s">
        <v>822</v>
      </c>
      <c r="B333" t="s">
        <v>823</v>
      </c>
      <c r="C333">
        <v>2010</v>
      </c>
      <c r="D333">
        <v>2010</v>
      </c>
      <c r="E333" t="s">
        <v>54</v>
      </c>
      <c r="F333">
        <v>87</v>
      </c>
      <c r="G333" t="s">
        <v>4000</v>
      </c>
      <c r="H333" t="s">
        <v>824</v>
      </c>
      <c r="I333" t="s">
        <v>119</v>
      </c>
      <c r="J333" t="s">
        <v>825</v>
      </c>
      <c r="K333">
        <v>192165</v>
      </c>
      <c r="L333">
        <v>466</v>
      </c>
      <c r="M333">
        <v>466</v>
      </c>
      <c r="N333" t="s">
        <v>3998</v>
      </c>
      <c r="O333" t="s">
        <v>157</v>
      </c>
      <c r="P333" t="str">
        <f>TRIM(Table13_1[[#This Row],[Genre]])</f>
        <v>Animation</v>
      </c>
    </row>
    <row r="334" spans="1:16" x14ac:dyDescent="0.3">
      <c r="A334" t="s">
        <v>826</v>
      </c>
      <c r="B334" t="s">
        <v>162</v>
      </c>
      <c r="C334">
        <v>1978</v>
      </c>
      <c r="D334">
        <v>1970</v>
      </c>
      <c r="E334" t="s">
        <v>24</v>
      </c>
      <c r="F334">
        <v>112</v>
      </c>
      <c r="G334" t="s">
        <v>3997</v>
      </c>
      <c r="H334" t="s">
        <v>828</v>
      </c>
      <c r="I334" t="s">
        <v>86</v>
      </c>
      <c r="J334" t="s">
        <v>829</v>
      </c>
      <c r="K334">
        <v>89920</v>
      </c>
      <c r="L334">
        <v>212.07</v>
      </c>
      <c r="M334">
        <v>212.07</v>
      </c>
      <c r="N334" t="s">
        <v>3998</v>
      </c>
      <c r="O334" t="s">
        <v>375</v>
      </c>
      <c r="P334" t="str">
        <f>TRIM(Table13_1[[#This Row],[Genre]])</f>
        <v>Family</v>
      </c>
    </row>
    <row r="335" spans="1:16" x14ac:dyDescent="0.3">
      <c r="A335" t="s">
        <v>826</v>
      </c>
      <c r="B335" t="s">
        <v>162</v>
      </c>
      <c r="C335">
        <v>1978</v>
      </c>
      <c r="D335">
        <v>1970</v>
      </c>
      <c r="E335" t="s">
        <v>24</v>
      </c>
      <c r="F335">
        <v>112</v>
      </c>
      <c r="G335" t="s">
        <v>3997</v>
      </c>
      <c r="H335" t="s">
        <v>828</v>
      </c>
      <c r="I335" t="s">
        <v>86</v>
      </c>
      <c r="J335" t="s">
        <v>829</v>
      </c>
      <c r="K335">
        <v>89920</v>
      </c>
      <c r="L335">
        <v>212.07</v>
      </c>
      <c r="M335">
        <v>212.07</v>
      </c>
      <c r="N335" t="s">
        <v>3998</v>
      </c>
      <c r="O335" t="s">
        <v>3983</v>
      </c>
      <c r="P335" t="str">
        <f>TRIM(Table13_1[[#This Row],[Genre]])</f>
        <v>Crime</v>
      </c>
    </row>
    <row r="336" spans="1:16" x14ac:dyDescent="0.3">
      <c r="A336" t="s">
        <v>826</v>
      </c>
      <c r="B336" t="s">
        <v>162</v>
      </c>
      <c r="C336">
        <v>1978</v>
      </c>
      <c r="D336">
        <v>1970</v>
      </c>
      <c r="E336" t="s">
        <v>24</v>
      </c>
      <c r="F336">
        <v>112</v>
      </c>
      <c r="G336" t="s">
        <v>3997</v>
      </c>
      <c r="H336" t="s">
        <v>828</v>
      </c>
      <c r="I336" t="s">
        <v>86</v>
      </c>
      <c r="J336" t="s">
        <v>829</v>
      </c>
      <c r="K336">
        <v>89920</v>
      </c>
      <c r="L336">
        <v>212.07</v>
      </c>
      <c r="M336">
        <v>212.07</v>
      </c>
      <c r="N336" t="s">
        <v>3998</v>
      </c>
      <c r="O336" t="s">
        <v>3987</v>
      </c>
      <c r="P336" t="str">
        <f>TRIM(Table13_1[[#This Row],[Genre]])</f>
        <v>Fantasy</v>
      </c>
    </row>
    <row r="337" spans="1:16" x14ac:dyDescent="0.3">
      <c r="A337" t="s">
        <v>830</v>
      </c>
      <c r="B337" t="s">
        <v>831</v>
      </c>
      <c r="C337">
        <v>1986</v>
      </c>
      <c r="D337">
        <v>1980</v>
      </c>
      <c r="E337" t="s">
        <v>169</v>
      </c>
      <c r="F337">
        <v>122</v>
      </c>
      <c r="G337" t="s">
        <v>3999</v>
      </c>
      <c r="H337" t="s">
        <v>832</v>
      </c>
      <c r="I337" t="s">
        <v>524</v>
      </c>
      <c r="J337" t="s">
        <v>833</v>
      </c>
      <c r="K337">
        <v>39753</v>
      </c>
      <c r="M337">
        <v>0</v>
      </c>
      <c r="N337" t="s">
        <v>4001</v>
      </c>
      <c r="O337" t="s">
        <v>72</v>
      </c>
      <c r="P337" t="str">
        <f>TRIM(Table13_1[[#This Row],[Genre]])</f>
        <v>War</v>
      </c>
    </row>
    <row r="338" spans="1:16" x14ac:dyDescent="0.3">
      <c r="A338" t="s">
        <v>834</v>
      </c>
      <c r="B338" t="s">
        <v>835</v>
      </c>
      <c r="C338">
        <v>2019</v>
      </c>
      <c r="D338">
        <v>2010</v>
      </c>
      <c r="E338" t="s">
        <v>54</v>
      </c>
      <c r="F338">
        <v>139</v>
      </c>
      <c r="G338" t="s">
        <v>3999</v>
      </c>
      <c r="H338" t="s">
        <v>422</v>
      </c>
      <c r="I338" t="s">
        <v>137</v>
      </c>
      <c r="J338" t="s">
        <v>836</v>
      </c>
      <c r="K338">
        <v>2500000</v>
      </c>
      <c r="M338">
        <v>0</v>
      </c>
      <c r="N338" t="s">
        <v>4001</v>
      </c>
      <c r="O338" t="s">
        <v>375</v>
      </c>
      <c r="P338" t="str">
        <f>TRIM(Table13_1[[#This Row],[Genre]])</f>
        <v>Family</v>
      </c>
    </row>
    <row r="339" spans="1:16" x14ac:dyDescent="0.3">
      <c r="A339" t="s">
        <v>837</v>
      </c>
      <c r="B339" t="s">
        <v>838</v>
      </c>
      <c r="C339">
        <v>1995</v>
      </c>
      <c r="D339">
        <v>1990</v>
      </c>
      <c r="E339" t="s">
        <v>54</v>
      </c>
      <c r="F339">
        <v>156</v>
      </c>
      <c r="G339" t="s">
        <v>3999</v>
      </c>
      <c r="H339" t="s">
        <v>412</v>
      </c>
      <c r="I339" t="s">
        <v>125</v>
      </c>
      <c r="J339" t="s">
        <v>840</v>
      </c>
      <c r="K339">
        <v>29620</v>
      </c>
      <c r="M339">
        <v>0</v>
      </c>
      <c r="N339" t="s">
        <v>4001</v>
      </c>
      <c r="O339" t="s">
        <v>78</v>
      </c>
      <c r="P339" t="str">
        <f>TRIM(Table13_1[[#This Row],[Genre]])</f>
        <v>Adventure</v>
      </c>
    </row>
    <row r="340" spans="1:16" x14ac:dyDescent="0.3">
      <c r="A340" t="s">
        <v>837</v>
      </c>
      <c r="B340" t="s">
        <v>838</v>
      </c>
      <c r="C340">
        <v>1995</v>
      </c>
      <c r="D340">
        <v>1990</v>
      </c>
      <c r="E340" t="s">
        <v>54</v>
      </c>
      <c r="F340">
        <v>156</v>
      </c>
      <c r="G340" t="s">
        <v>3999</v>
      </c>
      <c r="H340" t="s">
        <v>412</v>
      </c>
      <c r="I340" t="s">
        <v>125</v>
      </c>
      <c r="J340" t="s">
        <v>840</v>
      </c>
      <c r="K340">
        <v>29620</v>
      </c>
      <c r="M340">
        <v>0</v>
      </c>
      <c r="N340" t="s">
        <v>4001</v>
      </c>
      <c r="O340" t="s">
        <v>3991</v>
      </c>
      <c r="P340" t="str">
        <f>TRIM(Table13_1[[#This Row],[Genre]])</f>
        <v>Thriller</v>
      </c>
    </row>
    <row r="341" spans="1:16" x14ac:dyDescent="0.3">
      <c r="A341" t="s">
        <v>841</v>
      </c>
      <c r="B341" t="s">
        <v>842</v>
      </c>
      <c r="C341">
        <v>2012</v>
      </c>
      <c r="D341">
        <v>2010</v>
      </c>
      <c r="E341" t="s">
        <v>17</v>
      </c>
      <c r="F341">
        <v>135</v>
      </c>
      <c r="G341" t="s">
        <v>3999</v>
      </c>
      <c r="H341" t="s">
        <v>844</v>
      </c>
      <c r="I341" t="s">
        <v>315</v>
      </c>
      <c r="J341" t="s">
        <v>845</v>
      </c>
      <c r="K341">
        <v>51522</v>
      </c>
      <c r="L341">
        <v>550.44000000000005</v>
      </c>
      <c r="M341">
        <v>550.44000000000005</v>
      </c>
      <c r="N341" t="s">
        <v>3998</v>
      </c>
      <c r="O341" t="s">
        <v>235</v>
      </c>
      <c r="P341" t="str">
        <f>TRIM(Table13_1[[#This Row],[Genre]])</f>
        <v>Drama</v>
      </c>
    </row>
    <row r="342" spans="1:16" x14ac:dyDescent="0.3">
      <c r="A342" t="s">
        <v>841</v>
      </c>
      <c r="B342" t="s">
        <v>842</v>
      </c>
      <c r="C342">
        <v>2012</v>
      </c>
      <c r="D342">
        <v>2010</v>
      </c>
      <c r="E342" t="s">
        <v>17</v>
      </c>
      <c r="F342">
        <v>135</v>
      </c>
      <c r="G342" t="s">
        <v>3999</v>
      </c>
      <c r="H342" t="s">
        <v>844</v>
      </c>
      <c r="I342" t="s">
        <v>315</v>
      </c>
      <c r="J342" t="s">
        <v>845</v>
      </c>
      <c r="K342">
        <v>51522</v>
      </c>
      <c r="L342">
        <v>550.44000000000005</v>
      </c>
      <c r="M342">
        <v>550.44000000000005</v>
      </c>
      <c r="N342" t="s">
        <v>3998</v>
      </c>
      <c r="O342" t="s">
        <v>3991</v>
      </c>
      <c r="P342" t="str">
        <f>TRIM(Table13_1[[#This Row],[Genre]])</f>
        <v>Thriller</v>
      </c>
    </row>
    <row r="343" spans="1:16" x14ac:dyDescent="0.3">
      <c r="A343" t="s">
        <v>846</v>
      </c>
      <c r="B343" t="s">
        <v>847</v>
      </c>
      <c r="C343">
        <v>2000</v>
      </c>
      <c r="D343">
        <v>2000</v>
      </c>
      <c r="E343" t="s">
        <v>17</v>
      </c>
      <c r="F343">
        <v>89</v>
      </c>
      <c r="G343" t="s">
        <v>4000</v>
      </c>
      <c r="H343" t="s">
        <v>201</v>
      </c>
      <c r="I343" t="s">
        <v>147</v>
      </c>
      <c r="J343" t="s">
        <v>848</v>
      </c>
      <c r="K343">
        <v>26165</v>
      </c>
      <c r="L343">
        <v>218.12</v>
      </c>
      <c r="M343">
        <v>218.12</v>
      </c>
      <c r="N343" t="s">
        <v>3998</v>
      </c>
      <c r="O343" t="s">
        <v>235</v>
      </c>
      <c r="P343" t="str">
        <f>TRIM(Table13_1[[#This Row],[Genre]])</f>
        <v>Drama</v>
      </c>
    </row>
    <row r="344" spans="1:16" x14ac:dyDescent="0.3">
      <c r="A344" t="s">
        <v>846</v>
      </c>
      <c r="B344" t="s">
        <v>847</v>
      </c>
      <c r="C344">
        <v>2000</v>
      </c>
      <c r="D344">
        <v>2000</v>
      </c>
      <c r="E344" t="s">
        <v>17</v>
      </c>
      <c r="F344">
        <v>89</v>
      </c>
      <c r="G344" t="s">
        <v>4000</v>
      </c>
      <c r="H344" t="s">
        <v>201</v>
      </c>
      <c r="I344" t="s">
        <v>147</v>
      </c>
      <c r="J344" t="s">
        <v>848</v>
      </c>
      <c r="K344">
        <v>26165</v>
      </c>
      <c r="L344">
        <v>218.12</v>
      </c>
      <c r="M344">
        <v>218.12</v>
      </c>
      <c r="N344" t="s">
        <v>3998</v>
      </c>
      <c r="O344" t="s">
        <v>3991</v>
      </c>
      <c r="P344" t="str">
        <f>TRIM(Table13_1[[#This Row],[Genre]])</f>
        <v>Thriller</v>
      </c>
    </row>
    <row r="345" spans="1:16" x14ac:dyDescent="0.3">
      <c r="A345" t="s">
        <v>849</v>
      </c>
      <c r="B345" t="s">
        <v>850</v>
      </c>
      <c r="C345">
        <v>2005</v>
      </c>
      <c r="D345">
        <v>2000</v>
      </c>
      <c r="E345" t="s">
        <v>54</v>
      </c>
      <c r="F345">
        <v>133</v>
      </c>
      <c r="G345" t="s">
        <v>3999</v>
      </c>
      <c r="H345" t="s">
        <v>852</v>
      </c>
      <c r="I345" t="s">
        <v>80</v>
      </c>
      <c r="J345" t="s">
        <v>853</v>
      </c>
      <c r="K345">
        <v>78553</v>
      </c>
      <c r="L345">
        <v>499.98</v>
      </c>
      <c r="M345">
        <v>499.98</v>
      </c>
      <c r="N345" t="s">
        <v>3998</v>
      </c>
      <c r="O345" t="s">
        <v>55</v>
      </c>
      <c r="P345" t="str">
        <f>TRIM(Table13_1[[#This Row],[Genre]])</f>
        <v>Romance</v>
      </c>
    </row>
    <row r="346" spans="1:16" x14ac:dyDescent="0.3">
      <c r="A346" t="s">
        <v>849</v>
      </c>
      <c r="B346" t="s">
        <v>850</v>
      </c>
      <c r="C346">
        <v>2005</v>
      </c>
      <c r="D346">
        <v>2000</v>
      </c>
      <c r="E346" t="s">
        <v>54</v>
      </c>
      <c r="F346">
        <v>133</v>
      </c>
      <c r="G346" t="s">
        <v>3999</v>
      </c>
      <c r="H346" t="s">
        <v>852</v>
      </c>
      <c r="I346" t="s">
        <v>80</v>
      </c>
      <c r="J346" t="s">
        <v>853</v>
      </c>
      <c r="K346">
        <v>78553</v>
      </c>
      <c r="L346">
        <v>499.98</v>
      </c>
      <c r="M346">
        <v>499.98</v>
      </c>
      <c r="N346" t="s">
        <v>3998</v>
      </c>
      <c r="O346" t="s">
        <v>3989</v>
      </c>
      <c r="P346" t="str">
        <f>TRIM(Table13_1[[#This Row],[Genre]])</f>
        <v>Sci-Fi</v>
      </c>
    </row>
    <row r="347" spans="1:16" x14ac:dyDescent="0.3">
      <c r="A347" t="s">
        <v>854</v>
      </c>
      <c r="B347" t="s">
        <v>855</v>
      </c>
      <c r="C347">
        <v>2002</v>
      </c>
      <c r="D347">
        <v>2000</v>
      </c>
      <c r="E347" t="s">
        <v>24</v>
      </c>
      <c r="F347">
        <v>130</v>
      </c>
      <c r="G347" t="s">
        <v>3999</v>
      </c>
      <c r="H347" t="s">
        <v>857</v>
      </c>
      <c r="I347" t="s">
        <v>524</v>
      </c>
      <c r="J347" t="s">
        <v>858</v>
      </c>
      <c r="K347">
        <v>176033</v>
      </c>
      <c r="L347">
        <v>339.8</v>
      </c>
      <c r="M347">
        <v>339.8</v>
      </c>
      <c r="N347" t="s">
        <v>3998</v>
      </c>
      <c r="O347" t="s">
        <v>868</v>
      </c>
      <c r="P347" t="str">
        <f>TRIM(Table13_1[[#This Row],[Genre]])</f>
        <v>Western</v>
      </c>
    </row>
    <row r="348" spans="1:16" x14ac:dyDescent="0.3">
      <c r="A348" t="s">
        <v>854</v>
      </c>
      <c r="B348" t="s">
        <v>855</v>
      </c>
      <c r="C348">
        <v>2002</v>
      </c>
      <c r="D348">
        <v>2000</v>
      </c>
      <c r="E348" t="s">
        <v>24</v>
      </c>
      <c r="F348">
        <v>130</v>
      </c>
      <c r="G348" t="s">
        <v>3999</v>
      </c>
      <c r="H348" t="s">
        <v>857</v>
      </c>
      <c r="I348" t="s">
        <v>524</v>
      </c>
      <c r="J348" t="s">
        <v>858</v>
      </c>
      <c r="K348">
        <v>176033</v>
      </c>
      <c r="L348">
        <v>339.8</v>
      </c>
      <c r="M348">
        <v>339.8</v>
      </c>
      <c r="N348" t="s">
        <v>3998</v>
      </c>
      <c r="O348" t="s">
        <v>3984</v>
      </c>
      <c r="P348" t="str">
        <f>TRIM(Table13_1[[#This Row],[Genre]])</f>
        <v>Adventure</v>
      </c>
    </row>
    <row r="349" spans="1:16" x14ac:dyDescent="0.3">
      <c r="A349" t="s">
        <v>859</v>
      </c>
      <c r="B349" t="s">
        <v>860</v>
      </c>
      <c r="C349">
        <v>2007</v>
      </c>
      <c r="D349">
        <v>2000</v>
      </c>
      <c r="E349" t="s">
        <v>169</v>
      </c>
      <c r="F349">
        <v>119</v>
      </c>
      <c r="G349" t="s">
        <v>3997</v>
      </c>
      <c r="H349" t="s">
        <v>355</v>
      </c>
      <c r="I349" t="s">
        <v>27</v>
      </c>
      <c r="J349" t="s">
        <v>862</v>
      </c>
      <c r="K349">
        <v>135320</v>
      </c>
      <c r="L349">
        <v>454.59</v>
      </c>
      <c r="M349">
        <v>454.59</v>
      </c>
      <c r="N349" t="s">
        <v>3998</v>
      </c>
      <c r="O349" t="s">
        <v>868</v>
      </c>
      <c r="P349" t="str">
        <f>TRIM(Table13_1[[#This Row],[Genre]])</f>
        <v>Western</v>
      </c>
    </row>
    <row r="350" spans="1:16" x14ac:dyDescent="0.3">
      <c r="A350" t="s">
        <v>859</v>
      </c>
      <c r="B350" t="s">
        <v>860</v>
      </c>
      <c r="C350">
        <v>2007</v>
      </c>
      <c r="D350">
        <v>2000</v>
      </c>
      <c r="E350" t="s">
        <v>169</v>
      </c>
      <c r="F350">
        <v>119</v>
      </c>
      <c r="G350" t="s">
        <v>3997</v>
      </c>
      <c r="H350" t="s">
        <v>355</v>
      </c>
      <c r="I350" t="s">
        <v>27</v>
      </c>
      <c r="J350" t="s">
        <v>862</v>
      </c>
      <c r="K350">
        <v>135320</v>
      </c>
      <c r="L350">
        <v>454.59</v>
      </c>
      <c r="M350">
        <v>454.59</v>
      </c>
      <c r="N350" t="s">
        <v>3998</v>
      </c>
      <c r="O350" t="s">
        <v>3993</v>
      </c>
      <c r="P350" t="str">
        <f>TRIM(Table13_1[[#This Row],[Genre]])</f>
        <v>Comedy</v>
      </c>
    </row>
    <row r="351" spans="1:16" x14ac:dyDescent="0.3">
      <c r="A351" t="s">
        <v>863</v>
      </c>
      <c r="B351" t="s">
        <v>864</v>
      </c>
      <c r="C351">
        <v>2004</v>
      </c>
      <c r="D351">
        <v>2000</v>
      </c>
      <c r="E351" t="s">
        <v>17</v>
      </c>
      <c r="F351">
        <v>107</v>
      </c>
      <c r="G351" t="s">
        <v>3997</v>
      </c>
      <c r="H351" t="s">
        <v>561</v>
      </c>
      <c r="I351" t="s">
        <v>137</v>
      </c>
      <c r="J351" t="s">
        <v>865</v>
      </c>
      <c r="K351">
        <v>504214</v>
      </c>
      <c r="M351">
        <v>0</v>
      </c>
      <c r="N351" t="s">
        <v>4001</v>
      </c>
      <c r="O351" t="s">
        <v>37</v>
      </c>
      <c r="P351" t="str">
        <f>TRIM(Table13_1[[#This Row],[Genre]])</f>
        <v>Biography</v>
      </c>
    </row>
    <row r="352" spans="1:16" x14ac:dyDescent="0.3">
      <c r="A352" t="s">
        <v>866</v>
      </c>
      <c r="B352" t="s">
        <v>867</v>
      </c>
      <c r="C352">
        <v>2024</v>
      </c>
      <c r="D352">
        <v>2020</v>
      </c>
      <c r="E352" t="s">
        <v>17</v>
      </c>
      <c r="F352">
        <v>110</v>
      </c>
      <c r="G352" t="s">
        <v>3997</v>
      </c>
      <c r="H352" t="s">
        <v>355</v>
      </c>
      <c r="I352" t="s">
        <v>153</v>
      </c>
      <c r="J352" t="s">
        <v>869</v>
      </c>
      <c r="K352">
        <v>15647</v>
      </c>
      <c r="M352">
        <v>0</v>
      </c>
      <c r="N352" t="s">
        <v>4001</v>
      </c>
      <c r="O352" t="s">
        <v>868</v>
      </c>
      <c r="P352" t="str">
        <f>TRIM(Table13_1[[#This Row],[Genre]])</f>
        <v>Western</v>
      </c>
    </row>
    <row r="353" spans="1:16" x14ac:dyDescent="0.3">
      <c r="A353" t="s">
        <v>870</v>
      </c>
      <c r="B353" t="s">
        <v>871</v>
      </c>
      <c r="C353">
        <v>2023</v>
      </c>
      <c r="D353">
        <v>2020</v>
      </c>
      <c r="E353" t="s">
        <v>54</v>
      </c>
      <c r="F353">
        <v>84</v>
      </c>
      <c r="G353" t="s">
        <v>4000</v>
      </c>
      <c r="H353" t="s">
        <v>873</v>
      </c>
      <c r="I353" t="s">
        <v>315</v>
      </c>
      <c r="J353" t="s">
        <v>874</v>
      </c>
      <c r="K353">
        <v>15388</v>
      </c>
      <c r="L353">
        <v>404.1</v>
      </c>
      <c r="M353">
        <v>404.1</v>
      </c>
      <c r="N353" t="s">
        <v>3998</v>
      </c>
      <c r="O353" t="s">
        <v>277</v>
      </c>
      <c r="P353" t="str">
        <f>TRIM(Table13_1[[#This Row],[Genre]])</f>
        <v>Thriller</v>
      </c>
    </row>
    <row r="354" spans="1:16" x14ac:dyDescent="0.3">
      <c r="A354" t="s">
        <v>870</v>
      </c>
      <c r="B354" t="s">
        <v>871</v>
      </c>
      <c r="C354">
        <v>2023</v>
      </c>
      <c r="D354">
        <v>2020</v>
      </c>
      <c r="E354" t="s">
        <v>54</v>
      </c>
      <c r="F354">
        <v>84</v>
      </c>
      <c r="G354" t="s">
        <v>4000</v>
      </c>
      <c r="H354" t="s">
        <v>873</v>
      </c>
      <c r="I354" t="s">
        <v>315</v>
      </c>
      <c r="J354" t="s">
        <v>874</v>
      </c>
      <c r="K354">
        <v>15388</v>
      </c>
      <c r="L354">
        <v>404.1</v>
      </c>
      <c r="M354">
        <v>404.1</v>
      </c>
      <c r="N354" t="s">
        <v>3998</v>
      </c>
      <c r="O354" t="s">
        <v>3990</v>
      </c>
      <c r="P354" t="str">
        <f>TRIM(Table13_1[[#This Row],[Genre]])</f>
        <v>Western</v>
      </c>
    </row>
    <row r="355" spans="1:16" x14ac:dyDescent="0.3">
      <c r="A355" t="s">
        <v>875</v>
      </c>
      <c r="B355" t="s">
        <v>876</v>
      </c>
      <c r="C355">
        <v>2021</v>
      </c>
      <c r="D355">
        <v>2020</v>
      </c>
      <c r="E355" t="s">
        <v>54</v>
      </c>
      <c r="F355">
        <v>122</v>
      </c>
      <c r="G355" t="s">
        <v>3999</v>
      </c>
      <c r="H355" t="s">
        <v>355</v>
      </c>
      <c r="I355" t="s">
        <v>20</v>
      </c>
      <c r="J355" t="s">
        <v>878</v>
      </c>
      <c r="K355">
        <v>17581</v>
      </c>
      <c r="M355">
        <v>0</v>
      </c>
      <c r="N355" t="s">
        <v>4001</v>
      </c>
      <c r="O355" t="s">
        <v>868</v>
      </c>
      <c r="P355" t="str">
        <f>TRIM(Table13_1[[#This Row],[Genre]])</f>
        <v>Western</v>
      </c>
    </row>
    <row r="356" spans="1:16" x14ac:dyDescent="0.3">
      <c r="A356" t="s">
        <v>875</v>
      </c>
      <c r="B356" t="s">
        <v>876</v>
      </c>
      <c r="C356">
        <v>2021</v>
      </c>
      <c r="D356">
        <v>2020</v>
      </c>
      <c r="E356" t="s">
        <v>54</v>
      </c>
      <c r="F356">
        <v>122</v>
      </c>
      <c r="G356" t="s">
        <v>3999</v>
      </c>
      <c r="H356" t="s">
        <v>355</v>
      </c>
      <c r="I356" t="s">
        <v>20</v>
      </c>
      <c r="J356" t="s">
        <v>878</v>
      </c>
      <c r="K356">
        <v>17581</v>
      </c>
      <c r="M356">
        <v>0</v>
      </c>
      <c r="N356" t="s">
        <v>4001</v>
      </c>
      <c r="O356" t="s">
        <v>3992</v>
      </c>
      <c r="P356" t="str">
        <f>TRIM(Table13_1[[#This Row],[Genre]])</f>
        <v>Biography</v>
      </c>
    </row>
    <row r="357" spans="1:16" x14ac:dyDescent="0.3">
      <c r="A357" t="s">
        <v>875</v>
      </c>
      <c r="B357" t="s">
        <v>876</v>
      </c>
      <c r="C357">
        <v>2021</v>
      </c>
      <c r="D357">
        <v>2020</v>
      </c>
      <c r="E357" t="s">
        <v>54</v>
      </c>
      <c r="F357">
        <v>122</v>
      </c>
      <c r="G357" t="s">
        <v>3999</v>
      </c>
      <c r="H357" t="s">
        <v>355</v>
      </c>
      <c r="I357" t="s">
        <v>20</v>
      </c>
      <c r="J357" t="s">
        <v>878</v>
      </c>
      <c r="K357">
        <v>17581</v>
      </c>
      <c r="M357">
        <v>0</v>
      </c>
      <c r="N357" t="s">
        <v>4001</v>
      </c>
      <c r="O357" t="s">
        <v>3993</v>
      </c>
      <c r="P357" t="str">
        <f>TRIM(Table13_1[[#This Row],[Genre]])</f>
        <v>Comedy</v>
      </c>
    </row>
    <row r="358" spans="1:16" x14ac:dyDescent="0.3">
      <c r="A358" t="s">
        <v>879</v>
      </c>
      <c r="B358" t="s">
        <v>880</v>
      </c>
      <c r="C358">
        <v>1989</v>
      </c>
      <c r="D358">
        <v>1980</v>
      </c>
      <c r="E358" t="s">
        <v>17</v>
      </c>
      <c r="F358">
        <v>123</v>
      </c>
      <c r="G358" t="s">
        <v>3999</v>
      </c>
      <c r="H358" t="s">
        <v>881</v>
      </c>
      <c r="I358" t="s">
        <v>103</v>
      </c>
      <c r="J358" t="s">
        <v>882</v>
      </c>
      <c r="K358">
        <v>129033</v>
      </c>
      <c r="M358">
        <v>0</v>
      </c>
      <c r="N358" t="s">
        <v>4001</v>
      </c>
      <c r="O358" t="s">
        <v>37</v>
      </c>
      <c r="P358" t="str">
        <f>TRIM(Table13_1[[#This Row],[Genre]])</f>
        <v>Biography</v>
      </c>
    </row>
    <row r="359" spans="1:16" x14ac:dyDescent="0.3">
      <c r="A359" t="s">
        <v>883</v>
      </c>
      <c r="B359" t="s">
        <v>884</v>
      </c>
      <c r="C359">
        <v>2008</v>
      </c>
      <c r="D359">
        <v>2000</v>
      </c>
      <c r="E359" t="s">
        <v>285</v>
      </c>
      <c r="F359">
        <v>139</v>
      </c>
      <c r="G359" t="s">
        <v>3999</v>
      </c>
      <c r="H359" t="s">
        <v>886</v>
      </c>
      <c r="I359" t="s">
        <v>147</v>
      </c>
      <c r="J359" t="s">
        <v>887</v>
      </c>
      <c r="K359">
        <v>68390</v>
      </c>
      <c r="M359">
        <v>0</v>
      </c>
      <c r="N359" t="s">
        <v>4001</v>
      </c>
      <c r="O359" t="s">
        <v>1044</v>
      </c>
      <c r="P359" t="str">
        <f>TRIM(Table13_1[[#This Row],[Genre]])</f>
        <v>Comedy</v>
      </c>
    </row>
    <row r="360" spans="1:16" x14ac:dyDescent="0.3">
      <c r="A360" t="s">
        <v>883</v>
      </c>
      <c r="B360" t="s">
        <v>884</v>
      </c>
      <c r="C360">
        <v>2008</v>
      </c>
      <c r="D360">
        <v>2000</v>
      </c>
      <c r="E360" t="s">
        <v>285</v>
      </c>
      <c r="F360">
        <v>139</v>
      </c>
      <c r="G360" t="s">
        <v>3999</v>
      </c>
      <c r="H360" t="s">
        <v>886</v>
      </c>
      <c r="I360" t="s">
        <v>147</v>
      </c>
      <c r="J360" t="s">
        <v>887</v>
      </c>
      <c r="K360">
        <v>68390</v>
      </c>
      <c r="M360">
        <v>0</v>
      </c>
      <c r="N360" t="s">
        <v>4001</v>
      </c>
      <c r="O360" t="s">
        <v>3979</v>
      </c>
      <c r="P360" t="str">
        <f>TRIM(Table13_1[[#This Row],[Genre]])</f>
        <v>War</v>
      </c>
    </row>
    <row r="361" spans="1:16" x14ac:dyDescent="0.3">
      <c r="A361" t="s">
        <v>888</v>
      </c>
      <c r="B361" t="s">
        <v>889</v>
      </c>
      <c r="C361">
        <v>2013</v>
      </c>
      <c r="D361">
        <v>2010</v>
      </c>
      <c r="E361" t="s">
        <v>54</v>
      </c>
      <c r="F361">
        <v>132</v>
      </c>
      <c r="G361" t="s">
        <v>3999</v>
      </c>
      <c r="H361" t="s">
        <v>136</v>
      </c>
      <c r="I361" t="s">
        <v>315</v>
      </c>
      <c r="J361" t="s">
        <v>890</v>
      </c>
      <c r="K361">
        <v>48573</v>
      </c>
      <c r="L361">
        <v>311.02999999999997</v>
      </c>
      <c r="M361">
        <v>311.02999999999997</v>
      </c>
      <c r="N361" t="s">
        <v>3998</v>
      </c>
      <c r="O361" t="s">
        <v>43</v>
      </c>
      <c r="P361" t="str">
        <f>TRIM(Table13_1[[#This Row],[Genre]])</f>
        <v>Mystery</v>
      </c>
    </row>
    <row r="362" spans="1:16" x14ac:dyDescent="0.3">
      <c r="A362" t="s">
        <v>888</v>
      </c>
      <c r="B362" t="s">
        <v>889</v>
      </c>
      <c r="C362">
        <v>2013</v>
      </c>
      <c r="D362">
        <v>2010</v>
      </c>
      <c r="E362" t="s">
        <v>54</v>
      </c>
      <c r="F362">
        <v>132</v>
      </c>
      <c r="G362" t="s">
        <v>3999</v>
      </c>
      <c r="H362" t="s">
        <v>136</v>
      </c>
      <c r="I362" t="s">
        <v>315</v>
      </c>
      <c r="J362" t="s">
        <v>890</v>
      </c>
      <c r="K362">
        <v>48573</v>
      </c>
      <c r="L362">
        <v>311.02999999999997</v>
      </c>
      <c r="M362">
        <v>311.02999999999997</v>
      </c>
      <c r="N362" t="s">
        <v>3998</v>
      </c>
      <c r="O362" t="s">
        <v>3991</v>
      </c>
      <c r="P362" t="str">
        <f>TRIM(Table13_1[[#This Row],[Genre]])</f>
        <v>Thriller</v>
      </c>
    </row>
    <row r="363" spans="1:16" x14ac:dyDescent="0.3">
      <c r="A363" t="s">
        <v>891</v>
      </c>
      <c r="B363" t="s">
        <v>892</v>
      </c>
      <c r="C363">
        <v>1993</v>
      </c>
      <c r="D363">
        <v>1990</v>
      </c>
      <c r="E363" t="s">
        <v>17</v>
      </c>
      <c r="F363">
        <v>127</v>
      </c>
      <c r="G363" t="s">
        <v>3999</v>
      </c>
      <c r="H363" t="s">
        <v>894</v>
      </c>
      <c r="I363" t="s">
        <v>159</v>
      </c>
      <c r="J363" t="s">
        <v>895</v>
      </c>
      <c r="K363">
        <v>230821</v>
      </c>
      <c r="M363">
        <v>0</v>
      </c>
      <c r="N363" t="s">
        <v>4001</v>
      </c>
      <c r="O363" t="s">
        <v>453</v>
      </c>
      <c r="P363" t="str">
        <f>TRIM(Table13_1[[#This Row],[Genre]])</f>
        <v>Musical</v>
      </c>
    </row>
    <row r="364" spans="1:16" x14ac:dyDescent="0.3">
      <c r="A364" t="s">
        <v>891</v>
      </c>
      <c r="B364" t="s">
        <v>892</v>
      </c>
      <c r="C364">
        <v>1993</v>
      </c>
      <c r="D364">
        <v>1990</v>
      </c>
      <c r="E364" t="s">
        <v>17</v>
      </c>
      <c r="F364">
        <v>127</v>
      </c>
      <c r="G364" t="s">
        <v>3999</v>
      </c>
      <c r="H364" t="s">
        <v>894</v>
      </c>
      <c r="I364" t="s">
        <v>159</v>
      </c>
      <c r="J364" t="s">
        <v>895</v>
      </c>
      <c r="K364">
        <v>230821</v>
      </c>
      <c r="M364">
        <v>0</v>
      </c>
      <c r="N364" t="s">
        <v>4001</v>
      </c>
      <c r="O364" t="s">
        <v>3977</v>
      </c>
      <c r="P364" t="str">
        <f>TRIM(Table13_1[[#This Row],[Genre]])</f>
        <v>Animation</v>
      </c>
    </row>
    <row r="365" spans="1:16" x14ac:dyDescent="0.3">
      <c r="A365" t="s">
        <v>891</v>
      </c>
      <c r="B365" t="s">
        <v>892</v>
      </c>
      <c r="C365">
        <v>1993</v>
      </c>
      <c r="D365">
        <v>1990</v>
      </c>
      <c r="E365" t="s">
        <v>17</v>
      </c>
      <c r="F365">
        <v>127</v>
      </c>
      <c r="G365" t="s">
        <v>3999</v>
      </c>
      <c r="H365" t="s">
        <v>894</v>
      </c>
      <c r="I365" t="s">
        <v>159</v>
      </c>
      <c r="J365" t="s">
        <v>895</v>
      </c>
      <c r="K365">
        <v>230821</v>
      </c>
      <c r="M365">
        <v>0</v>
      </c>
      <c r="N365" t="s">
        <v>4001</v>
      </c>
      <c r="O365" t="s">
        <v>3992</v>
      </c>
      <c r="P365" t="str">
        <f>TRIM(Table13_1[[#This Row],[Genre]])</f>
        <v>Biography</v>
      </c>
    </row>
    <row r="366" spans="1:16" x14ac:dyDescent="0.3">
      <c r="A366" t="s">
        <v>896</v>
      </c>
      <c r="B366" t="s">
        <v>897</v>
      </c>
      <c r="C366">
        <v>2024</v>
      </c>
      <c r="D366">
        <v>2020</v>
      </c>
      <c r="E366" t="s">
        <v>17</v>
      </c>
      <c r="F366">
        <v>153</v>
      </c>
      <c r="G366" t="s">
        <v>3999</v>
      </c>
      <c r="H366" t="s">
        <v>898</v>
      </c>
      <c r="I366" t="s">
        <v>103</v>
      </c>
      <c r="J366" t="s">
        <v>899</v>
      </c>
      <c r="K366">
        <v>79694</v>
      </c>
      <c r="L366">
        <v>983.71</v>
      </c>
      <c r="M366">
        <v>983.71</v>
      </c>
      <c r="N366" t="s">
        <v>3998</v>
      </c>
      <c r="O366" t="s">
        <v>55</v>
      </c>
      <c r="P366" t="str">
        <f>TRIM(Table13_1[[#This Row],[Genre]])</f>
        <v>Romance</v>
      </c>
    </row>
    <row r="367" spans="1:16" x14ac:dyDescent="0.3">
      <c r="A367" t="s">
        <v>900</v>
      </c>
      <c r="B367" t="s">
        <v>901</v>
      </c>
      <c r="C367">
        <v>2001</v>
      </c>
      <c r="D367">
        <v>2000</v>
      </c>
      <c r="E367" t="s">
        <v>54</v>
      </c>
      <c r="F367">
        <v>130</v>
      </c>
      <c r="G367" t="s">
        <v>3999</v>
      </c>
      <c r="H367" t="s">
        <v>903</v>
      </c>
      <c r="I367" t="s">
        <v>113</v>
      </c>
      <c r="J367" t="s">
        <v>904</v>
      </c>
      <c r="K367">
        <v>345913</v>
      </c>
      <c r="L367">
        <v>95.88</v>
      </c>
      <c r="M367">
        <v>95.88</v>
      </c>
      <c r="N367" t="s">
        <v>4001</v>
      </c>
      <c r="O367" t="s">
        <v>1044</v>
      </c>
      <c r="P367" t="str">
        <f>TRIM(Table13_1[[#This Row],[Genre]])</f>
        <v>Comedy</v>
      </c>
    </row>
    <row r="368" spans="1:16" x14ac:dyDescent="0.3">
      <c r="A368" t="s">
        <v>900</v>
      </c>
      <c r="B368" t="s">
        <v>901</v>
      </c>
      <c r="C368">
        <v>2001</v>
      </c>
      <c r="D368">
        <v>2000</v>
      </c>
      <c r="E368" t="s">
        <v>54</v>
      </c>
      <c r="F368">
        <v>130</v>
      </c>
      <c r="G368" t="s">
        <v>3999</v>
      </c>
      <c r="H368" t="s">
        <v>903</v>
      </c>
      <c r="I368" t="s">
        <v>113</v>
      </c>
      <c r="J368" t="s">
        <v>904</v>
      </c>
      <c r="K368">
        <v>345913</v>
      </c>
      <c r="L368">
        <v>95.88</v>
      </c>
      <c r="M368">
        <v>95.88</v>
      </c>
      <c r="N368" t="s">
        <v>4001</v>
      </c>
      <c r="O368" t="s">
        <v>3983</v>
      </c>
      <c r="P368" t="str">
        <f>TRIM(Table13_1[[#This Row],[Genre]])</f>
        <v>Crime</v>
      </c>
    </row>
    <row r="369" spans="1:16" x14ac:dyDescent="0.3">
      <c r="A369" t="s">
        <v>905</v>
      </c>
      <c r="B369" t="s">
        <v>906</v>
      </c>
      <c r="C369">
        <v>2010</v>
      </c>
      <c r="D369">
        <v>2010</v>
      </c>
      <c r="E369" t="s">
        <v>24</v>
      </c>
      <c r="F369">
        <v>131</v>
      </c>
      <c r="G369" t="s">
        <v>3999</v>
      </c>
      <c r="H369" t="s">
        <v>422</v>
      </c>
      <c r="I369" t="s">
        <v>86</v>
      </c>
      <c r="J369" t="s">
        <v>907</v>
      </c>
      <c r="K369">
        <v>204991</v>
      </c>
      <c r="L369">
        <v>155.33000000000001</v>
      </c>
      <c r="M369">
        <v>155.33000000000001</v>
      </c>
      <c r="N369" t="s">
        <v>4002</v>
      </c>
      <c r="O369" t="s">
        <v>375</v>
      </c>
      <c r="P369" t="str">
        <f>TRIM(Table13_1[[#This Row],[Genre]])</f>
        <v>Family</v>
      </c>
    </row>
    <row r="370" spans="1:16" x14ac:dyDescent="0.3">
      <c r="A370" t="s">
        <v>905</v>
      </c>
      <c r="B370" t="s">
        <v>906</v>
      </c>
      <c r="C370">
        <v>2010</v>
      </c>
      <c r="D370">
        <v>2010</v>
      </c>
      <c r="E370" t="s">
        <v>24</v>
      </c>
      <c r="F370">
        <v>131</v>
      </c>
      <c r="G370" t="s">
        <v>3999</v>
      </c>
      <c r="H370" t="s">
        <v>422</v>
      </c>
      <c r="I370" t="s">
        <v>86</v>
      </c>
      <c r="J370" t="s">
        <v>907</v>
      </c>
      <c r="K370">
        <v>204991</v>
      </c>
      <c r="L370">
        <v>155.33000000000001</v>
      </c>
      <c r="M370">
        <v>155.33000000000001</v>
      </c>
      <c r="N370" t="s">
        <v>4002</v>
      </c>
      <c r="O370" t="s">
        <v>3983</v>
      </c>
      <c r="P370" t="str">
        <f>TRIM(Table13_1[[#This Row],[Genre]])</f>
        <v>Crime</v>
      </c>
    </row>
    <row r="371" spans="1:16" x14ac:dyDescent="0.3">
      <c r="A371" t="s">
        <v>908</v>
      </c>
      <c r="B371" t="s">
        <v>909</v>
      </c>
      <c r="C371">
        <v>2002</v>
      </c>
      <c r="D371">
        <v>2000</v>
      </c>
      <c r="E371" t="s">
        <v>54</v>
      </c>
      <c r="F371">
        <v>119</v>
      </c>
      <c r="G371" t="s">
        <v>3997</v>
      </c>
      <c r="H371" t="s">
        <v>911</v>
      </c>
      <c r="I371" t="s">
        <v>125</v>
      </c>
      <c r="J371" t="s">
        <v>912</v>
      </c>
      <c r="K371">
        <v>71064</v>
      </c>
      <c r="L371">
        <v>13.22</v>
      </c>
      <c r="M371">
        <v>13.22</v>
      </c>
      <c r="N371" t="s">
        <v>4001</v>
      </c>
      <c r="O371" t="s">
        <v>129</v>
      </c>
      <c r="P371" t="str">
        <f>TRIM(Table13_1[[#This Row],[Genre]])</f>
        <v>Horror</v>
      </c>
    </row>
    <row r="372" spans="1:16" x14ac:dyDescent="0.3">
      <c r="A372" t="s">
        <v>908</v>
      </c>
      <c r="B372" t="s">
        <v>909</v>
      </c>
      <c r="C372">
        <v>2002</v>
      </c>
      <c r="D372">
        <v>2000</v>
      </c>
      <c r="E372" t="s">
        <v>54</v>
      </c>
      <c r="F372">
        <v>119</v>
      </c>
      <c r="G372" t="s">
        <v>3997</v>
      </c>
      <c r="H372" t="s">
        <v>911</v>
      </c>
      <c r="I372" t="s">
        <v>125</v>
      </c>
      <c r="J372" t="s">
        <v>912</v>
      </c>
      <c r="K372">
        <v>71064</v>
      </c>
      <c r="L372">
        <v>13.22</v>
      </c>
      <c r="M372">
        <v>13.22</v>
      </c>
      <c r="N372" t="s">
        <v>4001</v>
      </c>
      <c r="O372" t="s">
        <v>3983</v>
      </c>
      <c r="P372" t="str">
        <f>TRIM(Table13_1[[#This Row],[Genre]])</f>
        <v>Crime</v>
      </c>
    </row>
    <row r="373" spans="1:16" x14ac:dyDescent="0.3">
      <c r="A373" t="s">
        <v>908</v>
      </c>
      <c r="B373" t="s">
        <v>909</v>
      </c>
      <c r="C373">
        <v>2002</v>
      </c>
      <c r="D373">
        <v>2000</v>
      </c>
      <c r="E373" t="s">
        <v>54</v>
      </c>
      <c r="F373">
        <v>119</v>
      </c>
      <c r="G373" t="s">
        <v>3997</v>
      </c>
      <c r="H373" t="s">
        <v>911</v>
      </c>
      <c r="I373" t="s">
        <v>125</v>
      </c>
      <c r="J373" t="s">
        <v>912</v>
      </c>
      <c r="K373">
        <v>71064</v>
      </c>
      <c r="L373">
        <v>13.22</v>
      </c>
      <c r="M373">
        <v>13.22</v>
      </c>
      <c r="N373" t="s">
        <v>4001</v>
      </c>
      <c r="O373" t="s">
        <v>3980</v>
      </c>
      <c r="P373" t="str">
        <f>TRIM(Table13_1[[#This Row],[Genre]])</f>
        <v>Action</v>
      </c>
    </row>
    <row r="374" spans="1:16" x14ac:dyDescent="0.3">
      <c r="A374" t="s">
        <v>913</v>
      </c>
      <c r="B374" t="s">
        <v>914</v>
      </c>
      <c r="C374">
        <v>1987</v>
      </c>
      <c r="D374">
        <v>1980</v>
      </c>
      <c r="E374" t="s">
        <v>54</v>
      </c>
      <c r="F374">
        <v>120</v>
      </c>
      <c r="G374" t="s">
        <v>3997</v>
      </c>
      <c r="H374" t="s">
        <v>915</v>
      </c>
      <c r="I374" t="s">
        <v>125</v>
      </c>
      <c r="J374" t="s">
        <v>916</v>
      </c>
      <c r="K374">
        <v>71849</v>
      </c>
      <c r="M374">
        <v>0</v>
      </c>
      <c r="N374" t="s">
        <v>4001</v>
      </c>
      <c r="O374" t="s">
        <v>767</v>
      </c>
      <c r="P374" t="str">
        <f>TRIM(Table13_1[[#This Row],[Genre]])</f>
        <v>Fantasy</v>
      </c>
    </row>
    <row r="375" spans="1:16" x14ac:dyDescent="0.3">
      <c r="A375" t="s">
        <v>917</v>
      </c>
      <c r="B375" t="s">
        <v>918</v>
      </c>
      <c r="C375">
        <v>2008</v>
      </c>
      <c r="D375">
        <v>2000</v>
      </c>
      <c r="E375" t="s">
        <v>17</v>
      </c>
      <c r="F375">
        <v>119</v>
      </c>
      <c r="G375" t="s">
        <v>3997</v>
      </c>
      <c r="H375" t="s">
        <v>920</v>
      </c>
      <c r="I375" t="s">
        <v>593</v>
      </c>
      <c r="J375" t="s">
        <v>921</v>
      </c>
      <c r="K375">
        <v>55431</v>
      </c>
      <c r="M375">
        <v>0</v>
      </c>
      <c r="N375" t="s">
        <v>4001</v>
      </c>
      <c r="O375" t="s">
        <v>157</v>
      </c>
      <c r="P375" t="str">
        <f>TRIM(Table13_1[[#This Row],[Genre]])</f>
        <v>Animation</v>
      </c>
    </row>
    <row r="376" spans="1:16" x14ac:dyDescent="0.3">
      <c r="A376" t="s">
        <v>917</v>
      </c>
      <c r="B376" t="s">
        <v>918</v>
      </c>
      <c r="C376">
        <v>2008</v>
      </c>
      <c r="D376">
        <v>2000</v>
      </c>
      <c r="E376" t="s">
        <v>17</v>
      </c>
      <c r="F376">
        <v>119</v>
      </c>
      <c r="G376" t="s">
        <v>3997</v>
      </c>
      <c r="H376" t="s">
        <v>920</v>
      </c>
      <c r="I376" t="s">
        <v>593</v>
      </c>
      <c r="J376" t="s">
        <v>921</v>
      </c>
      <c r="K376">
        <v>55431</v>
      </c>
      <c r="M376">
        <v>0</v>
      </c>
      <c r="N376" t="s">
        <v>4001</v>
      </c>
      <c r="O376" t="s">
        <v>3981</v>
      </c>
      <c r="P376" t="str">
        <f>TRIM(Table13_1[[#This Row],[Genre]])</f>
        <v>Romance</v>
      </c>
    </row>
    <row r="377" spans="1:16" x14ac:dyDescent="0.3">
      <c r="A377" t="s">
        <v>922</v>
      </c>
      <c r="B377" t="s">
        <v>923</v>
      </c>
      <c r="C377">
        <v>2016</v>
      </c>
      <c r="D377">
        <v>2010</v>
      </c>
      <c r="E377" t="s">
        <v>17</v>
      </c>
      <c r="F377">
        <v>140</v>
      </c>
      <c r="G377" t="s">
        <v>3999</v>
      </c>
      <c r="H377" t="s">
        <v>491</v>
      </c>
      <c r="I377" t="s">
        <v>196</v>
      </c>
      <c r="J377" t="s">
        <v>925</v>
      </c>
      <c r="K377">
        <v>11655</v>
      </c>
      <c r="L377">
        <v>243.84</v>
      </c>
      <c r="M377">
        <v>243.84</v>
      </c>
      <c r="N377" t="s">
        <v>3998</v>
      </c>
      <c r="O377" t="s">
        <v>72</v>
      </c>
      <c r="P377" t="str">
        <f>TRIM(Table13_1[[#This Row],[Genre]])</f>
        <v>War</v>
      </c>
    </row>
    <row r="378" spans="1:16" x14ac:dyDescent="0.3">
      <c r="A378" t="s">
        <v>922</v>
      </c>
      <c r="B378" t="s">
        <v>923</v>
      </c>
      <c r="C378">
        <v>2016</v>
      </c>
      <c r="D378">
        <v>2010</v>
      </c>
      <c r="E378" t="s">
        <v>17</v>
      </c>
      <c r="F378">
        <v>140</v>
      </c>
      <c r="G378" t="s">
        <v>3999</v>
      </c>
      <c r="H378" t="s">
        <v>491</v>
      </c>
      <c r="I378" t="s">
        <v>196</v>
      </c>
      <c r="J378" t="s">
        <v>925</v>
      </c>
      <c r="K378">
        <v>11655</v>
      </c>
      <c r="L378">
        <v>243.84</v>
      </c>
      <c r="M378">
        <v>243.84</v>
      </c>
      <c r="N378" t="s">
        <v>3998</v>
      </c>
      <c r="O378" t="s">
        <v>3993</v>
      </c>
      <c r="P378" t="str">
        <f>TRIM(Table13_1[[#This Row],[Genre]])</f>
        <v>Comedy</v>
      </c>
    </row>
    <row r="379" spans="1:16" x14ac:dyDescent="0.3">
      <c r="A379" t="s">
        <v>926</v>
      </c>
      <c r="B379" t="s">
        <v>927</v>
      </c>
      <c r="C379">
        <v>2015</v>
      </c>
      <c r="D379">
        <v>2010</v>
      </c>
      <c r="E379" t="s">
        <v>169</v>
      </c>
      <c r="F379">
        <v>116</v>
      </c>
      <c r="G379" t="s">
        <v>3997</v>
      </c>
      <c r="H379" t="s">
        <v>929</v>
      </c>
      <c r="I379" t="s">
        <v>191</v>
      </c>
      <c r="J379" t="s">
        <v>930</v>
      </c>
      <c r="K379">
        <v>145850</v>
      </c>
      <c r="L379">
        <v>939.39</v>
      </c>
      <c r="M379">
        <v>939.39</v>
      </c>
      <c r="N379" t="s">
        <v>3998</v>
      </c>
      <c r="O379" t="s">
        <v>606</v>
      </c>
      <c r="P379" t="str">
        <f>TRIM(Table13_1[[#This Row],[Genre]])</f>
        <v>Sci-Fi</v>
      </c>
    </row>
    <row r="380" spans="1:16" x14ac:dyDescent="0.3">
      <c r="A380" t="s">
        <v>926</v>
      </c>
      <c r="B380" t="s">
        <v>927</v>
      </c>
      <c r="C380">
        <v>2015</v>
      </c>
      <c r="D380">
        <v>2010</v>
      </c>
      <c r="E380" t="s">
        <v>169</v>
      </c>
      <c r="F380">
        <v>116</v>
      </c>
      <c r="G380" t="s">
        <v>3997</v>
      </c>
      <c r="H380" t="s">
        <v>929</v>
      </c>
      <c r="I380" t="s">
        <v>191</v>
      </c>
      <c r="J380" t="s">
        <v>930</v>
      </c>
      <c r="K380">
        <v>145850</v>
      </c>
      <c r="L380">
        <v>939.39</v>
      </c>
      <c r="M380">
        <v>939.39</v>
      </c>
      <c r="N380" t="s">
        <v>3998</v>
      </c>
      <c r="O380" t="s">
        <v>3984</v>
      </c>
      <c r="P380" t="str">
        <f>TRIM(Table13_1[[#This Row],[Genre]])</f>
        <v>Adventure</v>
      </c>
    </row>
    <row r="381" spans="1:16" x14ac:dyDescent="0.3">
      <c r="A381" t="s">
        <v>926</v>
      </c>
      <c r="B381" t="s">
        <v>927</v>
      </c>
      <c r="C381">
        <v>2015</v>
      </c>
      <c r="D381">
        <v>2010</v>
      </c>
      <c r="E381" t="s">
        <v>169</v>
      </c>
      <c r="F381">
        <v>116</v>
      </c>
      <c r="G381" t="s">
        <v>3997</v>
      </c>
      <c r="H381" t="s">
        <v>929</v>
      </c>
      <c r="I381" t="s">
        <v>191</v>
      </c>
      <c r="J381" t="s">
        <v>930</v>
      </c>
      <c r="K381">
        <v>145850</v>
      </c>
      <c r="L381">
        <v>939.39</v>
      </c>
      <c r="M381">
        <v>939.39</v>
      </c>
      <c r="N381" t="s">
        <v>3998</v>
      </c>
      <c r="O381" t="s">
        <v>3976</v>
      </c>
      <c r="P381" t="str">
        <f>TRIM(Table13_1[[#This Row],[Genre]])</f>
        <v>Musical</v>
      </c>
    </row>
    <row r="382" spans="1:16" x14ac:dyDescent="0.3">
      <c r="A382" t="s">
        <v>931</v>
      </c>
      <c r="B382" t="s">
        <v>932</v>
      </c>
      <c r="C382">
        <v>2012</v>
      </c>
      <c r="D382">
        <v>2010</v>
      </c>
      <c r="E382" t="s">
        <v>24</v>
      </c>
      <c r="F382">
        <v>104</v>
      </c>
      <c r="G382" t="s">
        <v>3997</v>
      </c>
      <c r="H382" t="s">
        <v>933</v>
      </c>
      <c r="I382" t="s">
        <v>103</v>
      </c>
      <c r="J382" t="s">
        <v>934</v>
      </c>
      <c r="K382">
        <v>61819</v>
      </c>
      <c r="L382">
        <v>78.05</v>
      </c>
      <c r="M382">
        <v>78.05</v>
      </c>
      <c r="N382" t="s">
        <v>4001</v>
      </c>
      <c r="O382" t="s">
        <v>767</v>
      </c>
      <c r="P382" t="str">
        <f>TRIM(Table13_1[[#This Row],[Genre]])</f>
        <v>Fantasy</v>
      </c>
    </row>
    <row r="383" spans="1:16" x14ac:dyDescent="0.3">
      <c r="A383" t="s">
        <v>931</v>
      </c>
      <c r="B383" t="s">
        <v>932</v>
      </c>
      <c r="C383">
        <v>2012</v>
      </c>
      <c r="D383">
        <v>2010</v>
      </c>
      <c r="E383" t="s">
        <v>24</v>
      </c>
      <c r="F383">
        <v>104</v>
      </c>
      <c r="G383" t="s">
        <v>3997</v>
      </c>
      <c r="H383" t="s">
        <v>933</v>
      </c>
      <c r="I383" t="s">
        <v>103</v>
      </c>
      <c r="J383" t="s">
        <v>934</v>
      </c>
      <c r="K383">
        <v>61819</v>
      </c>
      <c r="L383">
        <v>78.05</v>
      </c>
      <c r="M383">
        <v>78.05</v>
      </c>
      <c r="N383" t="s">
        <v>4001</v>
      </c>
      <c r="O383" t="s">
        <v>3991</v>
      </c>
      <c r="P383" t="str">
        <f>TRIM(Table13_1[[#This Row],[Genre]])</f>
        <v>Thriller</v>
      </c>
    </row>
    <row r="384" spans="1:16" x14ac:dyDescent="0.3">
      <c r="A384" t="s">
        <v>935</v>
      </c>
      <c r="B384" t="s">
        <v>936</v>
      </c>
      <c r="C384">
        <v>2016</v>
      </c>
      <c r="D384">
        <v>2010</v>
      </c>
      <c r="E384" t="s">
        <v>24</v>
      </c>
      <c r="F384">
        <v>144</v>
      </c>
      <c r="G384" t="s">
        <v>3999</v>
      </c>
      <c r="H384" t="s">
        <v>566</v>
      </c>
      <c r="I384" t="s">
        <v>80</v>
      </c>
      <c r="J384" t="s">
        <v>938</v>
      </c>
      <c r="K384">
        <v>149299</v>
      </c>
      <c r="M384">
        <v>0</v>
      </c>
      <c r="N384" t="s">
        <v>4001</v>
      </c>
      <c r="O384" t="s">
        <v>48</v>
      </c>
      <c r="P384" t="str">
        <f>TRIM(Table13_1[[#This Row],[Genre]])</f>
        <v>Crime</v>
      </c>
    </row>
    <row r="385" spans="1:16" x14ac:dyDescent="0.3">
      <c r="A385" t="s">
        <v>935</v>
      </c>
      <c r="B385" t="s">
        <v>936</v>
      </c>
      <c r="C385">
        <v>2016</v>
      </c>
      <c r="D385">
        <v>2010</v>
      </c>
      <c r="E385" t="s">
        <v>24</v>
      </c>
      <c r="F385">
        <v>144</v>
      </c>
      <c r="G385" t="s">
        <v>3999</v>
      </c>
      <c r="H385" t="s">
        <v>566</v>
      </c>
      <c r="I385" t="s">
        <v>80</v>
      </c>
      <c r="J385" t="s">
        <v>938</v>
      </c>
      <c r="K385">
        <v>149299</v>
      </c>
      <c r="M385">
        <v>0</v>
      </c>
      <c r="N385" t="s">
        <v>4001</v>
      </c>
      <c r="O385" t="s">
        <v>3993</v>
      </c>
      <c r="P385" t="str">
        <f>TRIM(Table13_1[[#This Row],[Genre]])</f>
        <v>Comedy</v>
      </c>
    </row>
    <row r="386" spans="1:16" x14ac:dyDescent="0.3">
      <c r="A386" t="s">
        <v>935</v>
      </c>
      <c r="B386" t="s">
        <v>936</v>
      </c>
      <c r="C386">
        <v>2016</v>
      </c>
      <c r="D386">
        <v>2010</v>
      </c>
      <c r="E386" t="s">
        <v>24</v>
      </c>
      <c r="F386">
        <v>144</v>
      </c>
      <c r="G386" t="s">
        <v>3999</v>
      </c>
      <c r="H386" t="s">
        <v>566</v>
      </c>
      <c r="I386" t="s">
        <v>80</v>
      </c>
      <c r="J386" t="s">
        <v>938</v>
      </c>
      <c r="K386">
        <v>149299</v>
      </c>
      <c r="M386">
        <v>0</v>
      </c>
      <c r="N386" t="s">
        <v>4001</v>
      </c>
      <c r="O386" t="s">
        <v>3976</v>
      </c>
      <c r="P386" t="str">
        <f>TRIM(Table13_1[[#This Row],[Genre]])</f>
        <v>Musical</v>
      </c>
    </row>
    <row r="387" spans="1:16" x14ac:dyDescent="0.3">
      <c r="A387" t="s">
        <v>939</v>
      </c>
      <c r="B387" t="s">
        <v>940</v>
      </c>
      <c r="C387">
        <v>2007</v>
      </c>
      <c r="D387">
        <v>2000</v>
      </c>
      <c r="E387" t="s">
        <v>24</v>
      </c>
      <c r="F387">
        <v>141</v>
      </c>
      <c r="G387" t="s">
        <v>3999</v>
      </c>
      <c r="H387" t="s">
        <v>355</v>
      </c>
      <c r="I387" t="s">
        <v>251</v>
      </c>
      <c r="J387" t="s">
        <v>942</v>
      </c>
      <c r="K387">
        <v>355238</v>
      </c>
      <c r="L387">
        <v>297.95</v>
      </c>
      <c r="M387">
        <v>297.95</v>
      </c>
      <c r="N387" t="s">
        <v>3998</v>
      </c>
      <c r="O387" t="s">
        <v>868</v>
      </c>
      <c r="P387" t="str">
        <f>TRIM(Table13_1[[#This Row],[Genre]])</f>
        <v>Western</v>
      </c>
    </row>
    <row r="388" spans="1:16" x14ac:dyDescent="0.3">
      <c r="A388" t="s">
        <v>939</v>
      </c>
      <c r="B388" t="s">
        <v>940</v>
      </c>
      <c r="C388">
        <v>2007</v>
      </c>
      <c r="D388">
        <v>2000</v>
      </c>
      <c r="E388" t="s">
        <v>24</v>
      </c>
      <c r="F388">
        <v>141</v>
      </c>
      <c r="G388" t="s">
        <v>3999</v>
      </c>
      <c r="H388" t="s">
        <v>355</v>
      </c>
      <c r="I388" t="s">
        <v>251</v>
      </c>
      <c r="J388" t="s">
        <v>942</v>
      </c>
      <c r="K388">
        <v>355238</v>
      </c>
      <c r="L388">
        <v>297.95</v>
      </c>
      <c r="M388">
        <v>297.95</v>
      </c>
      <c r="N388" t="s">
        <v>3998</v>
      </c>
      <c r="O388" t="s">
        <v>3989</v>
      </c>
      <c r="P388" t="str">
        <f>TRIM(Table13_1[[#This Row],[Genre]])</f>
        <v>Sci-Fi</v>
      </c>
    </row>
    <row r="389" spans="1:16" x14ac:dyDescent="0.3">
      <c r="A389" t="s">
        <v>943</v>
      </c>
      <c r="B389" t="s">
        <v>944</v>
      </c>
      <c r="C389">
        <v>2016</v>
      </c>
      <c r="D389">
        <v>2010</v>
      </c>
      <c r="E389" t="s">
        <v>24</v>
      </c>
      <c r="F389">
        <v>112</v>
      </c>
      <c r="G389" t="s">
        <v>3997</v>
      </c>
      <c r="H389" t="s">
        <v>130</v>
      </c>
      <c r="I389" t="s">
        <v>27</v>
      </c>
      <c r="J389" t="s">
        <v>945</v>
      </c>
      <c r="K389">
        <v>1011433</v>
      </c>
      <c r="M389">
        <v>0</v>
      </c>
      <c r="N389" t="s">
        <v>4001</v>
      </c>
      <c r="O389" t="s">
        <v>129</v>
      </c>
      <c r="P389" t="str">
        <f>TRIM(Table13_1[[#This Row],[Genre]])</f>
        <v>Horror</v>
      </c>
    </row>
    <row r="390" spans="1:16" x14ac:dyDescent="0.3">
      <c r="A390" t="s">
        <v>946</v>
      </c>
      <c r="B390" t="s">
        <v>947</v>
      </c>
      <c r="C390">
        <v>1977</v>
      </c>
      <c r="D390">
        <v>1970</v>
      </c>
      <c r="E390" t="s">
        <v>24</v>
      </c>
      <c r="F390">
        <v>108</v>
      </c>
      <c r="G390" t="s">
        <v>3997</v>
      </c>
      <c r="H390" t="s">
        <v>629</v>
      </c>
      <c r="I390" t="s">
        <v>57</v>
      </c>
      <c r="J390" t="s">
        <v>949</v>
      </c>
      <c r="K390">
        <v>57557</v>
      </c>
      <c r="L390">
        <v>159.65</v>
      </c>
      <c r="M390">
        <v>159.65</v>
      </c>
      <c r="N390" t="s">
        <v>4002</v>
      </c>
      <c r="O390" t="s">
        <v>157</v>
      </c>
      <c r="P390" t="str">
        <f>TRIM(Table13_1[[#This Row],[Genre]])</f>
        <v>Animation</v>
      </c>
    </row>
    <row r="391" spans="1:16" x14ac:dyDescent="0.3">
      <c r="A391" t="s">
        <v>946</v>
      </c>
      <c r="B391" t="s">
        <v>947</v>
      </c>
      <c r="C391">
        <v>1977</v>
      </c>
      <c r="D391">
        <v>1970</v>
      </c>
      <c r="E391" t="s">
        <v>24</v>
      </c>
      <c r="F391">
        <v>108</v>
      </c>
      <c r="G391" t="s">
        <v>3997</v>
      </c>
      <c r="H391" t="s">
        <v>629</v>
      </c>
      <c r="I391" t="s">
        <v>57</v>
      </c>
      <c r="J391" t="s">
        <v>949</v>
      </c>
      <c r="K391">
        <v>57557</v>
      </c>
      <c r="L391">
        <v>159.65</v>
      </c>
      <c r="M391">
        <v>159.65</v>
      </c>
      <c r="N391" t="s">
        <v>4002</v>
      </c>
      <c r="O391" t="s">
        <v>3989</v>
      </c>
      <c r="P391" t="str">
        <f>TRIM(Table13_1[[#This Row],[Genre]])</f>
        <v>Sci-Fi</v>
      </c>
    </row>
    <row r="392" spans="1:16" x14ac:dyDescent="0.3">
      <c r="A392" t="s">
        <v>950</v>
      </c>
      <c r="B392" t="s">
        <v>951</v>
      </c>
      <c r="C392">
        <v>1964</v>
      </c>
      <c r="D392">
        <v>1960</v>
      </c>
      <c r="E392" t="s">
        <v>54</v>
      </c>
      <c r="F392">
        <v>135</v>
      </c>
      <c r="G392" t="s">
        <v>3999</v>
      </c>
      <c r="H392" t="s">
        <v>952</v>
      </c>
      <c r="I392" t="s">
        <v>251</v>
      </c>
      <c r="J392" t="s">
        <v>953</v>
      </c>
      <c r="K392">
        <v>294597</v>
      </c>
      <c r="L392">
        <v>187.49</v>
      </c>
      <c r="M392">
        <v>187.49</v>
      </c>
      <c r="N392" t="s">
        <v>4002</v>
      </c>
      <c r="O392" t="s">
        <v>1044</v>
      </c>
      <c r="P392" t="str">
        <f>TRIM(Table13_1[[#This Row],[Genre]])</f>
        <v>Comedy</v>
      </c>
    </row>
    <row r="393" spans="1:16" x14ac:dyDescent="0.3">
      <c r="A393" t="s">
        <v>950</v>
      </c>
      <c r="B393" t="s">
        <v>951</v>
      </c>
      <c r="C393">
        <v>1964</v>
      </c>
      <c r="D393">
        <v>1960</v>
      </c>
      <c r="E393" t="s">
        <v>54</v>
      </c>
      <c r="F393">
        <v>135</v>
      </c>
      <c r="G393" t="s">
        <v>3999</v>
      </c>
      <c r="H393" t="s">
        <v>952</v>
      </c>
      <c r="I393" t="s">
        <v>251</v>
      </c>
      <c r="J393" t="s">
        <v>953</v>
      </c>
      <c r="K393">
        <v>294597</v>
      </c>
      <c r="L393">
        <v>187.49</v>
      </c>
      <c r="M393">
        <v>187.49</v>
      </c>
      <c r="N393" t="s">
        <v>4002</v>
      </c>
      <c r="O393" t="s">
        <v>3982</v>
      </c>
      <c r="P393" t="str">
        <f>TRIM(Table13_1[[#This Row],[Genre]])</f>
        <v>Family</v>
      </c>
    </row>
    <row r="394" spans="1:16" x14ac:dyDescent="0.3">
      <c r="A394" t="s">
        <v>954</v>
      </c>
      <c r="B394" t="s">
        <v>955</v>
      </c>
      <c r="C394">
        <v>2001</v>
      </c>
      <c r="D394">
        <v>2000</v>
      </c>
      <c r="E394" t="s">
        <v>17</v>
      </c>
      <c r="F394">
        <v>127</v>
      </c>
      <c r="G394" t="s">
        <v>3999</v>
      </c>
      <c r="H394" t="s">
        <v>957</v>
      </c>
      <c r="I394" t="s">
        <v>50</v>
      </c>
      <c r="J394" t="s">
        <v>958</v>
      </c>
      <c r="K394">
        <v>1224943</v>
      </c>
      <c r="M394">
        <v>0</v>
      </c>
      <c r="N394" t="s">
        <v>4001</v>
      </c>
      <c r="O394" t="s">
        <v>157</v>
      </c>
      <c r="P394" t="str">
        <f>TRIM(Table13_1[[#This Row],[Genre]])</f>
        <v>Animation</v>
      </c>
    </row>
    <row r="395" spans="1:16" x14ac:dyDescent="0.3">
      <c r="A395" t="s">
        <v>954</v>
      </c>
      <c r="B395" t="s">
        <v>955</v>
      </c>
      <c r="C395">
        <v>2001</v>
      </c>
      <c r="D395">
        <v>2000</v>
      </c>
      <c r="E395" t="s">
        <v>17</v>
      </c>
      <c r="F395">
        <v>127</v>
      </c>
      <c r="G395" t="s">
        <v>3999</v>
      </c>
      <c r="H395" t="s">
        <v>957</v>
      </c>
      <c r="I395" t="s">
        <v>50</v>
      </c>
      <c r="J395" t="s">
        <v>958</v>
      </c>
      <c r="K395">
        <v>1224943</v>
      </c>
      <c r="M395">
        <v>0</v>
      </c>
      <c r="N395" t="s">
        <v>4001</v>
      </c>
      <c r="O395" t="s">
        <v>3984</v>
      </c>
      <c r="P395" t="str">
        <f>TRIM(Table13_1[[#This Row],[Genre]])</f>
        <v>Adventure</v>
      </c>
    </row>
    <row r="396" spans="1:16" x14ac:dyDescent="0.3">
      <c r="A396" t="s">
        <v>954</v>
      </c>
      <c r="B396" t="s">
        <v>955</v>
      </c>
      <c r="C396">
        <v>2001</v>
      </c>
      <c r="D396">
        <v>2000</v>
      </c>
      <c r="E396" t="s">
        <v>17</v>
      </c>
      <c r="F396">
        <v>127</v>
      </c>
      <c r="G396" t="s">
        <v>3999</v>
      </c>
      <c r="H396" t="s">
        <v>957</v>
      </c>
      <c r="I396" t="s">
        <v>50</v>
      </c>
      <c r="J396" t="s">
        <v>958</v>
      </c>
      <c r="K396">
        <v>1224943</v>
      </c>
      <c r="M396">
        <v>0</v>
      </c>
      <c r="N396" t="s">
        <v>4001</v>
      </c>
      <c r="O396" t="s">
        <v>3976</v>
      </c>
      <c r="P396" t="str">
        <f>TRIM(Table13_1[[#This Row],[Genre]])</f>
        <v>Musical</v>
      </c>
    </row>
    <row r="397" spans="1:16" x14ac:dyDescent="0.3">
      <c r="A397" t="s">
        <v>959</v>
      </c>
      <c r="B397" t="s">
        <v>960</v>
      </c>
      <c r="C397">
        <v>2000</v>
      </c>
      <c r="D397">
        <v>2000</v>
      </c>
      <c r="E397" t="s">
        <v>24</v>
      </c>
      <c r="F397">
        <v>127</v>
      </c>
      <c r="G397" t="s">
        <v>3999</v>
      </c>
      <c r="H397" t="s">
        <v>962</v>
      </c>
      <c r="I397" t="s">
        <v>159</v>
      </c>
      <c r="J397" t="s">
        <v>963</v>
      </c>
      <c r="K397">
        <v>75401</v>
      </c>
      <c r="L397">
        <v>121.92</v>
      </c>
      <c r="M397">
        <v>121.92</v>
      </c>
      <c r="N397" t="s">
        <v>4002</v>
      </c>
      <c r="O397" t="s">
        <v>767</v>
      </c>
      <c r="P397" t="str">
        <f>TRIM(Table13_1[[#This Row],[Genre]])</f>
        <v>Fantasy</v>
      </c>
    </row>
    <row r="398" spans="1:16" x14ac:dyDescent="0.3">
      <c r="A398" t="s">
        <v>959</v>
      </c>
      <c r="B398" t="s">
        <v>960</v>
      </c>
      <c r="C398">
        <v>2000</v>
      </c>
      <c r="D398">
        <v>2000</v>
      </c>
      <c r="E398" t="s">
        <v>24</v>
      </c>
      <c r="F398">
        <v>127</v>
      </c>
      <c r="G398" t="s">
        <v>3999</v>
      </c>
      <c r="H398" t="s">
        <v>962</v>
      </c>
      <c r="I398" t="s">
        <v>159</v>
      </c>
      <c r="J398" t="s">
        <v>963</v>
      </c>
      <c r="K398">
        <v>75401</v>
      </c>
      <c r="L398">
        <v>121.92</v>
      </c>
      <c r="M398">
        <v>121.92</v>
      </c>
      <c r="N398" t="s">
        <v>4002</v>
      </c>
      <c r="O398" t="s">
        <v>3979</v>
      </c>
      <c r="P398" t="str">
        <f>TRIM(Table13_1[[#This Row],[Genre]])</f>
        <v>War</v>
      </c>
    </row>
    <row r="399" spans="1:16" x14ac:dyDescent="0.3">
      <c r="A399" t="s">
        <v>964</v>
      </c>
      <c r="B399" t="s">
        <v>965</v>
      </c>
      <c r="C399">
        <v>1982</v>
      </c>
      <c r="D399">
        <v>1980</v>
      </c>
      <c r="E399" t="s">
        <v>17</v>
      </c>
      <c r="F399">
        <v>92</v>
      </c>
      <c r="G399" t="s">
        <v>3997</v>
      </c>
      <c r="H399" t="s">
        <v>278</v>
      </c>
      <c r="I399" t="s">
        <v>251</v>
      </c>
      <c r="J399" t="s">
        <v>966</v>
      </c>
      <c r="K399">
        <v>77786</v>
      </c>
      <c r="M399">
        <v>0</v>
      </c>
      <c r="N399" t="s">
        <v>4001</v>
      </c>
      <c r="O399" t="s">
        <v>277</v>
      </c>
      <c r="P399" t="str">
        <f>TRIM(Table13_1[[#This Row],[Genre]])</f>
        <v>Thriller</v>
      </c>
    </row>
    <row r="400" spans="1:16" x14ac:dyDescent="0.3">
      <c r="A400" t="s">
        <v>967</v>
      </c>
      <c r="B400" t="s">
        <v>968</v>
      </c>
      <c r="C400">
        <v>1997</v>
      </c>
      <c r="D400">
        <v>1990</v>
      </c>
      <c r="E400" t="s">
        <v>17</v>
      </c>
      <c r="F400">
        <v>133</v>
      </c>
      <c r="G400" t="s">
        <v>3999</v>
      </c>
      <c r="H400" t="s">
        <v>970</v>
      </c>
      <c r="I400" t="s">
        <v>39</v>
      </c>
      <c r="J400" t="s">
        <v>971</v>
      </c>
      <c r="K400">
        <v>194975</v>
      </c>
      <c r="L400">
        <v>101.17</v>
      </c>
      <c r="M400">
        <v>101.17</v>
      </c>
      <c r="N400" t="s">
        <v>4002</v>
      </c>
      <c r="O400" t="s">
        <v>129</v>
      </c>
      <c r="P400" t="str">
        <f>TRIM(Table13_1[[#This Row],[Genre]])</f>
        <v>Horror</v>
      </c>
    </row>
    <row r="401" spans="1:16" x14ac:dyDescent="0.3">
      <c r="A401" t="s">
        <v>967</v>
      </c>
      <c r="B401" t="s">
        <v>968</v>
      </c>
      <c r="C401">
        <v>1997</v>
      </c>
      <c r="D401">
        <v>1990</v>
      </c>
      <c r="E401" t="s">
        <v>17</v>
      </c>
      <c r="F401">
        <v>133</v>
      </c>
      <c r="G401" t="s">
        <v>3999</v>
      </c>
      <c r="H401" t="s">
        <v>970</v>
      </c>
      <c r="I401" t="s">
        <v>39</v>
      </c>
      <c r="J401" t="s">
        <v>971</v>
      </c>
      <c r="K401">
        <v>194975</v>
      </c>
      <c r="L401">
        <v>101.17</v>
      </c>
      <c r="M401">
        <v>101.17</v>
      </c>
      <c r="N401" t="s">
        <v>4002</v>
      </c>
      <c r="O401" t="s">
        <v>3976</v>
      </c>
      <c r="P401" t="str">
        <f>TRIM(Table13_1[[#This Row],[Genre]])</f>
        <v>Musical</v>
      </c>
    </row>
    <row r="402" spans="1:16" x14ac:dyDescent="0.3">
      <c r="A402" t="s">
        <v>972</v>
      </c>
      <c r="B402" t="s">
        <v>973</v>
      </c>
      <c r="C402">
        <v>2006</v>
      </c>
      <c r="D402">
        <v>2000</v>
      </c>
      <c r="E402" t="s">
        <v>54</v>
      </c>
      <c r="F402">
        <v>112</v>
      </c>
      <c r="G402" t="s">
        <v>3997</v>
      </c>
      <c r="H402" t="s">
        <v>395</v>
      </c>
      <c r="I402" t="s">
        <v>251</v>
      </c>
      <c r="J402" t="s">
        <v>975</v>
      </c>
      <c r="K402">
        <v>151071</v>
      </c>
      <c r="L402">
        <v>497.82</v>
      </c>
      <c r="M402">
        <v>497.82</v>
      </c>
      <c r="N402" t="s">
        <v>3998</v>
      </c>
      <c r="O402" t="s">
        <v>277</v>
      </c>
      <c r="P402" t="str">
        <f>TRIM(Table13_1[[#This Row],[Genre]])</f>
        <v>Thriller</v>
      </c>
    </row>
    <row r="403" spans="1:16" x14ac:dyDescent="0.3">
      <c r="A403" t="s">
        <v>972</v>
      </c>
      <c r="B403" t="s">
        <v>973</v>
      </c>
      <c r="C403">
        <v>2006</v>
      </c>
      <c r="D403">
        <v>2000</v>
      </c>
      <c r="E403" t="s">
        <v>54</v>
      </c>
      <c r="F403">
        <v>112</v>
      </c>
      <c r="G403" t="s">
        <v>3997</v>
      </c>
      <c r="H403" t="s">
        <v>395</v>
      </c>
      <c r="I403" t="s">
        <v>251</v>
      </c>
      <c r="J403" t="s">
        <v>975</v>
      </c>
      <c r="K403">
        <v>151071</v>
      </c>
      <c r="L403">
        <v>497.82</v>
      </c>
      <c r="M403">
        <v>497.82</v>
      </c>
      <c r="N403" t="s">
        <v>3998</v>
      </c>
      <c r="O403" t="s">
        <v>3982</v>
      </c>
      <c r="P403" t="str">
        <f>TRIM(Table13_1[[#This Row],[Genre]])</f>
        <v>Family</v>
      </c>
    </row>
    <row r="404" spans="1:16" x14ac:dyDescent="0.3">
      <c r="A404" t="s">
        <v>976</v>
      </c>
      <c r="B404" t="s">
        <v>977</v>
      </c>
      <c r="C404">
        <v>2021</v>
      </c>
      <c r="D404">
        <v>2020</v>
      </c>
      <c r="E404" t="s">
        <v>24</v>
      </c>
      <c r="F404">
        <v>144</v>
      </c>
      <c r="G404" t="s">
        <v>3999</v>
      </c>
      <c r="H404" t="s">
        <v>607</v>
      </c>
      <c r="I404" t="s">
        <v>608</v>
      </c>
      <c r="J404" t="s">
        <v>979</v>
      </c>
      <c r="K404">
        <v>23423</v>
      </c>
      <c r="L404">
        <v>779.9</v>
      </c>
      <c r="M404">
        <v>779.9</v>
      </c>
      <c r="N404" t="s">
        <v>3998</v>
      </c>
      <c r="O404" t="s">
        <v>606</v>
      </c>
      <c r="P404" t="str">
        <f>TRIM(Table13_1[[#This Row],[Genre]])</f>
        <v>Sci-Fi</v>
      </c>
    </row>
    <row r="405" spans="1:16" x14ac:dyDescent="0.3">
      <c r="A405" t="s">
        <v>976</v>
      </c>
      <c r="B405" t="s">
        <v>977</v>
      </c>
      <c r="C405">
        <v>2021</v>
      </c>
      <c r="D405">
        <v>2020</v>
      </c>
      <c r="E405" t="s">
        <v>24</v>
      </c>
      <c r="F405">
        <v>144</v>
      </c>
      <c r="G405" t="s">
        <v>3999</v>
      </c>
      <c r="H405" t="s">
        <v>607</v>
      </c>
      <c r="I405" t="s">
        <v>608</v>
      </c>
      <c r="J405" t="s">
        <v>979</v>
      </c>
      <c r="K405">
        <v>23423</v>
      </c>
      <c r="L405">
        <v>779.9</v>
      </c>
      <c r="M405">
        <v>779.9</v>
      </c>
      <c r="N405" t="s">
        <v>3998</v>
      </c>
      <c r="O405" t="s">
        <v>3981</v>
      </c>
      <c r="P405" t="str">
        <f>TRIM(Table13_1[[#This Row],[Genre]])</f>
        <v>Romance</v>
      </c>
    </row>
    <row r="406" spans="1:16" x14ac:dyDescent="0.3">
      <c r="A406" t="s">
        <v>976</v>
      </c>
      <c r="B406" t="s">
        <v>977</v>
      </c>
      <c r="C406">
        <v>2021</v>
      </c>
      <c r="D406">
        <v>2020</v>
      </c>
      <c r="E406" t="s">
        <v>24</v>
      </c>
      <c r="F406">
        <v>144</v>
      </c>
      <c r="G406" t="s">
        <v>3999</v>
      </c>
      <c r="H406" t="s">
        <v>607</v>
      </c>
      <c r="I406" t="s">
        <v>608</v>
      </c>
      <c r="J406" t="s">
        <v>979</v>
      </c>
      <c r="K406">
        <v>23423</v>
      </c>
      <c r="L406">
        <v>779.9</v>
      </c>
      <c r="M406">
        <v>779.9</v>
      </c>
      <c r="N406" t="s">
        <v>3998</v>
      </c>
      <c r="O406" t="s">
        <v>3983</v>
      </c>
      <c r="P406" t="str">
        <f>TRIM(Table13_1[[#This Row],[Genre]])</f>
        <v>Crime</v>
      </c>
    </row>
    <row r="407" spans="1:16" x14ac:dyDescent="0.3">
      <c r="A407" t="s">
        <v>980</v>
      </c>
      <c r="B407" t="s">
        <v>981</v>
      </c>
      <c r="C407">
        <v>2001</v>
      </c>
      <c r="D407">
        <v>2000</v>
      </c>
      <c r="E407" t="s">
        <v>54</v>
      </c>
      <c r="F407">
        <v>115</v>
      </c>
      <c r="G407" t="s">
        <v>3997</v>
      </c>
      <c r="H407" t="s">
        <v>983</v>
      </c>
      <c r="I407" t="s">
        <v>27</v>
      </c>
      <c r="J407" t="s">
        <v>984</v>
      </c>
      <c r="K407">
        <v>2075699</v>
      </c>
      <c r="L407">
        <v>168.77</v>
      </c>
      <c r="M407">
        <v>168.77</v>
      </c>
      <c r="N407" t="s">
        <v>4002</v>
      </c>
      <c r="O407" t="s">
        <v>210</v>
      </c>
      <c r="P407" t="str">
        <f>TRIM(Table13_1[[#This Row],[Genre]])</f>
        <v>Action</v>
      </c>
    </row>
    <row r="408" spans="1:16" x14ac:dyDescent="0.3">
      <c r="A408" t="s">
        <v>980</v>
      </c>
      <c r="B408" t="s">
        <v>981</v>
      </c>
      <c r="C408">
        <v>2001</v>
      </c>
      <c r="D408">
        <v>2000</v>
      </c>
      <c r="E408" t="s">
        <v>54</v>
      </c>
      <c r="F408">
        <v>115</v>
      </c>
      <c r="G408" t="s">
        <v>3997</v>
      </c>
      <c r="H408" t="s">
        <v>983</v>
      </c>
      <c r="I408" t="s">
        <v>27</v>
      </c>
      <c r="J408" t="s">
        <v>984</v>
      </c>
      <c r="K408">
        <v>2075699</v>
      </c>
      <c r="L408">
        <v>168.77</v>
      </c>
      <c r="M408">
        <v>168.77</v>
      </c>
      <c r="N408" t="s">
        <v>4002</v>
      </c>
      <c r="O408" t="s">
        <v>3986</v>
      </c>
      <c r="P408" t="str">
        <f>TRIM(Table13_1[[#This Row],[Genre]])</f>
        <v>Documentary</v>
      </c>
    </row>
    <row r="409" spans="1:16" x14ac:dyDescent="0.3">
      <c r="A409" t="s">
        <v>985</v>
      </c>
      <c r="B409" t="s">
        <v>986</v>
      </c>
      <c r="C409">
        <v>2014</v>
      </c>
      <c r="D409">
        <v>2010</v>
      </c>
      <c r="E409" t="s">
        <v>54</v>
      </c>
      <c r="F409">
        <v>130</v>
      </c>
      <c r="G409" t="s">
        <v>3999</v>
      </c>
      <c r="H409" t="s">
        <v>124</v>
      </c>
      <c r="I409" t="s">
        <v>147</v>
      </c>
      <c r="J409" t="s">
        <v>988</v>
      </c>
      <c r="K409">
        <v>525838</v>
      </c>
      <c r="L409">
        <v>359.71</v>
      </c>
      <c r="M409">
        <v>359.71</v>
      </c>
      <c r="N409" t="s">
        <v>3998</v>
      </c>
      <c r="O409" t="s">
        <v>230</v>
      </c>
      <c r="P409" t="str">
        <f>TRIM(Table13_1[[#This Row],[Genre]])</f>
        <v>Documentary</v>
      </c>
    </row>
    <row r="410" spans="1:16" x14ac:dyDescent="0.3">
      <c r="A410" t="s">
        <v>985</v>
      </c>
      <c r="B410" t="s">
        <v>986</v>
      </c>
      <c r="C410">
        <v>2014</v>
      </c>
      <c r="D410">
        <v>2010</v>
      </c>
      <c r="E410" t="s">
        <v>54</v>
      </c>
      <c r="F410">
        <v>130</v>
      </c>
      <c r="G410" t="s">
        <v>3999</v>
      </c>
      <c r="H410" t="s">
        <v>124</v>
      </c>
      <c r="I410" t="s">
        <v>147</v>
      </c>
      <c r="J410" t="s">
        <v>988</v>
      </c>
      <c r="K410">
        <v>525838</v>
      </c>
      <c r="L410">
        <v>359.71</v>
      </c>
      <c r="M410">
        <v>359.71</v>
      </c>
      <c r="N410" t="s">
        <v>3998</v>
      </c>
      <c r="O410" t="s">
        <v>3983</v>
      </c>
      <c r="P410" t="str">
        <f>TRIM(Table13_1[[#This Row],[Genre]])</f>
        <v>Crime</v>
      </c>
    </row>
    <row r="411" spans="1:16" x14ac:dyDescent="0.3">
      <c r="A411" t="s">
        <v>989</v>
      </c>
      <c r="B411" t="s">
        <v>990</v>
      </c>
      <c r="C411">
        <v>2001</v>
      </c>
      <c r="D411">
        <v>2000</v>
      </c>
      <c r="E411" t="s">
        <v>169</v>
      </c>
      <c r="F411">
        <v>118</v>
      </c>
      <c r="G411" t="s">
        <v>3997</v>
      </c>
      <c r="H411" t="s">
        <v>102</v>
      </c>
      <c r="I411" t="s">
        <v>86</v>
      </c>
      <c r="J411" t="s">
        <v>991</v>
      </c>
      <c r="K411">
        <v>36275</v>
      </c>
      <c r="L411">
        <v>410.67</v>
      </c>
      <c r="M411">
        <v>410.67</v>
      </c>
      <c r="N411" t="s">
        <v>3998</v>
      </c>
      <c r="O411" t="s">
        <v>868</v>
      </c>
      <c r="P411" t="str">
        <f>TRIM(Table13_1[[#This Row],[Genre]])</f>
        <v>Western</v>
      </c>
    </row>
    <row r="412" spans="1:16" x14ac:dyDescent="0.3">
      <c r="A412" t="s">
        <v>992</v>
      </c>
      <c r="B412" t="s">
        <v>993</v>
      </c>
      <c r="C412">
        <v>2011</v>
      </c>
      <c r="D412">
        <v>2010</v>
      </c>
      <c r="E412" t="s">
        <v>54</v>
      </c>
      <c r="F412">
        <v>112</v>
      </c>
      <c r="G412" t="s">
        <v>3997</v>
      </c>
      <c r="H412" t="s">
        <v>995</v>
      </c>
      <c r="I412" t="s">
        <v>191</v>
      </c>
      <c r="J412" t="s">
        <v>996</v>
      </c>
      <c r="K412">
        <v>11830</v>
      </c>
      <c r="L412">
        <v>418.09</v>
      </c>
      <c r="M412">
        <v>418.09</v>
      </c>
      <c r="N412" t="s">
        <v>3998</v>
      </c>
      <c r="O412" t="s">
        <v>78</v>
      </c>
      <c r="P412" t="str">
        <f>TRIM(Table13_1[[#This Row],[Genre]])</f>
        <v>Adventure</v>
      </c>
    </row>
    <row r="413" spans="1:16" x14ac:dyDescent="0.3">
      <c r="A413" t="s">
        <v>992</v>
      </c>
      <c r="B413" t="s">
        <v>993</v>
      </c>
      <c r="C413">
        <v>2011</v>
      </c>
      <c r="D413">
        <v>2010</v>
      </c>
      <c r="E413" t="s">
        <v>54</v>
      </c>
      <c r="F413">
        <v>112</v>
      </c>
      <c r="G413" t="s">
        <v>3997</v>
      </c>
      <c r="H413" t="s">
        <v>995</v>
      </c>
      <c r="I413" t="s">
        <v>191</v>
      </c>
      <c r="J413" t="s">
        <v>996</v>
      </c>
      <c r="K413">
        <v>11830</v>
      </c>
      <c r="L413">
        <v>418.09</v>
      </c>
      <c r="M413">
        <v>418.09</v>
      </c>
      <c r="N413" t="s">
        <v>3998</v>
      </c>
      <c r="O413" t="s">
        <v>3983</v>
      </c>
      <c r="P413" t="str">
        <f>TRIM(Table13_1[[#This Row],[Genre]])</f>
        <v>Crime</v>
      </c>
    </row>
    <row r="414" spans="1:16" x14ac:dyDescent="0.3">
      <c r="A414" t="s">
        <v>997</v>
      </c>
      <c r="B414" t="s">
        <v>998</v>
      </c>
      <c r="C414">
        <v>2013</v>
      </c>
      <c r="D414">
        <v>2010</v>
      </c>
      <c r="E414" t="s">
        <v>24</v>
      </c>
      <c r="F414">
        <v>118</v>
      </c>
      <c r="G414" t="s">
        <v>3997</v>
      </c>
      <c r="H414" t="s">
        <v>999</v>
      </c>
      <c r="I414" t="s">
        <v>131</v>
      </c>
      <c r="J414" t="s">
        <v>1000</v>
      </c>
      <c r="K414">
        <v>100116</v>
      </c>
      <c r="L414">
        <v>794.83</v>
      </c>
      <c r="M414">
        <v>794.83</v>
      </c>
      <c r="N414" t="s">
        <v>3998</v>
      </c>
      <c r="O414" t="s">
        <v>453</v>
      </c>
      <c r="P414" t="str">
        <f>TRIM(Table13_1[[#This Row],[Genre]])</f>
        <v>Musical</v>
      </c>
    </row>
    <row r="415" spans="1:16" x14ac:dyDescent="0.3">
      <c r="A415" t="s">
        <v>1001</v>
      </c>
      <c r="B415" t="s">
        <v>1002</v>
      </c>
      <c r="C415">
        <v>2023</v>
      </c>
      <c r="D415">
        <v>2020</v>
      </c>
      <c r="E415" t="s">
        <v>24</v>
      </c>
      <c r="F415">
        <v>110</v>
      </c>
      <c r="G415" t="s">
        <v>3997</v>
      </c>
      <c r="H415" t="s">
        <v>355</v>
      </c>
      <c r="I415" t="s">
        <v>368</v>
      </c>
      <c r="J415" t="s">
        <v>1004</v>
      </c>
      <c r="K415">
        <v>56513</v>
      </c>
      <c r="M415">
        <v>0</v>
      </c>
      <c r="N415" t="s">
        <v>4001</v>
      </c>
      <c r="O415" t="s">
        <v>868</v>
      </c>
      <c r="P415" t="str">
        <f>TRIM(Table13_1[[#This Row],[Genre]])</f>
        <v>Western</v>
      </c>
    </row>
    <row r="416" spans="1:16" x14ac:dyDescent="0.3">
      <c r="A416" t="s">
        <v>1001</v>
      </c>
      <c r="B416" t="s">
        <v>1002</v>
      </c>
      <c r="C416">
        <v>2023</v>
      </c>
      <c r="D416">
        <v>2020</v>
      </c>
      <c r="E416" t="s">
        <v>24</v>
      </c>
      <c r="F416">
        <v>110</v>
      </c>
      <c r="G416" t="s">
        <v>3997</v>
      </c>
      <c r="H416" t="s">
        <v>355</v>
      </c>
      <c r="I416" t="s">
        <v>368</v>
      </c>
      <c r="J416" t="s">
        <v>1004</v>
      </c>
      <c r="K416">
        <v>56513</v>
      </c>
      <c r="M416">
        <v>0</v>
      </c>
      <c r="N416" t="s">
        <v>4001</v>
      </c>
      <c r="O416" t="s">
        <v>3988</v>
      </c>
      <c r="P416" t="str">
        <f>TRIM(Table13_1[[#This Row],[Genre]])</f>
        <v>Drama</v>
      </c>
    </row>
    <row r="417" spans="1:16" x14ac:dyDescent="0.3">
      <c r="A417" t="s">
        <v>1005</v>
      </c>
      <c r="B417" t="s">
        <v>1006</v>
      </c>
      <c r="C417">
        <v>2005</v>
      </c>
      <c r="D417">
        <v>2000</v>
      </c>
      <c r="E417" t="s">
        <v>54</v>
      </c>
      <c r="F417">
        <v>130</v>
      </c>
      <c r="G417" t="s">
        <v>3999</v>
      </c>
      <c r="H417" t="s">
        <v>422</v>
      </c>
      <c r="I417" t="s">
        <v>326</v>
      </c>
      <c r="J417" t="s">
        <v>1008</v>
      </c>
      <c r="K417">
        <v>22320</v>
      </c>
      <c r="L417">
        <v>59.64</v>
      </c>
      <c r="M417">
        <v>59.64</v>
      </c>
      <c r="N417" t="s">
        <v>4001</v>
      </c>
      <c r="O417" t="s">
        <v>375</v>
      </c>
      <c r="P417" t="str">
        <f>TRIM(Table13_1[[#This Row],[Genre]])</f>
        <v>Family</v>
      </c>
    </row>
    <row r="418" spans="1:16" x14ac:dyDescent="0.3">
      <c r="A418" t="s">
        <v>1005</v>
      </c>
      <c r="B418" t="s">
        <v>1006</v>
      </c>
      <c r="C418">
        <v>2005</v>
      </c>
      <c r="D418">
        <v>2000</v>
      </c>
      <c r="E418" t="s">
        <v>54</v>
      </c>
      <c r="F418">
        <v>130</v>
      </c>
      <c r="G418" t="s">
        <v>3999</v>
      </c>
      <c r="H418" t="s">
        <v>422</v>
      </c>
      <c r="I418" t="s">
        <v>326</v>
      </c>
      <c r="J418" t="s">
        <v>1008</v>
      </c>
      <c r="K418">
        <v>22320</v>
      </c>
      <c r="L418">
        <v>59.64</v>
      </c>
      <c r="M418">
        <v>59.64</v>
      </c>
      <c r="N418" t="s">
        <v>4001</v>
      </c>
      <c r="O418" t="s">
        <v>3985</v>
      </c>
      <c r="P418" t="str">
        <f>TRIM(Table13_1[[#This Row],[Genre]])</f>
        <v>Horror</v>
      </c>
    </row>
    <row r="419" spans="1:16" x14ac:dyDescent="0.3">
      <c r="A419" t="s">
        <v>1009</v>
      </c>
      <c r="B419" t="s">
        <v>1010</v>
      </c>
      <c r="C419">
        <v>2013</v>
      </c>
      <c r="D419">
        <v>2010</v>
      </c>
      <c r="E419" t="s">
        <v>54</v>
      </c>
      <c r="F419">
        <v>108</v>
      </c>
      <c r="G419" t="s">
        <v>3997</v>
      </c>
      <c r="H419" t="s">
        <v>67</v>
      </c>
      <c r="I419" t="s">
        <v>251</v>
      </c>
      <c r="J419" t="s">
        <v>1012</v>
      </c>
      <c r="K419">
        <v>1373213</v>
      </c>
      <c r="L419">
        <v>197.06</v>
      </c>
      <c r="M419">
        <v>197.06</v>
      </c>
      <c r="N419" t="s">
        <v>4002</v>
      </c>
      <c r="O419" t="s">
        <v>48</v>
      </c>
      <c r="P419" t="str">
        <f>TRIM(Table13_1[[#This Row],[Genre]])</f>
        <v>Crime</v>
      </c>
    </row>
    <row r="420" spans="1:16" x14ac:dyDescent="0.3">
      <c r="A420" t="s">
        <v>1009</v>
      </c>
      <c r="B420" t="s">
        <v>1010</v>
      </c>
      <c r="C420">
        <v>2013</v>
      </c>
      <c r="D420">
        <v>2010</v>
      </c>
      <c r="E420" t="s">
        <v>54</v>
      </c>
      <c r="F420">
        <v>108</v>
      </c>
      <c r="G420" t="s">
        <v>3997</v>
      </c>
      <c r="H420" t="s">
        <v>67</v>
      </c>
      <c r="I420" t="s">
        <v>251</v>
      </c>
      <c r="J420" t="s">
        <v>1012</v>
      </c>
      <c r="K420">
        <v>1373213</v>
      </c>
      <c r="L420">
        <v>197.06</v>
      </c>
      <c r="M420">
        <v>197.06</v>
      </c>
      <c r="N420" t="s">
        <v>4002</v>
      </c>
      <c r="O420" t="s">
        <v>3976</v>
      </c>
      <c r="P420" t="str">
        <f>TRIM(Table13_1[[#This Row],[Genre]])</f>
        <v>Musical</v>
      </c>
    </row>
    <row r="421" spans="1:16" x14ac:dyDescent="0.3">
      <c r="A421" t="s">
        <v>1009</v>
      </c>
      <c r="B421" t="s">
        <v>1010</v>
      </c>
      <c r="C421">
        <v>2013</v>
      </c>
      <c r="D421">
        <v>2010</v>
      </c>
      <c r="E421" t="s">
        <v>54</v>
      </c>
      <c r="F421">
        <v>108</v>
      </c>
      <c r="G421" t="s">
        <v>3997</v>
      </c>
      <c r="H421" t="s">
        <v>67</v>
      </c>
      <c r="I421" t="s">
        <v>251</v>
      </c>
      <c r="J421" t="s">
        <v>1012</v>
      </c>
      <c r="K421">
        <v>1373213</v>
      </c>
      <c r="L421">
        <v>197.06</v>
      </c>
      <c r="M421">
        <v>197.06</v>
      </c>
      <c r="N421" t="s">
        <v>4002</v>
      </c>
      <c r="O421" t="s">
        <v>3986</v>
      </c>
      <c r="P421" t="str">
        <f>TRIM(Table13_1[[#This Row],[Genre]])</f>
        <v>Documentary</v>
      </c>
    </row>
    <row r="422" spans="1:16" x14ac:dyDescent="0.3">
      <c r="A422" t="s">
        <v>1013</v>
      </c>
      <c r="B422" t="s">
        <v>1014</v>
      </c>
      <c r="C422">
        <v>1996</v>
      </c>
      <c r="D422">
        <v>1990</v>
      </c>
      <c r="E422" t="s">
        <v>17</v>
      </c>
      <c r="F422">
        <v>112</v>
      </c>
      <c r="G422" t="s">
        <v>3997</v>
      </c>
      <c r="H422" t="s">
        <v>634</v>
      </c>
      <c r="I422" t="s">
        <v>57</v>
      </c>
      <c r="J422" t="s">
        <v>1016</v>
      </c>
      <c r="K422">
        <v>25201</v>
      </c>
      <c r="M422">
        <v>0</v>
      </c>
      <c r="N422" t="s">
        <v>4001</v>
      </c>
      <c r="O422" t="s">
        <v>129</v>
      </c>
      <c r="P422" t="str">
        <f>TRIM(Table13_1[[#This Row],[Genre]])</f>
        <v>Horror</v>
      </c>
    </row>
    <row r="423" spans="1:16" x14ac:dyDescent="0.3">
      <c r="A423" t="s">
        <v>1013</v>
      </c>
      <c r="B423" t="s">
        <v>1014</v>
      </c>
      <c r="C423">
        <v>1996</v>
      </c>
      <c r="D423">
        <v>1990</v>
      </c>
      <c r="E423" t="s">
        <v>17</v>
      </c>
      <c r="F423">
        <v>112</v>
      </c>
      <c r="G423" t="s">
        <v>3997</v>
      </c>
      <c r="H423" t="s">
        <v>634</v>
      </c>
      <c r="I423" t="s">
        <v>57</v>
      </c>
      <c r="J423" t="s">
        <v>1016</v>
      </c>
      <c r="K423">
        <v>25201</v>
      </c>
      <c r="M423">
        <v>0</v>
      </c>
      <c r="N423" t="s">
        <v>4001</v>
      </c>
      <c r="O423" t="s">
        <v>3990</v>
      </c>
      <c r="P423" t="str">
        <f>TRIM(Table13_1[[#This Row],[Genre]])</f>
        <v>Western</v>
      </c>
    </row>
    <row r="424" spans="1:16" x14ac:dyDescent="0.3">
      <c r="A424" t="s">
        <v>1013</v>
      </c>
      <c r="B424" t="s">
        <v>1014</v>
      </c>
      <c r="C424">
        <v>1996</v>
      </c>
      <c r="D424">
        <v>1990</v>
      </c>
      <c r="E424" t="s">
        <v>17</v>
      </c>
      <c r="F424">
        <v>112</v>
      </c>
      <c r="G424" t="s">
        <v>3997</v>
      </c>
      <c r="H424" t="s">
        <v>634</v>
      </c>
      <c r="I424" t="s">
        <v>57</v>
      </c>
      <c r="J424" t="s">
        <v>1016</v>
      </c>
      <c r="K424">
        <v>25201</v>
      </c>
      <c r="M424">
        <v>0</v>
      </c>
      <c r="N424" t="s">
        <v>4001</v>
      </c>
      <c r="O424" t="s">
        <v>3977</v>
      </c>
      <c r="P424" t="str">
        <f>TRIM(Table13_1[[#This Row],[Genre]])</f>
        <v>Animation</v>
      </c>
    </row>
    <row r="425" spans="1:16" x14ac:dyDescent="0.3">
      <c r="A425" t="s">
        <v>1017</v>
      </c>
      <c r="B425" t="s">
        <v>1018</v>
      </c>
      <c r="C425">
        <v>1969</v>
      </c>
      <c r="D425">
        <v>1960</v>
      </c>
      <c r="E425" t="s">
        <v>24</v>
      </c>
      <c r="F425">
        <v>136</v>
      </c>
      <c r="G425" t="s">
        <v>3999</v>
      </c>
      <c r="H425" t="s">
        <v>898</v>
      </c>
      <c r="I425" t="s">
        <v>80</v>
      </c>
      <c r="J425" t="s">
        <v>1019</v>
      </c>
      <c r="K425">
        <v>50532</v>
      </c>
      <c r="M425">
        <v>0</v>
      </c>
      <c r="N425" t="s">
        <v>4001</v>
      </c>
      <c r="O425" t="s">
        <v>55</v>
      </c>
      <c r="P425" t="str">
        <f>TRIM(Table13_1[[#This Row],[Genre]])</f>
        <v>Romance</v>
      </c>
    </row>
    <row r="426" spans="1:16" x14ac:dyDescent="0.3">
      <c r="A426" t="s">
        <v>1020</v>
      </c>
      <c r="B426" t="s">
        <v>1021</v>
      </c>
      <c r="C426">
        <v>1985</v>
      </c>
      <c r="D426">
        <v>1980</v>
      </c>
      <c r="E426" t="s">
        <v>54</v>
      </c>
      <c r="F426">
        <v>124</v>
      </c>
      <c r="G426" t="s">
        <v>3999</v>
      </c>
      <c r="H426" t="s">
        <v>67</v>
      </c>
      <c r="I426" t="s">
        <v>33</v>
      </c>
      <c r="J426" t="s">
        <v>1023</v>
      </c>
      <c r="K426">
        <v>46580</v>
      </c>
      <c r="L426">
        <v>5.2</v>
      </c>
      <c r="M426">
        <v>5.2</v>
      </c>
      <c r="N426" t="s">
        <v>4001</v>
      </c>
      <c r="O426" t="s">
        <v>48</v>
      </c>
      <c r="P426" t="str">
        <f>TRIM(Table13_1[[#This Row],[Genre]])</f>
        <v>Crime</v>
      </c>
    </row>
    <row r="427" spans="1:16" x14ac:dyDescent="0.3">
      <c r="A427" t="s">
        <v>1020</v>
      </c>
      <c r="B427" t="s">
        <v>1021</v>
      </c>
      <c r="C427">
        <v>1985</v>
      </c>
      <c r="D427">
        <v>1980</v>
      </c>
      <c r="E427" t="s">
        <v>54</v>
      </c>
      <c r="F427">
        <v>124</v>
      </c>
      <c r="G427" t="s">
        <v>3999</v>
      </c>
      <c r="H427" t="s">
        <v>67</v>
      </c>
      <c r="I427" t="s">
        <v>33</v>
      </c>
      <c r="J427" t="s">
        <v>1023</v>
      </c>
      <c r="K427">
        <v>46580</v>
      </c>
      <c r="L427">
        <v>5.2</v>
      </c>
      <c r="M427">
        <v>5.2</v>
      </c>
      <c r="N427" t="s">
        <v>4001</v>
      </c>
      <c r="O427" t="s">
        <v>3989</v>
      </c>
      <c r="P427" t="str">
        <f>TRIM(Table13_1[[#This Row],[Genre]])</f>
        <v>Sci-Fi</v>
      </c>
    </row>
    <row r="428" spans="1:16" x14ac:dyDescent="0.3">
      <c r="A428" t="s">
        <v>1020</v>
      </c>
      <c r="B428" t="s">
        <v>1021</v>
      </c>
      <c r="C428">
        <v>1985</v>
      </c>
      <c r="D428">
        <v>1980</v>
      </c>
      <c r="E428" t="s">
        <v>54</v>
      </c>
      <c r="F428">
        <v>124</v>
      </c>
      <c r="G428" t="s">
        <v>3999</v>
      </c>
      <c r="H428" t="s">
        <v>67</v>
      </c>
      <c r="I428" t="s">
        <v>33</v>
      </c>
      <c r="J428" t="s">
        <v>1023</v>
      </c>
      <c r="K428">
        <v>46580</v>
      </c>
      <c r="L428">
        <v>5.2</v>
      </c>
      <c r="M428">
        <v>5.2</v>
      </c>
      <c r="N428" t="s">
        <v>4001</v>
      </c>
      <c r="O428" t="s">
        <v>3981</v>
      </c>
      <c r="P428" t="str">
        <f>TRIM(Table13_1[[#This Row],[Genre]])</f>
        <v>Romance</v>
      </c>
    </row>
    <row r="429" spans="1:16" x14ac:dyDescent="0.3">
      <c r="A429" t="s">
        <v>1024</v>
      </c>
      <c r="B429" t="s">
        <v>1025</v>
      </c>
      <c r="C429">
        <v>1994</v>
      </c>
      <c r="D429">
        <v>1990</v>
      </c>
      <c r="E429" t="s">
        <v>54</v>
      </c>
      <c r="F429">
        <v>121</v>
      </c>
      <c r="G429" t="s">
        <v>3999</v>
      </c>
      <c r="H429" t="s">
        <v>491</v>
      </c>
      <c r="I429" t="s">
        <v>251</v>
      </c>
      <c r="J429" t="s">
        <v>1027</v>
      </c>
      <c r="K429">
        <v>102403</v>
      </c>
      <c r="L429">
        <v>210.2</v>
      </c>
      <c r="M429">
        <v>210.2</v>
      </c>
      <c r="N429" t="s">
        <v>3998</v>
      </c>
      <c r="O429" t="s">
        <v>72</v>
      </c>
      <c r="P429" t="str">
        <f>TRIM(Table13_1[[#This Row],[Genre]])</f>
        <v>War</v>
      </c>
    </row>
    <row r="430" spans="1:16" x14ac:dyDescent="0.3">
      <c r="A430" t="s">
        <v>1024</v>
      </c>
      <c r="B430" t="s">
        <v>1025</v>
      </c>
      <c r="C430">
        <v>1994</v>
      </c>
      <c r="D430">
        <v>1990</v>
      </c>
      <c r="E430" t="s">
        <v>54</v>
      </c>
      <c r="F430">
        <v>121</v>
      </c>
      <c r="G430" t="s">
        <v>3999</v>
      </c>
      <c r="H430" t="s">
        <v>491</v>
      </c>
      <c r="I430" t="s">
        <v>251</v>
      </c>
      <c r="J430" t="s">
        <v>1027</v>
      </c>
      <c r="K430">
        <v>102403</v>
      </c>
      <c r="L430">
        <v>210.2</v>
      </c>
      <c r="M430">
        <v>210.2</v>
      </c>
      <c r="N430" t="s">
        <v>3998</v>
      </c>
      <c r="O430" t="s">
        <v>3989</v>
      </c>
      <c r="P430" t="str">
        <f>TRIM(Table13_1[[#This Row],[Genre]])</f>
        <v>Sci-Fi</v>
      </c>
    </row>
    <row r="431" spans="1:16" x14ac:dyDescent="0.3">
      <c r="A431" t="s">
        <v>1024</v>
      </c>
      <c r="B431" t="s">
        <v>1025</v>
      </c>
      <c r="C431">
        <v>1994</v>
      </c>
      <c r="D431">
        <v>1990</v>
      </c>
      <c r="E431" t="s">
        <v>54</v>
      </c>
      <c r="F431">
        <v>121</v>
      </c>
      <c r="G431" t="s">
        <v>3999</v>
      </c>
      <c r="H431" t="s">
        <v>491</v>
      </c>
      <c r="I431" t="s">
        <v>251</v>
      </c>
      <c r="J431" t="s">
        <v>1027</v>
      </c>
      <c r="K431">
        <v>102403</v>
      </c>
      <c r="L431">
        <v>210.2</v>
      </c>
      <c r="M431">
        <v>210.2</v>
      </c>
      <c r="N431" t="s">
        <v>3998</v>
      </c>
      <c r="O431" t="s">
        <v>3976</v>
      </c>
      <c r="P431" t="str">
        <f>TRIM(Table13_1[[#This Row],[Genre]])</f>
        <v>Musical</v>
      </c>
    </row>
    <row r="432" spans="1:16" x14ac:dyDescent="0.3">
      <c r="A432" t="s">
        <v>1028</v>
      </c>
      <c r="B432" t="s">
        <v>1029</v>
      </c>
      <c r="C432">
        <v>2001</v>
      </c>
      <c r="D432">
        <v>2000</v>
      </c>
      <c r="E432" t="s">
        <v>24</v>
      </c>
      <c r="F432">
        <v>114</v>
      </c>
      <c r="G432" t="s">
        <v>3997</v>
      </c>
      <c r="H432" t="s">
        <v>269</v>
      </c>
      <c r="I432" t="s">
        <v>251</v>
      </c>
      <c r="J432" t="s">
        <v>1030</v>
      </c>
      <c r="K432">
        <v>237442</v>
      </c>
      <c r="L432">
        <v>182.23</v>
      </c>
      <c r="M432">
        <v>182.23</v>
      </c>
      <c r="N432" t="s">
        <v>4002</v>
      </c>
      <c r="O432" t="s">
        <v>453</v>
      </c>
      <c r="P432" t="str">
        <f>TRIM(Table13_1[[#This Row],[Genre]])</f>
        <v>Musical</v>
      </c>
    </row>
    <row r="433" spans="1:16" x14ac:dyDescent="0.3">
      <c r="A433" t="s">
        <v>1031</v>
      </c>
      <c r="B433" t="s">
        <v>1032</v>
      </c>
      <c r="C433">
        <v>1984</v>
      </c>
      <c r="D433">
        <v>1980</v>
      </c>
      <c r="E433" t="s">
        <v>54</v>
      </c>
      <c r="F433">
        <v>128</v>
      </c>
      <c r="G433" t="s">
        <v>3999</v>
      </c>
      <c r="H433" t="s">
        <v>1034</v>
      </c>
      <c r="I433" t="s">
        <v>20</v>
      </c>
      <c r="J433" t="s">
        <v>1035</v>
      </c>
      <c r="K433">
        <v>142338</v>
      </c>
      <c r="M433">
        <v>0</v>
      </c>
      <c r="N433" t="s">
        <v>4001</v>
      </c>
      <c r="O433" t="s">
        <v>606</v>
      </c>
      <c r="P433" t="str">
        <f>TRIM(Table13_1[[#This Row],[Genre]])</f>
        <v>Sci-Fi</v>
      </c>
    </row>
    <row r="434" spans="1:16" x14ac:dyDescent="0.3">
      <c r="A434" t="s">
        <v>1031</v>
      </c>
      <c r="B434" t="s">
        <v>1032</v>
      </c>
      <c r="C434">
        <v>1984</v>
      </c>
      <c r="D434">
        <v>1980</v>
      </c>
      <c r="E434" t="s">
        <v>54</v>
      </c>
      <c r="F434">
        <v>128</v>
      </c>
      <c r="G434" t="s">
        <v>3999</v>
      </c>
      <c r="H434" t="s">
        <v>1034</v>
      </c>
      <c r="I434" t="s">
        <v>20</v>
      </c>
      <c r="J434" t="s">
        <v>1035</v>
      </c>
      <c r="K434">
        <v>142338</v>
      </c>
      <c r="M434">
        <v>0</v>
      </c>
      <c r="N434" t="s">
        <v>4001</v>
      </c>
      <c r="O434" t="s">
        <v>3991</v>
      </c>
      <c r="P434" t="str">
        <f>TRIM(Table13_1[[#This Row],[Genre]])</f>
        <v>Thriller</v>
      </c>
    </row>
    <row r="435" spans="1:16" x14ac:dyDescent="0.3">
      <c r="A435" t="s">
        <v>1036</v>
      </c>
      <c r="B435" t="s">
        <v>1037</v>
      </c>
      <c r="C435">
        <v>2003</v>
      </c>
      <c r="D435">
        <v>2000</v>
      </c>
      <c r="E435" t="s">
        <v>24</v>
      </c>
      <c r="F435">
        <v>151</v>
      </c>
      <c r="G435" t="s">
        <v>3999</v>
      </c>
      <c r="H435" t="s">
        <v>566</v>
      </c>
      <c r="I435" t="s">
        <v>39</v>
      </c>
      <c r="J435" t="s">
        <v>1038</v>
      </c>
      <c r="K435">
        <v>220517</v>
      </c>
      <c r="L435">
        <v>345.98</v>
      </c>
      <c r="M435">
        <v>345.98</v>
      </c>
      <c r="N435" t="s">
        <v>3998</v>
      </c>
      <c r="O435" t="s">
        <v>48</v>
      </c>
      <c r="P435" t="str">
        <f>TRIM(Table13_1[[#This Row],[Genre]])</f>
        <v>Crime</v>
      </c>
    </row>
    <row r="436" spans="1:16" x14ac:dyDescent="0.3">
      <c r="A436" t="s">
        <v>1039</v>
      </c>
      <c r="B436" t="s">
        <v>1040</v>
      </c>
      <c r="C436">
        <v>2020</v>
      </c>
      <c r="D436">
        <v>2020</v>
      </c>
      <c r="E436" t="s">
        <v>24</v>
      </c>
      <c r="F436">
        <v>100</v>
      </c>
      <c r="G436" t="s">
        <v>3997</v>
      </c>
      <c r="H436" t="s">
        <v>201</v>
      </c>
      <c r="I436" t="s">
        <v>57</v>
      </c>
      <c r="J436" t="s">
        <v>1041</v>
      </c>
      <c r="K436">
        <v>43434</v>
      </c>
      <c r="L436">
        <v>229.99</v>
      </c>
      <c r="M436">
        <v>229.99</v>
      </c>
      <c r="N436" t="s">
        <v>3998</v>
      </c>
      <c r="O436" t="s">
        <v>235</v>
      </c>
      <c r="P436" t="str">
        <f>TRIM(Table13_1[[#This Row],[Genre]])</f>
        <v>Drama</v>
      </c>
    </row>
    <row r="437" spans="1:16" x14ac:dyDescent="0.3">
      <c r="A437" t="s">
        <v>1042</v>
      </c>
      <c r="B437" t="s">
        <v>1043</v>
      </c>
      <c r="C437">
        <v>2013</v>
      </c>
      <c r="D437">
        <v>2010</v>
      </c>
      <c r="E437" t="s">
        <v>54</v>
      </c>
      <c r="F437">
        <v>98</v>
      </c>
      <c r="G437" t="s">
        <v>3997</v>
      </c>
      <c r="H437" t="s">
        <v>226</v>
      </c>
      <c r="I437" t="s">
        <v>165</v>
      </c>
      <c r="J437" t="s">
        <v>1045</v>
      </c>
      <c r="K437">
        <v>779119</v>
      </c>
      <c r="L437">
        <v>218.64</v>
      </c>
      <c r="M437">
        <v>218.64</v>
      </c>
      <c r="N437" t="s">
        <v>3998</v>
      </c>
      <c r="O437" t="s">
        <v>1044</v>
      </c>
      <c r="P437" t="str">
        <f>TRIM(Table13_1[[#This Row],[Genre]])</f>
        <v>Comedy</v>
      </c>
    </row>
    <row r="438" spans="1:16" x14ac:dyDescent="0.3">
      <c r="A438" t="s">
        <v>1046</v>
      </c>
      <c r="B438" t="s">
        <v>1047</v>
      </c>
      <c r="C438">
        <v>2015</v>
      </c>
      <c r="D438">
        <v>2010</v>
      </c>
      <c r="E438" t="s">
        <v>17</v>
      </c>
      <c r="F438">
        <v>110</v>
      </c>
      <c r="G438" t="s">
        <v>3997</v>
      </c>
      <c r="H438" t="s">
        <v>278</v>
      </c>
      <c r="I438" t="s">
        <v>86</v>
      </c>
      <c r="J438" t="s">
        <v>1048</v>
      </c>
      <c r="K438">
        <v>166514</v>
      </c>
      <c r="M438">
        <v>0</v>
      </c>
      <c r="N438" t="s">
        <v>4001</v>
      </c>
      <c r="O438" t="s">
        <v>277</v>
      </c>
      <c r="P438" t="str">
        <f>TRIM(Table13_1[[#This Row],[Genre]])</f>
        <v>Thriller</v>
      </c>
    </row>
    <row r="439" spans="1:16" x14ac:dyDescent="0.3">
      <c r="A439" t="s">
        <v>1046</v>
      </c>
      <c r="B439" t="s">
        <v>1047</v>
      </c>
      <c r="C439">
        <v>2015</v>
      </c>
      <c r="D439">
        <v>2010</v>
      </c>
      <c r="E439" t="s">
        <v>17</v>
      </c>
      <c r="F439">
        <v>110</v>
      </c>
      <c r="G439" t="s">
        <v>3997</v>
      </c>
      <c r="H439" t="s">
        <v>278</v>
      </c>
      <c r="I439" t="s">
        <v>86</v>
      </c>
      <c r="J439" t="s">
        <v>1048</v>
      </c>
      <c r="K439">
        <v>166514</v>
      </c>
      <c r="M439">
        <v>0</v>
      </c>
      <c r="N439" t="s">
        <v>4001</v>
      </c>
      <c r="O439" t="s">
        <v>3990</v>
      </c>
      <c r="P439" t="str">
        <f>TRIM(Table13_1[[#This Row],[Genre]])</f>
        <v>Western</v>
      </c>
    </row>
    <row r="440" spans="1:16" x14ac:dyDescent="0.3">
      <c r="A440" t="s">
        <v>1049</v>
      </c>
      <c r="B440" t="s">
        <v>1050</v>
      </c>
      <c r="C440">
        <v>2003</v>
      </c>
      <c r="D440">
        <v>2000</v>
      </c>
      <c r="E440" t="s">
        <v>17</v>
      </c>
      <c r="F440">
        <v>123</v>
      </c>
      <c r="G440" t="s">
        <v>3999</v>
      </c>
      <c r="H440" t="s">
        <v>1051</v>
      </c>
      <c r="I440" t="s">
        <v>368</v>
      </c>
      <c r="J440" t="s">
        <v>1052</v>
      </c>
      <c r="K440">
        <v>6448</v>
      </c>
      <c r="L440">
        <v>296.25</v>
      </c>
      <c r="M440">
        <v>296.25</v>
      </c>
      <c r="N440" t="s">
        <v>3998</v>
      </c>
      <c r="O440" t="s">
        <v>767</v>
      </c>
      <c r="P440" t="str">
        <f>TRIM(Table13_1[[#This Row],[Genre]])</f>
        <v>Fantasy</v>
      </c>
    </row>
    <row r="441" spans="1:16" x14ac:dyDescent="0.3">
      <c r="A441" t="s">
        <v>1049</v>
      </c>
      <c r="B441" t="s">
        <v>1050</v>
      </c>
      <c r="C441">
        <v>2003</v>
      </c>
      <c r="D441">
        <v>2000</v>
      </c>
      <c r="E441" t="s">
        <v>17</v>
      </c>
      <c r="F441">
        <v>123</v>
      </c>
      <c r="G441" t="s">
        <v>3999</v>
      </c>
      <c r="H441" t="s">
        <v>1051</v>
      </c>
      <c r="I441" t="s">
        <v>368</v>
      </c>
      <c r="J441" t="s">
        <v>1052</v>
      </c>
      <c r="K441">
        <v>6448</v>
      </c>
      <c r="L441">
        <v>296.25</v>
      </c>
      <c r="M441">
        <v>296.25</v>
      </c>
      <c r="N441" t="s">
        <v>3998</v>
      </c>
      <c r="O441" t="s">
        <v>3983</v>
      </c>
      <c r="P441" t="str">
        <f>TRIM(Table13_1[[#This Row],[Genre]])</f>
        <v>Crime</v>
      </c>
    </row>
    <row r="442" spans="1:16" x14ac:dyDescent="0.3">
      <c r="A442" t="s">
        <v>1053</v>
      </c>
      <c r="B442" t="s">
        <v>1054</v>
      </c>
      <c r="C442">
        <v>1983</v>
      </c>
      <c r="D442">
        <v>1980</v>
      </c>
      <c r="E442" t="s">
        <v>17</v>
      </c>
      <c r="F442">
        <v>157</v>
      </c>
      <c r="G442" t="s">
        <v>3999</v>
      </c>
      <c r="H442" t="s">
        <v>1056</v>
      </c>
      <c r="I442" t="s">
        <v>524</v>
      </c>
      <c r="J442" t="s">
        <v>1057</v>
      </c>
      <c r="K442">
        <v>15120</v>
      </c>
      <c r="M442">
        <v>0</v>
      </c>
      <c r="N442" t="s">
        <v>4001</v>
      </c>
      <c r="O442" t="s">
        <v>55</v>
      </c>
      <c r="P442" t="str">
        <f>TRIM(Table13_1[[#This Row],[Genre]])</f>
        <v>Romance</v>
      </c>
    </row>
    <row r="443" spans="1:16" x14ac:dyDescent="0.3">
      <c r="A443" t="s">
        <v>1053</v>
      </c>
      <c r="B443" t="s">
        <v>1054</v>
      </c>
      <c r="C443">
        <v>1983</v>
      </c>
      <c r="D443">
        <v>1980</v>
      </c>
      <c r="E443" t="s">
        <v>17</v>
      </c>
      <c r="F443">
        <v>157</v>
      </c>
      <c r="G443" t="s">
        <v>3999</v>
      </c>
      <c r="H443" t="s">
        <v>1056</v>
      </c>
      <c r="I443" t="s">
        <v>524</v>
      </c>
      <c r="J443" t="s">
        <v>1057</v>
      </c>
      <c r="K443">
        <v>15120</v>
      </c>
      <c r="M443">
        <v>0</v>
      </c>
      <c r="N443" t="s">
        <v>4001</v>
      </c>
      <c r="O443" t="s">
        <v>3992</v>
      </c>
      <c r="P443" t="str">
        <f>TRIM(Table13_1[[#This Row],[Genre]])</f>
        <v>Biography</v>
      </c>
    </row>
    <row r="444" spans="1:16" x14ac:dyDescent="0.3">
      <c r="A444" t="s">
        <v>1053</v>
      </c>
      <c r="B444" t="s">
        <v>1054</v>
      </c>
      <c r="C444">
        <v>1983</v>
      </c>
      <c r="D444">
        <v>1980</v>
      </c>
      <c r="E444" t="s">
        <v>17</v>
      </c>
      <c r="F444">
        <v>157</v>
      </c>
      <c r="G444" t="s">
        <v>3999</v>
      </c>
      <c r="H444" t="s">
        <v>1056</v>
      </c>
      <c r="I444" t="s">
        <v>524</v>
      </c>
      <c r="J444" t="s">
        <v>1057</v>
      </c>
      <c r="K444">
        <v>15120</v>
      </c>
      <c r="M444">
        <v>0</v>
      </c>
      <c r="N444" t="s">
        <v>4001</v>
      </c>
      <c r="O444" t="s">
        <v>3978</v>
      </c>
      <c r="P444" t="str">
        <f>TRIM(Table13_1[[#This Row],[Genre]])</f>
        <v>Mystery</v>
      </c>
    </row>
    <row r="445" spans="1:16" x14ac:dyDescent="0.3">
      <c r="A445" t="s">
        <v>1058</v>
      </c>
      <c r="B445" t="s">
        <v>1059</v>
      </c>
      <c r="C445">
        <v>2023</v>
      </c>
      <c r="D445">
        <v>2020</v>
      </c>
      <c r="E445" t="s">
        <v>285</v>
      </c>
      <c r="F445">
        <v>150</v>
      </c>
      <c r="G445" t="s">
        <v>3999</v>
      </c>
      <c r="H445" t="s">
        <v>566</v>
      </c>
      <c r="I445" t="s">
        <v>518</v>
      </c>
      <c r="J445" t="s">
        <v>1060</v>
      </c>
      <c r="K445">
        <v>31337</v>
      </c>
      <c r="L445">
        <v>170.25</v>
      </c>
      <c r="M445">
        <v>170.25</v>
      </c>
      <c r="N445" t="s">
        <v>4002</v>
      </c>
      <c r="O445" t="s">
        <v>48</v>
      </c>
      <c r="P445" t="str">
        <f>TRIM(Table13_1[[#This Row],[Genre]])</f>
        <v>Crime</v>
      </c>
    </row>
    <row r="446" spans="1:16" x14ac:dyDescent="0.3">
      <c r="A446" t="s">
        <v>1061</v>
      </c>
      <c r="B446" t="s">
        <v>1062</v>
      </c>
      <c r="C446">
        <v>2015</v>
      </c>
      <c r="D446">
        <v>2010</v>
      </c>
      <c r="E446" t="s">
        <v>17</v>
      </c>
      <c r="F446">
        <v>115</v>
      </c>
      <c r="G446" t="s">
        <v>3997</v>
      </c>
      <c r="H446" t="s">
        <v>1063</v>
      </c>
      <c r="I446" t="s">
        <v>27</v>
      </c>
      <c r="J446" t="s">
        <v>1064</v>
      </c>
      <c r="K446">
        <v>356541</v>
      </c>
      <c r="M446">
        <v>0</v>
      </c>
      <c r="N446" t="s">
        <v>4001</v>
      </c>
      <c r="O446" t="s">
        <v>37</v>
      </c>
      <c r="P446" t="str">
        <f>TRIM(Table13_1[[#This Row],[Genre]])</f>
        <v>Biography</v>
      </c>
    </row>
    <row r="447" spans="1:16" x14ac:dyDescent="0.3">
      <c r="A447" t="s">
        <v>1065</v>
      </c>
      <c r="B447" t="s">
        <v>1066</v>
      </c>
      <c r="C447">
        <v>2000</v>
      </c>
      <c r="D447">
        <v>2000</v>
      </c>
      <c r="E447" t="s">
        <v>285</v>
      </c>
      <c r="F447">
        <v>117</v>
      </c>
      <c r="G447" t="s">
        <v>3997</v>
      </c>
      <c r="H447" t="s">
        <v>1067</v>
      </c>
      <c r="I447" t="s">
        <v>57</v>
      </c>
      <c r="J447" t="s">
        <v>1068</v>
      </c>
      <c r="K447">
        <v>1649172</v>
      </c>
      <c r="M447">
        <v>0</v>
      </c>
      <c r="N447" t="s">
        <v>4001</v>
      </c>
      <c r="O447" t="s">
        <v>72</v>
      </c>
      <c r="P447" t="str">
        <f>TRIM(Table13_1[[#This Row],[Genre]])</f>
        <v>War</v>
      </c>
    </row>
    <row r="448" spans="1:16" x14ac:dyDescent="0.3">
      <c r="A448" t="s">
        <v>1069</v>
      </c>
      <c r="B448" t="s">
        <v>1070</v>
      </c>
      <c r="C448">
        <v>2008</v>
      </c>
      <c r="D448">
        <v>2000</v>
      </c>
      <c r="E448" t="s">
        <v>293</v>
      </c>
      <c r="F448">
        <v>124</v>
      </c>
      <c r="G448" t="s">
        <v>3999</v>
      </c>
      <c r="H448" t="s">
        <v>1072</v>
      </c>
      <c r="I448" t="s">
        <v>113</v>
      </c>
      <c r="J448" t="s">
        <v>1073</v>
      </c>
      <c r="K448">
        <v>748548</v>
      </c>
      <c r="M448">
        <v>0</v>
      </c>
      <c r="N448" t="s">
        <v>4001</v>
      </c>
      <c r="O448" t="s">
        <v>453</v>
      </c>
      <c r="P448" t="str">
        <f>TRIM(Table13_1[[#This Row],[Genre]])</f>
        <v>Musical</v>
      </c>
    </row>
    <row r="449" spans="1:16" x14ac:dyDescent="0.3">
      <c r="A449" t="s">
        <v>1069</v>
      </c>
      <c r="B449" t="s">
        <v>1070</v>
      </c>
      <c r="C449">
        <v>2008</v>
      </c>
      <c r="D449">
        <v>2000</v>
      </c>
      <c r="E449" t="s">
        <v>293</v>
      </c>
      <c r="F449">
        <v>124</v>
      </c>
      <c r="G449" t="s">
        <v>3999</v>
      </c>
      <c r="H449" t="s">
        <v>1072</v>
      </c>
      <c r="I449" t="s">
        <v>113</v>
      </c>
      <c r="J449" t="s">
        <v>1073</v>
      </c>
      <c r="K449">
        <v>748548</v>
      </c>
      <c r="M449">
        <v>0</v>
      </c>
      <c r="N449" t="s">
        <v>4001</v>
      </c>
      <c r="O449" t="s">
        <v>3982</v>
      </c>
      <c r="P449" t="str">
        <f>TRIM(Table13_1[[#This Row],[Genre]])</f>
        <v>Family</v>
      </c>
    </row>
    <row r="450" spans="1:16" x14ac:dyDescent="0.3">
      <c r="A450" t="s">
        <v>1069</v>
      </c>
      <c r="B450" t="s">
        <v>1070</v>
      </c>
      <c r="C450">
        <v>2008</v>
      </c>
      <c r="D450">
        <v>2000</v>
      </c>
      <c r="E450" t="s">
        <v>293</v>
      </c>
      <c r="F450">
        <v>124</v>
      </c>
      <c r="G450" t="s">
        <v>3999</v>
      </c>
      <c r="H450" t="s">
        <v>1072</v>
      </c>
      <c r="I450" t="s">
        <v>113</v>
      </c>
      <c r="J450" t="s">
        <v>1073</v>
      </c>
      <c r="K450">
        <v>748548</v>
      </c>
      <c r="M450">
        <v>0</v>
      </c>
      <c r="N450" t="s">
        <v>4001</v>
      </c>
      <c r="O450" t="s">
        <v>3979</v>
      </c>
      <c r="P450" t="str">
        <f>TRIM(Table13_1[[#This Row],[Genre]])</f>
        <v>War</v>
      </c>
    </row>
    <row r="451" spans="1:16" x14ac:dyDescent="0.3">
      <c r="A451" t="s">
        <v>1074</v>
      </c>
      <c r="B451" t="s">
        <v>1075</v>
      </c>
      <c r="C451">
        <v>1989</v>
      </c>
      <c r="D451">
        <v>1980</v>
      </c>
      <c r="E451" t="s">
        <v>17</v>
      </c>
      <c r="F451">
        <v>118</v>
      </c>
      <c r="G451" t="s">
        <v>3997</v>
      </c>
      <c r="H451" t="s">
        <v>1077</v>
      </c>
      <c r="I451" t="s">
        <v>131</v>
      </c>
      <c r="J451" t="s">
        <v>1078</v>
      </c>
      <c r="K451">
        <v>8188</v>
      </c>
      <c r="L451">
        <v>157.47999999999999</v>
      </c>
      <c r="M451">
        <v>157.47999999999999</v>
      </c>
      <c r="N451" t="s">
        <v>4002</v>
      </c>
      <c r="O451" t="s">
        <v>230</v>
      </c>
      <c r="P451" t="str">
        <f>TRIM(Table13_1[[#This Row],[Genre]])</f>
        <v>Documentary</v>
      </c>
    </row>
    <row r="452" spans="1:16" x14ac:dyDescent="0.3">
      <c r="A452" t="s">
        <v>1074</v>
      </c>
      <c r="B452" t="s">
        <v>1075</v>
      </c>
      <c r="C452">
        <v>1989</v>
      </c>
      <c r="D452">
        <v>1980</v>
      </c>
      <c r="E452" t="s">
        <v>17</v>
      </c>
      <c r="F452">
        <v>118</v>
      </c>
      <c r="G452" t="s">
        <v>3997</v>
      </c>
      <c r="H452" t="s">
        <v>1077</v>
      </c>
      <c r="I452" t="s">
        <v>131</v>
      </c>
      <c r="J452" t="s">
        <v>1078</v>
      </c>
      <c r="K452">
        <v>8188</v>
      </c>
      <c r="L452">
        <v>157.47999999999999</v>
      </c>
      <c r="M452">
        <v>157.47999999999999</v>
      </c>
      <c r="N452" t="s">
        <v>4002</v>
      </c>
      <c r="O452" t="s">
        <v>3982</v>
      </c>
      <c r="P452" t="str">
        <f>TRIM(Table13_1[[#This Row],[Genre]])</f>
        <v>Family</v>
      </c>
    </row>
    <row r="453" spans="1:16" x14ac:dyDescent="0.3">
      <c r="A453" t="s">
        <v>1079</v>
      </c>
      <c r="B453" t="s">
        <v>1080</v>
      </c>
      <c r="C453">
        <v>2009</v>
      </c>
      <c r="D453">
        <v>2000</v>
      </c>
      <c r="E453" t="s">
        <v>285</v>
      </c>
      <c r="F453">
        <v>107</v>
      </c>
      <c r="G453" t="s">
        <v>3997</v>
      </c>
      <c r="H453" t="s">
        <v>1082</v>
      </c>
      <c r="I453" t="s">
        <v>63</v>
      </c>
      <c r="J453" t="s">
        <v>1083</v>
      </c>
      <c r="K453">
        <v>36237</v>
      </c>
      <c r="L453">
        <v>181.15</v>
      </c>
      <c r="M453">
        <v>181.15</v>
      </c>
      <c r="N453" t="s">
        <v>4002</v>
      </c>
      <c r="O453" t="s">
        <v>453</v>
      </c>
      <c r="P453" t="str">
        <f>TRIM(Table13_1[[#This Row],[Genre]])</f>
        <v>Musical</v>
      </c>
    </row>
    <row r="454" spans="1:16" x14ac:dyDescent="0.3">
      <c r="A454" t="s">
        <v>1079</v>
      </c>
      <c r="B454" t="s">
        <v>1080</v>
      </c>
      <c r="C454">
        <v>2009</v>
      </c>
      <c r="D454">
        <v>2000</v>
      </c>
      <c r="E454" t="s">
        <v>285</v>
      </c>
      <c r="F454">
        <v>107</v>
      </c>
      <c r="G454" t="s">
        <v>3997</v>
      </c>
      <c r="H454" t="s">
        <v>1082</v>
      </c>
      <c r="I454" t="s">
        <v>63</v>
      </c>
      <c r="J454" t="s">
        <v>1083</v>
      </c>
      <c r="K454">
        <v>36237</v>
      </c>
      <c r="L454">
        <v>181.15</v>
      </c>
      <c r="M454">
        <v>181.15</v>
      </c>
      <c r="N454" t="s">
        <v>4002</v>
      </c>
      <c r="O454" t="s">
        <v>3984</v>
      </c>
      <c r="P454" t="str">
        <f>TRIM(Table13_1[[#This Row],[Genre]])</f>
        <v>Adventure</v>
      </c>
    </row>
    <row r="455" spans="1:16" x14ac:dyDescent="0.3">
      <c r="A455" t="s">
        <v>1084</v>
      </c>
      <c r="B455" t="s">
        <v>1085</v>
      </c>
      <c r="C455">
        <v>2018</v>
      </c>
      <c r="D455">
        <v>2010</v>
      </c>
      <c r="E455" t="s">
        <v>169</v>
      </c>
      <c r="F455">
        <v>133</v>
      </c>
      <c r="G455" t="s">
        <v>3999</v>
      </c>
      <c r="H455" t="s">
        <v>1086</v>
      </c>
      <c r="I455" t="s">
        <v>147</v>
      </c>
      <c r="J455" t="s">
        <v>1087</v>
      </c>
      <c r="K455">
        <v>68364</v>
      </c>
      <c r="L455">
        <v>191.29</v>
      </c>
      <c r="M455">
        <v>191.29</v>
      </c>
      <c r="N455" t="s">
        <v>4002</v>
      </c>
      <c r="O455" t="s">
        <v>157</v>
      </c>
      <c r="P455" t="str">
        <f>TRIM(Table13_1[[#This Row],[Genre]])</f>
        <v>Animation</v>
      </c>
    </row>
    <row r="456" spans="1:16" x14ac:dyDescent="0.3">
      <c r="A456" t="s">
        <v>1088</v>
      </c>
      <c r="B456" t="s">
        <v>1089</v>
      </c>
      <c r="C456">
        <v>2005</v>
      </c>
      <c r="D456">
        <v>2000</v>
      </c>
      <c r="E456" t="s">
        <v>17</v>
      </c>
      <c r="F456">
        <v>144</v>
      </c>
      <c r="G456" t="s">
        <v>3999</v>
      </c>
      <c r="H456" t="s">
        <v>1091</v>
      </c>
      <c r="I456" t="s">
        <v>103</v>
      </c>
      <c r="J456" t="s">
        <v>1092</v>
      </c>
      <c r="K456">
        <v>145625</v>
      </c>
      <c r="L456">
        <v>474.7</v>
      </c>
      <c r="M456">
        <v>474.7</v>
      </c>
      <c r="N456" t="s">
        <v>3998</v>
      </c>
      <c r="O456" t="s">
        <v>129</v>
      </c>
      <c r="P456" t="str">
        <f>TRIM(Table13_1[[#This Row],[Genre]])</f>
        <v>Horror</v>
      </c>
    </row>
    <row r="457" spans="1:16" x14ac:dyDescent="0.3">
      <c r="A457" t="s">
        <v>1088</v>
      </c>
      <c r="B457" t="s">
        <v>1089</v>
      </c>
      <c r="C457">
        <v>2005</v>
      </c>
      <c r="D457">
        <v>2000</v>
      </c>
      <c r="E457" t="s">
        <v>17</v>
      </c>
      <c r="F457">
        <v>144</v>
      </c>
      <c r="G457" t="s">
        <v>3999</v>
      </c>
      <c r="H457" t="s">
        <v>1091</v>
      </c>
      <c r="I457" t="s">
        <v>103</v>
      </c>
      <c r="J457" t="s">
        <v>1092</v>
      </c>
      <c r="K457">
        <v>145625</v>
      </c>
      <c r="L457">
        <v>474.7</v>
      </c>
      <c r="M457">
        <v>474.7</v>
      </c>
      <c r="N457" t="s">
        <v>3998</v>
      </c>
      <c r="O457" t="s">
        <v>3991</v>
      </c>
      <c r="P457" t="str">
        <f>TRIM(Table13_1[[#This Row],[Genre]])</f>
        <v>Thriller</v>
      </c>
    </row>
    <row r="458" spans="1:16" x14ac:dyDescent="0.3">
      <c r="A458" t="s">
        <v>1088</v>
      </c>
      <c r="B458" t="s">
        <v>1089</v>
      </c>
      <c r="C458">
        <v>2005</v>
      </c>
      <c r="D458">
        <v>2000</v>
      </c>
      <c r="E458" t="s">
        <v>17</v>
      </c>
      <c r="F458">
        <v>144</v>
      </c>
      <c r="G458" t="s">
        <v>3999</v>
      </c>
      <c r="H458" t="s">
        <v>1091</v>
      </c>
      <c r="I458" t="s">
        <v>103</v>
      </c>
      <c r="J458" t="s">
        <v>1092</v>
      </c>
      <c r="K458">
        <v>145625</v>
      </c>
      <c r="L458">
        <v>474.7</v>
      </c>
      <c r="M458">
        <v>474.7</v>
      </c>
      <c r="N458" t="s">
        <v>3998</v>
      </c>
      <c r="O458" t="s">
        <v>3979</v>
      </c>
      <c r="P458" t="str">
        <f>TRIM(Table13_1[[#This Row],[Genre]])</f>
        <v>War</v>
      </c>
    </row>
    <row r="459" spans="1:16" x14ac:dyDescent="0.3">
      <c r="A459" t="s">
        <v>1093</v>
      </c>
      <c r="B459" t="s">
        <v>1094</v>
      </c>
      <c r="C459">
        <v>1984</v>
      </c>
      <c r="D459">
        <v>1980</v>
      </c>
      <c r="E459" t="s">
        <v>293</v>
      </c>
      <c r="F459">
        <v>149</v>
      </c>
      <c r="G459" t="s">
        <v>3999</v>
      </c>
      <c r="H459" t="s">
        <v>1095</v>
      </c>
      <c r="I459" t="s">
        <v>50</v>
      </c>
      <c r="J459" t="s">
        <v>1096</v>
      </c>
      <c r="K459">
        <v>907953</v>
      </c>
      <c r="L459">
        <v>270.91000000000003</v>
      </c>
      <c r="M459">
        <v>270.91000000000003</v>
      </c>
      <c r="N459" t="s">
        <v>3998</v>
      </c>
      <c r="O459" t="s">
        <v>48</v>
      </c>
      <c r="P459" t="str">
        <f>TRIM(Table13_1[[#This Row],[Genre]])</f>
        <v>Crime</v>
      </c>
    </row>
    <row r="460" spans="1:16" x14ac:dyDescent="0.3">
      <c r="A460" t="s">
        <v>1093</v>
      </c>
      <c r="B460" t="s">
        <v>1094</v>
      </c>
      <c r="C460">
        <v>1984</v>
      </c>
      <c r="D460">
        <v>1980</v>
      </c>
      <c r="E460" t="s">
        <v>293</v>
      </c>
      <c r="F460">
        <v>149</v>
      </c>
      <c r="G460" t="s">
        <v>3999</v>
      </c>
      <c r="H460" t="s">
        <v>1095</v>
      </c>
      <c r="I460" t="s">
        <v>50</v>
      </c>
      <c r="J460" t="s">
        <v>1096</v>
      </c>
      <c r="K460">
        <v>907953</v>
      </c>
      <c r="L460">
        <v>270.91000000000003</v>
      </c>
      <c r="M460">
        <v>270.91000000000003</v>
      </c>
      <c r="N460" t="s">
        <v>3998</v>
      </c>
      <c r="O460" t="s">
        <v>3984</v>
      </c>
      <c r="P460" t="str">
        <f>TRIM(Table13_1[[#This Row],[Genre]])</f>
        <v>Adventure</v>
      </c>
    </row>
    <row r="461" spans="1:16" x14ac:dyDescent="0.3">
      <c r="A461" t="s">
        <v>1097</v>
      </c>
      <c r="B461" t="s">
        <v>1098</v>
      </c>
      <c r="C461">
        <v>2024</v>
      </c>
      <c r="D461">
        <v>2020</v>
      </c>
      <c r="E461" t="s">
        <v>24</v>
      </c>
      <c r="F461">
        <v>129</v>
      </c>
      <c r="G461" t="s">
        <v>3999</v>
      </c>
      <c r="H461" t="s">
        <v>201</v>
      </c>
      <c r="I461" t="s">
        <v>39</v>
      </c>
      <c r="J461" t="s">
        <v>1100</v>
      </c>
      <c r="K461">
        <v>53427</v>
      </c>
      <c r="L461">
        <v>578.84</v>
      </c>
      <c r="M461">
        <v>578.84</v>
      </c>
      <c r="N461" t="s">
        <v>3998</v>
      </c>
      <c r="O461" t="s">
        <v>235</v>
      </c>
      <c r="P461" t="str">
        <f>TRIM(Table13_1[[#This Row],[Genre]])</f>
        <v>Drama</v>
      </c>
    </row>
    <row r="462" spans="1:16" x14ac:dyDescent="0.3">
      <c r="A462" t="s">
        <v>1097</v>
      </c>
      <c r="B462" t="s">
        <v>1098</v>
      </c>
      <c r="C462">
        <v>2024</v>
      </c>
      <c r="D462">
        <v>2020</v>
      </c>
      <c r="E462" t="s">
        <v>24</v>
      </c>
      <c r="F462">
        <v>129</v>
      </c>
      <c r="G462" t="s">
        <v>3999</v>
      </c>
      <c r="H462" t="s">
        <v>201</v>
      </c>
      <c r="I462" t="s">
        <v>39</v>
      </c>
      <c r="J462" t="s">
        <v>1100</v>
      </c>
      <c r="K462">
        <v>53427</v>
      </c>
      <c r="L462">
        <v>578.84</v>
      </c>
      <c r="M462">
        <v>578.84</v>
      </c>
      <c r="N462" t="s">
        <v>3998</v>
      </c>
      <c r="O462" t="s">
        <v>3989</v>
      </c>
      <c r="P462" t="str">
        <f>TRIM(Table13_1[[#This Row],[Genre]])</f>
        <v>Sci-Fi</v>
      </c>
    </row>
    <row r="463" spans="1:16" x14ac:dyDescent="0.3">
      <c r="A463" t="s">
        <v>1097</v>
      </c>
      <c r="B463" t="s">
        <v>1098</v>
      </c>
      <c r="C463">
        <v>2024</v>
      </c>
      <c r="D463">
        <v>2020</v>
      </c>
      <c r="E463" t="s">
        <v>24</v>
      </c>
      <c r="F463">
        <v>129</v>
      </c>
      <c r="G463" t="s">
        <v>3999</v>
      </c>
      <c r="H463" t="s">
        <v>201</v>
      </c>
      <c r="I463" t="s">
        <v>39</v>
      </c>
      <c r="J463" t="s">
        <v>1100</v>
      </c>
      <c r="K463">
        <v>53427</v>
      </c>
      <c r="L463">
        <v>578.84</v>
      </c>
      <c r="M463">
        <v>578.84</v>
      </c>
      <c r="N463" t="s">
        <v>3998</v>
      </c>
      <c r="O463" t="s">
        <v>3993</v>
      </c>
      <c r="P463" t="str">
        <f>TRIM(Table13_1[[#This Row],[Genre]])</f>
        <v>Comedy</v>
      </c>
    </row>
    <row r="464" spans="1:16" x14ac:dyDescent="0.3">
      <c r="A464" t="s">
        <v>1101</v>
      </c>
      <c r="B464" t="s">
        <v>1102</v>
      </c>
      <c r="C464">
        <v>1992</v>
      </c>
      <c r="D464">
        <v>1990</v>
      </c>
      <c r="E464" t="s">
        <v>24</v>
      </c>
      <c r="F464">
        <v>106</v>
      </c>
      <c r="G464" t="s">
        <v>3997</v>
      </c>
      <c r="H464" t="s">
        <v>1104</v>
      </c>
      <c r="I464" t="s">
        <v>147</v>
      </c>
      <c r="J464" t="s">
        <v>1105</v>
      </c>
      <c r="K464">
        <v>48021</v>
      </c>
      <c r="L464">
        <v>256.13</v>
      </c>
      <c r="M464">
        <v>256.13</v>
      </c>
      <c r="N464" t="s">
        <v>3998</v>
      </c>
      <c r="O464" t="s">
        <v>235</v>
      </c>
      <c r="P464" t="str">
        <f>TRIM(Table13_1[[#This Row],[Genre]])</f>
        <v>Drama</v>
      </c>
    </row>
    <row r="465" spans="1:16" x14ac:dyDescent="0.3">
      <c r="A465" t="s">
        <v>1101</v>
      </c>
      <c r="B465" t="s">
        <v>1102</v>
      </c>
      <c r="C465">
        <v>1992</v>
      </c>
      <c r="D465">
        <v>1990</v>
      </c>
      <c r="E465" t="s">
        <v>24</v>
      </c>
      <c r="F465">
        <v>106</v>
      </c>
      <c r="G465" t="s">
        <v>3997</v>
      </c>
      <c r="H465" t="s">
        <v>1104</v>
      </c>
      <c r="I465" t="s">
        <v>147</v>
      </c>
      <c r="J465" t="s">
        <v>1105</v>
      </c>
      <c r="K465">
        <v>48021</v>
      </c>
      <c r="L465">
        <v>256.13</v>
      </c>
      <c r="M465">
        <v>256.13</v>
      </c>
      <c r="N465" t="s">
        <v>3998</v>
      </c>
      <c r="O465" t="s">
        <v>3984</v>
      </c>
      <c r="P465" t="str">
        <f>TRIM(Table13_1[[#This Row],[Genre]])</f>
        <v>Adventure</v>
      </c>
    </row>
    <row r="466" spans="1:16" x14ac:dyDescent="0.3">
      <c r="A466" t="s">
        <v>1101</v>
      </c>
      <c r="B466" t="s">
        <v>1102</v>
      </c>
      <c r="C466">
        <v>1992</v>
      </c>
      <c r="D466">
        <v>1990</v>
      </c>
      <c r="E466" t="s">
        <v>24</v>
      </c>
      <c r="F466">
        <v>106</v>
      </c>
      <c r="G466" t="s">
        <v>3997</v>
      </c>
      <c r="H466" t="s">
        <v>1104</v>
      </c>
      <c r="I466" t="s">
        <v>147</v>
      </c>
      <c r="J466" t="s">
        <v>1105</v>
      </c>
      <c r="K466">
        <v>48021</v>
      </c>
      <c r="L466">
        <v>256.13</v>
      </c>
      <c r="M466">
        <v>256.13</v>
      </c>
      <c r="N466" t="s">
        <v>3998</v>
      </c>
      <c r="O466" t="s">
        <v>3983</v>
      </c>
      <c r="P466" t="str">
        <f>TRIM(Table13_1[[#This Row],[Genre]])</f>
        <v>Crime</v>
      </c>
    </row>
    <row r="467" spans="1:16" x14ac:dyDescent="0.3">
      <c r="A467" t="s">
        <v>1106</v>
      </c>
      <c r="B467" t="s">
        <v>1107</v>
      </c>
      <c r="C467">
        <v>2005</v>
      </c>
      <c r="D467">
        <v>2000</v>
      </c>
      <c r="E467" t="s">
        <v>54</v>
      </c>
      <c r="F467">
        <v>153</v>
      </c>
      <c r="G467" t="s">
        <v>3999</v>
      </c>
      <c r="H467" t="s">
        <v>295</v>
      </c>
      <c r="I467" t="s">
        <v>86</v>
      </c>
      <c r="J467" t="s">
        <v>1108</v>
      </c>
      <c r="K467">
        <v>3784</v>
      </c>
      <c r="L467">
        <v>433.65</v>
      </c>
      <c r="M467">
        <v>433.65</v>
      </c>
      <c r="N467" t="s">
        <v>3998</v>
      </c>
      <c r="O467" t="s">
        <v>43</v>
      </c>
      <c r="P467" t="str">
        <f>TRIM(Table13_1[[#This Row],[Genre]])</f>
        <v>Mystery</v>
      </c>
    </row>
    <row r="468" spans="1:16" x14ac:dyDescent="0.3">
      <c r="A468" t="s">
        <v>1106</v>
      </c>
      <c r="B468" t="s">
        <v>1107</v>
      </c>
      <c r="C468">
        <v>2005</v>
      </c>
      <c r="D468">
        <v>2000</v>
      </c>
      <c r="E468" t="s">
        <v>54</v>
      </c>
      <c r="F468">
        <v>153</v>
      </c>
      <c r="G468" t="s">
        <v>3999</v>
      </c>
      <c r="H468" t="s">
        <v>295</v>
      </c>
      <c r="I468" t="s">
        <v>86</v>
      </c>
      <c r="J468" t="s">
        <v>1108</v>
      </c>
      <c r="K468">
        <v>3784</v>
      </c>
      <c r="L468">
        <v>433.65</v>
      </c>
      <c r="M468">
        <v>433.65</v>
      </c>
      <c r="N468" t="s">
        <v>3998</v>
      </c>
      <c r="O468" t="s">
        <v>3980</v>
      </c>
      <c r="P468" t="str">
        <f>TRIM(Table13_1[[#This Row],[Genre]])</f>
        <v>Action</v>
      </c>
    </row>
    <row r="469" spans="1:16" x14ac:dyDescent="0.3">
      <c r="A469" t="s">
        <v>1109</v>
      </c>
      <c r="B469" t="s">
        <v>457</v>
      </c>
      <c r="C469">
        <v>1984</v>
      </c>
      <c r="D469">
        <v>1980</v>
      </c>
      <c r="E469" t="s">
        <v>24</v>
      </c>
      <c r="F469">
        <v>137</v>
      </c>
      <c r="G469" t="s">
        <v>3999</v>
      </c>
      <c r="H469" t="s">
        <v>1110</v>
      </c>
      <c r="I469" t="s">
        <v>718</v>
      </c>
      <c r="J469" t="s">
        <v>1111</v>
      </c>
      <c r="K469">
        <v>21750</v>
      </c>
      <c r="M469">
        <v>0</v>
      </c>
      <c r="N469" t="s">
        <v>4001</v>
      </c>
      <c r="O469" t="s">
        <v>767</v>
      </c>
      <c r="P469" t="str">
        <f>TRIM(Table13_1[[#This Row],[Genre]])</f>
        <v>Fantasy</v>
      </c>
    </row>
    <row r="470" spans="1:16" x14ac:dyDescent="0.3">
      <c r="A470" t="s">
        <v>1112</v>
      </c>
      <c r="B470" t="s">
        <v>1113</v>
      </c>
      <c r="C470">
        <v>2012</v>
      </c>
      <c r="D470">
        <v>2010</v>
      </c>
      <c r="E470" t="s">
        <v>24</v>
      </c>
      <c r="F470">
        <v>137</v>
      </c>
      <c r="G470" t="s">
        <v>3999</v>
      </c>
      <c r="H470" t="s">
        <v>561</v>
      </c>
      <c r="I470" t="s">
        <v>39</v>
      </c>
      <c r="J470" t="s">
        <v>1115</v>
      </c>
      <c r="K470">
        <v>129266</v>
      </c>
      <c r="M470">
        <v>0</v>
      </c>
      <c r="N470" t="s">
        <v>4001</v>
      </c>
      <c r="O470" t="s">
        <v>37</v>
      </c>
      <c r="P470" t="str">
        <f>TRIM(Table13_1[[#This Row],[Genre]])</f>
        <v>Biography</v>
      </c>
    </row>
    <row r="471" spans="1:16" x14ac:dyDescent="0.3">
      <c r="A471" t="s">
        <v>1112</v>
      </c>
      <c r="B471" t="s">
        <v>1113</v>
      </c>
      <c r="C471">
        <v>2012</v>
      </c>
      <c r="D471">
        <v>2010</v>
      </c>
      <c r="E471" t="s">
        <v>24</v>
      </c>
      <c r="F471">
        <v>137</v>
      </c>
      <c r="G471" t="s">
        <v>3999</v>
      </c>
      <c r="H471" t="s">
        <v>561</v>
      </c>
      <c r="I471" t="s">
        <v>39</v>
      </c>
      <c r="J471" t="s">
        <v>1115</v>
      </c>
      <c r="K471">
        <v>129266</v>
      </c>
      <c r="M471">
        <v>0</v>
      </c>
      <c r="N471" t="s">
        <v>4001</v>
      </c>
      <c r="O471" t="s">
        <v>3981</v>
      </c>
      <c r="P471" t="str">
        <f>TRIM(Table13_1[[#This Row],[Genre]])</f>
        <v>Romance</v>
      </c>
    </row>
    <row r="472" spans="1:16" x14ac:dyDescent="0.3">
      <c r="A472" t="s">
        <v>1116</v>
      </c>
      <c r="B472" t="s">
        <v>1117</v>
      </c>
      <c r="C472">
        <v>1984</v>
      </c>
      <c r="D472">
        <v>1980</v>
      </c>
      <c r="E472" t="s">
        <v>24</v>
      </c>
      <c r="F472">
        <v>151</v>
      </c>
      <c r="G472" t="s">
        <v>3999</v>
      </c>
      <c r="H472" t="s">
        <v>1119</v>
      </c>
      <c r="I472" t="s">
        <v>50</v>
      </c>
      <c r="J472" t="s">
        <v>1120</v>
      </c>
      <c r="K472">
        <v>880921</v>
      </c>
      <c r="M472">
        <v>0</v>
      </c>
      <c r="N472" t="s">
        <v>4001</v>
      </c>
      <c r="O472" t="s">
        <v>37</v>
      </c>
      <c r="P472" t="str">
        <f>TRIM(Table13_1[[#This Row],[Genre]])</f>
        <v>Biography</v>
      </c>
    </row>
    <row r="473" spans="1:16" x14ac:dyDescent="0.3">
      <c r="A473" t="s">
        <v>1116</v>
      </c>
      <c r="B473" t="s">
        <v>1117</v>
      </c>
      <c r="C473">
        <v>1984</v>
      </c>
      <c r="D473">
        <v>1980</v>
      </c>
      <c r="E473" t="s">
        <v>24</v>
      </c>
      <c r="F473">
        <v>151</v>
      </c>
      <c r="G473" t="s">
        <v>3999</v>
      </c>
      <c r="H473" t="s">
        <v>1119</v>
      </c>
      <c r="I473" t="s">
        <v>50</v>
      </c>
      <c r="J473" t="s">
        <v>1120</v>
      </c>
      <c r="K473">
        <v>880921</v>
      </c>
      <c r="M473">
        <v>0</v>
      </c>
      <c r="N473" t="s">
        <v>4001</v>
      </c>
      <c r="O473" t="s">
        <v>3993</v>
      </c>
      <c r="P473" t="str">
        <f>TRIM(Table13_1[[#This Row],[Genre]])</f>
        <v>Comedy</v>
      </c>
    </row>
    <row r="474" spans="1:16" x14ac:dyDescent="0.3">
      <c r="A474" t="s">
        <v>1116</v>
      </c>
      <c r="B474" t="s">
        <v>1117</v>
      </c>
      <c r="C474">
        <v>1984</v>
      </c>
      <c r="D474">
        <v>1980</v>
      </c>
      <c r="E474" t="s">
        <v>24</v>
      </c>
      <c r="F474">
        <v>151</v>
      </c>
      <c r="G474" t="s">
        <v>3999</v>
      </c>
      <c r="H474" t="s">
        <v>1119</v>
      </c>
      <c r="I474" t="s">
        <v>50</v>
      </c>
      <c r="J474" t="s">
        <v>1120</v>
      </c>
      <c r="K474">
        <v>880921</v>
      </c>
      <c r="M474">
        <v>0</v>
      </c>
      <c r="N474" t="s">
        <v>4001</v>
      </c>
      <c r="O474" t="s">
        <v>3982</v>
      </c>
      <c r="P474" t="str">
        <f>TRIM(Table13_1[[#This Row],[Genre]])</f>
        <v>Family</v>
      </c>
    </row>
    <row r="475" spans="1:16" x14ac:dyDescent="0.3">
      <c r="A475" t="s">
        <v>1121</v>
      </c>
      <c r="B475" t="s">
        <v>1122</v>
      </c>
      <c r="C475">
        <v>1993</v>
      </c>
      <c r="D475">
        <v>1990</v>
      </c>
      <c r="E475" t="s">
        <v>17</v>
      </c>
      <c r="F475">
        <v>114</v>
      </c>
      <c r="G475" t="s">
        <v>3997</v>
      </c>
      <c r="H475" t="s">
        <v>130</v>
      </c>
      <c r="I475" t="s">
        <v>74</v>
      </c>
      <c r="J475" t="s">
        <v>1123</v>
      </c>
      <c r="K475">
        <v>692883</v>
      </c>
      <c r="L475">
        <v>68.34</v>
      </c>
      <c r="M475">
        <v>68.34</v>
      </c>
      <c r="N475" t="s">
        <v>4001</v>
      </c>
      <c r="O475" t="s">
        <v>129</v>
      </c>
      <c r="P475" t="str">
        <f>TRIM(Table13_1[[#This Row],[Genre]])</f>
        <v>Horror</v>
      </c>
    </row>
    <row r="476" spans="1:16" x14ac:dyDescent="0.3">
      <c r="A476" t="s">
        <v>1124</v>
      </c>
      <c r="B476" t="s">
        <v>1125</v>
      </c>
      <c r="C476">
        <v>2017</v>
      </c>
      <c r="D476">
        <v>2010</v>
      </c>
      <c r="E476" t="s">
        <v>17</v>
      </c>
      <c r="F476">
        <v>137</v>
      </c>
      <c r="G476" t="s">
        <v>3999</v>
      </c>
      <c r="H476" t="s">
        <v>1126</v>
      </c>
      <c r="I476" t="s">
        <v>191</v>
      </c>
      <c r="J476" t="s">
        <v>1127</v>
      </c>
      <c r="K476">
        <v>3754</v>
      </c>
      <c r="L476">
        <v>886.53</v>
      </c>
      <c r="M476">
        <v>886.53</v>
      </c>
      <c r="N476" t="s">
        <v>3998</v>
      </c>
      <c r="O476" t="s">
        <v>277</v>
      </c>
      <c r="P476" t="str">
        <f>TRIM(Table13_1[[#This Row],[Genre]])</f>
        <v>Thriller</v>
      </c>
    </row>
    <row r="477" spans="1:16" x14ac:dyDescent="0.3">
      <c r="A477" t="s">
        <v>1128</v>
      </c>
      <c r="B477" t="s">
        <v>1129</v>
      </c>
      <c r="C477">
        <v>2013</v>
      </c>
      <c r="D477">
        <v>2010</v>
      </c>
      <c r="E477" t="s">
        <v>169</v>
      </c>
      <c r="F477">
        <v>75</v>
      </c>
      <c r="G477" t="s">
        <v>4000</v>
      </c>
      <c r="H477" t="s">
        <v>158</v>
      </c>
      <c r="I477" t="s">
        <v>33</v>
      </c>
      <c r="J477" t="s">
        <v>1131</v>
      </c>
      <c r="K477">
        <v>405271</v>
      </c>
      <c r="M477">
        <v>0</v>
      </c>
      <c r="N477" t="s">
        <v>4001</v>
      </c>
      <c r="O477" t="s">
        <v>157</v>
      </c>
      <c r="P477" t="str">
        <f>TRIM(Table13_1[[#This Row],[Genre]])</f>
        <v>Animation</v>
      </c>
    </row>
    <row r="478" spans="1:16" x14ac:dyDescent="0.3">
      <c r="A478" t="s">
        <v>1128</v>
      </c>
      <c r="B478" t="s">
        <v>1129</v>
      </c>
      <c r="C478">
        <v>2013</v>
      </c>
      <c r="D478">
        <v>2010</v>
      </c>
      <c r="E478" t="s">
        <v>169</v>
      </c>
      <c r="F478">
        <v>75</v>
      </c>
      <c r="G478" t="s">
        <v>4000</v>
      </c>
      <c r="H478" t="s">
        <v>158</v>
      </c>
      <c r="I478" t="s">
        <v>33</v>
      </c>
      <c r="J478" t="s">
        <v>1131</v>
      </c>
      <c r="K478">
        <v>405271</v>
      </c>
      <c r="M478">
        <v>0</v>
      </c>
      <c r="N478" t="s">
        <v>4001</v>
      </c>
      <c r="O478" t="s">
        <v>3982</v>
      </c>
      <c r="P478" t="str">
        <f>TRIM(Table13_1[[#This Row],[Genre]])</f>
        <v>Family</v>
      </c>
    </row>
    <row r="479" spans="1:16" x14ac:dyDescent="0.3">
      <c r="A479" t="s">
        <v>1132</v>
      </c>
      <c r="B479" t="s">
        <v>1133</v>
      </c>
      <c r="C479">
        <v>2019</v>
      </c>
      <c r="D479">
        <v>2010</v>
      </c>
      <c r="E479" t="s">
        <v>24</v>
      </c>
      <c r="F479">
        <v>109</v>
      </c>
      <c r="G479" t="s">
        <v>3997</v>
      </c>
      <c r="H479" t="s">
        <v>38</v>
      </c>
      <c r="I479" t="s">
        <v>718</v>
      </c>
      <c r="J479" t="s">
        <v>1135</v>
      </c>
      <c r="K479">
        <v>11415</v>
      </c>
      <c r="M479">
        <v>0</v>
      </c>
      <c r="N479" t="s">
        <v>4001</v>
      </c>
      <c r="O479" t="s">
        <v>37</v>
      </c>
      <c r="P479" t="str">
        <f>TRIM(Table13_1[[#This Row],[Genre]])</f>
        <v>Biography</v>
      </c>
    </row>
    <row r="480" spans="1:16" x14ac:dyDescent="0.3">
      <c r="A480" t="s">
        <v>1132</v>
      </c>
      <c r="B480" t="s">
        <v>1133</v>
      </c>
      <c r="C480">
        <v>2019</v>
      </c>
      <c r="D480">
        <v>2010</v>
      </c>
      <c r="E480" t="s">
        <v>24</v>
      </c>
      <c r="F480">
        <v>109</v>
      </c>
      <c r="G480" t="s">
        <v>3997</v>
      </c>
      <c r="H480" t="s">
        <v>38</v>
      </c>
      <c r="I480" t="s">
        <v>718</v>
      </c>
      <c r="J480" t="s">
        <v>1135</v>
      </c>
      <c r="K480">
        <v>11415</v>
      </c>
      <c r="M480">
        <v>0</v>
      </c>
      <c r="N480" t="s">
        <v>4001</v>
      </c>
      <c r="O480" t="s">
        <v>3988</v>
      </c>
      <c r="P480" t="str">
        <f>TRIM(Table13_1[[#This Row],[Genre]])</f>
        <v>Drama</v>
      </c>
    </row>
    <row r="481" spans="1:16" x14ac:dyDescent="0.3">
      <c r="A481" t="s">
        <v>1136</v>
      </c>
      <c r="B481" t="s">
        <v>1137</v>
      </c>
      <c r="C481">
        <v>2017</v>
      </c>
      <c r="D481">
        <v>2010</v>
      </c>
      <c r="E481" t="s">
        <v>17</v>
      </c>
      <c r="F481">
        <v>109</v>
      </c>
      <c r="G481" t="s">
        <v>3997</v>
      </c>
      <c r="H481" t="s">
        <v>634</v>
      </c>
      <c r="I481" t="s">
        <v>236</v>
      </c>
      <c r="J481" t="s">
        <v>1139</v>
      </c>
      <c r="K481">
        <v>33500</v>
      </c>
      <c r="L481">
        <v>646.29999999999995</v>
      </c>
      <c r="M481">
        <v>646.29999999999995</v>
      </c>
      <c r="N481" t="s">
        <v>3998</v>
      </c>
      <c r="O481" t="s">
        <v>129</v>
      </c>
      <c r="P481" t="str">
        <f>TRIM(Table13_1[[#This Row],[Genre]])</f>
        <v>Horror</v>
      </c>
    </row>
    <row r="482" spans="1:16" x14ac:dyDescent="0.3">
      <c r="A482" t="s">
        <v>1136</v>
      </c>
      <c r="B482" t="s">
        <v>1137</v>
      </c>
      <c r="C482">
        <v>2017</v>
      </c>
      <c r="D482">
        <v>2010</v>
      </c>
      <c r="E482" t="s">
        <v>17</v>
      </c>
      <c r="F482">
        <v>109</v>
      </c>
      <c r="G482" t="s">
        <v>3997</v>
      </c>
      <c r="H482" t="s">
        <v>634</v>
      </c>
      <c r="I482" t="s">
        <v>236</v>
      </c>
      <c r="J482" t="s">
        <v>1139</v>
      </c>
      <c r="K482">
        <v>33500</v>
      </c>
      <c r="L482">
        <v>646.29999999999995</v>
      </c>
      <c r="M482">
        <v>646.29999999999995</v>
      </c>
      <c r="N482" t="s">
        <v>3998</v>
      </c>
      <c r="O482" t="s">
        <v>3992</v>
      </c>
      <c r="P482" t="str">
        <f>TRIM(Table13_1[[#This Row],[Genre]])</f>
        <v>Biography</v>
      </c>
    </row>
    <row r="483" spans="1:16" x14ac:dyDescent="0.3">
      <c r="A483" t="s">
        <v>1140</v>
      </c>
      <c r="B483" t="s">
        <v>1141</v>
      </c>
      <c r="C483">
        <v>2000</v>
      </c>
      <c r="D483">
        <v>2000</v>
      </c>
      <c r="E483" t="s">
        <v>54</v>
      </c>
      <c r="F483">
        <v>113</v>
      </c>
      <c r="G483" t="s">
        <v>3997</v>
      </c>
      <c r="H483" t="s">
        <v>1143</v>
      </c>
      <c r="I483" t="s">
        <v>608</v>
      </c>
      <c r="J483" t="s">
        <v>1144</v>
      </c>
      <c r="K483">
        <v>123504</v>
      </c>
      <c r="L483">
        <v>167.38</v>
      </c>
      <c r="M483">
        <v>167.38</v>
      </c>
      <c r="N483" t="s">
        <v>4002</v>
      </c>
      <c r="O483" t="s">
        <v>767</v>
      </c>
      <c r="P483" t="str">
        <f>TRIM(Table13_1[[#This Row],[Genre]])</f>
        <v>Fantasy</v>
      </c>
    </row>
    <row r="484" spans="1:16" x14ac:dyDescent="0.3">
      <c r="A484" t="s">
        <v>1140</v>
      </c>
      <c r="B484" t="s">
        <v>1141</v>
      </c>
      <c r="C484">
        <v>2000</v>
      </c>
      <c r="D484">
        <v>2000</v>
      </c>
      <c r="E484" t="s">
        <v>54</v>
      </c>
      <c r="F484">
        <v>113</v>
      </c>
      <c r="G484" t="s">
        <v>3997</v>
      </c>
      <c r="H484" t="s">
        <v>1143</v>
      </c>
      <c r="I484" t="s">
        <v>608</v>
      </c>
      <c r="J484" t="s">
        <v>1144</v>
      </c>
      <c r="K484">
        <v>123504</v>
      </c>
      <c r="L484">
        <v>167.38</v>
      </c>
      <c r="M484">
        <v>167.38</v>
      </c>
      <c r="N484" t="s">
        <v>4002</v>
      </c>
      <c r="O484" t="s">
        <v>3978</v>
      </c>
      <c r="P484" t="str">
        <f>TRIM(Table13_1[[#This Row],[Genre]])</f>
        <v>Mystery</v>
      </c>
    </row>
    <row r="485" spans="1:16" x14ac:dyDescent="0.3">
      <c r="A485" t="s">
        <v>1140</v>
      </c>
      <c r="B485" t="s">
        <v>1141</v>
      </c>
      <c r="C485">
        <v>2000</v>
      </c>
      <c r="D485">
        <v>2000</v>
      </c>
      <c r="E485" t="s">
        <v>54</v>
      </c>
      <c r="F485">
        <v>113</v>
      </c>
      <c r="G485" t="s">
        <v>3997</v>
      </c>
      <c r="H485" t="s">
        <v>1143</v>
      </c>
      <c r="I485" t="s">
        <v>608</v>
      </c>
      <c r="J485" t="s">
        <v>1144</v>
      </c>
      <c r="K485">
        <v>123504</v>
      </c>
      <c r="L485">
        <v>167.38</v>
      </c>
      <c r="M485">
        <v>167.38</v>
      </c>
      <c r="N485" t="s">
        <v>4002</v>
      </c>
      <c r="O485" t="s">
        <v>3976</v>
      </c>
      <c r="P485" t="str">
        <f>TRIM(Table13_1[[#This Row],[Genre]])</f>
        <v>Musical</v>
      </c>
    </row>
    <row r="486" spans="1:16" x14ac:dyDescent="0.3">
      <c r="A486" t="s">
        <v>1145</v>
      </c>
      <c r="B486" t="s">
        <v>1146</v>
      </c>
      <c r="C486">
        <v>2024</v>
      </c>
      <c r="D486">
        <v>2020</v>
      </c>
      <c r="E486" t="s">
        <v>54</v>
      </c>
      <c r="F486">
        <v>133</v>
      </c>
      <c r="G486" t="s">
        <v>3999</v>
      </c>
      <c r="H486" t="s">
        <v>574</v>
      </c>
      <c r="I486" t="s">
        <v>86</v>
      </c>
      <c r="J486" t="s">
        <v>1147</v>
      </c>
      <c r="K486">
        <v>38524</v>
      </c>
      <c r="L486">
        <v>699.85</v>
      </c>
      <c r="M486">
        <v>699.85</v>
      </c>
      <c r="N486" t="s">
        <v>3998</v>
      </c>
      <c r="O486" t="s">
        <v>210</v>
      </c>
      <c r="P486" t="str">
        <f>TRIM(Table13_1[[#This Row],[Genre]])</f>
        <v>Action</v>
      </c>
    </row>
    <row r="487" spans="1:16" x14ac:dyDescent="0.3">
      <c r="A487" t="s">
        <v>1148</v>
      </c>
      <c r="B487" t="s">
        <v>1149</v>
      </c>
      <c r="C487">
        <v>2004</v>
      </c>
      <c r="D487">
        <v>2000</v>
      </c>
      <c r="E487" t="s">
        <v>24</v>
      </c>
      <c r="F487">
        <v>95</v>
      </c>
      <c r="G487" t="s">
        <v>3997</v>
      </c>
      <c r="H487" t="s">
        <v>1150</v>
      </c>
      <c r="I487" t="s">
        <v>159</v>
      </c>
      <c r="J487" t="s">
        <v>1151</v>
      </c>
      <c r="K487">
        <v>226598</v>
      </c>
      <c r="L487">
        <v>197.19</v>
      </c>
      <c r="M487">
        <v>197.19</v>
      </c>
      <c r="N487" t="s">
        <v>4002</v>
      </c>
      <c r="O487" t="s">
        <v>868</v>
      </c>
      <c r="P487" t="str">
        <f>TRIM(Table13_1[[#This Row],[Genre]])</f>
        <v>Western</v>
      </c>
    </row>
    <row r="488" spans="1:16" x14ac:dyDescent="0.3">
      <c r="A488" t="s">
        <v>1152</v>
      </c>
      <c r="B488" t="s">
        <v>1153</v>
      </c>
      <c r="C488">
        <v>1957</v>
      </c>
      <c r="D488">
        <v>1950</v>
      </c>
      <c r="E488" t="s">
        <v>17</v>
      </c>
      <c r="F488">
        <v>109</v>
      </c>
      <c r="G488" t="s">
        <v>3997</v>
      </c>
      <c r="H488" t="s">
        <v>1155</v>
      </c>
      <c r="I488" t="s">
        <v>80</v>
      </c>
      <c r="J488" t="s">
        <v>1156</v>
      </c>
      <c r="K488">
        <v>39815</v>
      </c>
      <c r="L488">
        <v>23.66</v>
      </c>
      <c r="M488">
        <v>23.66</v>
      </c>
      <c r="N488" t="s">
        <v>4001</v>
      </c>
      <c r="O488" t="s">
        <v>72</v>
      </c>
      <c r="P488" t="str">
        <f>TRIM(Table13_1[[#This Row],[Genre]])</f>
        <v>War</v>
      </c>
    </row>
    <row r="489" spans="1:16" x14ac:dyDescent="0.3">
      <c r="A489" t="s">
        <v>1152</v>
      </c>
      <c r="B489" t="s">
        <v>1153</v>
      </c>
      <c r="C489">
        <v>1957</v>
      </c>
      <c r="D489">
        <v>1950</v>
      </c>
      <c r="E489" t="s">
        <v>17</v>
      </c>
      <c r="F489">
        <v>109</v>
      </c>
      <c r="G489" t="s">
        <v>3997</v>
      </c>
      <c r="H489" t="s">
        <v>1155</v>
      </c>
      <c r="I489" t="s">
        <v>80</v>
      </c>
      <c r="J489" t="s">
        <v>1156</v>
      </c>
      <c r="K489">
        <v>39815</v>
      </c>
      <c r="L489">
        <v>23.66</v>
      </c>
      <c r="M489">
        <v>23.66</v>
      </c>
      <c r="N489" t="s">
        <v>4001</v>
      </c>
      <c r="O489" t="s">
        <v>3981</v>
      </c>
      <c r="P489" t="str">
        <f>TRIM(Table13_1[[#This Row],[Genre]])</f>
        <v>Romance</v>
      </c>
    </row>
    <row r="490" spans="1:16" x14ac:dyDescent="0.3">
      <c r="A490" t="s">
        <v>1157</v>
      </c>
      <c r="B490" t="s">
        <v>1158</v>
      </c>
      <c r="C490">
        <v>1984</v>
      </c>
      <c r="D490">
        <v>1980</v>
      </c>
      <c r="E490" t="s">
        <v>17</v>
      </c>
      <c r="F490">
        <v>161</v>
      </c>
      <c r="G490" t="s">
        <v>3999</v>
      </c>
      <c r="H490" t="s">
        <v>124</v>
      </c>
      <c r="I490" t="s">
        <v>92</v>
      </c>
      <c r="J490" t="s">
        <v>1160</v>
      </c>
      <c r="K490">
        <v>22029</v>
      </c>
      <c r="M490">
        <v>0</v>
      </c>
      <c r="N490" t="s">
        <v>4001</v>
      </c>
      <c r="O490" t="s">
        <v>230</v>
      </c>
      <c r="P490" t="str">
        <f>TRIM(Table13_1[[#This Row],[Genre]])</f>
        <v>Documentary</v>
      </c>
    </row>
    <row r="491" spans="1:16" x14ac:dyDescent="0.3">
      <c r="A491" t="s">
        <v>1157</v>
      </c>
      <c r="B491" t="s">
        <v>1158</v>
      </c>
      <c r="C491">
        <v>1984</v>
      </c>
      <c r="D491">
        <v>1980</v>
      </c>
      <c r="E491" t="s">
        <v>17</v>
      </c>
      <c r="F491">
        <v>161</v>
      </c>
      <c r="G491" t="s">
        <v>3999</v>
      </c>
      <c r="H491" t="s">
        <v>124</v>
      </c>
      <c r="I491" t="s">
        <v>92</v>
      </c>
      <c r="J491" t="s">
        <v>1160</v>
      </c>
      <c r="K491">
        <v>22029</v>
      </c>
      <c r="M491">
        <v>0</v>
      </c>
      <c r="N491" t="s">
        <v>4001</v>
      </c>
      <c r="O491" t="s">
        <v>3978</v>
      </c>
      <c r="P491" t="str">
        <f>TRIM(Table13_1[[#This Row],[Genre]])</f>
        <v>Mystery</v>
      </c>
    </row>
    <row r="492" spans="1:16" x14ac:dyDescent="0.3">
      <c r="A492" t="s">
        <v>1157</v>
      </c>
      <c r="B492" t="s">
        <v>1158</v>
      </c>
      <c r="C492">
        <v>1984</v>
      </c>
      <c r="D492">
        <v>1980</v>
      </c>
      <c r="E492" t="s">
        <v>17</v>
      </c>
      <c r="F492">
        <v>161</v>
      </c>
      <c r="G492" t="s">
        <v>3999</v>
      </c>
      <c r="H492" t="s">
        <v>124</v>
      </c>
      <c r="I492" t="s">
        <v>92</v>
      </c>
      <c r="J492" t="s">
        <v>1160</v>
      </c>
      <c r="K492">
        <v>22029</v>
      </c>
      <c r="M492">
        <v>0</v>
      </c>
      <c r="N492" t="s">
        <v>4001</v>
      </c>
      <c r="O492" t="s">
        <v>3976</v>
      </c>
      <c r="P492" t="str">
        <f>TRIM(Table13_1[[#This Row],[Genre]])</f>
        <v>Musical</v>
      </c>
    </row>
    <row r="493" spans="1:16" x14ac:dyDescent="0.3">
      <c r="A493" t="s">
        <v>1161</v>
      </c>
      <c r="B493" t="s">
        <v>1162</v>
      </c>
      <c r="C493">
        <v>1966</v>
      </c>
      <c r="D493">
        <v>1960</v>
      </c>
      <c r="E493" t="s">
        <v>24</v>
      </c>
      <c r="F493">
        <v>101</v>
      </c>
      <c r="G493" t="s">
        <v>3997</v>
      </c>
      <c r="H493" t="s">
        <v>269</v>
      </c>
      <c r="I493" t="s">
        <v>718</v>
      </c>
      <c r="J493" t="s">
        <v>1164</v>
      </c>
      <c r="K493">
        <v>323724</v>
      </c>
      <c r="L493">
        <v>126.06</v>
      </c>
      <c r="M493">
        <v>126.06</v>
      </c>
      <c r="N493" t="s">
        <v>4002</v>
      </c>
      <c r="O493" t="s">
        <v>453</v>
      </c>
      <c r="P493" t="str">
        <f>TRIM(Table13_1[[#This Row],[Genre]])</f>
        <v>Musical</v>
      </c>
    </row>
    <row r="494" spans="1:16" x14ac:dyDescent="0.3">
      <c r="A494" t="s">
        <v>1161</v>
      </c>
      <c r="B494" t="s">
        <v>1162</v>
      </c>
      <c r="C494">
        <v>1966</v>
      </c>
      <c r="D494">
        <v>1960</v>
      </c>
      <c r="E494" t="s">
        <v>24</v>
      </c>
      <c r="F494">
        <v>101</v>
      </c>
      <c r="G494" t="s">
        <v>3997</v>
      </c>
      <c r="H494" t="s">
        <v>269</v>
      </c>
      <c r="I494" t="s">
        <v>718</v>
      </c>
      <c r="J494" t="s">
        <v>1164</v>
      </c>
      <c r="K494">
        <v>323724</v>
      </c>
      <c r="L494">
        <v>126.06</v>
      </c>
      <c r="M494">
        <v>126.06</v>
      </c>
      <c r="N494" t="s">
        <v>4002</v>
      </c>
      <c r="O494" t="s">
        <v>3980</v>
      </c>
      <c r="P494" t="str">
        <f>TRIM(Table13_1[[#This Row],[Genre]])</f>
        <v>Action</v>
      </c>
    </row>
    <row r="495" spans="1:16" x14ac:dyDescent="0.3">
      <c r="A495" t="s">
        <v>1165</v>
      </c>
      <c r="B495" t="s">
        <v>272</v>
      </c>
      <c r="C495">
        <v>1940</v>
      </c>
      <c r="D495">
        <v>1940</v>
      </c>
      <c r="E495" t="s">
        <v>24</v>
      </c>
      <c r="F495">
        <v>115</v>
      </c>
      <c r="G495" t="s">
        <v>3997</v>
      </c>
      <c r="H495" t="s">
        <v>1166</v>
      </c>
      <c r="I495" t="s">
        <v>315</v>
      </c>
      <c r="J495" t="s">
        <v>1167</v>
      </c>
      <c r="K495">
        <v>19114</v>
      </c>
      <c r="L495">
        <v>139.52000000000001</v>
      </c>
      <c r="M495">
        <v>139.52000000000001</v>
      </c>
      <c r="N495" t="s">
        <v>4002</v>
      </c>
      <c r="O495" t="s">
        <v>453</v>
      </c>
      <c r="P495" t="str">
        <f>TRIM(Table13_1[[#This Row],[Genre]])</f>
        <v>Musical</v>
      </c>
    </row>
    <row r="496" spans="1:16" x14ac:dyDescent="0.3">
      <c r="A496" t="s">
        <v>1168</v>
      </c>
      <c r="B496" t="s">
        <v>1169</v>
      </c>
      <c r="C496">
        <v>2012</v>
      </c>
      <c r="D496">
        <v>2010</v>
      </c>
      <c r="E496" t="s">
        <v>17</v>
      </c>
      <c r="F496">
        <v>127</v>
      </c>
      <c r="G496" t="s">
        <v>3999</v>
      </c>
      <c r="H496" t="s">
        <v>1171</v>
      </c>
      <c r="I496" t="s">
        <v>33</v>
      </c>
      <c r="J496" t="s">
        <v>1172</v>
      </c>
      <c r="K496">
        <v>155244</v>
      </c>
      <c r="M496">
        <v>0</v>
      </c>
      <c r="N496" t="s">
        <v>4001</v>
      </c>
      <c r="O496" t="s">
        <v>1044</v>
      </c>
      <c r="P496" t="str">
        <f>TRIM(Table13_1[[#This Row],[Genre]])</f>
        <v>Comedy</v>
      </c>
    </row>
    <row r="497" spans="1:16" x14ac:dyDescent="0.3">
      <c r="A497" t="s">
        <v>1168</v>
      </c>
      <c r="B497" t="s">
        <v>1169</v>
      </c>
      <c r="C497">
        <v>2012</v>
      </c>
      <c r="D497">
        <v>2010</v>
      </c>
      <c r="E497" t="s">
        <v>17</v>
      </c>
      <c r="F497">
        <v>127</v>
      </c>
      <c r="G497" t="s">
        <v>3999</v>
      </c>
      <c r="H497" t="s">
        <v>1171</v>
      </c>
      <c r="I497" t="s">
        <v>33</v>
      </c>
      <c r="J497" t="s">
        <v>1172</v>
      </c>
      <c r="K497">
        <v>155244</v>
      </c>
      <c r="M497">
        <v>0</v>
      </c>
      <c r="N497" t="s">
        <v>4001</v>
      </c>
      <c r="O497" t="s">
        <v>3991</v>
      </c>
      <c r="P497" t="str">
        <f>TRIM(Table13_1[[#This Row],[Genre]])</f>
        <v>Thriller</v>
      </c>
    </row>
    <row r="498" spans="1:16" x14ac:dyDescent="0.3">
      <c r="A498" t="s">
        <v>1173</v>
      </c>
      <c r="B498" t="s">
        <v>1174</v>
      </c>
      <c r="C498">
        <v>2003</v>
      </c>
      <c r="D498">
        <v>2000</v>
      </c>
      <c r="E498" t="s">
        <v>17</v>
      </c>
      <c r="F498">
        <v>116</v>
      </c>
      <c r="G498" t="s">
        <v>3997</v>
      </c>
      <c r="H498" t="s">
        <v>1176</v>
      </c>
      <c r="I498" t="s">
        <v>27</v>
      </c>
      <c r="J498" t="s">
        <v>1177</v>
      </c>
      <c r="K498">
        <v>159290</v>
      </c>
      <c r="L498">
        <v>263.02</v>
      </c>
      <c r="M498">
        <v>263.02</v>
      </c>
      <c r="N498" t="s">
        <v>3998</v>
      </c>
      <c r="O498" t="s">
        <v>606</v>
      </c>
      <c r="P498" t="str">
        <f>TRIM(Table13_1[[#This Row],[Genre]])</f>
        <v>Sci-Fi</v>
      </c>
    </row>
    <row r="499" spans="1:16" x14ac:dyDescent="0.3">
      <c r="A499" t="s">
        <v>1173</v>
      </c>
      <c r="B499" t="s">
        <v>1174</v>
      </c>
      <c r="C499">
        <v>2003</v>
      </c>
      <c r="D499">
        <v>2000</v>
      </c>
      <c r="E499" t="s">
        <v>17</v>
      </c>
      <c r="F499">
        <v>116</v>
      </c>
      <c r="G499" t="s">
        <v>3997</v>
      </c>
      <c r="H499" t="s">
        <v>1176</v>
      </c>
      <c r="I499" t="s">
        <v>27</v>
      </c>
      <c r="J499" t="s">
        <v>1177</v>
      </c>
      <c r="K499">
        <v>159290</v>
      </c>
      <c r="L499">
        <v>263.02</v>
      </c>
      <c r="M499">
        <v>263.02</v>
      </c>
      <c r="N499" t="s">
        <v>3998</v>
      </c>
      <c r="O499" t="s">
        <v>3979</v>
      </c>
      <c r="P499" t="str">
        <f>TRIM(Table13_1[[#This Row],[Genre]])</f>
        <v>War</v>
      </c>
    </row>
    <row r="500" spans="1:16" x14ac:dyDescent="0.3">
      <c r="A500" t="s">
        <v>1173</v>
      </c>
      <c r="B500" t="s">
        <v>1174</v>
      </c>
      <c r="C500">
        <v>2003</v>
      </c>
      <c r="D500">
        <v>2000</v>
      </c>
      <c r="E500" t="s">
        <v>17</v>
      </c>
      <c r="F500">
        <v>116</v>
      </c>
      <c r="G500" t="s">
        <v>3997</v>
      </c>
      <c r="H500" t="s">
        <v>1176</v>
      </c>
      <c r="I500" t="s">
        <v>27</v>
      </c>
      <c r="J500" t="s">
        <v>1177</v>
      </c>
      <c r="K500">
        <v>159290</v>
      </c>
      <c r="L500">
        <v>263.02</v>
      </c>
      <c r="M500">
        <v>263.02</v>
      </c>
      <c r="N500" t="s">
        <v>3998</v>
      </c>
      <c r="O500" t="s">
        <v>3978</v>
      </c>
      <c r="P500" t="str">
        <f>TRIM(Table13_1[[#This Row],[Genre]])</f>
        <v>Mystery</v>
      </c>
    </row>
    <row r="501" spans="1:16" x14ac:dyDescent="0.3">
      <c r="A501" t="s">
        <v>1178</v>
      </c>
      <c r="B501" t="s">
        <v>1179</v>
      </c>
      <c r="C501">
        <v>2005</v>
      </c>
      <c r="D501">
        <v>2000</v>
      </c>
      <c r="E501" t="s">
        <v>285</v>
      </c>
      <c r="F501">
        <v>159</v>
      </c>
      <c r="G501" t="s">
        <v>3999</v>
      </c>
      <c r="H501" t="s">
        <v>1181</v>
      </c>
      <c r="I501" t="s">
        <v>608</v>
      </c>
      <c r="J501" t="s">
        <v>1182</v>
      </c>
      <c r="K501">
        <v>70166</v>
      </c>
      <c r="L501">
        <v>318.3</v>
      </c>
      <c r="M501">
        <v>318.3</v>
      </c>
      <c r="N501" t="s">
        <v>3998</v>
      </c>
      <c r="O501" t="s">
        <v>78</v>
      </c>
      <c r="P501" t="str">
        <f>TRIM(Table13_1[[#This Row],[Genre]])</f>
        <v>Adventure</v>
      </c>
    </row>
    <row r="502" spans="1:16" x14ac:dyDescent="0.3">
      <c r="A502" t="s">
        <v>1178</v>
      </c>
      <c r="B502" t="s">
        <v>1179</v>
      </c>
      <c r="C502">
        <v>2005</v>
      </c>
      <c r="D502">
        <v>2000</v>
      </c>
      <c r="E502" t="s">
        <v>285</v>
      </c>
      <c r="F502">
        <v>159</v>
      </c>
      <c r="G502" t="s">
        <v>3999</v>
      </c>
      <c r="H502" t="s">
        <v>1181</v>
      </c>
      <c r="I502" t="s">
        <v>608</v>
      </c>
      <c r="J502" t="s">
        <v>1182</v>
      </c>
      <c r="K502">
        <v>70166</v>
      </c>
      <c r="L502">
        <v>318.3</v>
      </c>
      <c r="M502">
        <v>318.3</v>
      </c>
      <c r="N502" t="s">
        <v>3998</v>
      </c>
      <c r="O502" t="s">
        <v>3993</v>
      </c>
      <c r="P502" t="str">
        <f>TRIM(Table13_1[[#This Row],[Genre]])</f>
        <v>Comedy</v>
      </c>
    </row>
    <row r="503" spans="1:16" x14ac:dyDescent="0.3">
      <c r="A503" t="s">
        <v>1183</v>
      </c>
      <c r="B503" t="s">
        <v>1184</v>
      </c>
      <c r="C503">
        <v>1989</v>
      </c>
      <c r="D503">
        <v>1980</v>
      </c>
      <c r="E503" t="s">
        <v>17</v>
      </c>
      <c r="F503">
        <v>149</v>
      </c>
      <c r="G503" t="s">
        <v>3999</v>
      </c>
      <c r="H503" t="s">
        <v>728</v>
      </c>
      <c r="I503" t="s">
        <v>593</v>
      </c>
      <c r="J503" t="s">
        <v>1186</v>
      </c>
      <c r="K503">
        <v>28261</v>
      </c>
      <c r="L503">
        <v>128.47999999999999</v>
      </c>
      <c r="M503">
        <v>128.47999999999999</v>
      </c>
      <c r="N503" t="s">
        <v>4002</v>
      </c>
      <c r="O503" t="s">
        <v>210</v>
      </c>
      <c r="P503" t="str">
        <f>TRIM(Table13_1[[#This Row],[Genre]])</f>
        <v>Action</v>
      </c>
    </row>
    <row r="504" spans="1:16" x14ac:dyDescent="0.3">
      <c r="A504" t="s">
        <v>1183</v>
      </c>
      <c r="B504" t="s">
        <v>1184</v>
      </c>
      <c r="C504">
        <v>1989</v>
      </c>
      <c r="D504">
        <v>1980</v>
      </c>
      <c r="E504" t="s">
        <v>17</v>
      </c>
      <c r="F504">
        <v>149</v>
      </c>
      <c r="G504" t="s">
        <v>3999</v>
      </c>
      <c r="H504" t="s">
        <v>728</v>
      </c>
      <c r="I504" t="s">
        <v>593</v>
      </c>
      <c r="J504" t="s">
        <v>1186</v>
      </c>
      <c r="K504">
        <v>28261</v>
      </c>
      <c r="L504">
        <v>128.47999999999999</v>
      </c>
      <c r="M504">
        <v>128.47999999999999</v>
      </c>
      <c r="N504" t="s">
        <v>4002</v>
      </c>
      <c r="O504" t="s">
        <v>3983</v>
      </c>
      <c r="P504" t="str">
        <f>TRIM(Table13_1[[#This Row],[Genre]])</f>
        <v>Crime</v>
      </c>
    </row>
    <row r="505" spans="1:16" x14ac:dyDescent="0.3">
      <c r="A505" t="s">
        <v>1187</v>
      </c>
      <c r="B505" t="s">
        <v>1188</v>
      </c>
      <c r="C505">
        <v>1983</v>
      </c>
      <c r="D505">
        <v>1980</v>
      </c>
      <c r="E505" t="s">
        <v>24</v>
      </c>
      <c r="F505">
        <v>104</v>
      </c>
      <c r="G505" t="s">
        <v>3997</v>
      </c>
      <c r="H505" t="s">
        <v>130</v>
      </c>
      <c r="I505" t="s">
        <v>125</v>
      </c>
      <c r="J505" t="s">
        <v>1189</v>
      </c>
      <c r="K505">
        <v>47296</v>
      </c>
      <c r="L505">
        <v>196.91</v>
      </c>
      <c r="M505">
        <v>196.91</v>
      </c>
      <c r="N505" t="s">
        <v>4002</v>
      </c>
      <c r="O505" t="s">
        <v>129</v>
      </c>
      <c r="P505" t="str">
        <f>TRIM(Table13_1[[#This Row],[Genre]])</f>
        <v>Horror</v>
      </c>
    </row>
    <row r="506" spans="1:16" x14ac:dyDescent="0.3">
      <c r="A506" t="s">
        <v>1190</v>
      </c>
      <c r="B506" t="s">
        <v>1191</v>
      </c>
      <c r="C506">
        <v>2002</v>
      </c>
      <c r="D506">
        <v>2000</v>
      </c>
      <c r="E506" t="s">
        <v>24</v>
      </c>
      <c r="F506">
        <v>88</v>
      </c>
      <c r="G506" t="s">
        <v>4000</v>
      </c>
      <c r="H506" t="s">
        <v>435</v>
      </c>
      <c r="I506" t="s">
        <v>137</v>
      </c>
      <c r="J506" t="s">
        <v>1193</v>
      </c>
      <c r="K506">
        <v>53276</v>
      </c>
      <c r="L506">
        <v>358.22</v>
      </c>
      <c r="M506">
        <v>358.22</v>
      </c>
      <c r="N506" t="s">
        <v>3998</v>
      </c>
      <c r="O506" t="s">
        <v>453</v>
      </c>
      <c r="P506" t="str">
        <f>TRIM(Table13_1[[#This Row],[Genre]])</f>
        <v>Musical</v>
      </c>
    </row>
    <row r="507" spans="1:16" x14ac:dyDescent="0.3">
      <c r="A507" t="s">
        <v>1190</v>
      </c>
      <c r="B507" t="s">
        <v>1191</v>
      </c>
      <c r="C507">
        <v>2002</v>
      </c>
      <c r="D507">
        <v>2000</v>
      </c>
      <c r="E507" t="s">
        <v>24</v>
      </c>
      <c r="F507">
        <v>88</v>
      </c>
      <c r="G507" t="s">
        <v>4000</v>
      </c>
      <c r="H507" t="s">
        <v>435</v>
      </c>
      <c r="I507" t="s">
        <v>137</v>
      </c>
      <c r="J507" t="s">
        <v>1193</v>
      </c>
      <c r="K507">
        <v>53276</v>
      </c>
      <c r="L507">
        <v>358.22</v>
      </c>
      <c r="M507">
        <v>358.22</v>
      </c>
      <c r="N507" t="s">
        <v>3998</v>
      </c>
      <c r="O507" t="s">
        <v>3985</v>
      </c>
      <c r="P507" t="str">
        <f>TRIM(Table13_1[[#This Row],[Genre]])</f>
        <v>Horror</v>
      </c>
    </row>
    <row r="508" spans="1:16" x14ac:dyDescent="0.3">
      <c r="A508" t="s">
        <v>1194</v>
      </c>
      <c r="B508" t="s">
        <v>1195</v>
      </c>
      <c r="C508">
        <v>2014</v>
      </c>
      <c r="D508">
        <v>2010</v>
      </c>
      <c r="E508" t="s">
        <v>169</v>
      </c>
      <c r="F508">
        <v>125</v>
      </c>
      <c r="G508" t="s">
        <v>3999</v>
      </c>
      <c r="H508" t="s">
        <v>1196</v>
      </c>
      <c r="I508" t="s">
        <v>86</v>
      </c>
      <c r="J508" t="s">
        <v>1197</v>
      </c>
      <c r="K508">
        <v>67739</v>
      </c>
      <c r="L508">
        <v>738.99</v>
      </c>
      <c r="M508">
        <v>738.99</v>
      </c>
      <c r="N508" t="s">
        <v>3998</v>
      </c>
      <c r="O508" t="s">
        <v>210</v>
      </c>
      <c r="P508" t="str">
        <f>TRIM(Table13_1[[#This Row],[Genre]])</f>
        <v>Action</v>
      </c>
    </row>
    <row r="509" spans="1:16" x14ac:dyDescent="0.3">
      <c r="A509" t="s">
        <v>1198</v>
      </c>
      <c r="B509" t="s">
        <v>1199</v>
      </c>
      <c r="C509">
        <v>2018</v>
      </c>
      <c r="D509">
        <v>2010</v>
      </c>
      <c r="E509" t="s">
        <v>17</v>
      </c>
      <c r="F509">
        <v>152</v>
      </c>
      <c r="G509" t="s">
        <v>3999</v>
      </c>
      <c r="H509" t="s">
        <v>278</v>
      </c>
      <c r="I509" t="s">
        <v>125</v>
      </c>
      <c r="J509" t="s">
        <v>1200</v>
      </c>
      <c r="K509">
        <v>40022</v>
      </c>
      <c r="L509">
        <v>793.27</v>
      </c>
      <c r="M509">
        <v>793.27</v>
      </c>
      <c r="N509" t="s">
        <v>3998</v>
      </c>
      <c r="O509" t="s">
        <v>277</v>
      </c>
      <c r="P509" t="str">
        <f>TRIM(Table13_1[[#This Row],[Genre]])</f>
        <v>Thriller</v>
      </c>
    </row>
    <row r="510" spans="1:16" x14ac:dyDescent="0.3">
      <c r="A510" t="s">
        <v>1201</v>
      </c>
      <c r="B510" t="s">
        <v>1202</v>
      </c>
      <c r="C510">
        <v>2011</v>
      </c>
      <c r="D510">
        <v>2010</v>
      </c>
      <c r="E510" t="s">
        <v>54</v>
      </c>
      <c r="F510">
        <v>132</v>
      </c>
      <c r="G510" t="s">
        <v>3999</v>
      </c>
      <c r="H510" t="s">
        <v>1203</v>
      </c>
      <c r="I510" t="s">
        <v>483</v>
      </c>
      <c r="J510" t="s">
        <v>1204</v>
      </c>
      <c r="K510">
        <v>30389</v>
      </c>
      <c r="M510">
        <v>0</v>
      </c>
      <c r="N510" t="s">
        <v>4001</v>
      </c>
      <c r="O510" t="s">
        <v>1044</v>
      </c>
      <c r="P510" t="str">
        <f>TRIM(Table13_1[[#This Row],[Genre]])</f>
        <v>Comedy</v>
      </c>
    </row>
    <row r="511" spans="1:16" x14ac:dyDescent="0.3">
      <c r="A511" t="s">
        <v>1205</v>
      </c>
      <c r="B511" t="s">
        <v>1206</v>
      </c>
      <c r="C511">
        <v>2006</v>
      </c>
      <c r="D511">
        <v>2000</v>
      </c>
      <c r="E511" t="s">
        <v>17</v>
      </c>
      <c r="F511">
        <v>154</v>
      </c>
      <c r="G511" t="s">
        <v>3999</v>
      </c>
      <c r="H511" t="s">
        <v>1207</v>
      </c>
      <c r="I511" t="s">
        <v>236</v>
      </c>
      <c r="J511" t="s">
        <v>1208</v>
      </c>
      <c r="K511">
        <v>41989</v>
      </c>
      <c r="L511">
        <v>446.79</v>
      </c>
      <c r="M511">
        <v>446.79</v>
      </c>
      <c r="N511" t="s">
        <v>3998</v>
      </c>
      <c r="O511" t="s">
        <v>55</v>
      </c>
      <c r="P511" t="str">
        <f>TRIM(Table13_1[[#This Row],[Genre]])</f>
        <v>Romance</v>
      </c>
    </row>
    <row r="512" spans="1:16" x14ac:dyDescent="0.3">
      <c r="A512" t="s">
        <v>1205</v>
      </c>
      <c r="B512" t="s">
        <v>1206</v>
      </c>
      <c r="C512">
        <v>2006</v>
      </c>
      <c r="D512">
        <v>2000</v>
      </c>
      <c r="E512" t="s">
        <v>17</v>
      </c>
      <c r="F512">
        <v>154</v>
      </c>
      <c r="G512" t="s">
        <v>3999</v>
      </c>
      <c r="H512" t="s">
        <v>1207</v>
      </c>
      <c r="I512" t="s">
        <v>236</v>
      </c>
      <c r="J512" t="s">
        <v>1208</v>
      </c>
      <c r="K512">
        <v>41989</v>
      </c>
      <c r="L512">
        <v>446.79</v>
      </c>
      <c r="M512">
        <v>446.79</v>
      </c>
      <c r="N512" t="s">
        <v>3998</v>
      </c>
      <c r="O512" t="s">
        <v>3985</v>
      </c>
      <c r="P512" t="str">
        <f>TRIM(Table13_1[[#This Row],[Genre]])</f>
        <v>Horror</v>
      </c>
    </row>
    <row r="513" spans="1:16" x14ac:dyDescent="0.3">
      <c r="A513" t="s">
        <v>1209</v>
      </c>
      <c r="B513" t="s">
        <v>1210</v>
      </c>
      <c r="C513">
        <v>2006</v>
      </c>
      <c r="D513">
        <v>2000</v>
      </c>
      <c r="E513" t="s">
        <v>24</v>
      </c>
      <c r="F513">
        <v>105</v>
      </c>
      <c r="G513" t="s">
        <v>3997</v>
      </c>
      <c r="H513" t="s">
        <v>1211</v>
      </c>
      <c r="I513" t="s">
        <v>518</v>
      </c>
      <c r="J513" t="s">
        <v>1212</v>
      </c>
      <c r="K513">
        <v>38467</v>
      </c>
      <c r="L513">
        <v>118.55</v>
      </c>
      <c r="M513">
        <v>118.55</v>
      </c>
      <c r="N513" t="s">
        <v>4002</v>
      </c>
      <c r="O513" t="s">
        <v>129</v>
      </c>
      <c r="P513" t="str">
        <f>TRIM(Table13_1[[#This Row],[Genre]])</f>
        <v>Horror</v>
      </c>
    </row>
    <row r="514" spans="1:16" x14ac:dyDescent="0.3">
      <c r="A514" t="s">
        <v>1213</v>
      </c>
      <c r="B514" t="s">
        <v>1214</v>
      </c>
      <c r="C514">
        <v>2017</v>
      </c>
      <c r="D514">
        <v>2010</v>
      </c>
      <c r="E514" t="s">
        <v>54</v>
      </c>
      <c r="F514">
        <v>80</v>
      </c>
      <c r="G514" t="s">
        <v>4000</v>
      </c>
      <c r="H514" t="s">
        <v>570</v>
      </c>
      <c r="I514" t="s">
        <v>326</v>
      </c>
      <c r="J514" t="s">
        <v>1215</v>
      </c>
      <c r="K514">
        <v>9732</v>
      </c>
      <c r="M514">
        <v>0</v>
      </c>
      <c r="N514" t="s">
        <v>4001</v>
      </c>
      <c r="O514" t="s">
        <v>230</v>
      </c>
      <c r="P514" t="str">
        <f>TRIM(Table13_1[[#This Row],[Genre]])</f>
        <v>Documentary</v>
      </c>
    </row>
    <row r="515" spans="1:16" x14ac:dyDescent="0.3">
      <c r="A515" t="s">
        <v>1216</v>
      </c>
      <c r="B515" t="s">
        <v>1217</v>
      </c>
      <c r="C515">
        <v>1995</v>
      </c>
      <c r="D515">
        <v>1990</v>
      </c>
      <c r="E515" t="s">
        <v>169</v>
      </c>
      <c r="F515">
        <v>148</v>
      </c>
      <c r="G515" t="s">
        <v>3999</v>
      </c>
      <c r="H515" t="s">
        <v>634</v>
      </c>
      <c r="I515" t="s">
        <v>593</v>
      </c>
      <c r="J515" t="s">
        <v>1219</v>
      </c>
      <c r="K515">
        <v>342746</v>
      </c>
      <c r="L515">
        <v>171.87</v>
      </c>
      <c r="M515">
        <v>171.87</v>
      </c>
      <c r="N515" t="s">
        <v>4002</v>
      </c>
      <c r="O515" t="s">
        <v>129</v>
      </c>
      <c r="P515" t="str">
        <f>TRIM(Table13_1[[#This Row],[Genre]])</f>
        <v>Horror</v>
      </c>
    </row>
    <row r="516" spans="1:16" x14ac:dyDescent="0.3">
      <c r="A516" t="s">
        <v>1216</v>
      </c>
      <c r="B516" t="s">
        <v>1217</v>
      </c>
      <c r="C516">
        <v>1995</v>
      </c>
      <c r="D516">
        <v>1990</v>
      </c>
      <c r="E516" t="s">
        <v>169</v>
      </c>
      <c r="F516">
        <v>148</v>
      </c>
      <c r="G516" t="s">
        <v>3999</v>
      </c>
      <c r="H516" t="s">
        <v>634</v>
      </c>
      <c r="I516" t="s">
        <v>593</v>
      </c>
      <c r="J516" t="s">
        <v>1219</v>
      </c>
      <c r="K516">
        <v>342746</v>
      </c>
      <c r="L516">
        <v>171.87</v>
      </c>
      <c r="M516">
        <v>171.87</v>
      </c>
      <c r="N516" t="s">
        <v>4002</v>
      </c>
      <c r="O516" t="s">
        <v>3984</v>
      </c>
      <c r="P516" t="str">
        <f>TRIM(Table13_1[[#This Row],[Genre]])</f>
        <v>Adventure</v>
      </c>
    </row>
    <row r="517" spans="1:16" x14ac:dyDescent="0.3">
      <c r="A517" t="s">
        <v>1220</v>
      </c>
      <c r="B517" t="s">
        <v>1221</v>
      </c>
      <c r="C517">
        <v>1984</v>
      </c>
      <c r="D517">
        <v>1980</v>
      </c>
      <c r="E517" t="s">
        <v>17</v>
      </c>
      <c r="F517">
        <v>133</v>
      </c>
      <c r="G517" t="s">
        <v>3999</v>
      </c>
      <c r="H517" t="s">
        <v>1222</v>
      </c>
      <c r="I517" t="s">
        <v>221</v>
      </c>
      <c r="J517" t="s">
        <v>1223</v>
      </c>
      <c r="K517">
        <v>17698</v>
      </c>
      <c r="M517">
        <v>0</v>
      </c>
      <c r="N517" t="s">
        <v>4001</v>
      </c>
      <c r="O517" t="s">
        <v>37</v>
      </c>
      <c r="P517" t="str">
        <f>TRIM(Table13_1[[#This Row],[Genre]])</f>
        <v>Biography</v>
      </c>
    </row>
    <row r="518" spans="1:16" x14ac:dyDescent="0.3">
      <c r="A518" t="s">
        <v>1224</v>
      </c>
      <c r="B518" t="s">
        <v>1225</v>
      </c>
      <c r="C518">
        <v>1967</v>
      </c>
      <c r="D518">
        <v>1960</v>
      </c>
      <c r="E518" t="s">
        <v>17</v>
      </c>
      <c r="F518">
        <v>146</v>
      </c>
      <c r="G518" t="s">
        <v>3999</v>
      </c>
      <c r="H518" t="s">
        <v>1226</v>
      </c>
      <c r="I518" t="s">
        <v>119</v>
      </c>
      <c r="J518" t="s">
        <v>1227</v>
      </c>
      <c r="K518">
        <v>47388</v>
      </c>
      <c r="M518">
        <v>0</v>
      </c>
      <c r="N518" t="s">
        <v>4001</v>
      </c>
      <c r="O518" t="s">
        <v>453</v>
      </c>
      <c r="P518" t="str">
        <f>TRIM(Table13_1[[#This Row],[Genre]])</f>
        <v>Musical</v>
      </c>
    </row>
    <row r="519" spans="1:16" x14ac:dyDescent="0.3">
      <c r="A519" t="s">
        <v>1228</v>
      </c>
      <c r="B519" t="s">
        <v>1229</v>
      </c>
      <c r="C519">
        <v>2005</v>
      </c>
      <c r="D519">
        <v>2000</v>
      </c>
      <c r="E519" t="s">
        <v>17</v>
      </c>
      <c r="F519">
        <v>114</v>
      </c>
      <c r="G519" t="s">
        <v>3997</v>
      </c>
      <c r="H519" t="s">
        <v>1231</v>
      </c>
      <c r="I519" t="s">
        <v>137</v>
      </c>
      <c r="J519" t="s">
        <v>1232</v>
      </c>
      <c r="K519">
        <v>55639</v>
      </c>
      <c r="M519">
        <v>0</v>
      </c>
      <c r="N519" t="s">
        <v>4001</v>
      </c>
      <c r="O519" t="s">
        <v>48</v>
      </c>
      <c r="P519" t="str">
        <f>TRIM(Table13_1[[#This Row],[Genre]])</f>
        <v>Crime</v>
      </c>
    </row>
    <row r="520" spans="1:16" x14ac:dyDescent="0.3">
      <c r="A520" t="s">
        <v>1228</v>
      </c>
      <c r="B520" t="s">
        <v>1229</v>
      </c>
      <c r="C520">
        <v>2005</v>
      </c>
      <c r="D520">
        <v>2000</v>
      </c>
      <c r="E520" t="s">
        <v>17</v>
      </c>
      <c r="F520">
        <v>114</v>
      </c>
      <c r="G520" t="s">
        <v>3997</v>
      </c>
      <c r="H520" t="s">
        <v>1231</v>
      </c>
      <c r="I520" t="s">
        <v>137</v>
      </c>
      <c r="J520" t="s">
        <v>1232</v>
      </c>
      <c r="K520">
        <v>55639</v>
      </c>
      <c r="M520">
        <v>0</v>
      </c>
      <c r="N520" t="s">
        <v>4001</v>
      </c>
      <c r="O520" t="s">
        <v>3990</v>
      </c>
      <c r="P520" t="str">
        <f>TRIM(Table13_1[[#This Row],[Genre]])</f>
        <v>Western</v>
      </c>
    </row>
    <row r="521" spans="1:16" x14ac:dyDescent="0.3">
      <c r="A521" t="s">
        <v>1233</v>
      </c>
      <c r="B521" t="s">
        <v>1234</v>
      </c>
      <c r="C521">
        <v>2018</v>
      </c>
      <c r="D521">
        <v>2010</v>
      </c>
      <c r="E521" t="s">
        <v>293</v>
      </c>
      <c r="F521">
        <v>136</v>
      </c>
      <c r="G521" t="s">
        <v>3999</v>
      </c>
      <c r="H521" t="s">
        <v>158</v>
      </c>
      <c r="I521" t="s">
        <v>159</v>
      </c>
      <c r="J521" t="s">
        <v>1236</v>
      </c>
      <c r="K521">
        <v>24968</v>
      </c>
      <c r="L521">
        <v>796.22</v>
      </c>
      <c r="M521">
        <v>796.22</v>
      </c>
      <c r="N521" t="s">
        <v>3998</v>
      </c>
      <c r="O521" t="s">
        <v>157</v>
      </c>
      <c r="P521" t="str">
        <f>TRIM(Table13_1[[#This Row],[Genre]])</f>
        <v>Animation</v>
      </c>
    </row>
    <row r="522" spans="1:16" x14ac:dyDescent="0.3">
      <c r="A522" t="s">
        <v>1233</v>
      </c>
      <c r="B522" t="s">
        <v>1234</v>
      </c>
      <c r="C522">
        <v>2018</v>
      </c>
      <c r="D522">
        <v>2010</v>
      </c>
      <c r="E522" t="s">
        <v>293</v>
      </c>
      <c r="F522">
        <v>136</v>
      </c>
      <c r="G522" t="s">
        <v>3999</v>
      </c>
      <c r="H522" t="s">
        <v>158</v>
      </c>
      <c r="I522" t="s">
        <v>159</v>
      </c>
      <c r="J522" t="s">
        <v>1236</v>
      </c>
      <c r="K522">
        <v>24968</v>
      </c>
      <c r="L522">
        <v>796.22</v>
      </c>
      <c r="M522">
        <v>796.22</v>
      </c>
      <c r="N522" t="s">
        <v>3998</v>
      </c>
      <c r="O522" t="s">
        <v>3979</v>
      </c>
      <c r="P522" t="str">
        <f>TRIM(Table13_1[[#This Row],[Genre]])</f>
        <v>War</v>
      </c>
    </row>
    <row r="523" spans="1:16" x14ac:dyDescent="0.3">
      <c r="A523" t="s">
        <v>1233</v>
      </c>
      <c r="B523" t="s">
        <v>1234</v>
      </c>
      <c r="C523">
        <v>2018</v>
      </c>
      <c r="D523">
        <v>2010</v>
      </c>
      <c r="E523" t="s">
        <v>293</v>
      </c>
      <c r="F523">
        <v>136</v>
      </c>
      <c r="G523" t="s">
        <v>3999</v>
      </c>
      <c r="H523" t="s">
        <v>158</v>
      </c>
      <c r="I523" t="s">
        <v>159</v>
      </c>
      <c r="J523" t="s">
        <v>1236</v>
      </c>
      <c r="K523">
        <v>24968</v>
      </c>
      <c r="L523">
        <v>796.22</v>
      </c>
      <c r="M523">
        <v>796.22</v>
      </c>
      <c r="N523" t="s">
        <v>3998</v>
      </c>
      <c r="O523" t="s">
        <v>3984</v>
      </c>
      <c r="P523" t="str">
        <f>TRIM(Table13_1[[#This Row],[Genre]])</f>
        <v>Adventure</v>
      </c>
    </row>
    <row r="524" spans="1:16" x14ac:dyDescent="0.3">
      <c r="A524" t="s">
        <v>1237</v>
      </c>
      <c r="B524" t="s">
        <v>1238</v>
      </c>
      <c r="C524">
        <v>1984</v>
      </c>
      <c r="D524">
        <v>1980</v>
      </c>
      <c r="E524" t="s">
        <v>54</v>
      </c>
      <c r="F524">
        <v>115</v>
      </c>
      <c r="G524" t="s">
        <v>3997</v>
      </c>
      <c r="H524" t="s">
        <v>1239</v>
      </c>
      <c r="I524" t="s">
        <v>159</v>
      </c>
      <c r="J524" t="s">
        <v>1240</v>
      </c>
      <c r="K524">
        <v>1302</v>
      </c>
      <c r="M524">
        <v>0</v>
      </c>
      <c r="N524" t="s">
        <v>4001</v>
      </c>
      <c r="O524" t="s">
        <v>1044</v>
      </c>
      <c r="P524" t="str">
        <f>TRIM(Table13_1[[#This Row],[Genre]])</f>
        <v>Comedy</v>
      </c>
    </row>
    <row r="525" spans="1:16" x14ac:dyDescent="0.3">
      <c r="A525" t="s">
        <v>1237</v>
      </c>
      <c r="B525" t="s">
        <v>1238</v>
      </c>
      <c r="C525">
        <v>1984</v>
      </c>
      <c r="D525">
        <v>1980</v>
      </c>
      <c r="E525" t="s">
        <v>54</v>
      </c>
      <c r="F525">
        <v>115</v>
      </c>
      <c r="G525" t="s">
        <v>3997</v>
      </c>
      <c r="H525" t="s">
        <v>1239</v>
      </c>
      <c r="I525" t="s">
        <v>159</v>
      </c>
      <c r="J525" t="s">
        <v>1240</v>
      </c>
      <c r="K525">
        <v>1302</v>
      </c>
      <c r="M525">
        <v>0</v>
      </c>
      <c r="N525" t="s">
        <v>4001</v>
      </c>
      <c r="O525" t="s">
        <v>3983</v>
      </c>
      <c r="P525" t="str">
        <f>TRIM(Table13_1[[#This Row],[Genre]])</f>
        <v>Crime</v>
      </c>
    </row>
    <row r="526" spans="1:16" x14ac:dyDescent="0.3">
      <c r="A526" t="s">
        <v>1241</v>
      </c>
      <c r="B526" t="s">
        <v>1242</v>
      </c>
      <c r="C526">
        <v>2022</v>
      </c>
      <c r="D526">
        <v>2020</v>
      </c>
      <c r="E526" t="s">
        <v>169</v>
      </c>
      <c r="F526">
        <v>113</v>
      </c>
      <c r="G526" t="s">
        <v>3997</v>
      </c>
      <c r="H526" t="s">
        <v>305</v>
      </c>
      <c r="I526" t="s">
        <v>196</v>
      </c>
      <c r="J526" t="s">
        <v>1243</v>
      </c>
      <c r="K526">
        <v>98971</v>
      </c>
      <c r="L526">
        <v>496</v>
      </c>
      <c r="M526">
        <v>496</v>
      </c>
      <c r="N526" t="s">
        <v>3998</v>
      </c>
      <c r="O526" t="s">
        <v>78</v>
      </c>
      <c r="P526" t="str">
        <f>TRIM(Table13_1[[#This Row],[Genre]])</f>
        <v>Adventure</v>
      </c>
    </row>
    <row r="527" spans="1:16" x14ac:dyDescent="0.3">
      <c r="A527" t="s">
        <v>1244</v>
      </c>
      <c r="B527" t="s">
        <v>1245</v>
      </c>
      <c r="C527">
        <v>2021</v>
      </c>
      <c r="D527">
        <v>2020</v>
      </c>
      <c r="E527" t="s">
        <v>54</v>
      </c>
      <c r="F527">
        <v>117</v>
      </c>
      <c r="G527" t="s">
        <v>3997</v>
      </c>
      <c r="H527" t="s">
        <v>1246</v>
      </c>
      <c r="I527" t="s">
        <v>315</v>
      </c>
      <c r="J527" t="s">
        <v>1247</v>
      </c>
      <c r="K527">
        <v>31096</v>
      </c>
      <c r="M527">
        <v>0</v>
      </c>
      <c r="N527" t="s">
        <v>4001</v>
      </c>
      <c r="O527" t="s">
        <v>78</v>
      </c>
      <c r="P527" t="str">
        <f>TRIM(Table13_1[[#This Row],[Genre]])</f>
        <v>Adventure</v>
      </c>
    </row>
    <row r="528" spans="1:16" x14ac:dyDescent="0.3">
      <c r="A528" t="s">
        <v>1248</v>
      </c>
      <c r="B528" t="s">
        <v>1249</v>
      </c>
      <c r="C528">
        <v>1996</v>
      </c>
      <c r="D528">
        <v>1990</v>
      </c>
      <c r="E528" t="s">
        <v>17</v>
      </c>
      <c r="F528">
        <v>124</v>
      </c>
      <c r="G528" t="s">
        <v>3999</v>
      </c>
      <c r="H528" t="s">
        <v>130</v>
      </c>
      <c r="I528" t="s">
        <v>86</v>
      </c>
      <c r="J528" t="s">
        <v>1250</v>
      </c>
      <c r="K528">
        <v>6516</v>
      </c>
      <c r="M528">
        <v>0</v>
      </c>
      <c r="N528" t="s">
        <v>4001</v>
      </c>
      <c r="O528" t="s">
        <v>129</v>
      </c>
      <c r="P528" t="str">
        <f>TRIM(Table13_1[[#This Row],[Genre]])</f>
        <v>Horror</v>
      </c>
    </row>
    <row r="529" spans="1:16" x14ac:dyDescent="0.3">
      <c r="A529" t="s">
        <v>1251</v>
      </c>
      <c r="B529" t="s">
        <v>1252</v>
      </c>
      <c r="C529">
        <v>2024</v>
      </c>
      <c r="D529">
        <v>2020</v>
      </c>
      <c r="E529" t="s">
        <v>24</v>
      </c>
      <c r="F529">
        <v>156</v>
      </c>
      <c r="G529" t="s">
        <v>3999</v>
      </c>
      <c r="H529" t="s">
        <v>1253</v>
      </c>
      <c r="I529" t="s">
        <v>236</v>
      </c>
      <c r="J529" t="s">
        <v>1254</v>
      </c>
      <c r="K529">
        <v>123389</v>
      </c>
      <c r="L529">
        <v>346.51</v>
      </c>
      <c r="M529">
        <v>346.51</v>
      </c>
      <c r="N529" t="s">
        <v>3998</v>
      </c>
      <c r="O529" t="s">
        <v>1044</v>
      </c>
      <c r="P529" t="str">
        <f>TRIM(Table13_1[[#This Row],[Genre]])</f>
        <v>Comedy</v>
      </c>
    </row>
    <row r="530" spans="1:16" x14ac:dyDescent="0.3">
      <c r="A530" t="s">
        <v>1255</v>
      </c>
      <c r="B530" t="s">
        <v>1256</v>
      </c>
      <c r="C530">
        <v>2011</v>
      </c>
      <c r="D530">
        <v>2010</v>
      </c>
      <c r="E530" t="s">
        <v>54</v>
      </c>
      <c r="F530">
        <v>109</v>
      </c>
      <c r="G530" t="s">
        <v>3997</v>
      </c>
      <c r="H530" t="s">
        <v>1155</v>
      </c>
      <c r="I530" t="s">
        <v>57</v>
      </c>
      <c r="J530" t="s">
        <v>1258</v>
      </c>
      <c r="K530">
        <v>9123</v>
      </c>
      <c r="L530">
        <v>217.68</v>
      </c>
      <c r="M530">
        <v>217.68</v>
      </c>
      <c r="N530" t="s">
        <v>3998</v>
      </c>
      <c r="O530" t="s">
        <v>72</v>
      </c>
      <c r="P530" t="str">
        <f>TRIM(Table13_1[[#This Row],[Genre]])</f>
        <v>War</v>
      </c>
    </row>
    <row r="531" spans="1:16" x14ac:dyDescent="0.3">
      <c r="A531" t="s">
        <v>1255</v>
      </c>
      <c r="B531" t="s">
        <v>1256</v>
      </c>
      <c r="C531">
        <v>2011</v>
      </c>
      <c r="D531">
        <v>2010</v>
      </c>
      <c r="E531" t="s">
        <v>54</v>
      </c>
      <c r="F531">
        <v>109</v>
      </c>
      <c r="G531" t="s">
        <v>3997</v>
      </c>
      <c r="H531" t="s">
        <v>1155</v>
      </c>
      <c r="I531" t="s">
        <v>57</v>
      </c>
      <c r="J531" t="s">
        <v>1258</v>
      </c>
      <c r="K531">
        <v>9123</v>
      </c>
      <c r="L531">
        <v>217.68</v>
      </c>
      <c r="M531">
        <v>217.68</v>
      </c>
      <c r="N531" t="s">
        <v>3998</v>
      </c>
      <c r="O531" t="s">
        <v>3978</v>
      </c>
      <c r="P531" t="str">
        <f>TRIM(Table13_1[[#This Row],[Genre]])</f>
        <v>Mystery</v>
      </c>
    </row>
    <row r="532" spans="1:16" x14ac:dyDescent="0.3">
      <c r="A532" t="s">
        <v>1259</v>
      </c>
      <c r="B532" t="s">
        <v>1260</v>
      </c>
      <c r="C532">
        <v>2022</v>
      </c>
      <c r="D532">
        <v>2020</v>
      </c>
      <c r="E532" t="s">
        <v>285</v>
      </c>
      <c r="F532">
        <v>111</v>
      </c>
      <c r="G532" t="s">
        <v>3997</v>
      </c>
      <c r="H532" t="s">
        <v>1262</v>
      </c>
      <c r="I532" t="s">
        <v>718</v>
      </c>
      <c r="J532" t="s">
        <v>1263</v>
      </c>
      <c r="K532">
        <v>34226</v>
      </c>
      <c r="L532">
        <v>179.08</v>
      </c>
      <c r="M532">
        <v>179.08</v>
      </c>
      <c r="N532" t="s">
        <v>4002</v>
      </c>
      <c r="O532" t="s">
        <v>230</v>
      </c>
      <c r="P532" t="str">
        <f>TRIM(Table13_1[[#This Row],[Genre]])</f>
        <v>Documentary</v>
      </c>
    </row>
    <row r="533" spans="1:16" x14ac:dyDescent="0.3">
      <c r="A533" t="s">
        <v>1259</v>
      </c>
      <c r="B533" t="s">
        <v>1260</v>
      </c>
      <c r="C533">
        <v>2022</v>
      </c>
      <c r="D533">
        <v>2020</v>
      </c>
      <c r="E533" t="s">
        <v>285</v>
      </c>
      <c r="F533">
        <v>111</v>
      </c>
      <c r="G533" t="s">
        <v>3997</v>
      </c>
      <c r="H533" t="s">
        <v>1262</v>
      </c>
      <c r="I533" t="s">
        <v>718</v>
      </c>
      <c r="J533" t="s">
        <v>1263</v>
      </c>
      <c r="K533">
        <v>34226</v>
      </c>
      <c r="L533">
        <v>179.08</v>
      </c>
      <c r="M533">
        <v>179.08</v>
      </c>
      <c r="N533" t="s">
        <v>4002</v>
      </c>
      <c r="O533" t="s">
        <v>3980</v>
      </c>
      <c r="P533" t="str">
        <f>TRIM(Table13_1[[#This Row],[Genre]])</f>
        <v>Action</v>
      </c>
    </row>
    <row r="534" spans="1:16" x14ac:dyDescent="0.3">
      <c r="A534" t="s">
        <v>1259</v>
      </c>
      <c r="B534" t="s">
        <v>1260</v>
      </c>
      <c r="C534">
        <v>2022</v>
      </c>
      <c r="D534">
        <v>2020</v>
      </c>
      <c r="E534" t="s">
        <v>285</v>
      </c>
      <c r="F534">
        <v>111</v>
      </c>
      <c r="G534" t="s">
        <v>3997</v>
      </c>
      <c r="H534" t="s">
        <v>1262</v>
      </c>
      <c r="I534" t="s">
        <v>718</v>
      </c>
      <c r="J534" t="s">
        <v>1263</v>
      </c>
      <c r="K534">
        <v>34226</v>
      </c>
      <c r="L534">
        <v>179.08</v>
      </c>
      <c r="M534">
        <v>179.08</v>
      </c>
      <c r="N534" t="s">
        <v>4002</v>
      </c>
      <c r="O534" t="s">
        <v>3990</v>
      </c>
      <c r="P534" t="str">
        <f>TRIM(Table13_1[[#This Row],[Genre]])</f>
        <v>Western</v>
      </c>
    </row>
    <row r="535" spans="1:16" x14ac:dyDescent="0.3">
      <c r="A535" t="s">
        <v>1264</v>
      </c>
      <c r="B535" t="s">
        <v>1265</v>
      </c>
      <c r="C535">
        <v>2013</v>
      </c>
      <c r="D535">
        <v>2010</v>
      </c>
      <c r="E535" t="s">
        <v>24</v>
      </c>
      <c r="F535">
        <v>137</v>
      </c>
      <c r="G535" t="s">
        <v>3999</v>
      </c>
      <c r="H535" t="s">
        <v>1267</v>
      </c>
      <c r="I535" t="s">
        <v>33</v>
      </c>
      <c r="J535" t="s">
        <v>1268</v>
      </c>
      <c r="K535">
        <v>39261</v>
      </c>
      <c r="L535">
        <v>336.96</v>
      </c>
      <c r="M535">
        <v>336.96</v>
      </c>
      <c r="N535" t="s">
        <v>3998</v>
      </c>
      <c r="O535" t="s">
        <v>55</v>
      </c>
      <c r="P535" t="str">
        <f>TRIM(Table13_1[[#This Row],[Genre]])</f>
        <v>Romance</v>
      </c>
    </row>
    <row r="536" spans="1:16" x14ac:dyDescent="0.3">
      <c r="A536" t="s">
        <v>1264</v>
      </c>
      <c r="B536" t="s">
        <v>1265</v>
      </c>
      <c r="C536">
        <v>2013</v>
      </c>
      <c r="D536">
        <v>2010</v>
      </c>
      <c r="E536" t="s">
        <v>24</v>
      </c>
      <c r="F536">
        <v>137</v>
      </c>
      <c r="G536" t="s">
        <v>3999</v>
      </c>
      <c r="H536" t="s">
        <v>1267</v>
      </c>
      <c r="I536" t="s">
        <v>33</v>
      </c>
      <c r="J536" t="s">
        <v>1268</v>
      </c>
      <c r="K536">
        <v>39261</v>
      </c>
      <c r="L536">
        <v>336.96</v>
      </c>
      <c r="M536">
        <v>336.96</v>
      </c>
      <c r="N536" t="s">
        <v>3998</v>
      </c>
      <c r="O536" t="s">
        <v>3992</v>
      </c>
      <c r="P536" t="str">
        <f>TRIM(Table13_1[[#This Row],[Genre]])</f>
        <v>Biography</v>
      </c>
    </row>
    <row r="537" spans="1:16" x14ac:dyDescent="0.3">
      <c r="A537" t="s">
        <v>1269</v>
      </c>
      <c r="B537" t="s">
        <v>1270</v>
      </c>
      <c r="C537">
        <v>2004</v>
      </c>
      <c r="D537">
        <v>2000</v>
      </c>
      <c r="E537" t="s">
        <v>17</v>
      </c>
      <c r="F537">
        <v>92</v>
      </c>
      <c r="G537" t="s">
        <v>3997</v>
      </c>
      <c r="H537" t="s">
        <v>130</v>
      </c>
      <c r="I537" t="s">
        <v>196</v>
      </c>
      <c r="J537" t="s">
        <v>1272</v>
      </c>
      <c r="K537">
        <v>157664</v>
      </c>
      <c r="M537">
        <v>0</v>
      </c>
      <c r="N537" t="s">
        <v>4001</v>
      </c>
      <c r="O537" t="s">
        <v>129</v>
      </c>
      <c r="P537" t="str">
        <f>TRIM(Table13_1[[#This Row],[Genre]])</f>
        <v>Horror</v>
      </c>
    </row>
    <row r="538" spans="1:16" x14ac:dyDescent="0.3">
      <c r="A538" t="s">
        <v>1269</v>
      </c>
      <c r="B538" t="s">
        <v>1270</v>
      </c>
      <c r="C538">
        <v>2004</v>
      </c>
      <c r="D538">
        <v>2000</v>
      </c>
      <c r="E538" t="s">
        <v>17</v>
      </c>
      <c r="F538">
        <v>92</v>
      </c>
      <c r="G538" t="s">
        <v>3997</v>
      </c>
      <c r="H538" t="s">
        <v>130</v>
      </c>
      <c r="I538" t="s">
        <v>196</v>
      </c>
      <c r="J538" t="s">
        <v>1272</v>
      </c>
      <c r="K538">
        <v>157664</v>
      </c>
      <c r="M538">
        <v>0</v>
      </c>
      <c r="N538" t="s">
        <v>4001</v>
      </c>
      <c r="O538" t="s">
        <v>3987</v>
      </c>
      <c r="P538" t="str">
        <f>TRIM(Table13_1[[#This Row],[Genre]])</f>
        <v>Fantasy</v>
      </c>
    </row>
    <row r="539" spans="1:16" x14ac:dyDescent="0.3">
      <c r="A539" t="s">
        <v>1273</v>
      </c>
      <c r="B539" t="s">
        <v>1274</v>
      </c>
      <c r="C539">
        <v>2013</v>
      </c>
      <c r="D539">
        <v>2010</v>
      </c>
      <c r="E539" t="s">
        <v>17</v>
      </c>
      <c r="F539">
        <v>84</v>
      </c>
      <c r="G539" t="s">
        <v>4000</v>
      </c>
      <c r="H539" t="s">
        <v>305</v>
      </c>
      <c r="I539" t="s">
        <v>221</v>
      </c>
      <c r="J539" t="s">
        <v>1276</v>
      </c>
      <c r="K539">
        <v>106057</v>
      </c>
      <c r="L539">
        <v>134.93</v>
      </c>
      <c r="M539">
        <v>134.93</v>
      </c>
      <c r="N539" t="s">
        <v>4002</v>
      </c>
      <c r="O539" t="s">
        <v>78</v>
      </c>
      <c r="P539" t="str">
        <f>TRIM(Table13_1[[#This Row],[Genre]])</f>
        <v>Adventure</v>
      </c>
    </row>
    <row r="540" spans="1:16" x14ac:dyDescent="0.3">
      <c r="A540" t="s">
        <v>1273</v>
      </c>
      <c r="B540" t="s">
        <v>1274</v>
      </c>
      <c r="C540">
        <v>2013</v>
      </c>
      <c r="D540">
        <v>2010</v>
      </c>
      <c r="E540" t="s">
        <v>17</v>
      </c>
      <c r="F540">
        <v>84</v>
      </c>
      <c r="G540" t="s">
        <v>4000</v>
      </c>
      <c r="H540" t="s">
        <v>305</v>
      </c>
      <c r="I540" t="s">
        <v>221</v>
      </c>
      <c r="J540" t="s">
        <v>1276</v>
      </c>
      <c r="K540">
        <v>106057</v>
      </c>
      <c r="L540">
        <v>134.93</v>
      </c>
      <c r="M540">
        <v>134.93</v>
      </c>
      <c r="N540" t="s">
        <v>4002</v>
      </c>
      <c r="O540" t="s">
        <v>3977</v>
      </c>
      <c r="P540" t="str">
        <f>TRIM(Table13_1[[#This Row],[Genre]])</f>
        <v>Animation</v>
      </c>
    </row>
    <row r="541" spans="1:16" x14ac:dyDescent="0.3">
      <c r="A541" t="s">
        <v>1277</v>
      </c>
      <c r="B541" t="s">
        <v>1278</v>
      </c>
      <c r="C541">
        <v>2013</v>
      </c>
      <c r="D541">
        <v>2010</v>
      </c>
      <c r="E541" t="s">
        <v>54</v>
      </c>
      <c r="F541">
        <v>121</v>
      </c>
      <c r="G541" t="s">
        <v>3999</v>
      </c>
      <c r="H541" t="s">
        <v>852</v>
      </c>
      <c r="I541" t="s">
        <v>315</v>
      </c>
      <c r="J541" t="s">
        <v>1280</v>
      </c>
      <c r="K541">
        <v>123423</v>
      </c>
      <c r="M541">
        <v>0</v>
      </c>
      <c r="N541" t="s">
        <v>4001</v>
      </c>
      <c r="O541" t="s">
        <v>55</v>
      </c>
      <c r="P541" t="str">
        <f>TRIM(Table13_1[[#This Row],[Genre]])</f>
        <v>Romance</v>
      </c>
    </row>
    <row r="542" spans="1:16" x14ac:dyDescent="0.3">
      <c r="A542" t="s">
        <v>1277</v>
      </c>
      <c r="B542" t="s">
        <v>1278</v>
      </c>
      <c r="C542">
        <v>2013</v>
      </c>
      <c r="D542">
        <v>2010</v>
      </c>
      <c r="E542" t="s">
        <v>54</v>
      </c>
      <c r="F542">
        <v>121</v>
      </c>
      <c r="G542" t="s">
        <v>3999</v>
      </c>
      <c r="H542" t="s">
        <v>852</v>
      </c>
      <c r="I542" t="s">
        <v>315</v>
      </c>
      <c r="J542" t="s">
        <v>1280</v>
      </c>
      <c r="K542">
        <v>123423</v>
      </c>
      <c r="M542">
        <v>0</v>
      </c>
      <c r="N542" t="s">
        <v>4001</v>
      </c>
      <c r="O542" t="s">
        <v>3985</v>
      </c>
      <c r="P542" t="str">
        <f>TRIM(Table13_1[[#This Row],[Genre]])</f>
        <v>Horror</v>
      </c>
    </row>
    <row r="543" spans="1:16" x14ac:dyDescent="0.3">
      <c r="A543" t="s">
        <v>1277</v>
      </c>
      <c r="B543" t="s">
        <v>1278</v>
      </c>
      <c r="C543">
        <v>2013</v>
      </c>
      <c r="D543">
        <v>2010</v>
      </c>
      <c r="E543" t="s">
        <v>54</v>
      </c>
      <c r="F543">
        <v>121</v>
      </c>
      <c r="G543" t="s">
        <v>3999</v>
      </c>
      <c r="H543" t="s">
        <v>852</v>
      </c>
      <c r="I543" t="s">
        <v>315</v>
      </c>
      <c r="J543" t="s">
        <v>1280</v>
      </c>
      <c r="K543">
        <v>123423</v>
      </c>
      <c r="M543">
        <v>0</v>
      </c>
      <c r="N543" t="s">
        <v>4001</v>
      </c>
      <c r="O543" t="s">
        <v>3983</v>
      </c>
      <c r="P543" t="str">
        <f>TRIM(Table13_1[[#This Row],[Genre]])</f>
        <v>Crime</v>
      </c>
    </row>
    <row r="544" spans="1:16" x14ac:dyDescent="0.3">
      <c r="A544" t="s">
        <v>1281</v>
      </c>
      <c r="B544" t="s">
        <v>1282</v>
      </c>
      <c r="C544">
        <v>2002</v>
      </c>
      <c r="D544">
        <v>2000</v>
      </c>
      <c r="E544" t="s">
        <v>169</v>
      </c>
      <c r="F544">
        <v>97</v>
      </c>
      <c r="G544" t="s">
        <v>3997</v>
      </c>
      <c r="H544" t="s">
        <v>164</v>
      </c>
      <c r="I544" t="s">
        <v>27</v>
      </c>
      <c r="J544" t="s">
        <v>1284</v>
      </c>
      <c r="K544">
        <v>601329</v>
      </c>
      <c r="M544">
        <v>0</v>
      </c>
      <c r="N544" t="s">
        <v>4001</v>
      </c>
      <c r="O544" t="s">
        <v>1044</v>
      </c>
      <c r="P544" t="str">
        <f>TRIM(Table13_1[[#This Row],[Genre]])</f>
        <v>Comedy</v>
      </c>
    </row>
    <row r="545" spans="1:16" x14ac:dyDescent="0.3">
      <c r="A545" t="s">
        <v>1281</v>
      </c>
      <c r="B545" t="s">
        <v>1282</v>
      </c>
      <c r="C545">
        <v>2002</v>
      </c>
      <c r="D545">
        <v>2000</v>
      </c>
      <c r="E545" t="s">
        <v>169</v>
      </c>
      <c r="F545">
        <v>97</v>
      </c>
      <c r="G545" t="s">
        <v>3997</v>
      </c>
      <c r="H545" t="s">
        <v>164</v>
      </c>
      <c r="I545" t="s">
        <v>27</v>
      </c>
      <c r="J545" t="s">
        <v>1284</v>
      </c>
      <c r="K545">
        <v>601329</v>
      </c>
      <c r="M545">
        <v>0</v>
      </c>
      <c r="N545" t="s">
        <v>4001</v>
      </c>
      <c r="O545" t="s">
        <v>3978</v>
      </c>
      <c r="P545" t="str">
        <f>TRIM(Table13_1[[#This Row],[Genre]])</f>
        <v>Mystery</v>
      </c>
    </row>
    <row r="546" spans="1:16" x14ac:dyDescent="0.3">
      <c r="A546" t="s">
        <v>1281</v>
      </c>
      <c r="B546" t="s">
        <v>1282</v>
      </c>
      <c r="C546">
        <v>2002</v>
      </c>
      <c r="D546">
        <v>2000</v>
      </c>
      <c r="E546" t="s">
        <v>169</v>
      </c>
      <c r="F546">
        <v>97</v>
      </c>
      <c r="G546" t="s">
        <v>3997</v>
      </c>
      <c r="H546" t="s">
        <v>164</v>
      </c>
      <c r="I546" t="s">
        <v>27</v>
      </c>
      <c r="J546" t="s">
        <v>1284</v>
      </c>
      <c r="K546">
        <v>601329</v>
      </c>
      <c r="M546">
        <v>0</v>
      </c>
      <c r="N546" t="s">
        <v>4001</v>
      </c>
      <c r="O546" t="s">
        <v>3991</v>
      </c>
      <c r="P546" t="str">
        <f>TRIM(Table13_1[[#This Row],[Genre]])</f>
        <v>Thriller</v>
      </c>
    </row>
    <row r="547" spans="1:16" x14ac:dyDescent="0.3">
      <c r="A547" t="s">
        <v>1285</v>
      </c>
      <c r="B547" t="s">
        <v>1286</v>
      </c>
      <c r="C547">
        <v>2021</v>
      </c>
      <c r="D547">
        <v>2020</v>
      </c>
      <c r="E547" t="s">
        <v>17</v>
      </c>
      <c r="F547">
        <v>94</v>
      </c>
      <c r="G547" t="s">
        <v>3997</v>
      </c>
      <c r="H547" t="s">
        <v>1288</v>
      </c>
      <c r="I547" t="s">
        <v>113</v>
      </c>
      <c r="J547" t="s">
        <v>1289</v>
      </c>
      <c r="K547">
        <v>202216</v>
      </c>
      <c r="L547">
        <v>193.82</v>
      </c>
      <c r="M547">
        <v>193.82</v>
      </c>
      <c r="N547" t="s">
        <v>4002</v>
      </c>
      <c r="O547" t="s">
        <v>230</v>
      </c>
      <c r="P547" t="str">
        <f>TRIM(Table13_1[[#This Row],[Genre]])</f>
        <v>Documentary</v>
      </c>
    </row>
    <row r="548" spans="1:16" x14ac:dyDescent="0.3">
      <c r="A548" t="s">
        <v>1285</v>
      </c>
      <c r="B548" t="s">
        <v>1286</v>
      </c>
      <c r="C548">
        <v>2021</v>
      </c>
      <c r="D548">
        <v>2020</v>
      </c>
      <c r="E548" t="s">
        <v>17</v>
      </c>
      <c r="F548">
        <v>94</v>
      </c>
      <c r="G548" t="s">
        <v>3997</v>
      </c>
      <c r="H548" t="s">
        <v>1288</v>
      </c>
      <c r="I548" t="s">
        <v>113</v>
      </c>
      <c r="J548" t="s">
        <v>1289</v>
      </c>
      <c r="K548">
        <v>202216</v>
      </c>
      <c r="L548">
        <v>193.82</v>
      </c>
      <c r="M548">
        <v>193.82</v>
      </c>
      <c r="N548" t="s">
        <v>4002</v>
      </c>
      <c r="O548" t="s">
        <v>3979</v>
      </c>
      <c r="P548" t="str">
        <f>TRIM(Table13_1[[#This Row],[Genre]])</f>
        <v>War</v>
      </c>
    </row>
    <row r="549" spans="1:16" x14ac:dyDescent="0.3">
      <c r="A549" t="s">
        <v>1290</v>
      </c>
      <c r="B549" t="s">
        <v>1291</v>
      </c>
      <c r="C549">
        <v>2008</v>
      </c>
      <c r="D549">
        <v>2000</v>
      </c>
      <c r="E549" t="s">
        <v>54</v>
      </c>
      <c r="F549">
        <v>117</v>
      </c>
      <c r="G549" t="s">
        <v>3997</v>
      </c>
      <c r="H549" t="s">
        <v>412</v>
      </c>
      <c r="I549" t="s">
        <v>125</v>
      </c>
      <c r="J549" t="s">
        <v>1292</v>
      </c>
      <c r="K549">
        <v>196857</v>
      </c>
      <c r="L549">
        <v>252.52</v>
      </c>
      <c r="M549">
        <v>252.52</v>
      </c>
      <c r="N549" t="s">
        <v>3998</v>
      </c>
      <c r="O549" t="s">
        <v>78</v>
      </c>
      <c r="P549" t="str">
        <f>TRIM(Table13_1[[#This Row],[Genre]])</f>
        <v>Adventure</v>
      </c>
    </row>
    <row r="550" spans="1:16" x14ac:dyDescent="0.3">
      <c r="A550" t="s">
        <v>1293</v>
      </c>
      <c r="B550" t="s">
        <v>1294</v>
      </c>
      <c r="C550">
        <v>2003</v>
      </c>
      <c r="D550">
        <v>2000</v>
      </c>
      <c r="E550" t="s">
        <v>24</v>
      </c>
      <c r="F550">
        <v>123</v>
      </c>
      <c r="G550" t="s">
        <v>3999</v>
      </c>
      <c r="H550" t="s">
        <v>395</v>
      </c>
      <c r="I550" t="s">
        <v>165</v>
      </c>
      <c r="J550" t="s">
        <v>1296</v>
      </c>
      <c r="K550">
        <v>16306</v>
      </c>
      <c r="L550">
        <v>50.49</v>
      </c>
      <c r="M550">
        <v>50.49</v>
      </c>
      <c r="N550" t="s">
        <v>4001</v>
      </c>
      <c r="O550" t="s">
        <v>277</v>
      </c>
      <c r="P550" t="str">
        <f>TRIM(Table13_1[[#This Row],[Genre]])</f>
        <v>Thriller</v>
      </c>
    </row>
    <row r="551" spans="1:16" x14ac:dyDescent="0.3">
      <c r="A551" t="s">
        <v>1293</v>
      </c>
      <c r="B551" t="s">
        <v>1294</v>
      </c>
      <c r="C551">
        <v>2003</v>
      </c>
      <c r="D551">
        <v>2000</v>
      </c>
      <c r="E551" t="s">
        <v>24</v>
      </c>
      <c r="F551">
        <v>123</v>
      </c>
      <c r="G551" t="s">
        <v>3999</v>
      </c>
      <c r="H551" t="s">
        <v>395</v>
      </c>
      <c r="I551" t="s">
        <v>165</v>
      </c>
      <c r="J551" t="s">
        <v>1296</v>
      </c>
      <c r="K551">
        <v>16306</v>
      </c>
      <c r="L551">
        <v>50.49</v>
      </c>
      <c r="M551">
        <v>50.49</v>
      </c>
      <c r="N551" t="s">
        <v>4001</v>
      </c>
      <c r="O551" t="s">
        <v>3977</v>
      </c>
      <c r="P551" t="str">
        <f>TRIM(Table13_1[[#This Row],[Genre]])</f>
        <v>Animation</v>
      </c>
    </row>
    <row r="552" spans="1:16" x14ac:dyDescent="0.3">
      <c r="A552" t="s">
        <v>1297</v>
      </c>
      <c r="B552" t="s">
        <v>1298</v>
      </c>
      <c r="C552">
        <v>2001</v>
      </c>
      <c r="D552">
        <v>2000</v>
      </c>
      <c r="E552" t="s">
        <v>17</v>
      </c>
      <c r="F552">
        <v>80</v>
      </c>
      <c r="G552" t="s">
        <v>4000</v>
      </c>
      <c r="H552" t="s">
        <v>320</v>
      </c>
      <c r="I552" t="s">
        <v>368</v>
      </c>
      <c r="J552" t="s">
        <v>1300</v>
      </c>
      <c r="K552">
        <v>11978</v>
      </c>
      <c r="L552">
        <v>138.91</v>
      </c>
      <c r="M552">
        <v>138.91</v>
      </c>
      <c r="N552" t="s">
        <v>4002</v>
      </c>
      <c r="O552" t="s">
        <v>767</v>
      </c>
      <c r="P552" t="str">
        <f>TRIM(Table13_1[[#This Row],[Genre]])</f>
        <v>Fantasy</v>
      </c>
    </row>
    <row r="553" spans="1:16" x14ac:dyDescent="0.3">
      <c r="A553" t="s">
        <v>1297</v>
      </c>
      <c r="B553" t="s">
        <v>1298</v>
      </c>
      <c r="C553">
        <v>2001</v>
      </c>
      <c r="D553">
        <v>2000</v>
      </c>
      <c r="E553" t="s">
        <v>17</v>
      </c>
      <c r="F553">
        <v>80</v>
      </c>
      <c r="G553" t="s">
        <v>4000</v>
      </c>
      <c r="H553" t="s">
        <v>320</v>
      </c>
      <c r="I553" t="s">
        <v>368</v>
      </c>
      <c r="J553" t="s">
        <v>1300</v>
      </c>
      <c r="K553">
        <v>11978</v>
      </c>
      <c r="L553">
        <v>138.91</v>
      </c>
      <c r="M553">
        <v>138.91</v>
      </c>
      <c r="N553" t="s">
        <v>4002</v>
      </c>
      <c r="O553" t="s">
        <v>3992</v>
      </c>
      <c r="P553" t="str">
        <f>TRIM(Table13_1[[#This Row],[Genre]])</f>
        <v>Biography</v>
      </c>
    </row>
    <row r="554" spans="1:16" x14ac:dyDescent="0.3">
      <c r="A554" t="s">
        <v>1301</v>
      </c>
      <c r="B554" t="s">
        <v>1302</v>
      </c>
      <c r="C554">
        <v>2023</v>
      </c>
      <c r="D554">
        <v>2020</v>
      </c>
      <c r="E554" t="s">
        <v>24</v>
      </c>
      <c r="F554">
        <v>113</v>
      </c>
      <c r="G554" t="s">
        <v>3997</v>
      </c>
      <c r="H554" t="s">
        <v>566</v>
      </c>
      <c r="I554" t="s">
        <v>131</v>
      </c>
      <c r="J554" t="s">
        <v>1304</v>
      </c>
      <c r="K554">
        <v>427394</v>
      </c>
      <c r="L554">
        <v>294.93</v>
      </c>
      <c r="M554">
        <v>294.93</v>
      </c>
      <c r="N554" t="s">
        <v>3998</v>
      </c>
      <c r="O554" t="s">
        <v>48</v>
      </c>
      <c r="P554" t="str">
        <f>TRIM(Table13_1[[#This Row],[Genre]])</f>
        <v>Crime</v>
      </c>
    </row>
    <row r="555" spans="1:16" x14ac:dyDescent="0.3">
      <c r="A555" t="s">
        <v>1301</v>
      </c>
      <c r="B555" t="s">
        <v>1302</v>
      </c>
      <c r="C555">
        <v>2023</v>
      </c>
      <c r="D555">
        <v>2020</v>
      </c>
      <c r="E555" t="s">
        <v>24</v>
      </c>
      <c r="F555">
        <v>113</v>
      </c>
      <c r="G555" t="s">
        <v>3997</v>
      </c>
      <c r="H555" t="s">
        <v>566</v>
      </c>
      <c r="I555" t="s">
        <v>131</v>
      </c>
      <c r="J555" t="s">
        <v>1304</v>
      </c>
      <c r="K555">
        <v>427394</v>
      </c>
      <c r="L555">
        <v>294.93</v>
      </c>
      <c r="M555">
        <v>294.93</v>
      </c>
      <c r="N555" t="s">
        <v>3998</v>
      </c>
      <c r="O555" t="s">
        <v>3977</v>
      </c>
      <c r="P555" t="str">
        <f>TRIM(Table13_1[[#This Row],[Genre]])</f>
        <v>Animation</v>
      </c>
    </row>
    <row r="556" spans="1:16" x14ac:dyDescent="0.3">
      <c r="A556" t="s">
        <v>1305</v>
      </c>
      <c r="B556" t="s">
        <v>1306</v>
      </c>
      <c r="C556">
        <v>2007</v>
      </c>
      <c r="D556">
        <v>2000</v>
      </c>
      <c r="E556" t="s">
        <v>17</v>
      </c>
      <c r="F556">
        <v>89</v>
      </c>
      <c r="G556" t="s">
        <v>4000</v>
      </c>
      <c r="H556" t="s">
        <v>1307</v>
      </c>
      <c r="I556" t="s">
        <v>315</v>
      </c>
      <c r="J556" t="s">
        <v>1308</v>
      </c>
      <c r="K556">
        <v>67755</v>
      </c>
      <c r="M556">
        <v>0</v>
      </c>
      <c r="N556" t="s">
        <v>4001</v>
      </c>
      <c r="O556" t="s">
        <v>868</v>
      </c>
      <c r="P556" t="str">
        <f>TRIM(Table13_1[[#This Row],[Genre]])</f>
        <v>Western</v>
      </c>
    </row>
    <row r="557" spans="1:16" x14ac:dyDescent="0.3">
      <c r="A557" t="s">
        <v>1305</v>
      </c>
      <c r="B557" t="s">
        <v>1306</v>
      </c>
      <c r="C557">
        <v>2007</v>
      </c>
      <c r="D557">
        <v>2000</v>
      </c>
      <c r="E557" t="s">
        <v>17</v>
      </c>
      <c r="F557">
        <v>89</v>
      </c>
      <c r="G557" t="s">
        <v>4000</v>
      </c>
      <c r="H557" t="s">
        <v>1307</v>
      </c>
      <c r="I557" t="s">
        <v>315</v>
      </c>
      <c r="J557" t="s">
        <v>1308</v>
      </c>
      <c r="K557">
        <v>67755</v>
      </c>
      <c r="M557">
        <v>0</v>
      </c>
      <c r="N557" t="s">
        <v>4001</v>
      </c>
      <c r="O557" t="s">
        <v>3991</v>
      </c>
      <c r="P557" t="str">
        <f>TRIM(Table13_1[[#This Row],[Genre]])</f>
        <v>Thriller</v>
      </c>
    </row>
    <row r="558" spans="1:16" x14ac:dyDescent="0.3">
      <c r="A558" t="s">
        <v>1309</v>
      </c>
      <c r="B558" t="s">
        <v>1310</v>
      </c>
      <c r="C558">
        <v>2010</v>
      </c>
      <c r="D558">
        <v>2010</v>
      </c>
      <c r="E558" t="s">
        <v>54</v>
      </c>
      <c r="F558">
        <v>101</v>
      </c>
      <c r="G558" t="s">
        <v>3997</v>
      </c>
      <c r="H558" t="s">
        <v>67</v>
      </c>
      <c r="I558" t="s">
        <v>196</v>
      </c>
      <c r="J558" t="s">
        <v>1311</v>
      </c>
      <c r="K558">
        <v>44768</v>
      </c>
      <c r="L558">
        <v>419.28</v>
      </c>
      <c r="M558">
        <v>419.28</v>
      </c>
      <c r="N558" t="s">
        <v>3998</v>
      </c>
      <c r="O558" t="s">
        <v>48</v>
      </c>
      <c r="P558" t="str">
        <f>TRIM(Table13_1[[#This Row],[Genre]])</f>
        <v>Crime</v>
      </c>
    </row>
    <row r="559" spans="1:16" x14ac:dyDescent="0.3">
      <c r="A559" t="s">
        <v>1312</v>
      </c>
      <c r="B559" t="s">
        <v>1313</v>
      </c>
      <c r="C559">
        <v>2006</v>
      </c>
      <c r="D559">
        <v>2000</v>
      </c>
      <c r="E559" t="s">
        <v>17</v>
      </c>
      <c r="F559">
        <v>128</v>
      </c>
      <c r="G559" t="s">
        <v>3999</v>
      </c>
      <c r="H559" t="s">
        <v>1314</v>
      </c>
      <c r="I559" t="s">
        <v>718</v>
      </c>
      <c r="J559" t="s">
        <v>1315</v>
      </c>
      <c r="K559">
        <v>185616</v>
      </c>
      <c r="L559">
        <v>97.71</v>
      </c>
      <c r="M559">
        <v>97.71</v>
      </c>
      <c r="N559" t="s">
        <v>4001</v>
      </c>
      <c r="O559" t="s">
        <v>235</v>
      </c>
      <c r="P559" t="str">
        <f>TRIM(Table13_1[[#This Row],[Genre]])</f>
        <v>Drama</v>
      </c>
    </row>
    <row r="560" spans="1:16" x14ac:dyDescent="0.3">
      <c r="A560" t="s">
        <v>1312</v>
      </c>
      <c r="B560" t="s">
        <v>1313</v>
      </c>
      <c r="C560">
        <v>2006</v>
      </c>
      <c r="D560">
        <v>2000</v>
      </c>
      <c r="E560" t="s">
        <v>17</v>
      </c>
      <c r="F560">
        <v>128</v>
      </c>
      <c r="G560" t="s">
        <v>3999</v>
      </c>
      <c r="H560" t="s">
        <v>1314</v>
      </c>
      <c r="I560" t="s">
        <v>718</v>
      </c>
      <c r="J560" t="s">
        <v>1315</v>
      </c>
      <c r="K560">
        <v>185616</v>
      </c>
      <c r="L560">
        <v>97.71</v>
      </c>
      <c r="M560">
        <v>97.71</v>
      </c>
      <c r="N560" t="s">
        <v>4001</v>
      </c>
      <c r="O560" t="s">
        <v>3983</v>
      </c>
      <c r="P560" t="str">
        <f>TRIM(Table13_1[[#This Row],[Genre]])</f>
        <v>Crime</v>
      </c>
    </row>
    <row r="561" spans="1:16" x14ac:dyDescent="0.3">
      <c r="A561" t="s">
        <v>1316</v>
      </c>
      <c r="B561" t="s">
        <v>1317</v>
      </c>
      <c r="C561">
        <v>1993</v>
      </c>
      <c r="D561">
        <v>1990</v>
      </c>
      <c r="E561" t="s">
        <v>24</v>
      </c>
      <c r="F561">
        <v>136</v>
      </c>
      <c r="G561" t="s">
        <v>3999</v>
      </c>
      <c r="H561" t="s">
        <v>1319</v>
      </c>
      <c r="I561" t="s">
        <v>718</v>
      </c>
      <c r="J561" t="s">
        <v>1320</v>
      </c>
      <c r="K561">
        <v>424309</v>
      </c>
      <c r="M561">
        <v>0</v>
      </c>
      <c r="N561" t="s">
        <v>4001</v>
      </c>
      <c r="O561" t="s">
        <v>375</v>
      </c>
      <c r="P561" t="str">
        <f>TRIM(Table13_1[[#This Row],[Genre]])</f>
        <v>Family</v>
      </c>
    </row>
    <row r="562" spans="1:16" x14ac:dyDescent="0.3">
      <c r="A562" t="s">
        <v>1316</v>
      </c>
      <c r="B562" t="s">
        <v>1317</v>
      </c>
      <c r="C562">
        <v>1993</v>
      </c>
      <c r="D562">
        <v>1990</v>
      </c>
      <c r="E562" t="s">
        <v>24</v>
      </c>
      <c r="F562">
        <v>136</v>
      </c>
      <c r="G562" t="s">
        <v>3999</v>
      </c>
      <c r="H562" t="s">
        <v>1319</v>
      </c>
      <c r="I562" t="s">
        <v>718</v>
      </c>
      <c r="J562" t="s">
        <v>1320</v>
      </c>
      <c r="K562">
        <v>424309</v>
      </c>
      <c r="M562">
        <v>0</v>
      </c>
      <c r="N562" t="s">
        <v>4001</v>
      </c>
      <c r="O562" t="s">
        <v>3980</v>
      </c>
      <c r="P562" t="str">
        <f>TRIM(Table13_1[[#This Row],[Genre]])</f>
        <v>Action</v>
      </c>
    </row>
    <row r="563" spans="1:16" x14ac:dyDescent="0.3">
      <c r="A563" t="s">
        <v>1321</v>
      </c>
      <c r="B563" t="s">
        <v>1322</v>
      </c>
      <c r="C563">
        <v>2003</v>
      </c>
      <c r="D563">
        <v>2000</v>
      </c>
      <c r="E563" t="s">
        <v>24</v>
      </c>
      <c r="F563">
        <v>107</v>
      </c>
      <c r="G563" t="s">
        <v>3997</v>
      </c>
      <c r="H563" t="s">
        <v>1323</v>
      </c>
      <c r="I563" t="s">
        <v>147</v>
      </c>
      <c r="J563" t="s">
        <v>1324</v>
      </c>
      <c r="K563">
        <v>93801</v>
      </c>
      <c r="L563">
        <v>409.04</v>
      </c>
      <c r="M563">
        <v>409.04</v>
      </c>
      <c r="N563" t="s">
        <v>3998</v>
      </c>
      <c r="O563" t="s">
        <v>210</v>
      </c>
      <c r="P563" t="str">
        <f>TRIM(Table13_1[[#This Row],[Genre]])</f>
        <v>Action</v>
      </c>
    </row>
    <row r="564" spans="1:16" x14ac:dyDescent="0.3">
      <c r="A564" t="s">
        <v>1325</v>
      </c>
      <c r="B564" t="s">
        <v>1326</v>
      </c>
      <c r="C564">
        <v>2001</v>
      </c>
      <c r="D564">
        <v>2000</v>
      </c>
      <c r="E564" t="s">
        <v>169</v>
      </c>
      <c r="F564">
        <v>112</v>
      </c>
      <c r="G564" t="s">
        <v>3997</v>
      </c>
      <c r="H564" t="s">
        <v>1328</v>
      </c>
      <c r="I564" t="s">
        <v>326</v>
      </c>
      <c r="J564" t="s">
        <v>1329</v>
      </c>
      <c r="K564">
        <v>1000</v>
      </c>
      <c r="L564">
        <v>466.22</v>
      </c>
      <c r="M564">
        <v>466.22</v>
      </c>
      <c r="N564" t="s">
        <v>3998</v>
      </c>
      <c r="O564" t="s">
        <v>37</v>
      </c>
      <c r="P564" t="str">
        <f>TRIM(Table13_1[[#This Row],[Genre]])</f>
        <v>Biography</v>
      </c>
    </row>
    <row r="565" spans="1:16" x14ac:dyDescent="0.3">
      <c r="A565" t="s">
        <v>1325</v>
      </c>
      <c r="B565" t="s">
        <v>1326</v>
      </c>
      <c r="C565">
        <v>2001</v>
      </c>
      <c r="D565">
        <v>2000</v>
      </c>
      <c r="E565" t="s">
        <v>169</v>
      </c>
      <c r="F565">
        <v>112</v>
      </c>
      <c r="G565" t="s">
        <v>3997</v>
      </c>
      <c r="H565" t="s">
        <v>1328</v>
      </c>
      <c r="I565" t="s">
        <v>326</v>
      </c>
      <c r="J565" t="s">
        <v>1329</v>
      </c>
      <c r="K565">
        <v>1000</v>
      </c>
      <c r="L565">
        <v>466.22</v>
      </c>
      <c r="M565">
        <v>466.22</v>
      </c>
      <c r="N565" t="s">
        <v>3998</v>
      </c>
      <c r="O565" t="s">
        <v>3980</v>
      </c>
      <c r="P565" t="str">
        <f>TRIM(Table13_1[[#This Row],[Genre]])</f>
        <v>Action</v>
      </c>
    </row>
    <row r="566" spans="1:16" x14ac:dyDescent="0.3">
      <c r="A566" t="s">
        <v>1330</v>
      </c>
      <c r="B566" t="s">
        <v>1331</v>
      </c>
      <c r="C566">
        <v>2017</v>
      </c>
      <c r="D566">
        <v>2010</v>
      </c>
      <c r="E566" t="s">
        <v>54</v>
      </c>
      <c r="F566">
        <v>89</v>
      </c>
      <c r="G566" t="s">
        <v>4000</v>
      </c>
      <c r="H566" t="s">
        <v>1333</v>
      </c>
      <c r="I566" t="s">
        <v>483</v>
      </c>
      <c r="J566" t="s">
        <v>1334</v>
      </c>
      <c r="K566">
        <v>32071</v>
      </c>
      <c r="L566">
        <v>268.63</v>
      </c>
      <c r="M566">
        <v>268.63</v>
      </c>
      <c r="N566" t="s">
        <v>3998</v>
      </c>
      <c r="O566" t="s">
        <v>48</v>
      </c>
      <c r="P566" t="str">
        <f>TRIM(Table13_1[[#This Row],[Genre]])</f>
        <v>Crime</v>
      </c>
    </row>
    <row r="567" spans="1:16" x14ac:dyDescent="0.3">
      <c r="A567" t="s">
        <v>1330</v>
      </c>
      <c r="B567" t="s">
        <v>1331</v>
      </c>
      <c r="C567">
        <v>2017</v>
      </c>
      <c r="D567">
        <v>2010</v>
      </c>
      <c r="E567" t="s">
        <v>54</v>
      </c>
      <c r="F567">
        <v>89</v>
      </c>
      <c r="G567" t="s">
        <v>4000</v>
      </c>
      <c r="H567" t="s">
        <v>1333</v>
      </c>
      <c r="I567" t="s">
        <v>483</v>
      </c>
      <c r="J567" t="s">
        <v>1334</v>
      </c>
      <c r="K567">
        <v>32071</v>
      </c>
      <c r="L567">
        <v>268.63</v>
      </c>
      <c r="M567">
        <v>268.63</v>
      </c>
      <c r="N567" t="s">
        <v>3998</v>
      </c>
      <c r="O567" t="s">
        <v>3978</v>
      </c>
      <c r="P567" t="str">
        <f>TRIM(Table13_1[[#This Row],[Genre]])</f>
        <v>Mystery</v>
      </c>
    </row>
    <row r="568" spans="1:16" x14ac:dyDescent="0.3">
      <c r="A568" t="s">
        <v>1335</v>
      </c>
      <c r="B568" t="s">
        <v>498</v>
      </c>
      <c r="C568">
        <v>1969</v>
      </c>
      <c r="D568">
        <v>1960</v>
      </c>
      <c r="E568" t="s">
        <v>17</v>
      </c>
      <c r="F568">
        <v>126</v>
      </c>
      <c r="G568" t="s">
        <v>3999</v>
      </c>
      <c r="H568" t="s">
        <v>852</v>
      </c>
      <c r="I568" t="s">
        <v>196</v>
      </c>
      <c r="J568" t="s">
        <v>1337</v>
      </c>
      <c r="K568">
        <v>58413</v>
      </c>
      <c r="L568">
        <v>124.6</v>
      </c>
      <c r="M568">
        <v>124.6</v>
      </c>
      <c r="N568" t="s">
        <v>4002</v>
      </c>
      <c r="O568" t="s">
        <v>55</v>
      </c>
      <c r="P568" t="str">
        <f>TRIM(Table13_1[[#This Row],[Genre]])</f>
        <v>Romance</v>
      </c>
    </row>
    <row r="569" spans="1:16" x14ac:dyDescent="0.3">
      <c r="A569" t="s">
        <v>1335</v>
      </c>
      <c r="B569" t="s">
        <v>498</v>
      </c>
      <c r="C569">
        <v>1969</v>
      </c>
      <c r="D569">
        <v>1960</v>
      </c>
      <c r="E569" t="s">
        <v>17</v>
      </c>
      <c r="F569">
        <v>126</v>
      </c>
      <c r="G569" t="s">
        <v>3999</v>
      </c>
      <c r="H569" t="s">
        <v>852</v>
      </c>
      <c r="I569" t="s">
        <v>196</v>
      </c>
      <c r="J569" t="s">
        <v>1337</v>
      </c>
      <c r="K569">
        <v>58413</v>
      </c>
      <c r="L569">
        <v>124.6</v>
      </c>
      <c r="M569">
        <v>124.6</v>
      </c>
      <c r="N569" t="s">
        <v>4002</v>
      </c>
      <c r="O569" t="s">
        <v>3991</v>
      </c>
      <c r="P569" t="str">
        <f>TRIM(Table13_1[[#This Row],[Genre]])</f>
        <v>Thriller</v>
      </c>
    </row>
    <row r="570" spans="1:16" x14ac:dyDescent="0.3">
      <c r="A570" t="s">
        <v>1338</v>
      </c>
      <c r="B570" t="s">
        <v>1339</v>
      </c>
      <c r="C570">
        <v>2003</v>
      </c>
      <c r="D570">
        <v>2000</v>
      </c>
      <c r="E570" t="s">
        <v>169</v>
      </c>
      <c r="F570">
        <v>88</v>
      </c>
      <c r="G570" t="s">
        <v>4000</v>
      </c>
      <c r="H570" t="s">
        <v>220</v>
      </c>
      <c r="I570" t="s">
        <v>125</v>
      </c>
      <c r="J570" t="s">
        <v>1340</v>
      </c>
      <c r="K570">
        <v>194599</v>
      </c>
      <c r="L570">
        <v>249.78</v>
      </c>
      <c r="M570">
        <v>249.78</v>
      </c>
      <c r="N570" t="s">
        <v>3998</v>
      </c>
      <c r="O570" t="s">
        <v>606</v>
      </c>
      <c r="P570" t="str">
        <f>TRIM(Table13_1[[#This Row],[Genre]])</f>
        <v>Sci-Fi</v>
      </c>
    </row>
    <row r="571" spans="1:16" x14ac:dyDescent="0.3">
      <c r="A571" t="s">
        <v>1341</v>
      </c>
      <c r="B571" t="s">
        <v>1342</v>
      </c>
      <c r="C571">
        <v>2015</v>
      </c>
      <c r="D571">
        <v>2010</v>
      </c>
      <c r="E571" t="s">
        <v>293</v>
      </c>
      <c r="F571">
        <v>93</v>
      </c>
      <c r="G571" t="s">
        <v>3997</v>
      </c>
      <c r="H571" t="s">
        <v>1344</v>
      </c>
      <c r="I571" t="s">
        <v>68</v>
      </c>
      <c r="J571" t="s">
        <v>1345</v>
      </c>
      <c r="K571">
        <v>439503</v>
      </c>
      <c r="L571">
        <v>70.08</v>
      </c>
      <c r="M571">
        <v>70.08</v>
      </c>
      <c r="N571" t="s">
        <v>4001</v>
      </c>
      <c r="O571" t="s">
        <v>375</v>
      </c>
      <c r="P571" t="str">
        <f>TRIM(Table13_1[[#This Row],[Genre]])</f>
        <v>Family</v>
      </c>
    </row>
    <row r="572" spans="1:16" x14ac:dyDescent="0.3">
      <c r="A572" t="s">
        <v>1341</v>
      </c>
      <c r="B572" t="s">
        <v>1342</v>
      </c>
      <c r="C572">
        <v>2015</v>
      </c>
      <c r="D572">
        <v>2010</v>
      </c>
      <c r="E572" t="s">
        <v>293</v>
      </c>
      <c r="F572">
        <v>93</v>
      </c>
      <c r="G572" t="s">
        <v>3997</v>
      </c>
      <c r="H572" t="s">
        <v>1344</v>
      </c>
      <c r="I572" t="s">
        <v>68</v>
      </c>
      <c r="J572" t="s">
        <v>1345</v>
      </c>
      <c r="K572">
        <v>439503</v>
      </c>
      <c r="L572">
        <v>70.08</v>
      </c>
      <c r="M572">
        <v>70.08</v>
      </c>
      <c r="N572" t="s">
        <v>4001</v>
      </c>
      <c r="O572" t="s">
        <v>3981</v>
      </c>
      <c r="P572" t="str">
        <f>TRIM(Table13_1[[#This Row],[Genre]])</f>
        <v>Romance</v>
      </c>
    </row>
    <row r="573" spans="1:16" x14ac:dyDescent="0.3">
      <c r="A573" t="s">
        <v>1346</v>
      </c>
      <c r="B573" t="s">
        <v>1347</v>
      </c>
      <c r="C573">
        <v>2024</v>
      </c>
      <c r="D573">
        <v>2020</v>
      </c>
      <c r="E573" t="s">
        <v>54</v>
      </c>
      <c r="F573">
        <v>97</v>
      </c>
      <c r="G573" t="s">
        <v>3997</v>
      </c>
      <c r="H573" t="s">
        <v>597</v>
      </c>
      <c r="I573" t="s">
        <v>251</v>
      </c>
      <c r="J573" t="s">
        <v>1348</v>
      </c>
      <c r="K573">
        <v>110515</v>
      </c>
      <c r="L573">
        <v>236.36</v>
      </c>
      <c r="M573">
        <v>236.36</v>
      </c>
      <c r="N573" t="s">
        <v>3998</v>
      </c>
      <c r="O573" t="s">
        <v>157</v>
      </c>
      <c r="P573" t="str">
        <f>TRIM(Table13_1[[#This Row],[Genre]])</f>
        <v>Animation</v>
      </c>
    </row>
    <row r="574" spans="1:16" x14ac:dyDescent="0.3">
      <c r="A574" t="s">
        <v>1349</v>
      </c>
      <c r="B574" t="s">
        <v>804</v>
      </c>
      <c r="C574">
        <v>1972</v>
      </c>
      <c r="D574">
        <v>1970</v>
      </c>
      <c r="E574" t="s">
        <v>17</v>
      </c>
      <c r="F574">
        <v>124</v>
      </c>
      <c r="G574" t="s">
        <v>3999</v>
      </c>
      <c r="H574" t="s">
        <v>1350</v>
      </c>
      <c r="I574" t="s">
        <v>524</v>
      </c>
      <c r="J574" t="s">
        <v>1351</v>
      </c>
      <c r="K574">
        <v>2701</v>
      </c>
      <c r="L574">
        <v>214.08</v>
      </c>
      <c r="M574">
        <v>214.08</v>
      </c>
      <c r="N574" t="s">
        <v>3998</v>
      </c>
      <c r="O574" t="s">
        <v>235</v>
      </c>
      <c r="P574" t="str">
        <f>TRIM(Table13_1[[#This Row],[Genre]])</f>
        <v>Drama</v>
      </c>
    </row>
    <row r="575" spans="1:16" x14ac:dyDescent="0.3">
      <c r="A575" t="s">
        <v>1352</v>
      </c>
      <c r="B575" t="s">
        <v>1353</v>
      </c>
      <c r="C575">
        <v>2024</v>
      </c>
      <c r="D575">
        <v>2020</v>
      </c>
      <c r="E575" t="s">
        <v>24</v>
      </c>
      <c r="F575">
        <v>115</v>
      </c>
      <c r="G575" t="s">
        <v>3997</v>
      </c>
      <c r="H575" t="s">
        <v>278</v>
      </c>
      <c r="I575" t="s">
        <v>165</v>
      </c>
      <c r="J575" t="s">
        <v>1355</v>
      </c>
      <c r="K575">
        <v>958796</v>
      </c>
      <c r="L575">
        <v>441.1</v>
      </c>
      <c r="M575">
        <v>441.1</v>
      </c>
      <c r="N575" t="s">
        <v>3998</v>
      </c>
      <c r="O575" t="s">
        <v>277</v>
      </c>
      <c r="P575" t="str">
        <f>TRIM(Table13_1[[#This Row],[Genre]])</f>
        <v>Thriller</v>
      </c>
    </row>
    <row r="576" spans="1:16" x14ac:dyDescent="0.3">
      <c r="A576" t="s">
        <v>1352</v>
      </c>
      <c r="B576" t="s">
        <v>1353</v>
      </c>
      <c r="C576">
        <v>2024</v>
      </c>
      <c r="D576">
        <v>2020</v>
      </c>
      <c r="E576" t="s">
        <v>24</v>
      </c>
      <c r="F576">
        <v>115</v>
      </c>
      <c r="G576" t="s">
        <v>3997</v>
      </c>
      <c r="H576" t="s">
        <v>278</v>
      </c>
      <c r="I576" t="s">
        <v>165</v>
      </c>
      <c r="J576" t="s">
        <v>1355</v>
      </c>
      <c r="K576">
        <v>958796</v>
      </c>
      <c r="L576">
        <v>441.1</v>
      </c>
      <c r="M576">
        <v>441.1</v>
      </c>
      <c r="N576" t="s">
        <v>3998</v>
      </c>
      <c r="O576" t="s">
        <v>3987</v>
      </c>
      <c r="P576" t="str">
        <f>TRIM(Table13_1[[#This Row],[Genre]])</f>
        <v>Fantasy</v>
      </c>
    </row>
    <row r="577" spans="1:16" x14ac:dyDescent="0.3">
      <c r="A577" t="s">
        <v>1356</v>
      </c>
      <c r="B577" t="s">
        <v>1357</v>
      </c>
      <c r="C577">
        <v>2003</v>
      </c>
      <c r="D577">
        <v>2000</v>
      </c>
      <c r="E577" t="s">
        <v>54</v>
      </c>
      <c r="F577">
        <v>112</v>
      </c>
      <c r="G577" t="s">
        <v>3997</v>
      </c>
      <c r="H577" t="s">
        <v>130</v>
      </c>
      <c r="I577" t="s">
        <v>315</v>
      </c>
      <c r="J577" t="s">
        <v>1359</v>
      </c>
      <c r="K577">
        <v>116587</v>
      </c>
      <c r="L577">
        <v>22.84</v>
      </c>
      <c r="M577">
        <v>22.84</v>
      </c>
      <c r="N577" t="s">
        <v>4001</v>
      </c>
      <c r="O577" t="s">
        <v>129</v>
      </c>
      <c r="P577" t="str">
        <f>TRIM(Table13_1[[#This Row],[Genre]])</f>
        <v>Horror</v>
      </c>
    </row>
    <row r="578" spans="1:16" x14ac:dyDescent="0.3">
      <c r="A578" t="s">
        <v>1356</v>
      </c>
      <c r="B578" t="s">
        <v>1357</v>
      </c>
      <c r="C578">
        <v>2003</v>
      </c>
      <c r="D578">
        <v>2000</v>
      </c>
      <c r="E578" t="s">
        <v>54</v>
      </c>
      <c r="F578">
        <v>112</v>
      </c>
      <c r="G578" t="s">
        <v>3997</v>
      </c>
      <c r="H578" t="s">
        <v>130</v>
      </c>
      <c r="I578" t="s">
        <v>315</v>
      </c>
      <c r="J578" t="s">
        <v>1359</v>
      </c>
      <c r="K578">
        <v>116587</v>
      </c>
      <c r="L578">
        <v>22.84</v>
      </c>
      <c r="M578">
        <v>22.84</v>
      </c>
      <c r="N578" t="s">
        <v>4001</v>
      </c>
      <c r="O578" t="s">
        <v>3987</v>
      </c>
      <c r="P578" t="str">
        <f>TRIM(Table13_1[[#This Row],[Genre]])</f>
        <v>Fantasy</v>
      </c>
    </row>
    <row r="579" spans="1:16" x14ac:dyDescent="0.3">
      <c r="A579" t="s">
        <v>1356</v>
      </c>
      <c r="B579" t="s">
        <v>1357</v>
      </c>
      <c r="C579">
        <v>2003</v>
      </c>
      <c r="D579">
        <v>2000</v>
      </c>
      <c r="E579" t="s">
        <v>54</v>
      </c>
      <c r="F579">
        <v>112</v>
      </c>
      <c r="G579" t="s">
        <v>3997</v>
      </c>
      <c r="H579" t="s">
        <v>130</v>
      </c>
      <c r="I579" t="s">
        <v>315</v>
      </c>
      <c r="J579" t="s">
        <v>1359</v>
      </c>
      <c r="K579">
        <v>116587</v>
      </c>
      <c r="L579">
        <v>22.84</v>
      </c>
      <c r="M579">
        <v>22.84</v>
      </c>
      <c r="N579" t="s">
        <v>4001</v>
      </c>
      <c r="O579" t="s">
        <v>3986</v>
      </c>
      <c r="P579" t="str">
        <f>TRIM(Table13_1[[#This Row],[Genre]])</f>
        <v>Documentary</v>
      </c>
    </row>
    <row r="580" spans="1:16" x14ac:dyDescent="0.3">
      <c r="A580" t="s">
        <v>1360</v>
      </c>
      <c r="B580" t="s">
        <v>1361</v>
      </c>
      <c r="C580">
        <v>2024</v>
      </c>
      <c r="D580">
        <v>2020</v>
      </c>
      <c r="E580" t="s">
        <v>54</v>
      </c>
      <c r="F580">
        <v>95</v>
      </c>
      <c r="G580" t="s">
        <v>3997</v>
      </c>
      <c r="H580" t="s">
        <v>1363</v>
      </c>
      <c r="I580" t="s">
        <v>74</v>
      </c>
      <c r="J580" t="s">
        <v>1364</v>
      </c>
      <c r="K580">
        <v>41752</v>
      </c>
      <c r="L580">
        <v>467.18</v>
      </c>
      <c r="M580">
        <v>467.18</v>
      </c>
      <c r="N580" t="s">
        <v>3998</v>
      </c>
      <c r="O580" t="s">
        <v>43</v>
      </c>
      <c r="P580" t="str">
        <f>TRIM(Table13_1[[#This Row],[Genre]])</f>
        <v>Mystery</v>
      </c>
    </row>
    <row r="581" spans="1:16" x14ac:dyDescent="0.3">
      <c r="A581" t="s">
        <v>1360</v>
      </c>
      <c r="B581" t="s">
        <v>1361</v>
      </c>
      <c r="C581">
        <v>2024</v>
      </c>
      <c r="D581">
        <v>2020</v>
      </c>
      <c r="E581" t="s">
        <v>54</v>
      </c>
      <c r="F581">
        <v>95</v>
      </c>
      <c r="G581" t="s">
        <v>3997</v>
      </c>
      <c r="H581" t="s">
        <v>1363</v>
      </c>
      <c r="I581" t="s">
        <v>74</v>
      </c>
      <c r="J581" t="s">
        <v>1364</v>
      </c>
      <c r="K581">
        <v>41752</v>
      </c>
      <c r="L581">
        <v>467.18</v>
      </c>
      <c r="M581">
        <v>467.18</v>
      </c>
      <c r="N581" t="s">
        <v>3998</v>
      </c>
      <c r="O581" t="s">
        <v>3993</v>
      </c>
      <c r="P581" t="str">
        <f>TRIM(Table13_1[[#This Row],[Genre]])</f>
        <v>Comedy</v>
      </c>
    </row>
    <row r="582" spans="1:16" x14ac:dyDescent="0.3">
      <c r="A582" t="s">
        <v>1360</v>
      </c>
      <c r="B582" t="s">
        <v>1361</v>
      </c>
      <c r="C582">
        <v>2024</v>
      </c>
      <c r="D582">
        <v>2020</v>
      </c>
      <c r="E582" t="s">
        <v>54</v>
      </c>
      <c r="F582">
        <v>95</v>
      </c>
      <c r="G582" t="s">
        <v>3997</v>
      </c>
      <c r="H582" t="s">
        <v>1363</v>
      </c>
      <c r="I582" t="s">
        <v>74</v>
      </c>
      <c r="J582" t="s">
        <v>1364</v>
      </c>
      <c r="K582">
        <v>41752</v>
      </c>
      <c r="L582">
        <v>467.18</v>
      </c>
      <c r="M582">
        <v>467.18</v>
      </c>
      <c r="N582" t="s">
        <v>3998</v>
      </c>
      <c r="O582" t="s">
        <v>3991</v>
      </c>
      <c r="P582" t="str">
        <f>TRIM(Table13_1[[#This Row],[Genre]])</f>
        <v>Thriller</v>
      </c>
    </row>
    <row r="583" spans="1:16" x14ac:dyDescent="0.3">
      <c r="A583" t="s">
        <v>1365</v>
      </c>
      <c r="B583" t="s">
        <v>1366</v>
      </c>
      <c r="C583">
        <v>2002</v>
      </c>
      <c r="D583">
        <v>2000</v>
      </c>
      <c r="E583" t="s">
        <v>54</v>
      </c>
      <c r="F583">
        <v>94</v>
      </c>
      <c r="G583" t="s">
        <v>3997</v>
      </c>
      <c r="H583" t="s">
        <v>898</v>
      </c>
      <c r="I583" t="s">
        <v>103</v>
      </c>
      <c r="J583" t="s">
        <v>1367</v>
      </c>
      <c r="K583">
        <v>28156</v>
      </c>
      <c r="M583">
        <v>0</v>
      </c>
      <c r="N583" t="s">
        <v>4001</v>
      </c>
      <c r="O583" t="s">
        <v>55</v>
      </c>
      <c r="P583" t="str">
        <f>TRIM(Table13_1[[#This Row],[Genre]])</f>
        <v>Romance</v>
      </c>
    </row>
    <row r="584" spans="1:16" x14ac:dyDescent="0.3">
      <c r="A584" t="s">
        <v>1365</v>
      </c>
      <c r="B584" t="s">
        <v>1366</v>
      </c>
      <c r="C584">
        <v>2002</v>
      </c>
      <c r="D584">
        <v>2000</v>
      </c>
      <c r="E584" t="s">
        <v>54</v>
      </c>
      <c r="F584">
        <v>94</v>
      </c>
      <c r="G584" t="s">
        <v>3997</v>
      </c>
      <c r="H584" t="s">
        <v>898</v>
      </c>
      <c r="I584" t="s">
        <v>103</v>
      </c>
      <c r="J584" t="s">
        <v>1367</v>
      </c>
      <c r="K584">
        <v>28156</v>
      </c>
      <c r="M584">
        <v>0</v>
      </c>
      <c r="N584" t="s">
        <v>4001</v>
      </c>
      <c r="O584" t="s">
        <v>3989</v>
      </c>
      <c r="P584" t="str">
        <f>TRIM(Table13_1[[#This Row],[Genre]])</f>
        <v>Sci-Fi</v>
      </c>
    </row>
    <row r="585" spans="1:16" x14ac:dyDescent="0.3">
      <c r="A585" t="s">
        <v>1368</v>
      </c>
      <c r="B585" t="s">
        <v>1369</v>
      </c>
      <c r="C585">
        <v>2022</v>
      </c>
      <c r="D585">
        <v>2020</v>
      </c>
      <c r="E585" t="s">
        <v>293</v>
      </c>
      <c r="F585">
        <v>93</v>
      </c>
      <c r="G585" t="s">
        <v>3997</v>
      </c>
      <c r="H585" t="s">
        <v>320</v>
      </c>
      <c r="I585" t="s">
        <v>27</v>
      </c>
      <c r="J585" t="s">
        <v>1370</v>
      </c>
      <c r="K585">
        <v>24129</v>
      </c>
      <c r="L585">
        <v>30.77</v>
      </c>
      <c r="M585">
        <v>30.77</v>
      </c>
      <c r="N585" t="s">
        <v>4001</v>
      </c>
      <c r="O585" t="s">
        <v>767</v>
      </c>
      <c r="P585" t="str">
        <f>TRIM(Table13_1[[#This Row],[Genre]])</f>
        <v>Fantasy</v>
      </c>
    </row>
    <row r="586" spans="1:16" x14ac:dyDescent="0.3">
      <c r="A586" t="s">
        <v>1371</v>
      </c>
      <c r="B586" t="s">
        <v>1372</v>
      </c>
      <c r="C586">
        <v>2019</v>
      </c>
      <c r="D586">
        <v>2010</v>
      </c>
      <c r="E586" t="s">
        <v>17</v>
      </c>
      <c r="F586">
        <v>149</v>
      </c>
      <c r="G586" t="s">
        <v>3999</v>
      </c>
      <c r="H586" t="s">
        <v>19</v>
      </c>
      <c r="I586" t="s">
        <v>74</v>
      </c>
      <c r="J586" t="s">
        <v>1374</v>
      </c>
      <c r="K586">
        <v>55084</v>
      </c>
      <c r="L586">
        <v>485.13</v>
      </c>
      <c r="M586">
        <v>485.13</v>
      </c>
      <c r="N586" t="s">
        <v>3998</v>
      </c>
      <c r="O586" t="s">
        <v>210</v>
      </c>
      <c r="P586" t="str">
        <f>TRIM(Table13_1[[#This Row],[Genre]])</f>
        <v>Action</v>
      </c>
    </row>
    <row r="587" spans="1:16" x14ac:dyDescent="0.3">
      <c r="A587" t="s">
        <v>1371</v>
      </c>
      <c r="B587" t="s">
        <v>1372</v>
      </c>
      <c r="C587">
        <v>2019</v>
      </c>
      <c r="D587">
        <v>2010</v>
      </c>
      <c r="E587" t="s">
        <v>17</v>
      </c>
      <c r="F587">
        <v>149</v>
      </c>
      <c r="G587" t="s">
        <v>3999</v>
      </c>
      <c r="H587" t="s">
        <v>19</v>
      </c>
      <c r="I587" t="s">
        <v>74</v>
      </c>
      <c r="J587" t="s">
        <v>1374</v>
      </c>
      <c r="K587">
        <v>55084</v>
      </c>
      <c r="L587">
        <v>485.13</v>
      </c>
      <c r="M587">
        <v>485.13</v>
      </c>
      <c r="N587" t="s">
        <v>3998</v>
      </c>
      <c r="O587" t="s">
        <v>3982</v>
      </c>
      <c r="P587" t="str">
        <f>TRIM(Table13_1[[#This Row],[Genre]])</f>
        <v>Family</v>
      </c>
    </row>
    <row r="588" spans="1:16" x14ac:dyDescent="0.3">
      <c r="A588" t="s">
        <v>1375</v>
      </c>
      <c r="B588" t="s">
        <v>1376</v>
      </c>
      <c r="C588">
        <v>2005</v>
      </c>
      <c r="D588">
        <v>2000</v>
      </c>
      <c r="E588" t="s">
        <v>54</v>
      </c>
      <c r="F588">
        <v>114</v>
      </c>
      <c r="G588" t="s">
        <v>3997</v>
      </c>
      <c r="H588" t="s">
        <v>1377</v>
      </c>
      <c r="I588" t="s">
        <v>165</v>
      </c>
      <c r="J588" t="s">
        <v>1378</v>
      </c>
      <c r="K588">
        <v>38060</v>
      </c>
      <c r="L588">
        <v>303.01</v>
      </c>
      <c r="M588">
        <v>303.01</v>
      </c>
      <c r="N588" t="s">
        <v>3998</v>
      </c>
      <c r="O588" t="s">
        <v>1044</v>
      </c>
      <c r="P588" t="str">
        <f>TRIM(Table13_1[[#This Row],[Genre]])</f>
        <v>Comedy</v>
      </c>
    </row>
    <row r="589" spans="1:16" x14ac:dyDescent="0.3">
      <c r="A589" t="s">
        <v>1375</v>
      </c>
      <c r="B589" t="s">
        <v>1376</v>
      </c>
      <c r="C589">
        <v>2005</v>
      </c>
      <c r="D589">
        <v>2000</v>
      </c>
      <c r="E589" t="s">
        <v>54</v>
      </c>
      <c r="F589">
        <v>114</v>
      </c>
      <c r="G589" t="s">
        <v>3997</v>
      </c>
      <c r="H589" t="s">
        <v>1377</v>
      </c>
      <c r="I589" t="s">
        <v>165</v>
      </c>
      <c r="J589" t="s">
        <v>1378</v>
      </c>
      <c r="K589">
        <v>38060</v>
      </c>
      <c r="L589">
        <v>303.01</v>
      </c>
      <c r="M589">
        <v>303.01</v>
      </c>
      <c r="N589" t="s">
        <v>3998</v>
      </c>
      <c r="O589" t="s">
        <v>3991</v>
      </c>
      <c r="P589" t="str">
        <f>TRIM(Table13_1[[#This Row],[Genre]])</f>
        <v>Thriller</v>
      </c>
    </row>
    <row r="590" spans="1:16" x14ac:dyDescent="0.3">
      <c r="A590" t="s">
        <v>1379</v>
      </c>
      <c r="B590" t="s">
        <v>1380</v>
      </c>
      <c r="C590">
        <v>2018</v>
      </c>
      <c r="D590">
        <v>2010</v>
      </c>
      <c r="E590" t="s">
        <v>169</v>
      </c>
      <c r="F590">
        <v>149</v>
      </c>
      <c r="G590" t="s">
        <v>3999</v>
      </c>
      <c r="H590" t="s">
        <v>1382</v>
      </c>
      <c r="I590" t="s">
        <v>593</v>
      </c>
      <c r="J590" t="s">
        <v>1383</v>
      </c>
      <c r="K590">
        <v>195552</v>
      </c>
      <c r="L590">
        <v>303.56</v>
      </c>
      <c r="M590">
        <v>303.56</v>
      </c>
      <c r="N590" t="s">
        <v>3998</v>
      </c>
      <c r="O590" t="s">
        <v>210</v>
      </c>
      <c r="P590" t="str">
        <f>TRIM(Table13_1[[#This Row],[Genre]])</f>
        <v>Action</v>
      </c>
    </row>
    <row r="591" spans="1:16" x14ac:dyDescent="0.3">
      <c r="A591" t="s">
        <v>1379</v>
      </c>
      <c r="B591" t="s">
        <v>1380</v>
      </c>
      <c r="C591">
        <v>2018</v>
      </c>
      <c r="D591">
        <v>2010</v>
      </c>
      <c r="E591" t="s">
        <v>169</v>
      </c>
      <c r="F591">
        <v>149</v>
      </c>
      <c r="G591" t="s">
        <v>3999</v>
      </c>
      <c r="H591" t="s">
        <v>1382</v>
      </c>
      <c r="I591" t="s">
        <v>593</v>
      </c>
      <c r="J591" t="s">
        <v>1383</v>
      </c>
      <c r="K591">
        <v>195552</v>
      </c>
      <c r="L591">
        <v>303.56</v>
      </c>
      <c r="M591">
        <v>303.56</v>
      </c>
      <c r="N591" t="s">
        <v>3998</v>
      </c>
      <c r="O591" t="s">
        <v>3977</v>
      </c>
      <c r="P591" t="str">
        <f>TRIM(Table13_1[[#This Row],[Genre]])</f>
        <v>Animation</v>
      </c>
    </row>
    <row r="592" spans="1:16" x14ac:dyDescent="0.3">
      <c r="A592" t="s">
        <v>1379</v>
      </c>
      <c r="B592" t="s">
        <v>1380</v>
      </c>
      <c r="C592">
        <v>2018</v>
      </c>
      <c r="D592">
        <v>2010</v>
      </c>
      <c r="E592" t="s">
        <v>169</v>
      </c>
      <c r="F592">
        <v>149</v>
      </c>
      <c r="G592" t="s">
        <v>3999</v>
      </c>
      <c r="H592" t="s">
        <v>1382</v>
      </c>
      <c r="I592" t="s">
        <v>593</v>
      </c>
      <c r="J592" t="s">
        <v>1383</v>
      </c>
      <c r="K592">
        <v>195552</v>
      </c>
      <c r="L592">
        <v>303.56</v>
      </c>
      <c r="M592">
        <v>303.56</v>
      </c>
      <c r="N592" t="s">
        <v>3998</v>
      </c>
      <c r="O592" t="s">
        <v>3992</v>
      </c>
      <c r="P592" t="str">
        <f>TRIM(Table13_1[[#This Row],[Genre]])</f>
        <v>Biography</v>
      </c>
    </row>
    <row r="593" spans="1:16" x14ac:dyDescent="0.3">
      <c r="A593" t="s">
        <v>1384</v>
      </c>
      <c r="B593" t="s">
        <v>1385</v>
      </c>
      <c r="C593">
        <v>2009</v>
      </c>
      <c r="D593">
        <v>2000</v>
      </c>
      <c r="E593" t="s">
        <v>17</v>
      </c>
      <c r="F593">
        <v>135</v>
      </c>
      <c r="G593" t="s">
        <v>3999</v>
      </c>
      <c r="H593" t="s">
        <v>412</v>
      </c>
      <c r="I593" t="s">
        <v>593</v>
      </c>
      <c r="J593" t="s">
        <v>1387</v>
      </c>
      <c r="K593">
        <v>13029</v>
      </c>
      <c r="L593">
        <v>236.54</v>
      </c>
      <c r="M593">
        <v>236.54</v>
      </c>
      <c r="N593" t="s">
        <v>3998</v>
      </c>
      <c r="O593" t="s">
        <v>78</v>
      </c>
      <c r="P593" t="str">
        <f>TRIM(Table13_1[[#This Row],[Genre]])</f>
        <v>Adventure</v>
      </c>
    </row>
    <row r="594" spans="1:16" x14ac:dyDescent="0.3">
      <c r="A594" t="s">
        <v>1384</v>
      </c>
      <c r="B594" t="s">
        <v>1385</v>
      </c>
      <c r="C594">
        <v>2009</v>
      </c>
      <c r="D594">
        <v>2000</v>
      </c>
      <c r="E594" t="s">
        <v>17</v>
      </c>
      <c r="F594">
        <v>135</v>
      </c>
      <c r="G594" t="s">
        <v>3999</v>
      </c>
      <c r="H594" t="s">
        <v>412</v>
      </c>
      <c r="I594" t="s">
        <v>593</v>
      </c>
      <c r="J594" t="s">
        <v>1387</v>
      </c>
      <c r="K594">
        <v>13029</v>
      </c>
      <c r="L594">
        <v>236.54</v>
      </c>
      <c r="M594">
        <v>236.54</v>
      </c>
      <c r="N594" t="s">
        <v>3998</v>
      </c>
      <c r="O594" t="s">
        <v>3986</v>
      </c>
      <c r="P594" t="str">
        <f>TRIM(Table13_1[[#This Row],[Genre]])</f>
        <v>Documentary</v>
      </c>
    </row>
    <row r="595" spans="1:16" x14ac:dyDescent="0.3">
      <c r="A595" t="s">
        <v>1384</v>
      </c>
      <c r="B595" t="s">
        <v>1385</v>
      </c>
      <c r="C595">
        <v>2009</v>
      </c>
      <c r="D595">
        <v>2000</v>
      </c>
      <c r="E595" t="s">
        <v>17</v>
      </c>
      <c r="F595">
        <v>135</v>
      </c>
      <c r="G595" t="s">
        <v>3999</v>
      </c>
      <c r="H595" t="s">
        <v>412</v>
      </c>
      <c r="I595" t="s">
        <v>593</v>
      </c>
      <c r="J595" t="s">
        <v>1387</v>
      </c>
      <c r="K595">
        <v>13029</v>
      </c>
      <c r="L595">
        <v>236.54</v>
      </c>
      <c r="M595">
        <v>236.54</v>
      </c>
      <c r="N595" t="s">
        <v>3998</v>
      </c>
      <c r="O595" t="s">
        <v>3991</v>
      </c>
      <c r="P595" t="str">
        <f>TRIM(Table13_1[[#This Row],[Genre]])</f>
        <v>Thriller</v>
      </c>
    </row>
    <row r="596" spans="1:16" x14ac:dyDescent="0.3">
      <c r="A596" t="s">
        <v>1388</v>
      </c>
      <c r="B596" t="s">
        <v>1389</v>
      </c>
      <c r="C596">
        <v>2001</v>
      </c>
      <c r="D596">
        <v>2000</v>
      </c>
      <c r="E596" t="s">
        <v>54</v>
      </c>
      <c r="F596">
        <v>77</v>
      </c>
      <c r="G596" t="s">
        <v>4000</v>
      </c>
      <c r="H596" t="s">
        <v>1391</v>
      </c>
      <c r="I596" t="s">
        <v>718</v>
      </c>
      <c r="J596" t="s">
        <v>1392</v>
      </c>
      <c r="K596">
        <v>225899</v>
      </c>
      <c r="M596">
        <v>0</v>
      </c>
      <c r="N596" t="s">
        <v>4001</v>
      </c>
      <c r="O596" t="s">
        <v>129</v>
      </c>
      <c r="P596" t="str">
        <f>TRIM(Table13_1[[#This Row],[Genre]])</f>
        <v>Horror</v>
      </c>
    </row>
    <row r="597" spans="1:16" x14ac:dyDescent="0.3">
      <c r="A597" t="s">
        <v>1388</v>
      </c>
      <c r="B597" t="s">
        <v>1389</v>
      </c>
      <c r="C597">
        <v>2001</v>
      </c>
      <c r="D597">
        <v>2000</v>
      </c>
      <c r="E597" t="s">
        <v>54</v>
      </c>
      <c r="F597">
        <v>77</v>
      </c>
      <c r="G597" t="s">
        <v>4000</v>
      </c>
      <c r="H597" t="s">
        <v>1391</v>
      </c>
      <c r="I597" t="s">
        <v>718</v>
      </c>
      <c r="J597" t="s">
        <v>1392</v>
      </c>
      <c r="K597">
        <v>225899</v>
      </c>
      <c r="M597">
        <v>0</v>
      </c>
      <c r="N597" t="s">
        <v>4001</v>
      </c>
      <c r="O597" t="s">
        <v>3977</v>
      </c>
      <c r="P597" t="str">
        <f>TRIM(Table13_1[[#This Row],[Genre]])</f>
        <v>Animation</v>
      </c>
    </row>
    <row r="598" spans="1:16" x14ac:dyDescent="0.3">
      <c r="A598" t="s">
        <v>1393</v>
      </c>
      <c r="B598" t="s">
        <v>1394</v>
      </c>
      <c r="C598">
        <v>2013</v>
      </c>
      <c r="D598">
        <v>2010</v>
      </c>
      <c r="E598" t="s">
        <v>17</v>
      </c>
      <c r="F598">
        <v>126</v>
      </c>
      <c r="G598" t="s">
        <v>3999</v>
      </c>
      <c r="H598" t="s">
        <v>38</v>
      </c>
      <c r="I598" t="s">
        <v>39</v>
      </c>
      <c r="J598" t="s">
        <v>1395</v>
      </c>
      <c r="K598">
        <v>10848</v>
      </c>
      <c r="M598">
        <v>0</v>
      </c>
      <c r="N598" t="s">
        <v>4001</v>
      </c>
      <c r="O598" t="s">
        <v>37</v>
      </c>
      <c r="P598" t="str">
        <f>TRIM(Table13_1[[#This Row],[Genre]])</f>
        <v>Biography</v>
      </c>
    </row>
    <row r="599" spans="1:16" x14ac:dyDescent="0.3">
      <c r="A599" t="s">
        <v>1396</v>
      </c>
      <c r="B599" t="s">
        <v>1397</v>
      </c>
      <c r="C599">
        <v>2005</v>
      </c>
      <c r="D599">
        <v>2000</v>
      </c>
      <c r="E599" t="s">
        <v>285</v>
      </c>
      <c r="F599">
        <v>129</v>
      </c>
      <c r="G599" t="s">
        <v>3999</v>
      </c>
      <c r="H599" t="s">
        <v>1398</v>
      </c>
      <c r="I599" t="s">
        <v>159</v>
      </c>
      <c r="J599" t="s">
        <v>1399</v>
      </c>
      <c r="K599">
        <v>112688</v>
      </c>
      <c r="L599">
        <v>314.23</v>
      </c>
      <c r="M599">
        <v>314.23</v>
      </c>
      <c r="N599" t="s">
        <v>3998</v>
      </c>
      <c r="O599" t="s">
        <v>48</v>
      </c>
      <c r="P599" t="str">
        <f>TRIM(Table13_1[[#This Row],[Genre]])</f>
        <v>Crime</v>
      </c>
    </row>
    <row r="600" spans="1:16" x14ac:dyDescent="0.3">
      <c r="A600" t="s">
        <v>1400</v>
      </c>
      <c r="B600" t="s">
        <v>1401</v>
      </c>
      <c r="C600">
        <v>2022</v>
      </c>
      <c r="D600">
        <v>2020</v>
      </c>
      <c r="E600" t="s">
        <v>24</v>
      </c>
      <c r="F600">
        <v>97</v>
      </c>
      <c r="G600" t="s">
        <v>3997</v>
      </c>
      <c r="H600" t="s">
        <v>634</v>
      </c>
      <c r="I600" t="s">
        <v>119</v>
      </c>
      <c r="J600" t="s">
        <v>1402</v>
      </c>
      <c r="K600">
        <v>119836</v>
      </c>
      <c r="L600">
        <v>439.7</v>
      </c>
      <c r="M600">
        <v>439.7</v>
      </c>
      <c r="N600" t="s">
        <v>3998</v>
      </c>
      <c r="O600" t="s">
        <v>129</v>
      </c>
      <c r="P600" t="str">
        <f>TRIM(Table13_1[[#This Row],[Genre]])</f>
        <v>Horror</v>
      </c>
    </row>
    <row r="601" spans="1:16" x14ac:dyDescent="0.3">
      <c r="A601" t="s">
        <v>1400</v>
      </c>
      <c r="B601" t="s">
        <v>1401</v>
      </c>
      <c r="C601">
        <v>2022</v>
      </c>
      <c r="D601">
        <v>2020</v>
      </c>
      <c r="E601" t="s">
        <v>24</v>
      </c>
      <c r="F601">
        <v>97</v>
      </c>
      <c r="G601" t="s">
        <v>3997</v>
      </c>
      <c r="H601" t="s">
        <v>634</v>
      </c>
      <c r="I601" t="s">
        <v>119</v>
      </c>
      <c r="J601" t="s">
        <v>1402</v>
      </c>
      <c r="K601">
        <v>119836</v>
      </c>
      <c r="L601">
        <v>439.7</v>
      </c>
      <c r="M601">
        <v>439.7</v>
      </c>
      <c r="N601" t="s">
        <v>3998</v>
      </c>
      <c r="O601" t="s">
        <v>3989</v>
      </c>
      <c r="P601" t="str">
        <f>TRIM(Table13_1[[#This Row],[Genre]])</f>
        <v>Sci-Fi</v>
      </c>
    </row>
    <row r="602" spans="1:16" x14ac:dyDescent="0.3">
      <c r="A602" t="s">
        <v>1403</v>
      </c>
      <c r="B602" t="s">
        <v>1404</v>
      </c>
      <c r="C602">
        <v>2002</v>
      </c>
      <c r="D602">
        <v>2000</v>
      </c>
      <c r="E602" t="s">
        <v>24</v>
      </c>
      <c r="F602">
        <v>101</v>
      </c>
      <c r="G602" t="s">
        <v>3997</v>
      </c>
      <c r="H602" t="s">
        <v>231</v>
      </c>
      <c r="I602" t="s">
        <v>80</v>
      </c>
      <c r="J602" t="s">
        <v>1406</v>
      </c>
      <c r="K602">
        <v>36573</v>
      </c>
      <c r="L602">
        <v>25.84</v>
      </c>
      <c r="M602">
        <v>25.84</v>
      </c>
      <c r="N602" t="s">
        <v>4001</v>
      </c>
      <c r="O602" t="s">
        <v>230</v>
      </c>
      <c r="P602" t="str">
        <f>TRIM(Table13_1[[#This Row],[Genre]])</f>
        <v>Documentary</v>
      </c>
    </row>
    <row r="603" spans="1:16" x14ac:dyDescent="0.3">
      <c r="A603" t="s">
        <v>1403</v>
      </c>
      <c r="B603" t="s">
        <v>1404</v>
      </c>
      <c r="C603">
        <v>2002</v>
      </c>
      <c r="D603">
        <v>2000</v>
      </c>
      <c r="E603" t="s">
        <v>24</v>
      </c>
      <c r="F603">
        <v>101</v>
      </c>
      <c r="G603" t="s">
        <v>3997</v>
      </c>
      <c r="H603" t="s">
        <v>231</v>
      </c>
      <c r="I603" t="s">
        <v>80</v>
      </c>
      <c r="J603" t="s">
        <v>1406</v>
      </c>
      <c r="K603">
        <v>36573</v>
      </c>
      <c r="L603">
        <v>25.84</v>
      </c>
      <c r="M603">
        <v>25.84</v>
      </c>
      <c r="N603" t="s">
        <v>4001</v>
      </c>
      <c r="O603" t="s">
        <v>3976</v>
      </c>
      <c r="P603" t="str">
        <f>TRIM(Table13_1[[#This Row],[Genre]])</f>
        <v>Musical</v>
      </c>
    </row>
    <row r="604" spans="1:16" x14ac:dyDescent="0.3">
      <c r="A604" t="s">
        <v>1407</v>
      </c>
      <c r="B604" t="s">
        <v>1408</v>
      </c>
      <c r="C604">
        <v>2005</v>
      </c>
      <c r="D604">
        <v>2000</v>
      </c>
      <c r="E604" t="s">
        <v>17</v>
      </c>
      <c r="F604">
        <v>111</v>
      </c>
      <c r="G604" t="s">
        <v>3997</v>
      </c>
      <c r="H604" t="s">
        <v>250</v>
      </c>
      <c r="I604" t="s">
        <v>63</v>
      </c>
      <c r="J604" t="s">
        <v>1409</v>
      </c>
      <c r="K604">
        <v>70181</v>
      </c>
      <c r="L604">
        <v>430.88</v>
      </c>
      <c r="M604">
        <v>430.88</v>
      </c>
      <c r="N604" t="s">
        <v>3998</v>
      </c>
      <c r="O604" t="s">
        <v>606</v>
      </c>
      <c r="P604" t="str">
        <f>TRIM(Table13_1[[#This Row],[Genre]])</f>
        <v>Sci-Fi</v>
      </c>
    </row>
    <row r="605" spans="1:16" x14ac:dyDescent="0.3">
      <c r="A605" t="s">
        <v>1410</v>
      </c>
      <c r="B605" t="s">
        <v>1411</v>
      </c>
      <c r="C605">
        <v>2000</v>
      </c>
      <c r="D605">
        <v>2000</v>
      </c>
      <c r="E605" t="s">
        <v>17</v>
      </c>
      <c r="F605">
        <v>103</v>
      </c>
      <c r="G605" t="s">
        <v>3997</v>
      </c>
      <c r="H605" t="s">
        <v>1412</v>
      </c>
      <c r="I605" t="s">
        <v>86</v>
      </c>
      <c r="J605" t="s">
        <v>1413</v>
      </c>
      <c r="K605">
        <v>244349</v>
      </c>
      <c r="L605">
        <v>170.37</v>
      </c>
      <c r="M605">
        <v>170.37</v>
      </c>
      <c r="N605" t="s">
        <v>4002</v>
      </c>
      <c r="O605" t="s">
        <v>868</v>
      </c>
      <c r="P605" t="str">
        <f>TRIM(Table13_1[[#This Row],[Genre]])</f>
        <v>Western</v>
      </c>
    </row>
    <row r="606" spans="1:16" x14ac:dyDescent="0.3">
      <c r="A606" t="s">
        <v>1414</v>
      </c>
      <c r="B606" t="s">
        <v>1415</v>
      </c>
      <c r="C606">
        <v>2010</v>
      </c>
      <c r="D606">
        <v>2010</v>
      </c>
      <c r="E606" t="s">
        <v>17</v>
      </c>
      <c r="F606">
        <v>129</v>
      </c>
      <c r="G606" t="s">
        <v>3999</v>
      </c>
      <c r="H606" t="s">
        <v>1416</v>
      </c>
      <c r="I606" t="s">
        <v>524</v>
      </c>
      <c r="J606" t="s">
        <v>1417</v>
      </c>
      <c r="K606">
        <v>316332</v>
      </c>
      <c r="L606">
        <v>33.07</v>
      </c>
      <c r="M606">
        <v>33.07</v>
      </c>
      <c r="N606" t="s">
        <v>4001</v>
      </c>
      <c r="O606" t="s">
        <v>868</v>
      </c>
      <c r="P606" t="str">
        <f>TRIM(Table13_1[[#This Row],[Genre]])</f>
        <v>Western</v>
      </c>
    </row>
    <row r="607" spans="1:16" x14ac:dyDescent="0.3">
      <c r="A607" t="s">
        <v>1418</v>
      </c>
      <c r="B607" t="s">
        <v>1419</v>
      </c>
      <c r="C607">
        <v>2005</v>
      </c>
      <c r="D607">
        <v>2000</v>
      </c>
      <c r="E607" t="s">
        <v>54</v>
      </c>
      <c r="F607">
        <v>134</v>
      </c>
      <c r="G607" t="s">
        <v>3999</v>
      </c>
      <c r="H607" t="s">
        <v>1420</v>
      </c>
      <c r="I607" t="s">
        <v>92</v>
      </c>
      <c r="J607" t="s">
        <v>1421</v>
      </c>
      <c r="K607">
        <v>14718</v>
      </c>
      <c r="L607">
        <v>243.36</v>
      </c>
      <c r="M607">
        <v>243.36</v>
      </c>
      <c r="N607" t="s">
        <v>3998</v>
      </c>
      <c r="O607" t="s">
        <v>37</v>
      </c>
      <c r="P607" t="str">
        <f>TRIM(Table13_1[[#This Row],[Genre]])</f>
        <v>Biography</v>
      </c>
    </row>
    <row r="608" spans="1:16" x14ac:dyDescent="0.3">
      <c r="A608" t="s">
        <v>1418</v>
      </c>
      <c r="B608" t="s">
        <v>1419</v>
      </c>
      <c r="C608">
        <v>2005</v>
      </c>
      <c r="D608">
        <v>2000</v>
      </c>
      <c r="E608" t="s">
        <v>54</v>
      </c>
      <c r="F608">
        <v>134</v>
      </c>
      <c r="G608" t="s">
        <v>3999</v>
      </c>
      <c r="H608" t="s">
        <v>1420</v>
      </c>
      <c r="I608" t="s">
        <v>92</v>
      </c>
      <c r="J608" t="s">
        <v>1421</v>
      </c>
      <c r="K608">
        <v>14718</v>
      </c>
      <c r="L608">
        <v>243.36</v>
      </c>
      <c r="M608">
        <v>243.36</v>
      </c>
      <c r="N608" t="s">
        <v>3998</v>
      </c>
      <c r="O608" t="s">
        <v>3985</v>
      </c>
      <c r="P608" t="str">
        <f>TRIM(Table13_1[[#This Row],[Genre]])</f>
        <v>Horror</v>
      </c>
    </row>
    <row r="609" spans="1:16" x14ac:dyDescent="0.3">
      <c r="A609" t="s">
        <v>1422</v>
      </c>
      <c r="B609" t="s">
        <v>1423</v>
      </c>
      <c r="C609">
        <v>2005</v>
      </c>
      <c r="D609">
        <v>2000</v>
      </c>
      <c r="E609" t="s">
        <v>24</v>
      </c>
      <c r="F609">
        <v>126</v>
      </c>
      <c r="G609" t="s">
        <v>3999</v>
      </c>
      <c r="H609" t="s">
        <v>164</v>
      </c>
      <c r="I609" t="s">
        <v>39</v>
      </c>
      <c r="J609" t="s">
        <v>1425</v>
      </c>
      <c r="K609">
        <v>1221153</v>
      </c>
      <c r="L609">
        <v>24.24</v>
      </c>
      <c r="M609">
        <v>24.24</v>
      </c>
      <c r="N609" t="s">
        <v>4001</v>
      </c>
      <c r="O609" t="s">
        <v>1044</v>
      </c>
      <c r="P609" t="str">
        <f>TRIM(Table13_1[[#This Row],[Genre]])</f>
        <v>Comedy</v>
      </c>
    </row>
    <row r="610" spans="1:16" x14ac:dyDescent="0.3">
      <c r="A610" t="s">
        <v>1422</v>
      </c>
      <c r="B610" t="s">
        <v>1423</v>
      </c>
      <c r="C610">
        <v>2005</v>
      </c>
      <c r="D610">
        <v>2000</v>
      </c>
      <c r="E610" t="s">
        <v>24</v>
      </c>
      <c r="F610">
        <v>126</v>
      </c>
      <c r="G610" t="s">
        <v>3999</v>
      </c>
      <c r="H610" t="s">
        <v>164</v>
      </c>
      <c r="I610" t="s">
        <v>39</v>
      </c>
      <c r="J610" t="s">
        <v>1425</v>
      </c>
      <c r="K610">
        <v>1221153</v>
      </c>
      <c r="L610">
        <v>24.24</v>
      </c>
      <c r="M610">
        <v>24.24</v>
      </c>
      <c r="N610" t="s">
        <v>4001</v>
      </c>
      <c r="O610" t="s">
        <v>3987</v>
      </c>
      <c r="P610" t="str">
        <f>TRIM(Table13_1[[#This Row],[Genre]])</f>
        <v>Fantasy</v>
      </c>
    </row>
    <row r="611" spans="1:16" x14ac:dyDescent="0.3">
      <c r="A611" t="s">
        <v>1426</v>
      </c>
      <c r="B611" t="s">
        <v>1427</v>
      </c>
      <c r="C611">
        <v>2014</v>
      </c>
      <c r="D611">
        <v>2010</v>
      </c>
      <c r="E611" t="s">
        <v>24</v>
      </c>
      <c r="F611">
        <v>108</v>
      </c>
      <c r="G611" t="s">
        <v>3997</v>
      </c>
      <c r="H611" t="s">
        <v>1196</v>
      </c>
      <c r="I611" t="s">
        <v>86</v>
      </c>
      <c r="J611" t="s">
        <v>1428</v>
      </c>
      <c r="K611">
        <v>81176</v>
      </c>
      <c r="L611">
        <v>469.66</v>
      </c>
      <c r="M611">
        <v>469.66</v>
      </c>
      <c r="N611" t="s">
        <v>3998</v>
      </c>
      <c r="O611" t="s">
        <v>210</v>
      </c>
      <c r="P611" t="str">
        <f>TRIM(Table13_1[[#This Row],[Genre]])</f>
        <v>Action</v>
      </c>
    </row>
    <row r="612" spans="1:16" x14ac:dyDescent="0.3">
      <c r="A612" t="s">
        <v>1426</v>
      </c>
      <c r="B612" t="s">
        <v>1427</v>
      </c>
      <c r="C612">
        <v>2014</v>
      </c>
      <c r="D612">
        <v>2010</v>
      </c>
      <c r="E612" t="s">
        <v>24</v>
      </c>
      <c r="F612">
        <v>108</v>
      </c>
      <c r="G612" t="s">
        <v>3997</v>
      </c>
      <c r="H612" t="s">
        <v>1196</v>
      </c>
      <c r="I612" t="s">
        <v>86</v>
      </c>
      <c r="J612" t="s">
        <v>1428</v>
      </c>
      <c r="K612">
        <v>81176</v>
      </c>
      <c r="L612">
        <v>469.66</v>
      </c>
      <c r="M612">
        <v>469.66</v>
      </c>
      <c r="N612" t="s">
        <v>3998</v>
      </c>
      <c r="O612" t="s">
        <v>3984</v>
      </c>
      <c r="P612" t="str">
        <f>TRIM(Table13_1[[#This Row],[Genre]])</f>
        <v>Adventure</v>
      </c>
    </row>
    <row r="613" spans="1:16" x14ac:dyDescent="0.3">
      <c r="A613" t="s">
        <v>1429</v>
      </c>
      <c r="B613" t="s">
        <v>1430</v>
      </c>
      <c r="C613">
        <v>2024</v>
      </c>
      <c r="D613">
        <v>2020</v>
      </c>
      <c r="E613" t="s">
        <v>54</v>
      </c>
      <c r="F613">
        <v>147</v>
      </c>
      <c r="G613" t="s">
        <v>3999</v>
      </c>
      <c r="H613" t="s">
        <v>1431</v>
      </c>
      <c r="I613" t="s">
        <v>80</v>
      </c>
      <c r="J613" t="s">
        <v>1432</v>
      </c>
      <c r="K613">
        <v>46598</v>
      </c>
      <c r="L613">
        <v>182.83</v>
      </c>
      <c r="M613">
        <v>182.83</v>
      </c>
      <c r="N613" t="s">
        <v>4002</v>
      </c>
      <c r="O613" t="s">
        <v>72</v>
      </c>
      <c r="P613" t="str">
        <f>TRIM(Table13_1[[#This Row],[Genre]])</f>
        <v>War</v>
      </c>
    </row>
    <row r="614" spans="1:16" x14ac:dyDescent="0.3">
      <c r="A614" t="s">
        <v>1433</v>
      </c>
      <c r="B614" t="s">
        <v>1434</v>
      </c>
      <c r="C614">
        <v>2006</v>
      </c>
      <c r="D614">
        <v>2000</v>
      </c>
      <c r="E614" t="s">
        <v>17</v>
      </c>
      <c r="F614">
        <v>70</v>
      </c>
      <c r="G614" t="s">
        <v>4000</v>
      </c>
      <c r="H614" t="s">
        <v>1436</v>
      </c>
      <c r="I614" t="s">
        <v>80</v>
      </c>
      <c r="J614" t="s">
        <v>1437</v>
      </c>
      <c r="K614">
        <v>80186</v>
      </c>
      <c r="L614">
        <v>273.49</v>
      </c>
      <c r="M614">
        <v>273.49</v>
      </c>
      <c r="N614" t="s">
        <v>3998</v>
      </c>
      <c r="O614" t="s">
        <v>210</v>
      </c>
      <c r="P614" t="str">
        <f>TRIM(Table13_1[[#This Row],[Genre]])</f>
        <v>Action</v>
      </c>
    </row>
    <row r="615" spans="1:16" x14ac:dyDescent="0.3">
      <c r="A615" t="s">
        <v>1433</v>
      </c>
      <c r="B615" t="s">
        <v>1434</v>
      </c>
      <c r="C615">
        <v>2006</v>
      </c>
      <c r="D615">
        <v>2000</v>
      </c>
      <c r="E615" t="s">
        <v>17</v>
      </c>
      <c r="F615">
        <v>70</v>
      </c>
      <c r="G615" t="s">
        <v>4000</v>
      </c>
      <c r="H615" t="s">
        <v>1436</v>
      </c>
      <c r="I615" t="s">
        <v>80</v>
      </c>
      <c r="J615" t="s">
        <v>1437</v>
      </c>
      <c r="K615">
        <v>80186</v>
      </c>
      <c r="L615">
        <v>273.49</v>
      </c>
      <c r="M615">
        <v>273.49</v>
      </c>
      <c r="N615" t="s">
        <v>3998</v>
      </c>
      <c r="O615" t="s">
        <v>3990</v>
      </c>
      <c r="P615" t="str">
        <f>TRIM(Table13_1[[#This Row],[Genre]])</f>
        <v>Western</v>
      </c>
    </row>
    <row r="616" spans="1:16" x14ac:dyDescent="0.3">
      <c r="A616" t="s">
        <v>1438</v>
      </c>
      <c r="B616" t="s">
        <v>1439</v>
      </c>
      <c r="C616">
        <v>2023</v>
      </c>
      <c r="D616">
        <v>2020</v>
      </c>
      <c r="E616" t="s">
        <v>17</v>
      </c>
      <c r="F616">
        <v>164</v>
      </c>
      <c r="G616" t="s">
        <v>3999</v>
      </c>
      <c r="H616" t="s">
        <v>136</v>
      </c>
      <c r="I616" t="s">
        <v>33</v>
      </c>
      <c r="J616" t="s">
        <v>1441</v>
      </c>
      <c r="K616">
        <v>126914</v>
      </c>
      <c r="M616">
        <v>0</v>
      </c>
      <c r="N616" t="s">
        <v>4001</v>
      </c>
      <c r="O616" t="s">
        <v>43</v>
      </c>
      <c r="P616" t="str">
        <f>TRIM(Table13_1[[#This Row],[Genre]])</f>
        <v>Mystery</v>
      </c>
    </row>
    <row r="617" spans="1:16" x14ac:dyDescent="0.3">
      <c r="A617" t="s">
        <v>1438</v>
      </c>
      <c r="B617" t="s">
        <v>1439</v>
      </c>
      <c r="C617">
        <v>2023</v>
      </c>
      <c r="D617">
        <v>2020</v>
      </c>
      <c r="E617" t="s">
        <v>17</v>
      </c>
      <c r="F617">
        <v>164</v>
      </c>
      <c r="G617" t="s">
        <v>3999</v>
      </c>
      <c r="H617" t="s">
        <v>136</v>
      </c>
      <c r="I617" t="s">
        <v>33</v>
      </c>
      <c r="J617" t="s">
        <v>1441</v>
      </c>
      <c r="K617">
        <v>126914</v>
      </c>
      <c r="M617">
        <v>0</v>
      </c>
      <c r="N617" t="s">
        <v>4001</v>
      </c>
      <c r="O617" t="s">
        <v>3984</v>
      </c>
      <c r="P617" t="str">
        <f>TRIM(Table13_1[[#This Row],[Genre]])</f>
        <v>Adventure</v>
      </c>
    </row>
    <row r="618" spans="1:16" x14ac:dyDescent="0.3">
      <c r="A618" t="s">
        <v>1442</v>
      </c>
      <c r="B618" t="s">
        <v>1443</v>
      </c>
      <c r="C618">
        <v>2023</v>
      </c>
      <c r="D618">
        <v>2020</v>
      </c>
      <c r="E618" t="s">
        <v>54</v>
      </c>
      <c r="F618">
        <v>114</v>
      </c>
      <c r="G618" t="s">
        <v>3997</v>
      </c>
      <c r="H618" t="s">
        <v>73</v>
      </c>
      <c r="I618" t="s">
        <v>39</v>
      </c>
      <c r="J618" t="s">
        <v>1444</v>
      </c>
      <c r="K618">
        <v>36289</v>
      </c>
      <c r="M618">
        <v>0</v>
      </c>
      <c r="N618" t="s">
        <v>4001</v>
      </c>
      <c r="O618" t="s">
        <v>72</v>
      </c>
      <c r="P618" t="str">
        <f>TRIM(Table13_1[[#This Row],[Genre]])</f>
        <v>War</v>
      </c>
    </row>
    <row r="619" spans="1:16" x14ac:dyDescent="0.3">
      <c r="A619" t="s">
        <v>1442</v>
      </c>
      <c r="B619" t="s">
        <v>1443</v>
      </c>
      <c r="C619">
        <v>2023</v>
      </c>
      <c r="D619">
        <v>2020</v>
      </c>
      <c r="E619" t="s">
        <v>54</v>
      </c>
      <c r="F619">
        <v>114</v>
      </c>
      <c r="G619" t="s">
        <v>3997</v>
      </c>
      <c r="H619" t="s">
        <v>73</v>
      </c>
      <c r="I619" t="s">
        <v>39</v>
      </c>
      <c r="J619" t="s">
        <v>1444</v>
      </c>
      <c r="K619">
        <v>36289</v>
      </c>
      <c r="M619">
        <v>0</v>
      </c>
      <c r="N619" t="s">
        <v>4001</v>
      </c>
      <c r="O619" t="s">
        <v>3986</v>
      </c>
      <c r="P619" t="str">
        <f>TRIM(Table13_1[[#This Row],[Genre]])</f>
        <v>Documentary</v>
      </c>
    </row>
    <row r="620" spans="1:16" x14ac:dyDescent="0.3">
      <c r="A620" t="s">
        <v>1445</v>
      </c>
      <c r="B620" t="s">
        <v>1446</v>
      </c>
      <c r="C620">
        <v>2003</v>
      </c>
      <c r="D620">
        <v>2000</v>
      </c>
      <c r="E620" t="s">
        <v>17</v>
      </c>
      <c r="F620">
        <v>130</v>
      </c>
      <c r="G620" t="s">
        <v>3999</v>
      </c>
      <c r="H620" t="s">
        <v>231</v>
      </c>
      <c r="I620" t="s">
        <v>92</v>
      </c>
      <c r="J620" t="s">
        <v>1447</v>
      </c>
      <c r="K620">
        <v>137779</v>
      </c>
      <c r="L620">
        <v>217.85</v>
      </c>
      <c r="M620">
        <v>217.85</v>
      </c>
      <c r="N620" t="s">
        <v>3998</v>
      </c>
      <c r="O620" t="s">
        <v>230</v>
      </c>
      <c r="P620" t="str">
        <f>TRIM(Table13_1[[#This Row],[Genre]])</f>
        <v>Documentary</v>
      </c>
    </row>
    <row r="621" spans="1:16" x14ac:dyDescent="0.3">
      <c r="A621" t="s">
        <v>1448</v>
      </c>
      <c r="B621" t="s">
        <v>1449</v>
      </c>
      <c r="C621">
        <v>2014</v>
      </c>
      <c r="D621">
        <v>2010</v>
      </c>
      <c r="E621" t="s">
        <v>54</v>
      </c>
      <c r="F621">
        <v>119</v>
      </c>
      <c r="G621" t="s">
        <v>3997</v>
      </c>
      <c r="H621" t="s">
        <v>1450</v>
      </c>
      <c r="I621" t="s">
        <v>131</v>
      </c>
      <c r="J621" t="s">
        <v>1451</v>
      </c>
      <c r="K621">
        <v>11113</v>
      </c>
      <c r="M621">
        <v>0</v>
      </c>
      <c r="N621" t="s">
        <v>4001</v>
      </c>
      <c r="O621" t="s">
        <v>43</v>
      </c>
      <c r="P621" t="str">
        <f>TRIM(Table13_1[[#This Row],[Genre]])</f>
        <v>Mystery</v>
      </c>
    </row>
    <row r="622" spans="1:16" x14ac:dyDescent="0.3">
      <c r="A622" t="s">
        <v>1452</v>
      </c>
      <c r="B622" t="s">
        <v>1453</v>
      </c>
      <c r="C622">
        <v>2019</v>
      </c>
      <c r="D622">
        <v>2010</v>
      </c>
      <c r="E622" t="s">
        <v>54</v>
      </c>
      <c r="F622">
        <v>108</v>
      </c>
      <c r="G622" t="s">
        <v>3997</v>
      </c>
      <c r="H622" t="s">
        <v>269</v>
      </c>
      <c r="I622" t="s">
        <v>27</v>
      </c>
      <c r="J622" t="s">
        <v>1454</v>
      </c>
      <c r="K622">
        <v>257514</v>
      </c>
      <c r="M622">
        <v>0</v>
      </c>
      <c r="N622" t="s">
        <v>4001</v>
      </c>
      <c r="O622" t="s">
        <v>453</v>
      </c>
      <c r="P622" t="str">
        <f>TRIM(Table13_1[[#This Row],[Genre]])</f>
        <v>Musical</v>
      </c>
    </row>
    <row r="623" spans="1:16" x14ac:dyDescent="0.3">
      <c r="A623" t="s">
        <v>1452</v>
      </c>
      <c r="B623" t="s">
        <v>1453</v>
      </c>
      <c r="C623">
        <v>2019</v>
      </c>
      <c r="D623">
        <v>2010</v>
      </c>
      <c r="E623" t="s">
        <v>54</v>
      </c>
      <c r="F623">
        <v>108</v>
      </c>
      <c r="G623" t="s">
        <v>3997</v>
      </c>
      <c r="H623" t="s">
        <v>269</v>
      </c>
      <c r="I623" t="s">
        <v>27</v>
      </c>
      <c r="J623" t="s">
        <v>1454</v>
      </c>
      <c r="K623">
        <v>257514</v>
      </c>
      <c r="M623">
        <v>0</v>
      </c>
      <c r="N623" t="s">
        <v>4001</v>
      </c>
      <c r="O623" t="s">
        <v>3980</v>
      </c>
      <c r="P623" t="str">
        <f>TRIM(Table13_1[[#This Row],[Genre]])</f>
        <v>Action</v>
      </c>
    </row>
    <row r="624" spans="1:16" x14ac:dyDescent="0.3">
      <c r="A624" t="s">
        <v>1455</v>
      </c>
      <c r="B624" t="s">
        <v>1456</v>
      </c>
      <c r="C624">
        <v>1981</v>
      </c>
      <c r="D624">
        <v>1980</v>
      </c>
      <c r="E624" t="s">
        <v>54</v>
      </c>
      <c r="F624">
        <v>120</v>
      </c>
      <c r="G624" t="s">
        <v>3997</v>
      </c>
      <c r="H624" t="s">
        <v>220</v>
      </c>
      <c r="I624" t="s">
        <v>236</v>
      </c>
      <c r="J624" t="s">
        <v>1458</v>
      </c>
      <c r="K624">
        <v>22556</v>
      </c>
      <c r="L624">
        <v>270.63</v>
      </c>
      <c r="M624">
        <v>270.63</v>
      </c>
      <c r="N624" t="s">
        <v>3998</v>
      </c>
      <c r="O624" t="s">
        <v>606</v>
      </c>
      <c r="P624" t="str">
        <f>TRIM(Table13_1[[#This Row],[Genre]])</f>
        <v>Sci-Fi</v>
      </c>
    </row>
    <row r="625" spans="1:16" x14ac:dyDescent="0.3">
      <c r="A625" t="s">
        <v>1455</v>
      </c>
      <c r="B625" t="s">
        <v>1456</v>
      </c>
      <c r="C625">
        <v>1981</v>
      </c>
      <c r="D625">
        <v>1980</v>
      </c>
      <c r="E625" t="s">
        <v>54</v>
      </c>
      <c r="F625">
        <v>120</v>
      </c>
      <c r="G625" t="s">
        <v>3997</v>
      </c>
      <c r="H625" t="s">
        <v>220</v>
      </c>
      <c r="I625" t="s">
        <v>236</v>
      </c>
      <c r="J625" t="s">
        <v>1458</v>
      </c>
      <c r="K625">
        <v>22556</v>
      </c>
      <c r="L625">
        <v>270.63</v>
      </c>
      <c r="M625">
        <v>270.63</v>
      </c>
      <c r="N625" t="s">
        <v>3998</v>
      </c>
      <c r="O625" t="s">
        <v>3991</v>
      </c>
      <c r="P625" t="str">
        <f>TRIM(Table13_1[[#This Row],[Genre]])</f>
        <v>Thriller</v>
      </c>
    </row>
    <row r="626" spans="1:16" x14ac:dyDescent="0.3">
      <c r="A626" t="s">
        <v>1455</v>
      </c>
      <c r="B626" t="s">
        <v>1456</v>
      </c>
      <c r="C626">
        <v>1981</v>
      </c>
      <c r="D626">
        <v>1980</v>
      </c>
      <c r="E626" t="s">
        <v>54</v>
      </c>
      <c r="F626">
        <v>120</v>
      </c>
      <c r="G626" t="s">
        <v>3997</v>
      </c>
      <c r="H626" t="s">
        <v>220</v>
      </c>
      <c r="I626" t="s">
        <v>236</v>
      </c>
      <c r="J626" t="s">
        <v>1458</v>
      </c>
      <c r="K626">
        <v>22556</v>
      </c>
      <c r="L626">
        <v>270.63</v>
      </c>
      <c r="M626">
        <v>270.63</v>
      </c>
      <c r="N626" t="s">
        <v>3998</v>
      </c>
      <c r="O626" t="s">
        <v>3990</v>
      </c>
      <c r="P626" t="str">
        <f>TRIM(Table13_1[[#This Row],[Genre]])</f>
        <v>Western</v>
      </c>
    </row>
    <row r="627" spans="1:16" x14ac:dyDescent="0.3">
      <c r="A627" t="s">
        <v>1459</v>
      </c>
      <c r="B627" t="s">
        <v>1460</v>
      </c>
      <c r="C627">
        <v>2008</v>
      </c>
      <c r="D627">
        <v>2000</v>
      </c>
      <c r="E627" t="s">
        <v>17</v>
      </c>
      <c r="F627">
        <v>142</v>
      </c>
      <c r="G627" t="s">
        <v>3999</v>
      </c>
      <c r="H627" t="s">
        <v>1461</v>
      </c>
      <c r="I627" t="s">
        <v>20</v>
      </c>
      <c r="J627" t="s">
        <v>1462</v>
      </c>
      <c r="K627">
        <v>175831</v>
      </c>
      <c r="L627">
        <v>367.09</v>
      </c>
      <c r="M627">
        <v>367.09</v>
      </c>
      <c r="N627" t="s">
        <v>3998</v>
      </c>
      <c r="O627" t="s">
        <v>48</v>
      </c>
      <c r="P627" t="str">
        <f>TRIM(Table13_1[[#This Row],[Genre]])</f>
        <v>Crime</v>
      </c>
    </row>
    <row r="628" spans="1:16" x14ac:dyDescent="0.3">
      <c r="A628" t="s">
        <v>1463</v>
      </c>
      <c r="B628" t="s">
        <v>1464</v>
      </c>
      <c r="C628">
        <v>1991</v>
      </c>
      <c r="D628">
        <v>1990</v>
      </c>
      <c r="E628" t="s">
        <v>24</v>
      </c>
      <c r="F628">
        <v>135</v>
      </c>
      <c r="G628" t="s">
        <v>3999</v>
      </c>
      <c r="H628" t="s">
        <v>634</v>
      </c>
      <c r="I628" t="s">
        <v>159</v>
      </c>
      <c r="J628" t="s">
        <v>1465</v>
      </c>
      <c r="K628">
        <v>153663</v>
      </c>
      <c r="L628">
        <v>246.13</v>
      </c>
      <c r="M628">
        <v>246.13</v>
      </c>
      <c r="N628" t="s">
        <v>3998</v>
      </c>
      <c r="O628" t="s">
        <v>129</v>
      </c>
      <c r="P628" t="str">
        <f>TRIM(Table13_1[[#This Row],[Genre]])</f>
        <v>Horror</v>
      </c>
    </row>
    <row r="629" spans="1:16" x14ac:dyDescent="0.3">
      <c r="A629" t="s">
        <v>1463</v>
      </c>
      <c r="B629" t="s">
        <v>1464</v>
      </c>
      <c r="C629">
        <v>1991</v>
      </c>
      <c r="D629">
        <v>1990</v>
      </c>
      <c r="E629" t="s">
        <v>24</v>
      </c>
      <c r="F629">
        <v>135</v>
      </c>
      <c r="G629" t="s">
        <v>3999</v>
      </c>
      <c r="H629" t="s">
        <v>634</v>
      </c>
      <c r="I629" t="s">
        <v>159</v>
      </c>
      <c r="J629" t="s">
        <v>1465</v>
      </c>
      <c r="K629">
        <v>153663</v>
      </c>
      <c r="L629">
        <v>246.13</v>
      </c>
      <c r="M629">
        <v>246.13</v>
      </c>
      <c r="N629" t="s">
        <v>3998</v>
      </c>
      <c r="O629" t="s">
        <v>3976</v>
      </c>
      <c r="P629" t="str">
        <f>TRIM(Table13_1[[#This Row],[Genre]])</f>
        <v>Musical</v>
      </c>
    </row>
    <row r="630" spans="1:16" x14ac:dyDescent="0.3">
      <c r="A630" t="s">
        <v>1466</v>
      </c>
      <c r="B630" t="s">
        <v>1467</v>
      </c>
      <c r="C630">
        <v>2008</v>
      </c>
      <c r="D630">
        <v>2000</v>
      </c>
      <c r="E630" t="s">
        <v>17</v>
      </c>
      <c r="F630">
        <v>143</v>
      </c>
      <c r="G630" t="s">
        <v>3999</v>
      </c>
      <c r="H630" t="s">
        <v>1468</v>
      </c>
      <c r="I630" t="s">
        <v>50</v>
      </c>
      <c r="J630" t="s">
        <v>1469</v>
      </c>
      <c r="K630">
        <v>101434</v>
      </c>
      <c r="L630">
        <v>16.37</v>
      </c>
      <c r="M630">
        <v>16.37</v>
      </c>
      <c r="N630" t="s">
        <v>4001</v>
      </c>
      <c r="O630" t="s">
        <v>129</v>
      </c>
      <c r="P630" t="str">
        <f>TRIM(Table13_1[[#This Row],[Genre]])</f>
        <v>Horror</v>
      </c>
    </row>
    <row r="631" spans="1:16" x14ac:dyDescent="0.3">
      <c r="A631" t="s">
        <v>1470</v>
      </c>
      <c r="B631" t="s">
        <v>1471</v>
      </c>
      <c r="C631">
        <v>2001</v>
      </c>
      <c r="D631">
        <v>2000</v>
      </c>
      <c r="E631" t="s">
        <v>17</v>
      </c>
      <c r="F631">
        <v>128</v>
      </c>
      <c r="G631" t="s">
        <v>3999</v>
      </c>
      <c r="H631" t="s">
        <v>305</v>
      </c>
      <c r="I631" t="s">
        <v>165</v>
      </c>
      <c r="J631" t="s">
        <v>1472</v>
      </c>
      <c r="K631">
        <v>78015</v>
      </c>
      <c r="M631">
        <v>0</v>
      </c>
      <c r="N631" t="s">
        <v>4001</v>
      </c>
      <c r="O631" t="s">
        <v>78</v>
      </c>
      <c r="P631" t="str">
        <f>TRIM(Table13_1[[#This Row],[Genre]])</f>
        <v>Adventure</v>
      </c>
    </row>
    <row r="632" spans="1:16" x14ac:dyDescent="0.3">
      <c r="A632" t="s">
        <v>1473</v>
      </c>
      <c r="B632" t="s">
        <v>1474</v>
      </c>
      <c r="C632">
        <v>1996</v>
      </c>
      <c r="D632">
        <v>1990</v>
      </c>
      <c r="E632" t="s">
        <v>54</v>
      </c>
      <c r="F632">
        <v>93</v>
      </c>
      <c r="G632" t="s">
        <v>3997</v>
      </c>
      <c r="H632" t="s">
        <v>1476</v>
      </c>
      <c r="I632" t="s">
        <v>593</v>
      </c>
      <c r="J632" t="s">
        <v>1477</v>
      </c>
      <c r="K632">
        <v>103766</v>
      </c>
      <c r="L632">
        <v>154.02000000000001</v>
      </c>
      <c r="M632">
        <v>154.02000000000001</v>
      </c>
      <c r="N632" t="s">
        <v>4002</v>
      </c>
      <c r="O632" t="s">
        <v>375</v>
      </c>
      <c r="P632" t="str">
        <f>TRIM(Table13_1[[#This Row],[Genre]])</f>
        <v>Family</v>
      </c>
    </row>
    <row r="633" spans="1:16" x14ac:dyDescent="0.3">
      <c r="A633" t="s">
        <v>1473</v>
      </c>
      <c r="B633" t="s">
        <v>1474</v>
      </c>
      <c r="C633">
        <v>1996</v>
      </c>
      <c r="D633">
        <v>1990</v>
      </c>
      <c r="E633" t="s">
        <v>54</v>
      </c>
      <c r="F633">
        <v>93</v>
      </c>
      <c r="G633" t="s">
        <v>3997</v>
      </c>
      <c r="H633" t="s">
        <v>1476</v>
      </c>
      <c r="I633" t="s">
        <v>593</v>
      </c>
      <c r="J633" t="s">
        <v>1477</v>
      </c>
      <c r="K633">
        <v>103766</v>
      </c>
      <c r="L633">
        <v>154.02000000000001</v>
      </c>
      <c r="M633">
        <v>154.02000000000001</v>
      </c>
      <c r="N633" t="s">
        <v>4002</v>
      </c>
      <c r="O633" t="s">
        <v>3977</v>
      </c>
      <c r="P633" t="str">
        <f>TRIM(Table13_1[[#This Row],[Genre]])</f>
        <v>Animation</v>
      </c>
    </row>
    <row r="634" spans="1:16" x14ac:dyDescent="0.3">
      <c r="A634" t="s">
        <v>1478</v>
      </c>
      <c r="B634" t="s">
        <v>1479</v>
      </c>
      <c r="C634">
        <v>2002</v>
      </c>
      <c r="D634">
        <v>2000</v>
      </c>
      <c r="E634" t="s">
        <v>293</v>
      </c>
      <c r="F634">
        <v>116</v>
      </c>
      <c r="G634" t="s">
        <v>3997</v>
      </c>
      <c r="H634" t="s">
        <v>1481</v>
      </c>
      <c r="I634" t="s">
        <v>159</v>
      </c>
      <c r="J634" t="s">
        <v>1482</v>
      </c>
      <c r="K634">
        <v>251463</v>
      </c>
      <c r="L634">
        <v>50.39</v>
      </c>
      <c r="M634">
        <v>50.39</v>
      </c>
      <c r="N634" t="s">
        <v>4001</v>
      </c>
      <c r="O634" t="s">
        <v>230</v>
      </c>
      <c r="P634" t="str">
        <f>TRIM(Table13_1[[#This Row],[Genre]])</f>
        <v>Documentary</v>
      </c>
    </row>
    <row r="635" spans="1:16" x14ac:dyDescent="0.3">
      <c r="A635" t="s">
        <v>1478</v>
      </c>
      <c r="B635" t="s">
        <v>1479</v>
      </c>
      <c r="C635">
        <v>2002</v>
      </c>
      <c r="D635">
        <v>2000</v>
      </c>
      <c r="E635" t="s">
        <v>293</v>
      </c>
      <c r="F635">
        <v>116</v>
      </c>
      <c r="G635" t="s">
        <v>3997</v>
      </c>
      <c r="H635" t="s">
        <v>1481</v>
      </c>
      <c r="I635" t="s">
        <v>159</v>
      </c>
      <c r="J635" t="s">
        <v>1482</v>
      </c>
      <c r="K635">
        <v>251463</v>
      </c>
      <c r="L635">
        <v>50.39</v>
      </c>
      <c r="M635">
        <v>50.39</v>
      </c>
      <c r="N635" t="s">
        <v>4001</v>
      </c>
      <c r="O635" t="s">
        <v>3993</v>
      </c>
      <c r="P635" t="str">
        <f>TRIM(Table13_1[[#This Row],[Genre]])</f>
        <v>Comedy</v>
      </c>
    </row>
    <row r="636" spans="1:16" x14ac:dyDescent="0.3">
      <c r="A636" t="s">
        <v>1478</v>
      </c>
      <c r="B636" t="s">
        <v>1479</v>
      </c>
      <c r="C636">
        <v>2002</v>
      </c>
      <c r="D636">
        <v>2000</v>
      </c>
      <c r="E636" t="s">
        <v>293</v>
      </c>
      <c r="F636">
        <v>116</v>
      </c>
      <c r="G636" t="s">
        <v>3997</v>
      </c>
      <c r="H636" t="s">
        <v>1481</v>
      </c>
      <c r="I636" t="s">
        <v>159</v>
      </c>
      <c r="J636" t="s">
        <v>1482</v>
      </c>
      <c r="K636">
        <v>251463</v>
      </c>
      <c r="L636">
        <v>50.39</v>
      </c>
      <c r="M636">
        <v>50.39</v>
      </c>
      <c r="N636" t="s">
        <v>4001</v>
      </c>
      <c r="O636" t="s">
        <v>3985</v>
      </c>
      <c r="P636" t="str">
        <f>TRIM(Table13_1[[#This Row],[Genre]])</f>
        <v>Horror</v>
      </c>
    </row>
    <row r="637" spans="1:16" x14ac:dyDescent="0.3">
      <c r="A637" t="s">
        <v>1483</v>
      </c>
      <c r="B637" t="s">
        <v>1484</v>
      </c>
      <c r="C637">
        <v>2020</v>
      </c>
      <c r="D637">
        <v>2020</v>
      </c>
      <c r="E637" t="s">
        <v>17</v>
      </c>
      <c r="F637">
        <v>99</v>
      </c>
      <c r="G637" t="s">
        <v>3997</v>
      </c>
      <c r="H637" t="s">
        <v>1485</v>
      </c>
      <c r="I637" t="s">
        <v>608</v>
      </c>
      <c r="J637" t="s">
        <v>1486</v>
      </c>
      <c r="K637">
        <v>86310</v>
      </c>
      <c r="L637">
        <v>68.48</v>
      </c>
      <c r="M637">
        <v>68.48</v>
      </c>
      <c r="N637" t="s">
        <v>4001</v>
      </c>
      <c r="O637" t="s">
        <v>1044</v>
      </c>
      <c r="P637" t="str">
        <f>TRIM(Table13_1[[#This Row],[Genre]])</f>
        <v>Comedy</v>
      </c>
    </row>
    <row r="638" spans="1:16" x14ac:dyDescent="0.3">
      <c r="A638" t="s">
        <v>1487</v>
      </c>
      <c r="B638" t="s">
        <v>1488</v>
      </c>
      <c r="C638">
        <v>2022</v>
      </c>
      <c r="D638">
        <v>2020</v>
      </c>
      <c r="E638" t="s">
        <v>17</v>
      </c>
      <c r="F638">
        <v>145</v>
      </c>
      <c r="G638" t="s">
        <v>3999</v>
      </c>
      <c r="H638" t="s">
        <v>1490</v>
      </c>
      <c r="I638" t="s">
        <v>74</v>
      </c>
      <c r="J638" t="s">
        <v>1491</v>
      </c>
      <c r="K638">
        <v>48645</v>
      </c>
      <c r="L638">
        <v>360.08</v>
      </c>
      <c r="M638">
        <v>360.08</v>
      </c>
      <c r="N638" t="s">
        <v>3998</v>
      </c>
      <c r="O638" t="s">
        <v>230</v>
      </c>
      <c r="P638" t="str">
        <f>TRIM(Table13_1[[#This Row],[Genre]])</f>
        <v>Documentary</v>
      </c>
    </row>
    <row r="639" spans="1:16" x14ac:dyDescent="0.3">
      <c r="A639" t="s">
        <v>1487</v>
      </c>
      <c r="B639" t="s">
        <v>1488</v>
      </c>
      <c r="C639">
        <v>2022</v>
      </c>
      <c r="D639">
        <v>2020</v>
      </c>
      <c r="E639" t="s">
        <v>17</v>
      </c>
      <c r="F639">
        <v>145</v>
      </c>
      <c r="G639" t="s">
        <v>3999</v>
      </c>
      <c r="H639" t="s">
        <v>1490</v>
      </c>
      <c r="I639" t="s">
        <v>74</v>
      </c>
      <c r="J639" t="s">
        <v>1491</v>
      </c>
      <c r="K639">
        <v>48645</v>
      </c>
      <c r="L639">
        <v>360.08</v>
      </c>
      <c r="M639">
        <v>360.08</v>
      </c>
      <c r="N639" t="s">
        <v>3998</v>
      </c>
      <c r="O639" t="s">
        <v>3984</v>
      </c>
      <c r="P639" t="str">
        <f>TRIM(Table13_1[[#This Row],[Genre]])</f>
        <v>Adventure</v>
      </c>
    </row>
    <row r="640" spans="1:16" x14ac:dyDescent="0.3">
      <c r="A640" t="s">
        <v>1492</v>
      </c>
      <c r="B640" t="s">
        <v>1493</v>
      </c>
      <c r="C640">
        <v>1990</v>
      </c>
      <c r="D640">
        <v>1990</v>
      </c>
      <c r="E640" t="s">
        <v>17</v>
      </c>
      <c r="F640">
        <v>128</v>
      </c>
      <c r="G640" t="s">
        <v>3999</v>
      </c>
      <c r="H640" t="s">
        <v>412</v>
      </c>
      <c r="I640" t="s">
        <v>236</v>
      </c>
      <c r="J640" t="s">
        <v>1494</v>
      </c>
      <c r="K640">
        <v>32799</v>
      </c>
      <c r="L640">
        <v>6.39</v>
      </c>
      <c r="M640">
        <v>6.39</v>
      </c>
      <c r="N640" t="s">
        <v>4001</v>
      </c>
      <c r="O640" t="s">
        <v>78</v>
      </c>
      <c r="P640" t="str">
        <f>TRIM(Table13_1[[#This Row],[Genre]])</f>
        <v>Adventure</v>
      </c>
    </row>
    <row r="641" spans="1:16" x14ac:dyDescent="0.3">
      <c r="A641" t="s">
        <v>1495</v>
      </c>
      <c r="B641" t="s">
        <v>1496</v>
      </c>
      <c r="C641">
        <v>1980</v>
      </c>
      <c r="D641">
        <v>1980</v>
      </c>
      <c r="E641" t="s">
        <v>17</v>
      </c>
      <c r="F641">
        <v>115</v>
      </c>
      <c r="G641" t="s">
        <v>3997</v>
      </c>
      <c r="H641" t="s">
        <v>1497</v>
      </c>
      <c r="I641" t="s">
        <v>50</v>
      </c>
      <c r="J641" t="s">
        <v>1498</v>
      </c>
      <c r="K641">
        <v>111907</v>
      </c>
      <c r="L641">
        <v>168.75</v>
      </c>
      <c r="M641">
        <v>168.75</v>
      </c>
      <c r="N641" t="s">
        <v>4002</v>
      </c>
      <c r="O641" t="s">
        <v>235</v>
      </c>
      <c r="P641" t="str">
        <f>TRIM(Table13_1[[#This Row],[Genre]])</f>
        <v>Drama</v>
      </c>
    </row>
    <row r="642" spans="1:16" x14ac:dyDescent="0.3">
      <c r="A642" t="s">
        <v>1499</v>
      </c>
      <c r="B642" t="s">
        <v>1500</v>
      </c>
      <c r="C642">
        <v>1987</v>
      </c>
      <c r="D642">
        <v>1980</v>
      </c>
      <c r="E642" t="s">
        <v>17</v>
      </c>
      <c r="F642">
        <v>139</v>
      </c>
      <c r="G642" t="s">
        <v>3999</v>
      </c>
      <c r="H642" t="s">
        <v>1502</v>
      </c>
      <c r="I642" t="s">
        <v>326</v>
      </c>
      <c r="J642" t="s">
        <v>1503</v>
      </c>
      <c r="K642">
        <v>279881</v>
      </c>
      <c r="L642">
        <v>289.26</v>
      </c>
      <c r="M642">
        <v>289.26</v>
      </c>
      <c r="N642" t="s">
        <v>3998</v>
      </c>
      <c r="O642" t="s">
        <v>868</v>
      </c>
      <c r="P642" t="str">
        <f>TRIM(Table13_1[[#This Row],[Genre]])</f>
        <v>Western</v>
      </c>
    </row>
    <row r="643" spans="1:16" x14ac:dyDescent="0.3">
      <c r="A643" t="s">
        <v>1499</v>
      </c>
      <c r="B643" t="s">
        <v>1500</v>
      </c>
      <c r="C643">
        <v>1987</v>
      </c>
      <c r="D643">
        <v>1980</v>
      </c>
      <c r="E643" t="s">
        <v>17</v>
      </c>
      <c r="F643">
        <v>139</v>
      </c>
      <c r="G643" t="s">
        <v>3999</v>
      </c>
      <c r="H643" t="s">
        <v>1502</v>
      </c>
      <c r="I643" t="s">
        <v>326</v>
      </c>
      <c r="J643" t="s">
        <v>1503</v>
      </c>
      <c r="K643">
        <v>279881</v>
      </c>
      <c r="L643">
        <v>289.26</v>
      </c>
      <c r="M643">
        <v>289.26</v>
      </c>
      <c r="N643" t="s">
        <v>3998</v>
      </c>
      <c r="O643" t="s">
        <v>3989</v>
      </c>
      <c r="P643" t="str">
        <f>TRIM(Table13_1[[#This Row],[Genre]])</f>
        <v>Sci-Fi</v>
      </c>
    </row>
    <row r="644" spans="1:16" x14ac:dyDescent="0.3">
      <c r="A644" t="s">
        <v>1499</v>
      </c>
      <c r="B644" t="s">
        <v>1500</v>
      </c>
      <c r="C644">
        <v>1987</v>
      </c>
      <c r="D644">
        <v>1980</v>
      </c>
      <c r="E644" t="s">
        <v>17</v>
      </c>
      <c r="F644">
        <v>139</v>
      </c>
      <c r="G644" t="s">
        <v>3999</v>
      </c>
      <c r="H644" t="s">
        <v>1502</v>
      </c>
      <c r="I644" t="s">
        <v>326</v>
      </c>
      <c r="J644" t="s">
        <v>1503</v>
      </c>
      <c r="K644">
        <v>279881</v>
      </c>
      <c r="L644">
        <v>289.26</v>
      </c>
      <c r="M644">
        <v>289.26</v>
      </c>
      <c r="N644" t="s">
        <v>3998</v>
      </c>
      <c r="O644" t="s">
        <v>3986</v>
      </c>
      <c r="P644" t="str">
        <f>TRIM(Table13_1[[#This Row],[Genre]])</f>
        <v>Documentary</v>
      </c>
    </row>
    <row r="645" spans="1:16" x14ac:dyDescent="0.3">
      <c r="A645" t="s">
        <v>1504</v>
      </c>
      <c r="B645" t="s">
        <v>1505</v>
      </c>
      <c r="C645">
        <v>2002</v>
      </c>
      <c r="D645">
        <v>2000</v>
      </c>
      <c r="E645" t="s">
        <v>169</v>
      </c>
      <c r="F645">
        <v>155</v>
      </c>
      <c r="G645" t="s">
        <v>3999</v>
      </c>
      <c r="H645" t="s">
        <v>412</v>
      </c>
      <c r="I645" t="s">
        <v>39</v>
      </c>
      <c r="J645" t="s">
        <v>1506</v>
      </c>
      <c r="K645">
        <v>25418</v>
      </c>
      <c r="M645">
        <v>0</v>
      </c>
      <c r="N645" t="s">
        <v>4001</v>
      </c>
      <c r="O645" t="s">
        <v>78</v>
      </c>
      <c r="P645" t="str">
        <f>TRIM(Table13_1[[#This Row],[Genre]])</f>
        <v>Adventure</v>
      </c>
    </row>
    <row r="646" spans="1:16" x14ac:dyDescent="0.3">
      <c r="A646" t="s">
        <v>1507</v>
      </c>
      <c r="B646" t="s">
        <v>1508</v>
      </c>
      <c r="C646">
        <v>2022</v>
      </c>
      <c r="D646">
        <v>2020</v>
      </c>
      <c r="E646" t="s">
        <v>293</v>
      </c>
      <c r="F646">
        <v>126</v>
      </c>
      <c r="G646" t="s">
        <v>3999</v>
      </c>
      <c r="H646" t="s">
        <v>102</v>
      </c>
      <c r="I646" t="s">
        <v>125</v>
      </c>
      <c r="J646" t="s">
        <v>1509</v>
      </c>
      <c r="K646">
        <v>111379</v>
      </c>
      <c r="L646">
        <v>311.08</v>
      </c>
      <c r="M646">
        <v>311.08</v>
      </c>
      <c r="N646" t="s">
        <v>3998</v>
      </c>
      <c r="O646" t="s">
        <v>868</v>
      </c>
      <c r="P646" t="str">
        <f>TRIM(Table13_1[[#This Row],[Genre]])</f>
        <v>Western</v>
      </c>
    </row>
    <row r="647" spans="1:16" x14ac:dyDescent="0.3">
      <c r="A647" t="s">
        <v>1507</v>
      </c>
      <c r="B647" t="s">
        <v>1508</v>
      </c>
      <c r="C647">
        <v>2022</v>
      </c>
      <c r="D647">
        <v>2020</v>
      </c>
      <c r="E647" t="s">
        <v>293</v>
      </c>
      <c r="F647">
        <v>126</v>
      </c>
      <c r="G647" t="s">
        <v>3999</v>
      </c>
      <c r="H647" t="s">
        <v>102</v>
      </c>
      <c r="I647" t="s">
        <v>125</v>
      </c>
      <c r="J647" t="s">
        <v>1509</v>
      </c>
      <c r="K647">
        <v>111379</v>
      </c>
      <c r="L647">
        <v>311.08</v>
      </c>
      <c r="M647">
        <v>311.08</v>
      </c>
      <c r="N647" t="s">
        <v>3998</v>
      </c>
      <c r="O647" t="s">
        <v>3988</v>
      </c>
      <c r="P647" t="str">
        <f>TRIM(Table13_1[[#This Row],[Genre]])</f>
        <v>Drama</v>
      </c>
    </row>
    <row r="648" spans="1:16" x14ac:dyDescent="0.3">
      <c r="A648" t="s">
        <v>1510</v>
      </c>
      <c r="B648" t="s">
        <v>1511</v>
      </c>
      <c r="C648">
        <v>1991</v>
      </c>
      <c r="D648">
        <v>1990</v>
      </c>
      <c r="E648" t="s">
        <v>17</v>
      </c>
      <c r="F648">
        <v>100</v>
      </c>
      <c r="G648" t="s">
        <v>3997</v>
      </c>
      <c r="H648" t="s">
        <v>305</v>
      </c>
      <c r="I648" t="s">
        <v>39</v>
      </c>
      <c r="J648" t="s">
        <v>1512</v>
      </c>
      <c r="K648">
        <v>292914</v>
      </c>
      <c r="M648">
        <v>0</v>
      </c>
      <c r="N648" t="s">
        <v>4001</v>
      </c>
      <c r="O648" t="s">
        <v>78</v>
      </c>
      <c r="P648" t="str">
        <f>TRIM(Table13_1[[#This Row],[Genre]])</f>
        <v>Adventure</v>
      </c>
    </row>
    <row r="649" spans="1:16" x14ac:dyDescent="0.3">
      <c r="A649" t="s">
        <v>1513</v>
      </c>
      <c r="B649" t="s">
        <v>1514</v>
      </c>
      <c r="C649">
        <v>1989</v>
      </c>
      <c r="D649">
        <v>1980</v>
      </c>
      <c r="E649" t="s">
        <v>17</v>
      </c>
      <c r="F649">
        <v>114</v>
      </c>
      <c r="G649" t="s">
        <v>3997</v>
      </c>
      <c r="H649" t="s">
        <v>355</v>
      </c>
      <c r="I649" t="s">
        <v>92</v>
      </c>
      <c r="J649" t="s">
        <v>1515</v>
      </c>
      <c r="K649">
        <v>342049</v>
      </c>
      <c r="L649">
        <v>164.65</v>
      </c>
      <c r="M649">
        <v>164.65</v>
      </c>
      <c r="N649" t="s">
        <v>4002</v>
      </c>
      <c r="O649" t="s">
        <v>868</v>
      </c>
      <c r="P649" t="str">
        <f>TRIM(Table13_1[[#This Row],[Genre]])</f>
        <v>Western</v>
      </c>
    </row>
    <row r="650" spans="1:16" x14ac:dyDescent="0.3">
      <c r="A650" t="s">
        <v>1513</v>
      </c>
      <c r="B650" t="s">
        <v>1514</v>
      </c>
      <c r="C650">
        <v>1989</v>
      </c>
      <c r="D650">
        <v>1980</v>
      </c>
      <c r="E650" t="s">
        <v>17</v>
      </c>
      <c r="F650">
        <v>114</v>
      </c>
      <c r="G650" t="s">
        <v>3997</v>
      </c>
      <c r="H650" t="s">
        <v>355</v>
      </c>
      <c r="I650" t="s">
        <v>92</v>
      </c>
      <c r="J650" t="s">
        <v>1515</v>
      </c>
      <c r="K650">
        <v>342049</v>
      </c>
      <c r="L650">
        <v>164.65</v>
      </c>
      <c r="M650">
        <v>164.65</v>
      </c>
      <c r="N650" t="s">
        <v>4002</v>
      </c>
      <c r="O650" t="s">
        <v>3991</v>
      </c>
      <c r="P650" t="str">
        <f>TRIM(Table13_1[[#This Row],[Genre]])</f>
        <v>Thriller</v>
      </c>
    </row>
    <row r="651" spans="1:16" x14ac:dyDescent="0.3">
      <c r="A651" t="s">
        <v>1516</v>
      </c>
      <c r="B651" t="s">
        <v>1517</v>
      </c>
      <c r="C651">
        <v>2000</v>
      </c>
      <c r="D651">
        <v>2000</v>
      </c>
      <c r="E651" t="s">
        <v>24</v>
      </c>
      <c r="F651">
        <v>127</v>
      </c>
      <c r="G651" t="s">
        <v>3999</v>
      </c>
      <c r="H651" t="s">
        <v>1518</v>
      </c>
      <c r="I651" t="s">
        <v>57</v>
      </c>
      <c r="J651" t="s">
        <v>1519</v>
      </c>
      <c r="K651">
        <v>29004</v>
      </c>
      <c r="L651">
        <v>272.04000000000002</v>
      </c>
      <c r="M651">
        <v>272.04000000000002</v>
      </c>
      <c r="N651" t="s">
        <v>3998</v>
      </c>
      <c r="O651" t="s">
        <v>210</v>
      </c>
      <c r="P651" t="str">
        <f>TRIM(Table13_1[[#This Row],[Genre]])</f>
        <v>Action</v>
      </c>
    </row>
    <row r="652" spans="1:16" x14ac:dyDescent="0.3">
      <c r="A652" t="s">
        <v>1520</v>
      </c>
      <c r="B652" t="s">
        <v>1521</v>
      </c>
      <c r="C652">
        <v>2009</v>
      </c>
      <c r="D652">
        <v>2000</v>
      </c>
      <c r="E652" t="s">
        <v>17</v>
      </c>
      <c r="F652">
        <v>135</v>
      </c>
      <c r="G652" t="s">
        <v>3999</v>
      </c>
      <c r="H652" t="s">
        <v>962</v>
      </c>
      <c r="I652" t="s">
        <v>159</v>
      </c>
      <c r="J652" t="s">
        <v>1522</v>
      </c>
      <c r="K652">
        <v>958297</v>
      </c>
      <c r="L652">
        <v>393.93</v>
      </c>
      <c r="M652">
        <v>393.93</v>
      </c>
      <c r="N652" t="s">
        <v>3998</v>
      </c>
      <c r="O652" t="s">
        <v>767</v>
      </c>
      <c r="P652" t="str">
        <f>TRIM(Table13_1[[#This Row],[Genre]])</f>
        <v>Fantasy</v>
      </c>
    </row>
    <row r="653" spans="1:16" x14ac:dyDescent="0.3">
      <c r="A653" t="s">
        <v>1520</v>
      </c>
      <c r="B653" t="s">
        <v>1521</v>
      </c>
      <c r="C653">
        <v>2009</v>
      </c>
      <c r="D653">
        <v>2000</v>
      </c>
      <c r="E653" t="s">
        <v>17</v>
      </c>
      <c r="F653">
        <v>135</v>
      </c>
      <c r="G653" t="s">
        <v>3999</v>
      </c>
      <c r="H653" t="s">
        <v>962</v>
      </c>
      <c r="I653" t="s">
        <v>159</v>
      </c>
      <c r="J653" t="s">
        <v>1522</v>
      </c>
      <c r="K653">
        <v>958297</v>
      </c>
      <c r="L653">
        <v>393.93</v>
      </c>
      <c r="M653">
        <v>393.93</v>
      </c>
      <c r="N653" t="s">
        <v>3998</v>
      </c>
      <c r="O653" t="s">
        <v>3989</v>
      </c>
      <c r="P653" t="str">
        <f>TRIM(Table13_1[[#This Row],[Genre]])</f>
        <v>Sci-Fi</v>
      </c>
    </row>
    <row r="654" spans="1:16" x14ac:dyDescent="0.3">
      <c r="A654" t="s">
        <v>1523</v>
      </c>
      <c r="B654" t="s">
        <v>1524</v>
      </c>
      <c r="C654">
        <v>2003</v>
      </c>
      <c r="D654">
        <v>2000</v>
      </c>
      <c r="E654" t="s">
        <v>17</v>
      </c>
      <c r="F654">
        <v>116</v>
      </c>
      <c r="G654" t="s">
        <v>3997</v>
      </c>
      <c r="H654" t="s">
        <v>852</v>
      </c>
      <c r="I654" t="s">
        <v>92</v>
      </c>
      <c r="J654" t="s">
        <v>1526</v>
      </c>
      <c r="K654">
        <v>69362</v>
      </c>
      <c r="L654">
        <v>392.36</v>
      </c>
      <c r="M654">
        <v>392.36</v>
      </c>
      <c r="N654" t="s">
        <v>3998</v>
      </c>
      <c r="O654" t="s">
        <v>55</v>
      </c>
      <c r="P654" t="str">
        <f>TRIM(Table13_1[[#This Row],[Genre]])</f>
        <v>Romance</v>
      </c>
    </row>
    <row r="655" spans="1:16" x14ac:dyDescent="0.3">
      <c r="A655" t="s">
        <v>1523</v>
      </c>
      <c r="B655" t="s">
        <v>1524</v>
      </c>
      <c r="C655">
        <v>2003</v>
      </c>
      <c r="D655">
        <v>2000</v>
      </c>
      <c r="E655" t="s">
        <v>17</v>
      </c>
      <c r="F655">
        <v>116</v>
      </c>
      <c r="G655" t="s">
        <v>3997</v>
      </c>
      <c r="H655" t="s">
        <v>852</v>
      </c>
      <c r="I655" t="s">
        <v>92</v>
      </c>
      <c r="J655" t="s">
        <v>1526</v>
      </c>
      <c r="K655">
        <v>69362</v>
      </c>
      <c r="L655">
        <v>392.36</v>
      </c>
      <c r="M655">
        <v>392.36</v>
      </c>
      <c r="N655" t="s">
        <v>3998</v>
      </c>
      <c r="O655" t="s">
        <v>3989</v>
      </c>
      <c r="P655" t="str">
        <f>TRIM(Table13_1[[#This Row],[Genre]])</f>
        <v>Sci-Fi</v>
      </c>
    </row>
    <row r="656" spans="1:16" x14ac:dyDescent="0.3">
      <c r="A656" t="s">
        <v>1523</v>
      </c>
      <c r="B656" t="s">
        <v>1524</v>
      </c>
      <c r="C656">
        <v>2003</v>
      </c>
      <c r="D656">
        <v>2000</v>
      </c>
      <c r="E656" t="s">
        <v>17</v>
      </c>
      <c r="F656">
        <v>116</v>
      </c>
      <c r="G656" t="s">
        <v>3997</v>
      </c>
      <c r="H656" t="s">
        <v>852</v>
      </c>
      <c r="I656" t="s">
        <v>92</v>
      </c>
      <c r="J656" t="s">
        <v>1526</v>
      </c>
      <c r="K656">
        <v>69362</v>
      </c>
      <c r="L656">
        <v>392.36</v>
      </c>
      <c r="M656">
        <v>392.36</v>
      </c>
      <c r="N656" t="s">
        <v>3998</v>
      </c>
      <c r="O656" t="s">
        <v>3979</v>
      </c>
      <c r="P656" t="str">
        <f>TRIM(Table13_1[[#This Row],[Genre]])</f>
        <v>War</v>
      </c>
    </row>
    <row r="657" spans="1:16" x14ac:dyDescent="0.3">
      <c r="A657" t="s">
        <v>1527</v>
      </c>
      <c r="B657" t="s">
        <v>1528</v>
      </c>
      <c r="C657">
        <v>1949</v>
      </c>
      <c r="D657">
        <v>1940</v>
      </c>
      <c r="E657" t="s">
        <v>17</v>
      </c>
      <c r="F657">
        <v>121</v>
      </c>
      <c r="G657" t="s">
        <v>3999</v>
      </c>
      <c r="H657" t="s">
        <v>1530</v>
      </c>
      <c r="I657" t="s">
        <v>27</v>
      </c>
      <c r="J657" t="s">
        <v>1531</v>
      </c>
      <c r="K657">
        <v>25839</v>
      </c>
      <c r="M657">
        <v>0</v>
      </c>
      <c r="N657" t="s">
        <v>4001</v>
      </c>
      <c r="O657" t="s">
        <v>375</v>
      </c>
      <c r="P657" t="str">
        <f>TRIM(Table13_1[[#This Row],[Genre]])</f>
        <v>Family</v>
      </c>
    </row>
    <row r="658" spans="1:16" x14ac:dyDescent="0.3">
      <c r="A658" t="s">
        <v>1527</v>
      </c>
      <c r="B658" t="s">
        <v>1528</v>
      </c>
      <c r="C658">
        <v>1949</v>
      </c>
      <c r="D658">
        <v>1940</v>
      </c>
      <c r="E658" t="s">
        <v>17</v>
      </c>
      <c r="F658">
        <v>121</v>
      </c>
      <c r="G658" t="s">
        <v>3999</v>
      </c>
      <c r="H658" t="s">
        <v>1530</v>
      </c>
      <c r="I658" t="s">
        <v>27</v>
      </c>
      <c r="J658" t="s">
        <v>1531</v>
      </c>
      <c r="K658">
        <v>25839</v>
      </c>
      <c r="M658">
        <v>0</v>
      </c>
      <c r="N658" t="s">
        <v>4001</v>
      </c>
      <c r="O658" t="s">
        <v>3979</v>
      </c>
      <c r="P658" t="str">
        <f>TRIM(Table13_1[[#This Row],[Genre]])</f>
        <v>War</v>
      </c>
    </row>
    <row r="659" spans="1:16" x14ac:dyDescent="0.3">
      <c r="A659" t="s">
        <v>1527</v>
      </c>
      <c r="B659" t="s">
        <v>1528</v>
      </c>
      <c r="C659">
        <v>1949</v>
      </c>
      <c r="D659">
        <v>1940</v>
      </c>
      <c r="E659" t="s">
        <v>17</v>
      </c>
      <c r="F659">
        <v>121</v>
      </c>
      <c r="G659" t="s">
        <v>3999</v>
      </c>
      <c r="H659" t="s">
        <v>1530</v>
      </c>
      <c r="I659" t="s">
        <v>27</v>
      </c>
      <c r="J659" t="s">
        <v>1531</v>
      </c>
      <c r="K659">
        <v>25839</v>
      </c>
      <c r="M659">
        <v>0</v>
      </c>
      <c r="N659" t="s">
        <v>4001</v>
      </c>
      <c r="O659" t="s">
        <v>3986</v>
      </c>
      <c r="P659" t="str">
        <f>TRIM(Table13_1[[#This Row],[Genre]])</f>
        <v>Documentary</v>
      </c>
    </row>
    <row r="660" spans="1:16" x14ac:dyDescent="0.3">
      <c r="A660" t="s">
        <v>1532</v>
      </c>
      <c r="B660" t="s">
        <v>1533</v>
      </c>
      <c r="C660">
        <v>1942</v>
      </c>
      <c r="D660">
        <v>1940</v>
      </c>
      <c r="E660" t="s">
        <v>293</v>
      </c>
      <c r="F660">
        <v>124</v>
      </c>
      <c r="G660" t="s">
        <v>3999</v>
      </c>
      <c r="H660" t="s">
        <v>435</v>
      </c>
      <c r="I660" t="s">
        <v>196</v>
      </c>
      <c r="J660" t="s">
        <v>1534</v>
      </c>
      <c r="K660">
        <v>4899</v>
      </c>
      <c r="M660">
        <v>0</v>
      </c>
      <c r="N660" t="s">
        <v>4001</v>
      </c>
      <c r="O660" t="s">
        <v>453</v>
      </c>
      <c r="P660" t="str">
        <f>TRIM(Table13_1[[#This Row],[Genre]])</f>
        <v>Musical</v>
      </c>
    </row>
    <row r="661" spans="1:16" x14ac:dyDescent="0.3">
      <c r="A661" t="s">
        <v>1532</v>
      </c>
      <c r="B661" t="s">
        <v>1533</v>
      </c>
      <c r="C661">
        <v>1942</v>
      </c>
      <c r="D661">
        <v>1940</v>
      </c>
      <c r="E661" t="s">
        <v>293</v>
      </c>
      <c r="F661">
        <v>124</v>
      </c>
      <c r="G661" t="s">
        <v>3999</v>
      </c>
      <c r="H661" t="s">
        <v>435</v>
      </c>
      <c r="I661" t="s">
        <v>196</v>
      </c>
      <c r="J661" t="s">
        <v>1534</v>
      </c>
      <c r="K661">
        <v>4899</v>
      </c>
      <c r="M661">
        <v>0</v>
      </c>
      <c r="N661" t="s">
        <v>4001</v>
      </c>
      <c r="O661" t="s">
        <v>3984</v>
      </c>
      <c r="P661" t="str">
        <f>TRIM(Table13_1[[#This Row],[Genre]])</f>
        <v>Adventure</v>
      </c>
    </row>
    <row r="662" spans="1:16" x14ac:dyDescent="0.3">
      <c r="A662" t="s">
        <v>1535</v>
      </c>
      <c r="B662" t="s">
        <v>1536</v>
      </c>
      <c r="C662">
        <v>2007</v>
      </c>
      <c r="D662">
        <v>2000</v>
      </c>
      <c r="E662" t="s">
        <v>17</v>
      </c>
      <c r="F662">
        <v>139</v>
      </c>
      <c r="G662" t="s">
        <v>3999</v>
      </c>
      <c r="H662" t="s">
        <v>85</v>
      </c>
      <c r="I662" t="s">
        <v>86</v>
      </c>
      <c r="J662" t="s">
        <v>1537</v>
      </c>
      <c r="K662">
        <v>79568</v>
      </c>
      <c r="L662">
        <v>79.400000000000006</v>
      </c>
      <c r="M662">
        <v>79.400000000000006</v>
      </c>
      <c r="N662" t="s">
        <v>4001</v>
      </c>
      <c r="O662" t="s">
        <v>767</v>
      </c>
      <c r="P662" t="str">
        <f>TRIM(Table13_1[[#This Row],[Genre]])</f>
        <v>Fantasy</v>
      </c>
    </row>
    <row r="663" spans="1:16" x14ac:dyDescent="0.3">
      <c r="A663" t="s">
        <v>1535</v>
      </c>
      <c r="B663" t="s">
        <v>1536</v>
      </c>
      <c r="C663">
        <v>2007</v>
      </c>
      <c r="D663">
        <v>2000</v>
      </c>
      <c r="E663" t="s">
        <v>17</v>
      </c>
      <c r="F663">
        <v>139</v>
      </c>
      <c r="G663" t="s">
        <v>3999</v>
      </c>
      <c r="H663" t="s">
        <v>85</v>
      </c>
      <c r="I663" t="s">
        <v>86</v>
      </c>
      <c r="J663" t="s">
        <v>1537</v>
      </c>
      <c r="K663">
        <v>79568</v>
      </c>
      <c r="L663">
        <v>79.400000000000006</v>
      </c>
      <c r="M663">
        <v>79.400000000000006</v>
      </c>
      <c r="N663" t="s">
        <v>4001</v>
      </c>
      <c r="O663" t="s">
        <v>3979</v>
      </c>
      <c r="P663" t="str">
        <f>TRIM(Table13_1[[#This Row],[Genre]])</f>
        <v>War</v>
      </c>
    </row>
    <row r="664" spans="1:16" x14ac:dyDescent="0.3">
      <c r="A664" t="s">
        <v>1538</v>
      </c>
      <c r="B664" t="s">
        <v>1539</v>
      </c>
      <c r="C664">
        <v>2015</v>
      </c>
      <c r="D664">
        <v>2010</v>
      </c>
      <c r="E664" t="s">
        <v>24</v>
      </c>
      <c r="F664">
        <v>95</v>
      </c>
      <c r="G664" t="s">
        <v>3997</v>
      </c>
      <c r="H664" t="s">
        <v>1540</v>
      </c>
      <c r="I664" t="s">
        <v>191</v>
      </c>
      <c r="J664" t="s">
        <v>1541</v>
      </c>
      <c r="K664">
        <v>171400</v>
      </c>
      <c r="L664">
        <v>257.45999999999998</v>
      </c>
      <c r="M664">
        <v>257.45999999999998</v>
      </c>
      <c r="N664" t="s">
        <v>3998</v>
      </c>
      <c r="O664" t="s">
        <v>37</v>
      </c>
      <c r="P664" t="str">
        <f>TRIM(Table13_1[[#This Row],[Genre]])</f>
        <v>Biography</v>
      </c>
    </row>
    <row r="665" spans="1:16" x14ac:dyDescent="0.3">
      <c r="A665" t="s">
        <v>1542</v>
      </c>
      <c r="B665" t="s">
        <v>1543</v>
      </c>
      <c r="C665">
        <v>2014</v>
      </c>
      <c r="D665">
        <v>2010</v>
      </c>
      <c r="E665" t="s">
        <v>54</v>
      </c>
      <c r="F665">
        <v>131</v>
      </c>
      <c r="G665" t="s">
        <v>3999</v>
      </c>
      <c r="H665" t="s">
        <v>38</v>
      </c>
      <c r="I665" t="s">
        <v>608</v>
      </c>
      <c r="J665" t="s">
        <v>1545</v>
      </c>
      <c r="K665">
        <v>215372</v>
      </c>
      <c r="L665">
        <v>375.78</v>
      </c>
      <c r="M665">
        <v>375.78</v>
      </c>
      <c r="N665" t="s">
        <v>3998</v>
      </c>
      <c r="O665" t="s">
        <v>37</v>
      </c>
      <c r="P665" t="str">
        <f>TRIM(Table13_1[[#This Row],[Genre]])</f>
        <v>Biography</v>
      </c>
    </row>
    <row r="666" spans="1:16" x14ac:dyDescent="0.3">
      <c r="A666" t="s">
        <v>1542</v>
      </c>
      <c r="B666" t="s">
        <v>1543</v>
      </c>
      <c r="C666">
        <v>2014</v>
      </c>
      <c r="D666">
        <v>2010</v>
      </c>
      <c r="E666" t="s">
        <v>54</v>
      </c>
      <c r="F666">
        <v>131</v>
      </c>
      <c r="G666" t="s">
        <v>3999</v>
      </c>
      <c r="H666" t="s">
        <v>38</v>
      </c>
      <c r="I666" t="s">
        <v>608</v>
      </c>
      <c r="J666" t="s">
        <v>1545</v>
      </c>
      <c r="K666">
        <v>215372</v>
      </c>
      <c r="L666">
        <v>375.78</v>
      </c>
      <c r="M666">
        <v>375.78</v>
      </c>
      <c r="N666" t="s">
        <v>3998</v>
      </c>
      <c r="O666" t="s">
        <v>3991</v>
      </c>
      <c r="P666" t="str">
        <f>TRIM(Table13_1[[#This Row],[Genre]])</f>
        <v>Thriller</v>
      </c>
    </row>
    <row r="667" spans="1:16" x14ac:dyDescent="0.3">
      <c r="A667" t="s">
        <v>1542</v>
      </c>
      <c r="B667" t="s">
        <v>1543</v>
      </c>
      <c r="C667">
        <v>2014</v>
      </c>
      <c r="D667">
        <v>2010</v>
      </c>
      <c r="E667" t="s">
        <v>54</v>
      </c>
      <c r="F667">
        <v>131</v>
      </c>
      <c r="G667" t="s">
        <v>3999</v>
      </c>
      <c r="H667" t="s">
        <v>38</v>
      </c>
      <c r="I667" t="s">
        <v>608</v>
      </c>
      <c r="J667" t="s">
        <v>1545</v>
      </c>
      <c r="K667">
        <v>215372</v>
      </c>
      <c r="L667">
        <v>375.78</v>
      </c>
      <c r="M667">
        <v>375.78</v>
      </c>
      <c r="N667" t="s">
        <v>3998</v>
      </c>
      <c r="O667" t="s">
        <v>3979</v>
      </c>
      <c r="P667" t="str">
        <f>TRIM(Table13_1[[#This Row],[Genre]])</f>
        <v>War</v>
      </c>
    </row>
    <row r="668" spans="1:16" x14ac:dyDescent="0.3">
      <c r="A668" t="s">
        <v>1546</v>
      </c>
      <c r="B668" t="s">
        <v>1547</v>
      </c>
      <c r="C668">
        <v>2000</v>
      </c>
      <c r="D668">
        <v>2000</v>
      </c>
      <c r="E668" t="s">
        <v>17</v>
      </c>
      <c r="F668">
        <v>156</v>
      </c>
      <c r="G668" t="s">
        <v>3999</v>
      </c>
      <c r="H668" t="s">
        <v>338</v>
      </c>
      <c r="I668" t="s">
        <v>27</v>
      </c>
      <c r="J668" t="s">
        <v>1549</v>
      </c>
      <c r="K668">
        <v>34928</v>
      </c>
      <c r="L668">
        <v>94.93</v>
      </c>
      <c r="M668">
        <v>94.93</v>
      </c>
      <c r="N668" t="s">
        <v>4001</v>
      </c>
      <c r="O668" t="s">
        <v>235</v>
      </c>
      <c r="P668" t="str">
        <f>TRIM(Table13_1[[#This Row],[Genre]])</f>
        <v>Drama</v>
      </c>
    </row>
    <row r="669" spans="1:16" x14ac:dyDescent="0.3">
      <c r="A669" t="s">
        <v>1546</v>
      </c>
      <c r="B669" t="s">
        <v>1547</v>
      </c>
      <c r="C669">
        <v>2000</v>
      </c>
      <c r="D669">
        <v>2000</v>
      </c>
      <c r="E669" t="s">
        <v>17</v>
      </c>
      <c r="F669">
        <v>156</v>
      </c>
      <c r="G669" t="s">
        <v>3999</v>
      </c>
      <c r="H669" t="s">
        <v>338</v>
      </c>
      <c r="I669" t="s">
        <v>27</v>
      </c>
      <c r="J669" t="s">
        <v>1549</v>
      </c>
      <c r="K669">
        <v>34928</v>
      </c>
      <c r="L669">
        <v>94.93</v>
      </c>
      <c r="M669">
        <v>94.93</v>
      </c>
      <c r="N669" t="s">
        <v>4001</v>
      </c>
      <c r="O669" t="s">
        <v>3990</v>
      </c>
      <c r="P669" t="str">
        <f>TRIM(Table13_1[[#This Row],[Genre]])</f>
        <v>Western</v>
      </c>
    </row>
    <row r="670" spans="1:16" x14ac:dyDescent="0.3">
      <c r="A670" t="s">
        <v>1550</v>
      </c>
      <c r="B670" t="s">
        <v>1551</v>
      </c>
      <c r="C670">
        <v>2004</v>
      </c>
      <c r="D670">
        <v>2000</v>
      </c>
      <c r="E670" t="s">
        <v>54</v>
      </c>
      <c r="F670">
        <v>132</v>
      </c>
      <c r="G670" t="s">
        <v>3999</v>
      </c>
      <c r="H670" t="s">
        <v>1552</v>
      </c>
      <c r="I670" t="s">
        <v>315</v>
      </c>
      <c r="J670" t="s">
        <v>1553</v>
      </c>
      <c r="K670">
        <v>302903</v>
      </c>
      <c r="L670">
        <v>437.64</v>
      </c>
      <c r="M670">
        <v>437.64</v>
      </c>
      <c r="N670" t="s">
        <v>3998</v>
      </c>
      <c r="O670" t="s">
        <v>235</v>
      </c>
      <c r="P670" t="str">
        <f>TRIM(Table13_1[[#This Row],[Genre]])</f>
        <v>Drama</v>
      </c>
    </row>
    <row r="671" spans="1:16" x14ac:dyDescent="0.3">
      <c r="A671" t="s">
        <v>1554</v>
      </c>
      <c r="B671" t="s">
        <v>1555</v>
      </c>
      <c r="C671">
        <v>2016</v>
      </c>
      <c r="D671">
        <v>2010</v>
      </c>
      <c r="E671" t="s">
        <v>54</v>
      </c>
      <c r="F671">
        <v>111</v>
      </c>
      <c r="G671" t="s">
        <v>3997</v>
      </c>
      <c r="H671" t="s">
        <v>1556</v>
      </c>
      <c r="I671" t="s">
        <v>153</v>
      </c>
      <c r="J671" t="s">
        <v>1557</v>
      </c>
      <c r="K671">
        <v>40565</v>
      </c>
      <c r="L671">
        <v>206.1</v>
      </c>
      <c r="M671">
        <v>206.1</v>
      </c>
      <c r="N671" t="s">
        <v>3998</v>
      </c>
      <c r="O671" t="s">
        <v>72</v>
      </c>
      <c r="P671" t="str">
        <f>TRIM(Table13_1[[#This Row],[Genre]])</f>
        <v>War</v>
      </c>
    </row>
    <row r="672" spans="1:16" x14ac:dyDescent="0.3">
      <c r="A672" t="s">
        <v>1558</v>
      </c>
      <c r="B672" t="s">
        <v>1559</v>
      </c>
      <c r="C672">
        <v>2022</v>
      </c>
      <c r="D672">
        <v>2020</v>
      </c>
      <c r="E672" t="s">
        <v>24</v>
      </c>
      <c r="F672">
        <v>134</v>
      </c>
      <c r="G672" t="s">
        <v>3999</v>
      </c>
      <c r="H672" t="s">
        <v>422</v>
      </c>
      <c r="I672" t="s">
        <v>368</v>
      </c>
      <c r="J672" t="s">
        <v>1561</v>
      </c>
      <c r="K672">
        <v>22874</v>
      </c>
      <c r="M672">
        <v>0</v>
      </c>
      <c r="N672" t="s">
        <v>4001</v>
      </c>
      <c r="O672" t="s">
        <v>375</v>
      </c>
      <c r="P672" t="str">
        <f>TRIM(Table13_1[[#This Row],[Genre]])</f>
        <v>Family</v>
      </c>
    </row>
    <row r="673" spans="1:16" x14ac:dyDescent="0.3">
      <c r="A673" t="s">
        <v>1558</v>
      </c>
      <c r="B673" t="s">
        <v>1559</v>
      </c>
      <c r="C673">
        <v>2022</v>
      </c>
      <c r="D673">
        <v>2020</v>
      </c>
      <c r="E673" t="s">
        <v>24</v>
      </c>
      <c r="F673">
        <v>134</v>
      </c>
      <c r="G673" t="s">
        <v>3999</v>
      </c>
      <c r="H673" t="s">
        <v>422</v>
      </c>
      <c r="I673" t="s">
        <v>368</v>
      </c>
      <c r="J673" t="s">
        <v>1561</v>
      </c>
      <c r="K673">
        <v>22874</v>
      </c>
      <c r="M673">
        <v>0</v>
      </c>
      <c r="N673" t="s">
        <v>4001</v>
      </c>
      <c r="O673" t="s">
        <v>3979</v>
      </c>
      <c r="P673" t="str">
        <f>TRIM(Table13_1[[#This Row],[Genre]])</f>
        <v>War</v>
      </c>
    </row>
    <row r="674" spans="1:16" x14ac:dyDescent="0.3">
      <c r="A674" t="s">
        <v>1562</v>
      </c>
      <c r="B674" t="s">
        <v>1563</v>
      </c>
      <c r="C674">
        <v>2000</v>
      </c>
      <c r="D674">
        <v>2000</v>
      </c>
      <c r="E674" t="s">
        <v>169</v>
      </c>
      <c r="F674">
        <v>122</v>
      </c>
      <c r="G674" t="s">
        <v>3999</v>
      </c>
      <c r="H674" t="s">
        <v>381</v>
      </c>
      <c r="I674" t="s">
        <v>86</v>
      </c>
      <c r="J674" t="s">
        <v>1564</v>
      </c>
      <c r="K674">
        <v>174106</v>
      </c>
      <c r="L674">
        <v>124.01</v>
      </c>
      <c r="M674">
        <v>124.01</v>
      </c>
      <c r="N674" t="s">
        <v>4002</v>
      </c>
      <c r="O674" t="s">
        <v>375</v>
      </c>
      <c r="P674" t="str">
        <f>TRIM(Table13_1[[#This Row],[Genre]])</f>
        <v>Family</v>
      </c>
    </row>
    <row r="675" spans="1:16" x14ac:dyDescent="0.3">
      <c r="A675" t="s">
        <v>1565</v>
      </c>
      <c r="B675" t="s">
        <v>1566</v>
      </c>
      <c r="C675">
        <v>2005</v>
      </c>
      <c r="D675">
        <v>2000</v>
      </c>
      <c r="E675" t="s">
        <v>54</v>
      </c>
      <c r="F675">
        <v>126</v>
      </c>
      <c r="G675" t="s">
        <v>3999</v>
      </c>
      <c r="H675" t="s">
        <v>491</v>
      </c>
      <c r="I675" t="s">
        <v>191</v>
      </c>
      <c r="J675" t="s">
        <v>1568</v>
      </c>
      <c r="K675">
        <v>255832</v>
      </c>
      <c r="L675">
        <v>190.34</v>
      </c>
      <c r="M675">
        <v>190.34</v>
      </c>
      <c r="N675" t="s">
        <v>4002</v>
      </c>
      <c r="O675" t="s">
        <v>72</v>
      </c>
      <c r="P675" t="str">
        <f>TRIM(Table13_1[[#This Row],[Genre]])</f>
        <v>War</v>
      </c>
    </row>
    <row r="676" spans="1:16" x14ac:dyDescent="0.3">
      <c r="A676" t="s">
        <v>1565</v>
      </c>
      <c r="B676" t="s">
        <v>1566</v>
      </c>
      <c r="C676">
        <v>2005</v>
      </c>
      <c r="D676">
        <v>2000</v>
      </c>
      <c r="E676" t="s">
        <v>54</v>
      </c>
      <c r="F676">
        <v>126</v>
      </c>
      <c r="G676" t="s">
        <v>3999</v>
      </c>
      <c r="H676" t="s">
        <v>491</v>
      </c>
      <c r="I676" t="s">
        <v>191</v>
      </c>
      <c r="J676" t="s">
        <v>1568</v>
      </c>
      <c r="K676">
        <v>255832</v>
      </c>
      <c r="L676">
        <v>190.34</v>
      </c>
      <c r="M676">
        <v>190.34</v>
      </c>
      <c r="N676" t="s">
        <v>4002</v>
      </c>
      <c r="O676" t="s">
        <v>3992</v>
      </c>
      <c r="P676" t="str">
        <f>TRIM(Table13_1[[#This Row],[Genre]])</f>
        <v>Biography</v>
      </c>
    </row>
    <row r="677" spans="1:16" x14ac:dyDescent="0.3">
      <c r="A677" t="s">
        <v>1569</v>
      </c>
      <c r="B677" t="s">
        <v>1570</v>
      </c>
      <c r="C677">
        <v>2014</v>
      </c>
      <c r="D677">
        <v>2010</v>
      </c>
      <c r="E677" t="s">
        <v>24</v>
      </c>
      <c r="F677">
        <v>128</v>
      </c>
      <c r="G677" t="s">
        <v>3999</v>
      </c>
      <c r="H677" t="s">
        <v>201</v>
      </c>
      <c r="I677" t="s">
        <v>103</v>
      </c>
      <c r="J677" t="s">
        <v>1572</v>
      </c>
      <c r="K677">
        <v>1309054</v>
      </c>
      <c r="L677">
        <v>350.03</v>
      </c>
      <c r="M677">
        <v>350.03</v>
      </c>
      <c r="N677" t="s">
        <v>3998</v>
      </c>
      <c r="O677" t="s">
        <v>235</v>
      </c>
      <c r="P677" t="str">
        <f>TRIM(Table13_1[[#This Row],[Genre]])</f>
        <v>Drama</v>
      </c>
    </row>
    <row r="678" spans="1:16" x14ac:dyDescent="0.3">
      <c r="A678" t="s">
        <v>1569</v>
      </c>
      <c r="B678" t="s">
        <v>1570</v>
      </c>
      <c r="C678">
        <v>2014</v>
      </c>
      <c r="D678">
        <v>2010</v>
      </c>
      <c r="E678" t="s">
        <v>24</v>
      </c>
      <c r="F678">
        <v>128</v>
      </c>
      <c r="G678" t="s">
        <v>3999</v>
      </c>
      <c r="H678" t="s">
        <v>201</v>
      </c>
      <c r="I678" t="s">
        <v>103</v>
      </c>
      <c r="J678" t="s">
        <v>1572</v>
      </c>
      <c r="K678">
        <v>1309054</v>
      </c>
      <c r="L678">
        <v>350.03</v>
      </c>
      <c r="M678">
        <v>350.03</v>
      </c>
      <c r="N678" t="s">
        <v>3998</v>
      </c>
      <c r="O678" t="s">
        <v>3986</v>
      </c>
      <c r="P678" t="str">
        <f>TRIM(Table13_1[[#This Row],[Genre]])</f>
        <v>Documentary</v>
      </c>
    </row>
    <row r="679" spans="1:16" x14ac:dyDescent="0.3">
      <c r="A679" t="s">
        <v>1573</v>
      </c>
      <c r="B679" t="s">
        <v>1574</v>
      </c>
      <c r="C679">
        <v>2015</v>
      </c>
      <c r="D679">
        <v>2010</v>
      </c>
      <c r="E679" t="s">
        <v>17</v>
      </c>
      <c r="F679">
        <v>130</v>
      </c>
      <c r="G679" t="s">
        <v>3999</v>
      </c>
      <c r="H679" t="s">
        <v>19</v>
      </c>
      <c r="I679" t="s">
        <v>608</v>
      </c>
      <c r="J679" t="s">
        <v>1576</v>
      </c>
      <c r="K679">
        <v>40846</v>
      </c>
      <c r="M679">
        <v>0</v>
      </c>
      <c r="N679" t="s">
        <v>4001</v>
      </c>
      <c r="O679" t="s">
        <v>210</v>
      </c>
      <c r="P679" t="str">
        <f>TRIM(Table13_1[[#This Row],[Genre]])</f>
        <v>Action</v>
      </c>
    </row>
    <row r="680" spans="1:16" x14ac:dyDescent="0.3">
      <c r="A680" t="s">
        <v>1573</v>
      </c>
      <c r="B680" t="s">
        <v>1574</v>
      </c>
      <c r="C680">
        <v>2015</v>
      </c>
      <c r="D680">
        <v>2010</v>
      </c>
      <c r="E680" t="s">
        <v>17</v>
      </c>
      <c r="F680">
        <v>130</v>
      </c>
      <c r="G680" t="s">
        <v>3999</v>
      </c>
      <c r="H680" t="s">
        <v>19</v>
      </c>
      <c r="I680" t="s">
        <v>608</v>
      </c>
      <c r="J680" t="s">
        <v>1576</v>
      </c>
      <c r="K680">
        <v>40846</v>
      </c>
      <c r="M680">
        <v>0</v>
      </c>
      <c r="N680" t="s">
        <v>4001</v>
      </c>
      <c r="O680" t="s">
        <v>3981</v>
      </c>
      <c r="P680" t="str">
        <f>TRIM(Table13_1[[#This Row],[Genre]])</f>
        <v>Romance</v>
      </c>
    </row>
    <row r="681" spans="1:16" x14ac:dyDescent="0.3">
      <c r="A681" t="s">
        <v>1577</v>
      </c>
      <c r="B681" t="s">
        <v>1578</v>
      </c>
      <c r="C681">
        <v>2019</v>
      </c>
      <c r="D681">
        <v>2010</v>
      </c>
      <c r="E681" t="s">
        <v>17</v>
      </c>
      <c r="F681">
        <v>120</v>
      </c>
      <c r="G681" t="s">
        <v>3997</v>
      </c>
      <c r="H681" t="s">
        <v>435</v>
      </c>
      <c r="I681" t="s">
        <v>92</v>
      </c>
      <c r="J681" t="s">
        <v>1579</v>
      </c>
      <c r="K681">
        <v>1347</v>
      </c>
      <c r="L681">
        <v>385.4</v>
      </c>
      <c r="M681">
        <v>385.4</v>
      </c>
      <c r="N681" t="s">
        <v>3998</v>
      </c>
      <c r="O681" t="s">
        <v>453</v>
      </c>
      <c r="P681" t="str">
        <f>TRIM(Table13_1[[#This Row],[Genre]])</f>
        <v>Musical</v>
      </c>
    </row>
    <row r="682" spans="1:16" x14ac:dyDescent="0.3">
      <c r="A682" t="s">
        <v>1577</v>
      </c>
      <c r="B682" t="s">
        <v>1578</v>
      </c>
      <c r="C682">
        <v>2019</v>
      </c>
      <c r="D682">
        <v>2010</v>
      </c>
      <c r="E682" t="s">
        <v>17</v>
      </c>
      <c r="F682">
        <v>120</v>
      </c>
      <c r="G682" t="s">
        <v>3997</v>
      </c>
      <c r="H682" t="s">
        <v>435</v>
      </c>
      <c r="I682" t="s">
        <v>92</v>
      </c>
      <c r="J682" t="s">
        <v>1579</v>
      </c>
      <c r="K682">
        <v>1347</v>
      </c>
      <c r="L682">
        <v>385.4</v>
      </c>
      <c r="M682">
        <v>385.4</v>
      </c>
      <c r="N682" t="s">
        <v>3998</v>
      </c>
      <c r="O682" t="s">
        <v>3982</v>
      </c>
      <c r="P682" t="str">
        <f>TRIM(Table13_1[[#This Row],[Genre]])</f>
        <v>Family</v>
      </c>
    </row>
    <row r="683" spans="1:16" x14ac:dyDescent="0.3">
      <c r="A683" t="s">
        <v>1580</v>
      </c>
      <c r="B683" t="s">
        <v>1581</v>
      </c>
      <c r="C683">
        <v>2010</v>
      </c>
      <c r="D683">
        <v>2010</v>
      </c>
      <c r="E683" t="s">
        <v>54</v>
      </c>
      <c r="F683">
        <v>120</v>
      </c>
      <c r="G683" t="s">
        <v>3997</v>
      </c>
      <c r="H683" t="s">
        <v>305</v>
      </c>
      <c r="I683" t="s">
        <v>251</v>
      </c>
      <c r="J683" t="s">
        <v>1583</v>
      </c>
      <c r="K683">
        <v>10186</v>
      </c>
      <c r="L683">
        <v>195.21</v>
      </c>
      <c r="M683">
        <v>195.21</v>
      </c>
      <c r="N683" t="s">
        <v>4002</v>
      </c>
      <c r="O683" t="s">
        <v>78</v>
      </c>
      <c r="P683" t="str">
        <f>TRIM(Table13_1[[#This Row],[Genre]])</f>
        <v>Adventure</v>
      </c>
    </row>
    <row r="684" spans="1:16" x14ac:dyDescent="0.3">
      <c r="A684" t="s">
        <v>1580</v>
      </c>
      <c r="B684" t="s">
        <v>1581</v>
      </c>
      <c r="C684">
        <v>2010</v>
      </c>
      <c r="D684">
        <v>2010</v>
      </c>
      <c r="E684" t="s">
        <v>54</v>
      </c>
      <c r="F684">
        <v>120</v>
      </c>
      <c r="G684" t="s">
        <v>3997</v>
      </c>
      <c r="H684" t="s">
        <v>305</v>
      </c>
      <c r="I684" t="s">
        <v>251</v>
      </c>
      <c r="J684" t="s">
        <v>1583</v>
      </c>
      <c r="K684">
        <v>10186</v>
      </c>
      <c r="L684">
        <v>195.21</v>
      </c>
      <c r="M684">
        <v>195.21</v>
      </c>
      <c r="N684" t="s">
        <v>4002</v>
      </c>
      <c r="O684" t="s">
        <v>3986</v>
      </c>
      <c r="P684" t="str">
        <f>TRIM(Table13_1[[#This Row],[Genre]])</f>
        <v>Documentary</v>
      </c>
    </row>
    <row r="685" spans="1:16" x14ac:dyDescent="0.3">
      <c r="A685" t="s">
        <v>1580</v>
      </c>
      <c r="B685" t="s">
        <v>1581</v>
      </c>
      <c r="C685">
        <v>2010</v>
      </c>
      <c r="D685">
        <v>2010</v>
      </c>
      <c r="E685" t="s">
        <v>54</v>
      </c>
      <c r="F685">
        <v>120</v>
      </c>
      <c r="G685" t="s">
        <v>3997</v>
      </c>
      <c r="H685" t="s">
        <v>305</v>
      </c>
      <c r="I685" t="s">
        <v>251</v>
      </c>
      <c r="J685" t="s">
        <v>1583</v>
      </c>
      <c r="K685">
        <v>10186</v>
      </c>
      <c r="L685">
        <v>195.21</v>
      </c>
      <c r="M685">
        <v>195.21</v>
      </c>
      <c r="N685" t="s">
        <v>4002</v>
      </c>
      <c r="O685" t="s">
        <v>3976</v>
      </c>
      <c r="P685" t="str">
        <f>TRIM(Table13_1[[#This Row],[Genre]])</f>
        <v>Musical</v>
      </c>
    </row>
    <row r="686" spans="1:16" x14ac:dyDescent="0.3">
      <c r="A686" t="s">
        <v>1584</v>
      </c>
      <c r="B686" t="s">
        <v>1585</v>
      </c>
      <c r="C686">
        <v>2021</v>
      </c>
      <c r="D686">
        <v>2020</v>
      </c>
      <c r="E686" t="s">
        <v>24</v>
      </c>
      <c r="F686">
        <v>114</v>
      </c>
      <c r="G686" t="s">
        <v>3997</v>
      </c>
      <c r="H686" t="s">
        <v>1587</v>
      </c>
      <c r="I686" t="s">
        <v>113</v>
      </c>
      <c r="J686" t="s">
        <v>1588</v>
      </c>
      <c r="K686">
        <v>29367</v>
      </c>
      <c r="L686">
        <v>81.069999999999993</v>
      </c>
      <c r="M686">
        <v>81.069999999999993</v>
      </c>
      <c r="N686" t="s">
        <v>4001</v>
      </c>
      <c r="O686" t="s">
        <v>235</v>
      </c>
      <c r="P686" t="str">
        <f>TRIM(Table13_1[[#This Row],[Genre]])</f>
        <v>Drama</v>
      </c>
    </row>
    <row r="687" spans="1:16" x14ac:dyDescent="0.3">
      <c r="A687" t="s">
        <v>1584</v>
      </c>
      <c r="B687" t="s">
        <v>1585</v>
      </c>
      <c r="C687">
        <v>2021</v>
      </c>
      <c r="D687">
        <v>2020</v>
      </c>
      <c r="E687" t="s">
        <v>24</v>
      </c>
      <c r="F687">
        <v>114</v>
      </c>
      <c r="G687" t="s">
        <v>3997</v>
      </c>
      <c r="H687" t="s">
        <v>1587</v>
      </c>
      <c r="I687" t="s">
        <v>113</v>
      </c>
      <c r="J687" t="s">
        <v>1588</v>
      </c>
      <c r="K687">
        <v>29367</v>
      </c>
      <c r="L687">
        <v>81.069999999999993</v>
      </c>
      <c r="M687">
        <v>81.069999999999993</v>
      </c>
      <c r="N687" t="s">
        <v>4001</v>
      </c>
      <c r="O687" t="s">
        <v>3978</v>
      </c>
      <c r="P687" t="str">
        <f>TRIM(Table13_1[[#This Row],[Genre]])</f>
        <v>Mystery</v>
      </c>
    </row>
    <row r="688" spans="1:16" x14ac:dyDescent="0.3">
      <c r="A688" t="s">
        <v>1589</v>
      </c>
      <c r="B688" t="s">
        <v>1590</v>
      </c>
      <c r="C688">
        <v>2002</v>
      </c>
      <c r="D688">
        <v>2000</v>
      </c>
      <c r="E688" t="s">
        <v>17</v>
      </c>
      <c r="F688">
        <v>136</v>
      </c>
      <c r="G688" t="s">
        <v>3999</v>
      </c>
      <c r="H688" t="s">
        <v>566</v>
      </c>
      <c r="I688" t="s">
        <v>315</v>
      </c>
      <c r="J688" t="s">
        <v>1592</v>
      </c>
      <c r="K688">
        <v>41839</v>
      </c>
      <c r="L688">
        <v>423.87</v>
      </c>
      <c r="M688">
        <v>423.87</v>
      </c>
      <c r="N688" t="s">
        <v>3998</v>
      </c>
      <c r="O688" t="s">
        <v>48</v>
      </c>
      <c r="P688" t="str">
        <f>TRIM(Table13_1[[#This Row],[Genre]])</f>
        <v>Crime</v>
      </c>
    </row>
    <row r="689" spans="1:16" x14ac:dyDescent="0.3">
      <c r="A689" t="s">
        <v>1589</v>
      </c>
      <c r="B689" t="s">
        <v>1590</v>
      </c>
      <c r="C689">
        <v>2002</v>
      </c>
      <c r="D689">
        <v>2000</v>
      </c>
      <c r="E689" t="s">
        <v>17</v>
      </c>
      <c r="F689">
        <v>136</v>
      </c>
      <c r="G689" t="s">
        <v>3999</v>
      </c>
      <c r="H689" t="s">
        <v>566</v>
      </c>
      <c r="I689" t="s">
        <v>315</v>
      </c>
      <c r="J689" t="s">
        <v>1592</v>
      </c>
      <c r="K689">
        <v>41839</v>
      </c>
      <c r="L689">
        <v>423.87</v>
      </c>
      <c r="M689">
        <v>423.87</v>
      </c>
      <c r="N689" t="s">
        <v>3998</v>
      </c>
      <c r="O689" t="s">
        <v>3977</v>
      </c>
      <c r="P689" t="str">
        <f>TRIM(Table13_1[[#This Row],[Genre]])</f>
        <v>Animation</v>
      </c>
    </row>
    <row r="690" spans="1:16" x14ac:dyDescent="0.3">
      <c r="A690" t="s">
        <v>1589</v>
      </c>
      <c r="B690" t="s">
        <v>1590</v>
      </c>
      <c r="C690">
        <v>2002</v>
      </c>
      <c r="D690">
        <v>2000</v>
      </c>
      <c r="E690" t="s">
        <v>17</v>
      </c>
      <c r="F690">
        <v>136</v>
      </c>
      <c r="G690" t="s">
        <v>3999</v>
      </c>
      <c r="H690" t="s">
        <v>566</v>
      </c>
      <c r="I690" t="s">
        <v>315</v>
      </c>
      <c r="J690" t="s">
        <v>1592</v>
      </c>
      <c r="K690">
        <v>41839</v>
      </c>
      <c r="L690">
        <v>423.87</v>
      </c>
      <c r="M690">
        <v>423.87</v>
      </c>
      <c r="N690" t="s">
        <v>3998</v>
      </c>
      <c r="O690" t="s">
        <v>3991</v>
      </c>
      <c r="P690" t="str">
        <f>TRIM(Table13_1[[#This Row],[Genre]])</f>
        <v>Thriller</v>
      </c>
    </row>
    <row r="691" spans="1:16" x14ac:dyDescent="0.3">
      <c r="A691" t="s">
        <v>1593</v>
      </c>
      <c r="B691" t="s">
        <v>1594</v>
      </c>
      <c r="C691">
        <v>2012</v>
      </c>
      <c r="D691">
        <v>2010</v>
      </c>
      <c r="E691" t="s">
        <v>17</v>
      </c>
      <c r="F691">
        <v>108</v>
      </c>
      <c r="G691" t="s">
        <v>3997</v>
      </c>
      <c r="H691" t="s">
        <v>278</v>
      </c>
      <c r="I691" t="s">
        <v>153</v>
      </c>
      <c r="J691" t="s">
        <v>1596</v>
      </c>
      <c r="K691">
        <v>732967</v>
      </c>
      <c r="M691">
        <v>0</v>
      </c>
      <c r="N691" t="s">
        <v>4001</v>
      </c>
      <c r="O691" t="s">
        <v>277</v>
      </c>
      <c r="P691" t="str">
        <f>TRIM(Table13_1[[#This Row],[Genre]])</f>
        <v>Thriller</v>
      </c>
    </row>
    <row r="692" spans="1:16" x14ac:dyDescent="0.3">
      <c r="A692" t="s">
        <v>1593</v>
      </c>
      <c r="B692" t="s">
        <v>1594</v>
      </c>
      <c r="C692">
        <v>2012</v>
      </c>
      <c r="D692">
        <v>2010</v>
      </c>
      <c r="E692" t="s">
        <v>17</v>
      </c>
      <c r="F692">
        <v>108</v>
      </c>
      <c r="G692" t="s">
        <v>3997</v>
      </c>
      <c r="H692" t="s">
        <v>278</v>
      </c>
      <c r="I692" t="s">
        <v>153</v>
      </c>
      <c r="J692" t="s">
        <v>1596</v>
      </c>
      <c r="K692">
        <v>732967</v>
      </c>
      <c r="M692">
        <v>0</v>
      </c>
      <c r="N692" t="s">
        <v>4001</v>
      </c>
      <c r="O692" t="s">
        <v>3984</v>
      </c>
      <c r="P692" t="str">
        <f>TRIM(Table13_1[[#This Row],[Genre]])</f>
        <v>Adventure</v>
      </c>
    </row>
    <row r="693" spans="1:16" x14ac:dyDescent="0.3">
      <c r="A693" t="s">
        <v>1597</v>
      </c>
      <c r="B693" t="s">
        <v>1598</v>
      </c>
      <c r="C693">
        <v>2005</v>
      </c>
      <c r="D693">
        <v>2000</v>
      </c>
      <c r="E693" t="s">
        <v>17</v>
      </c>
      <c r="F693">
        <v>137</v>
      </c>
      <c r="G693" t="s">
        <v>3999</v>
      </c>
      <c r="H693" t="s">
        <v>164</v>
      </c>
      <c r="I693" t="s">
        <v>547</v>
      </c>
      <c r="J693" t="s">
        <v>1599</v>
      </c>
      <c r="K693">
        <v>126880</v>
      </c>
      <c r="M693">
        <v>0</v>
      </c>
      <c r="N693" t="s">
        <v>4001</v>
      </c>
      <c r="O693" t="s">
        <v>1044</v>
      </c>
      <c r="P693" t="str">
        <f>TRIM(Table13_1[[#This Row],[Genre]])</f>
        <v>Comedy</v>
      </c>
    </row>
    <row r="694" spans="1:16" x14ac:dyDescent="0.3">
      <c r="A694" t="s">
        <v>1597</v>
      </c>
      <c r="B694" t="s">
        <v>1598</v>
      </c>
      <c r="C694">
        <v>2005</v>
      </c>
      <c r="D694">
        <v>2000</v>
      </c>
      <c r="E694" t="s">
        <v>17</v>
      </c>
      <c r="F694">
        <v>137</v>
      </c>
      <c r="G694" t="s">
        <v>3999</v>
      </c>
      <c r="H694" t="s">
        <v>164</v>
      </c>
      <c r="I694" t="s">
        <v>547</v>
      </c>
      <c r="J694" t="s">
        <v>1599</v>
      </c>
      <c r="K694">
        <v>126880</v>
      </c>
      <c r="M694">
        <v>0</v>
      </c>
      <c r="N694" t="s">
        <v>4001</v>
      </c>
      <c r="O694" t="s">
        <v>3983</v>
      </c>
      <c r="P694" t="str">
        <f>TRIM(Table13_1[[#This Row],[Genre]])</f>
        <v>Crime</v>
      </c>
    </row>
    <row r="695" spans="1:16" x14ac:dyDescent="0.3">
      <c r="A695" t="s">
        <v>1600</v>
      </c>
      <c r="B695" t="s">
        <v>1601</v>
      </c>
      <c r="C695">
        <v>2006</v>
      </c>
      <c r="D695">
        <v>2000</v>
      </c>
      <c r="E695" t="s">
        <v>54</v>
      </c>
      <c r="F695">
        <v>109</v>
      </c>
      <c r="G695" t="s">
        <v>3997</v>
      </c>
      <c r="H695" t="s">
        <v>1602</v>
      </c>
      <c r="I695" t="s">
        <v>524</v>
      </c>
      <c r="J695" t="s">
        <v>1603</v>
      </c>
      <c r="K695">
        <v>383626</v>
      </c>
      <c r="L695">
        <v>53.03</v>
      </c>
      <c r="M695">
        <v>53.03</v>
      </c>
      <c r="N695" t="s">
        <v>4001</v>
      </c>
      <c r="O695" t="s">
        <v>210</v>
      </c>
      <c r="P695" t="str">
        <f>TRIM(Table13_1[[#This Row],[Genre]])</f>
        <v>Action</v>
      </c>
    </row>
    <row r="696" spans="1:16" x14ac:dyDescent="0.3">
      <c r="A696" t="s">
        <v>1604</v>
      </c>
      <c r="B696" t="s">
        <v>1605</v>
      </c>
      <c r="C696">
        <v>2004</v>
      </c>
      <c r="D696">
        <v>2000</v>
      </c>
      <c r="E696" t="s">
        <v>54</v>
      </c>
      <c r="F696">
        <v>123</v>
      </c>
      <c r="G696" t="s">
        <v>3999</v>
      </c>
      <c r="H696" t="s">
        <v>1607</v>
      </c>
      <c r="I696" t="s">
        <v>147</v>
      </c>
      <c r="J696" t="s">
        <v>1608</v>
      </c>
      <c r="K696">
        <v>10266</v>
      </c>
      <c r="M696">
        <v>0</v>
      </c>
      <c r="N696" t="s">
        <v>4001</v>
      </c>
      <c r="O696" t="s">
        <v>868</v>
      </c>
      <c r="P696" t="str">
        <f>TRIM(Table13_1[[#This Row],[Genre]])</f>
        <v>Western</v>
      </c>
    </row>
    <row r="697" spans="1:16" x14ac:dyDescent="0.3">
      <c r="A697" t="s">
        <v>1604</v>
      </c>
      <c r="B697" t="s">
        <v>1605</v>
      </c>
      <c r="C697">
        <v>2004</v>
      </c>
      <c r="D697">
        <v>2000</v>
      </c>
      <c r="E697" t="s">
        <v>54</v>
      </c>
      <c r="F697">
        <v>123</v>
      </c>
      <c r="G697" t="s">
        <v>3999</v>
      </c>
      <c r="H697" t="s">
        <v>1607</v>
      </c>
      <c r="I697" t="s">
        <v>147</v>
      </c>
      <c r="J697" t="s">
        <v>1608</v>
      </c>
      <c r="K697">
        <v>10266</v>
      </c>
      <c r="M697">
        <v>0</v>
      </c>
      <c r="N697" t="s">
        <v>4001</v>
      </c>
      <c r="O697" t="s">
        <v>3985</v>
      </c>
      <c r="P697" t="str">
        <f>TRIM(Table13_1[[#This Row],[Genre]])</f>
        <v>Horror</v>
      </c>
    </row>
    <row r="698" spans="1:16" x14ac:dyDescent="0.3">
      <c r="A698" t="s">
        <v>1609</v>
      </c>
      <c r="B698" t="s">
        <v>1610</v>
      </c>
      <c r="C698">
        <v>2002</v>
      </c>
      <c r="D698">
        <v>2000</v>
      </c>
      <c r="E698" t="s">
        <v>24</v>
      </c>
      <c r="F698">
        <v>132</v>
      </c>
      <c r="G698" t="s">
        <v>3999</v>
      </c>
      <c r="H698" t="s">
        <v>269</v>
      </c>
      <c r="I698" t="s">
        <v>57</v>
      </c>
      <c r="J698" t="s">
        <v>1611</v>
      </c>
      <c r="K698">
        <v>37634</v>
      </c>
      <c r="L698">
        <v>477.8</v>
      </c>
      <c r="M698">
        <v>477.8</v>
      </c>
      <c r="N698" t="s">
        <v>3998</v>
      </c>
      <c r="O698" t="s">
        <v>453</v>
      </c>
      <c r="P698" t="str">
        <f>TRIM(Table13_1[[#This Row],[Genre]])</f>
        <v>Musical</v>
      </c>
    </row>
    <row r="699" spans="1:16" x14ac:dyDescent="0.3">
      <c r="A699" t="s">
        <v>1609</v>
      </c>
      <c r="B699" t="s">
        <v>1610</v>
      </c>
      <c r="C699">
        <v>2002</v>
      </c>
      <c r="D699">
        <v>2000</v>
      </c>
      <c r="E699" t="s">
        <v>24</v>
      </c>
      <c r="F699">
        <v>132</v>
      </c>
      <c r="G699" t="s">
        <v>3999</v>
      </c>
      <c r="H699" t="s">
        <v>269</v>
      </c>
      <c r="I699" t="s">
        <v>57</v>
      </c>
      <c r="J699" t="s">
        <v>1611</v>
      </c>
      <c r="K699">
        <v>37634</v>
      </c>
      <c r="L699">
        <v>477.8</v>
      </c>
      <c r="M699">
        <v>477.8</v>
      </c>
      <c r="N699" t="s">
        <v>3998</v>
      </c>
      <c r="O699" t="s">
        <v>3978</v>
      </c>
      <c r="P699" t="str">
        <f>TRIM(Table13_1[[#This Row],[Genre]])</f>
        <v>Mystery</v>
      </c>
    </row>
    <row r="700" spans="1:16" x14ac:dyDescent="0.3">
      <c r="A700" t="s">
        <v>1612</v>
      </c>
      <c r="B700" t="s">
        <v>1613</v>
      </c>
      <c r="C700">
        <v>2008</v>
      </c>
      <c r="D700">
        <v>2000</v>
      </c>
      <c r="E700" t="s">
        <v>285</v>
      </c>
      <c r="F700">
        <v>116</v>
      </c>
      <c r="G700" t="s">
        <v>3997</v>
      </c>
      <c r="H700" t="s">
        <v>1614</v>
      </c>
      <c r="I700" t="s">
        <v>86</v>
      </c>
      <c r="J700" t="s">
        <v>1615</v>
      </c>
      <c r="K700">
        <v>226722</v>
      </c>
      <c r="L700">
        <v>100.44</v>
      </c>
      <c r="M700">
        <v>100.44</v>
      </c>
      <c r="N700" t="s">
        <v>4002</v>
      </c>
      <c r="O700" t="s">
        <v>767</v>
      </c>
      <c r="P700" t="str">
        <f>TRIM(Table13_1[[#This Row],[Genre]])</f>
        <v>Fantasy</v>
      </c>
    </row>
    <row r="701" spans="1:16" x14ac:dyDescent="0.3">
      <c r="A701" t="s">
        <v>1612</v>
      </c>
      <c r="B701" t="s">
        <v>1613</v>
      </c>
      <c r="C701">
        <v>2008</v>
      </c>
      <c r="D701">
        <v>2000</v>
      </c>
      <c r="E701" t="s">
        <v>285</v>
      </c>
      <c r="F701">
        <v>116</v>
      </c>
      <c r="G701" t="s">
        <v>3997</v>
      </c>
      <c r="H701" t="s">
        <v>1614</v>
      </c>
      <c r="I701" t="s">
        <v>86</v>
      </c>
      <c r="J701" t="s">
        <v>1615</v>
      </c>
      <c r="K701">
        <v>226722</v>
      </c>
      <c r="L701">
        <v>100.44</v>
      </c>
      <c r="M701">
        <v>100.44</v>
      </c>
      <c r="N701" t="s">
        <v>4002</v>
      </c>
      <c r="O701" t="s">
        <v>3992</v>
      </c>
      <c r="P701" t="str">
        <f>TRIM(Table13_1[[#This Row],[Genre]])</f>
        <v>Biography</v>
      </c>
    </row>
    <row r="702" spans="1:16" x14ac:dyDescent="0.3">
      <c r="A702" t="s">
        <v>1616</v>
      </c>
      <c r="B702" t="s">
        <v>1617</v>
      </c>
      <c r="C702">
        <v>2004</v>
      </c>
      <c r="D702">
        <v>2000</v>
      </c>
      <c r="E702" t="s">
        <v>54</v>
      </c>
      <c r="F702">
        <v>121</v>
      </c>
      <c r="G702" t="s">
        <v>3999</v>
      </c>
      <c r="H702" t="s">
        <v>1619</v>
      </c>
      <c r="I702" t="s">
        <v>63</v>
      </c>
      <c r="J702" t="s">
        <v>1620</v>
      </c>
      <c r="K702">
        <v>5745</v>
      </c>
      <c r="L702">
        <v>201.39</v>
      </c>
      <c r="M702">
        <v>201.39</v>
      </c>
      <c r="N702" t="s">
        <v>3998</v>
      </c>
      <c r="O702" t="s">
        <v>453</v>
      </c>
      <c r="P702" t="str">
        <f>TRIM(Table13_1[[#This Row],[Genre]])</f>
        <v>Musical</v>
      </c>
    </row>
    <row r="703" spans="1:16" x14ac:dyDescent="0.3">
      <c r="A703" t="s">
        <v>1616</v>
      </c>
      <c r="B703" t="s">
        <v>1617</v>
      </c>
      <c r="C703">
        <v>2004</v>
      </c>
      <c r="D703">
        <v>2000</v>
      </c>
      <c r="E703" t="s">
        <v>54</v>
      </c>
      <c r="F703">
        <v>121</v>
      </c>
      <c r="G703" t="s">
        <v>3999</v>
      </c>
      <c r="H703" t="s">
        <v>1619</v>
      </c>
      <c r="I703" t="s">
        <v>63</v>
      </c>
      <c r="J703" t="s">
        <v>1620</v>
      </c>
      <c r="K703">
        <v>5745</v>
      </c>
      <c r="L703">
        <v>201.39</v>
      </c>
      <c r="M703">
        <v>201.39</v>
      </c>
      <c r="N703" t="s">
        <v>3998</v>
      </c>
      <c r="O703" t="s">
        <v>3993</v>
      </c>
      <c r="P703" t="str">
        <f>TRIM(Table13_1[[#This Row],[Genre]])</f>
        <v>Comedy</v>
      </c>
    </row>
    <row r="704" spans="1:16" x14ac:dyDescent="0.3">
      <c r="A704" t="s">
        <v>1621</v>
      </c>
      <c r="B704" t="s">
        <v>1622</v>
      </c>
      <c r="C704">
        <v>2024</v>
      </c>
      <c r="D704">
        <v>2020</v>
      </c>
      <c r="E704" t="s">
        <v>17</v>
      </c>
      <c r="F704">
        <v>125</v>
      </c>
      <c r="G704" t="s">
        <v>3999</v>
      </c>
      <c r="H704" t="s">
        <v>1623</v>
      </c>
      <c r="I704" t="s">
        <v>196</v>
      </c>
      <c r="J704" t="s">
        <v>1624</v>
      </c>
      <c r="K704">
        <v>79214</v>
      </c>
      <c r="L704">
        <v>234.44</v>
      </c>
      <c r="M704">
        <v>234.44</v>
      </c>
      <c r="N704" t="s">
        <v>3998</v>
      </c>
      <c r="O704" t="s">
        <v>235</v>
      </c>
      <c r="P704" t="str">
        <f>TRIM(Table13_1[[#This Row],[Genre]])</f>
        <v>Drama</v>
      </c>
    </row>
    <row r="705" spans="1:16" x14ac:dyDescent="0.3">
      <c r="A705" t="s">
        <v>1621</v>
      </c>
      <c r="B705" t="s">
        <v>1622</v>
      </c>
      <c r="C705">
        <v>2024</v>
      </c>
      <c r="D705">
        <v>2020</v>
      </c>
      <c r="E705" t="s">
        <v>17</v>
      </c>
      <c r="F705">
        <v>125</v>
      </c>
      <c r="G705" t="s">
        <v>3999</v>
      </c>
      <c r="H705" t="s">
        <v>1623</v>
      </c>
      <c r="I705" t="s">
        <v>196</v>
      </c>
      <c r="J705" t="s">
        <v>1624</v>
      </c>
      <c r="K705">
        <v>79214</v>
      </c>
      <c r="L705">
        <v>234.44</v>
      </c>
      <c r="M705">
        <v>234.44</v>
      </c>
      <c r="N705" t="s">
        <v>3998</v>
      </c>
      <c r="O705" t="s">
        <v>3986</v>
      </c>
      <c r="P705" t="str">
        <f>TRIM(Table13_1[[#This Row],[Genre]])</f>
        <v>Documentary</v>
      </c>
    </row>
    <row r="706" spans="1:16" x14ac:dyDescent="0.3">
      <c r="A706" t="s">
        <v>1625</v>
      </c>
      <c r="B706" t="s">
        <v>1626</v>
      </c>
      <c r="C706">
        <v>2010</v>
      </c>
      <c r="D706">
        <v>2010</v>
      </c>
      <c r="E706" t="s">
        <v>24</v>
      </c>
      <c r="F706">
        <v>146</v>
      </c>
      <c r="G706" t="s">
        <v>3999</v>
      </c>
      <c r="H706" t="s">
        <v>395</v>
      </c>
      <c r="I706" t="s">
        <v>251</v>
      </c>
      <c r="J706" t="s">
        <v>1628</v>
      </c>
      <c r="K706">
        <v>118637</v>
      </c>
      <c r="M706">
        <v>0</v>
      </c>
      <c r="N706" t="s">
        <v>4001</v>
      </c>
      <c r="O706" t="s">
        <v>277</v>
      </c>
      <c r="P706" t="str">
        <f>TRIM(Table13_1[[#This Row],[Genre]])</f>
        <v>Thriller</v>
      </c>
    </row>
    <row r="707" spans="1:16" x14ac:dyDescent="0.3">
      <c r="A707" t="s">
        <v>1625</v>
      </c>
      <c r="B707" t="s">
        <v>1626</v>
      </c>
      <c r="C707">
        <v>2010</v>
      </c>
      <c r="D707">
        <v>2010</v>
      </c>
      <c r="E707" t="s">
        <v>24</v>
      </c>
      <c r="F707">
        <v>146</v>
      </c>
      <c r="G707" t="s">
        <v>3999</v>
      </c>
      <c r="H707" t="s">
        <v>395</v>
      </c>
      <c r="I707" t="s">
        <v>251</v>
      </c>
      <c r="J707" t="s">
        <v>1628</v>
      </c>
      <c r="K707">
        <v>118637</v>
      </c>
      <c r="M707">
        <v>0</v>
      </c>
      <c r="N707" t="s">
        <v>4001</v>
      </c>
      <c r="O707" t="s">
        <v>3992</v>
      </c>
      <c r="P707" t="str">
        <f>TRIM(Table13_1[[#This Row],[Genre]])</f>
        <v>Biography</v>
      </c>
    </row>
    <row r="708" spans="1:16" x14ac:dyDescent="0.3">
      <c r="A708" t="s">
        <v>1625</v>
      </c>
      <c r="B708" t="s">
        <v>1626</v>
      </c>
      <c r="C708">
        <v>2010</v>
      </c>
      <c r="D708">
        <v>2010</v>
      </c>
      <c r="E708" t="s">
        <v>24</v>
      </c>
      <c r="F708">
        <v>146</v>
      </c>
      <c r="G708" t="s">
        <v>3999</v>
      </c>
      <c r="H708" t="s">
        <v>395</v>
      </c>
      <c r="I708" t="s">
        <v>251</v>
      </c>
      <c r="J708" t="s">
        <v>1628</v>
      </c>
      <c r="K708">
        <v>118637</v>
      </c>
      <c r="M708">
        <v>0</v>
      </c>
      <c r="N708" t="s">
        <v>4001</v>
      </c>
      <c r="O708" t="s">
        <v>3989</v>
      </c>
      <c r="P708" t="str">
        <f>TRIM(Table13_1[[#This Row],[Genre]])</f>
        <v>Sci-Fi</v>
      </c>
    </row>
    <row r="709" spans="1:16" x14ac:dyDescent="0.3">
      <c r="A709" t="s">
        <v>1629</v>
      </c>
      <c r="B709" t="s">
        <v>1630</v>
      </c>
      <c r="C709">
        <v>2022</v>
      </c>
      <c r="D709">
        <v>2020</v>
      </c>
      <c r="E709" t="s">
        <v>24</v>
      </c>
      <c r="F709">
        <v>130</v>
      </c>
      <c r="G709" t="s">
        <v>3999</v>
      </c>
      <c r="H709" t="s">
        <v>1631</v>
      </c>
      <c r="I709" t="s">
        <v>251</v>
      </c>
      <c r="J709" t="s">
        <v>1632</v>
      </c>
      <c r="K709">
        <v>299168</v>
      </c>
      <c r="L709">
        <v>319.23</v>
      </c>
      <c r="M709">
        <v>319.23</v>
      </c>
      <c r="N709" t="s">
        <v>3998</v>
      </c>
      <c r="O709" t="s">
        <v>55</v>
      </c>
      <c r="P709" t="str">
        <f>TRIM(Table13_1[[#This Row],[Genre]])</f>
        <v>Romance</v>
      </c>
    </row>
    <row r="710" spans="1:16" x14ac:dyDescent="0.3">
      <c r="A710" t="s">
        <v>1633</v>
      </c>
      <c r="B710" t="s">
        <v>1634</v>
      </c>
      <c r="C710">
        <v>2006</v>
      </c>
      <c r="D710">
        <v>2000</v>
      </c>
      <c r="E710" t="s">
        <v>24</v>
      </c>
      <c r="F710">
        <v>89</v>
      </c>
      <c r="G710" t="s">
        <v>4000</v>
      </c>
      <c r="H710" t="s">
        <v>124</v>
      </c>
      <c r="I710" t="s">
        <v>221</v>
      </c>
      <c r="J710" t="s">
        <v>1636</v>
      </c>
      <c r="K710">
        <v>141221</v>
      </c>
      <c r="L710">
        <v>413.99</v>
      </c>
      <c r="M710">
        <v>413.99</v>
      </c>
      <c r="N710" t="s">
        <v>3998</v>
      </c>
      <c r="O710" t="s">
        <v>230</v>
      </c>
      <c r="P710" t="str">
        <f>TRIM(Table13_1[[#This Row],[Genre]])</f>
        <v>Documentary</v>
      </c>
    </row>
    <row r="711" spans="1:16" x14ac:dyDescent="0.3">
      <c r="A711" t="s">
        <v>1633</v>
      </c>
      <c r="B711" t="s">
        <v>1634</v>
      </c>
      <c r="C711">
        <v>2006</v>
      </c>
      <c r="D711">
        <v>2000</v>
      </c>
      <c r="E711" t="s">
        <v>24</v>
      </c>
      <c r="F711">
        <v>89</v>
      </c>
      <c r="G711" t="s">
        <v>4000</v>
      </c>
      <c r="H711" t="s">
        <v>124</v>
      </c>
      <c r="I711" t="s">
        <v>221</v>
      </c>
      <c r="J711" t="s">
        <v>1636</v>
      </c>
      <c r="K711">
        <v>141221</v>
      </c>
      <c r="L711">
        <v>413.99</v>
      </c>
      <c r="M711">
        <v>413.99</v>
      </c>
      <c r="N711" t="s">
        <v>3998</v>
      </c>
      <c r="O711" t="s">
        <v>3988</v>
      </c>
      <c r="P711" t="str">
        <f>TRIM(Table13_1[[#This Row],[Genre]])</f>
        <v>Drama</v>
      </c>
    </row>
    <row r="712" spans="1:16" x14ac:dyDescent="0.3">
      <c r="A712" t="s">
        <v>1637</v>
      </c>
      <c r="B712" t="s">
        <v>1638</v>
      </c>
      <c r="C712">
        <v>2006</v>
      </c>
      <c r="D712">
        <v>2000</v>
      </c>
      <c r="E712" t="s">
        <v>169</v>
      </c>
      <c r="F712">
        <v>125</v>
      </c>
      <c r="G712" t="s">
        <v>3999</v>
      </c>
      <c r="H712" t="s">
        <v>305</v>
      </c>
      <c r="I712" t="s">
        <v>593</v>
      </c>
      <c r="J712" t="s">
        <v>1640</v>
      </c>
      <c r="K712">
        <v>99796</v>
      </c>
      <c r="M712">
        <v>0</v>
      </c>
      <c r="N712" t="s">
        <v>4001</v>
      </c>
      <c r="O712" t="s">
        <v>78</v>
      </c>
      <c r="P712" t="str">
        <f>TRIM(Table13_1[[#This Row],[Genre]])</f>
        <v>Adventure</v>
      </c>
    </row>
    <row r="713" spans="1:16" x14ac:dyDescent="0.3">
      <c r="A713" t="s">
        <v>1637</v>
      </c>
      <c r="B713" t="s">
        <v>1638</v>
      </c>
      <c r="C713">
        <v>2006</v>
      </c>
      <c r="D713">
        <v>2000</v>
      </c>
      <c r="E713" t="s">
        <v>169</v>
      </c>
      <c r="F713">
        <v>125</v>
      </c>
      <c r="G713" t="s">
        <v>3999</v>
      </c>
      <c r="H713" t="s">
        <v>305</v>
      </c>
      <c r="I713" t="s">
        <v>593</v>
      </c>
      <c r="J713" t="s">
        <v>1640</v>
      </c>
      <c r="K713">
        <v>99796</v>
      </c>
      <c r="M713">
        <v>0</v>
      </c>
      <c r="N713" t="s">
        <v>4001</v>
      </c>
      <c r="O713" t="s">
        <v>3993</v>
      </c>
      <c r="P713" t="str">
        <f>TRIM(Table13_1[[#This Row],[Genre]])</f>
        <v>Comedy</v>
      </c>
    </row>
    <row r="714" spans="1:16" x14ac:dyDescent="0.3">
      <c r="A714" t="s">
        <v>1637</v>
      </c>
      <c r="B714" t="s">
        <v>1638</v>
      </c>
      <c r="C714">
        <v>2006</v>
      </c>
      <c r="D714">
        <v>2000</v>
      </c>
      <c r="E714" t="s">
        <v>169</v>
      </c>
      <c r="F714">
        <v>125</v>
      </c>
      <c r="G714" t="s">
        <v>3999</v>
      </c>
      <c r="H714" t="s">
        <v>305</v>
      </c>
      <c r="I714" t="s">
        <v>593</v>
      </c>
      <c r="J714" t="s">
        <v>1640</v>
      </c>
      <c r="K714">
        <v>99796</v>
      </c>
      <c r="M714">
        <v>0</v>
      </c>
      <c r="N714" t="s">
        <v>4001</v>
      </c>
      <c r="O714" t="s">
        <v>3986</v>
      </c>
      <c r="P714" t="str">
        <f>TRIM(Table13_1[[#This Row],[Genre]])</f>
        <v>Documentary</v>
      </c>
    </row>
    <row r="715" spans="1:16" x14ac:dyDescent="0.3">
      <c r="A715" t="s">
        <v>1641</v>
      </c>
      <c r="B715" t="s">
        <v>1642</v>
      </c>
      <c r="C715">
        <v>2006</v>
      </c>
      <c r="D715">
        <v>2000</v>
      </c>
      <c r="E715" t="s">
        <v>24</v>
      </c>
      <c r="F715">
        <v>125</v>
      </c>
      <c r="G715" t="s">
        <v>3999</v>
      </c>
      <c r="H715" t="s">
        <v>1644</v>
      </c>
      <c r="I715" t="s">
        <v>165</v>
      </c>
      <c r="J715" t="s">
        <v>1645</v>
      </c>
      <c r="K715">
        <v>5587</v>
      </c>
      <c r="L715">
        <v>21.88</v>
      </c>
      <c r="M715">
        <v>21.88</v>
      </c>
      <c r="N715" t="s">
        <v>4001</v>
      </c>
      <c r="O715" t="s">
        <v>277</v>
      </c>
      <c r="P715" t="str">
        <f>TRIM(Table13_1[[#This Row],[Genre]])</f>
        <v>Thriller</v>
      </c>
    </row>
    <row r="716" spans="1:16" x14ac:dyDescent="0.3">
      <c r="A716" t="s">
        <v>1641</v>
      </c>
      <c r="B716" t="s">
        <v>1642</v>
      </c>
      <c r="C716">
        <v>2006</v>
      </c>
      <c r="D716">
        <v>2000</v>
      </c>
      <c r="E716" t="s">
        <v>24</v>
      </c>
      <c r="F716">
        <v>125</v>
      </c>
      <c r="G716" t="s">
        <v>3999</v>
      </c>
      <c r="H716" t="s">
        <v>1644</v>
      </c>
      <c r="I716" t="s">
        <v>165</v>
      </c>
      <c r="J716" t="s">
        <v>1645</v>
      </c>
      <c r="K716">
        <v>5587</v>
      </c>
      <c r="L716">
        <v>21.88</v>
      </c>
      <c r="M716">
        <v>21.88</v>
      </c>
      <c r="N716" t="s">
        <v>4001</v>
      </c>
      <c r="O716" t="s">
        <v>3983</v>
      </c>
      <c r="P716" t="str">
        <f>TRIM(Table13_1[[#This Row],[Genre]])</f>
        <v>Crime</v>
      </c>
    </row>
    <row r="717" spans="1:16" x14ac:dyDescent="0.3">
      <c r="A717" t="s">
        <v>1641</v>
      </c>
      <c r="B717" t="s">
        <v>1642</v>
      </c>
      <c r="C717">
        <v>2006</v>
      </c>
      <c r="D717">
        <v>2000</v>
      </c>
      <c r="E717" t="s">
        <v>24</v>
      </c>
      <c r="F717">
        <v>125</v>
      </c>
      <c r="G717" t="s">
        <v>3999</v>
      </c>
      <c r="H717" t="s">
        <v>1644</v>
      </c>
      <c r="I717" t="s">
        <v>165</v>
      </c>
      <c r="J717" t="s">
        <v>1645</v>
      </c>
      <c r="K717">
        <v>5587</v>
      </c>
      <c r="L717">
        <v>21.88</v>
      </c>
      <c r="M717">
        <v>21.88</v>
      </c>
      <c r="N717" t="s">
        <v>4001</v>
      </c>
      <c r="O717" t="s">
        <v>3980</v>
      </c>
      <c r="P717" t="str">
        <f>TRIM(Table13_1[[#This Row],[Genre]])</f>
        <v>Action</v>
      </c>
    </row>
    <row r="718" spans="1:16" x14ac:dyDescent="0.3">
      <c r="A718" t="s">
        <v>1646</v>
      </c>
      <c r="B718" t="s">
        <v>1647</v>
      </c>
      <c r="C718">
        <v>1997</v>
      </c>
      <c r="D718">
        <v>1990</v>
      </c>
      <c r="E718" t="s">
        <v>285</v>
      </c>
      <c r="F718">
        <v>106</v>
      </c>
      <c r="G718" t="s">
        <v>3997</v>
      </c>
      <c r="H718" t="s">
        <v>1648</v>
      </c>
      <c r="I718" t="s">
        <v>165</v>
      </c>
      <c r="J718" t="s">
        <v>1649</v>
      </c>
      <c r="K718">
        <v>19055</v>
      </c>
      <c r="L718">
        <v>206.95</v>
      </c>
      <c r="M718">
        <v>206.95</v>
      </c>
      <c r="N718" t="s">
        <v>3998</v>
      </c>
      <c r="O718" t="s">
        <v>157</v>
      </c>
      <c r="P718" t="str">
        <f>TRIM(Table13_1[[#This Row],[Genre]])</f>
        <v>Animation</v>
      </c>
    </row>
    <row r="719" spans="1:16" x14ac:dyDescent="0.3">
      <c r="A719" t="s">
        <v>1650</v>
      </c>
      <c r="B719" t="s">
        <v>1651</v>
      </c>
      <c r="C719">
        <v>2004</v>
      </c>
      <c r="D719">
        <v>2000</v>
      </c>
      <c r="E719" t="s">
        <v>17</v>
      </c>
      <c r="F719">
        <v>121</v>
      </c>
      <c r="G719" t="s">
        <v>3999</v>
      </c>
      <c r="H719" t="s">
        <v>1652</v>
      </c>
      <c r="I719" t="s">
        <v>57</v>
      </c>
      <c r="J719" t="s">
        <v>1653</v>
      </c>
      <c r="K719">
        <v>53865</v>
      </c>
      <c r="L719">
        <v>376.85</v>
      </c>
      <c r="M719">
        <v>376.85</v>
      </c>
      <c r="N719" t="s">
        <v>3998</v>
      </c>
      <c r="O719" t="s">
        <v>1044</v>
      </c>
      <c r="P719" t="str">
        <f>TRIM(Table13_1[[#This Row],[Genre]])</f>
        <v>Comedy</v>
      </c>
    </row>
    <row r="720" spans="1:16" x14ac:dyDescent="0.3">
      <c r="A720" t="s">
        <v>1650</v>
      </c>
      <c r="B720" t="s">
        <v>1651</v>
      </c>
      <c r="C720">
        <v>2004</v>
      </c>
      <c r="D720">
        <v>2000</v>
      </c>
      <c r="E720" t="s">
        <v>17</v>
      </c>
      <c r="F720">
        <v>121</v>
      </c>
      <c r="G720" t="s">
        <v>3999</v>
      </c>
      <c r="H720" t="s">
        <v>1652</v>
      </c>
      <c r="I720" t="s">
        <v>57</v>
      </c>
      <c r="J720" t="s">
        <v>1653</v>
      </c>
      <c r="K720">
        <v>53865</v>
      </c>
      <c r="L720">
        <v>376.85</v>
      </c>
      <c r="M720">
        <v>376.85</v>
      </c>
      <c r="N720" t="s">
        <v>3998</v>
      </c>
      <c r="O720" t="s">
        <v>3982</v>
      </c>
      <c r="P720" t="str">
        <f>TRIM(Table13_1[[#This Row],[Genre]])</f>
        <v>Family</v>
      </c>
    </row>
    <row r="721" spans="1:16" x14ac:dyDescent="0.3">
      <c r="A721" t="s">
        <v>1654</v>
      </c>
      <c r="B721" t="s">
        <v>1655</v>
      </c>
      <c r="C721">
        <v>2022</v>
      </c>
      <c r="D721">
        <v>2020</v>
      </c>
      <c r="E721" t="s">
        <v>24</v>
      </c>
      <c r="F721">
        <v>119</v>
      </c>
      <c r="G721" t="s">
        <v>3997</v>
      </c>
      <c r="H721" t="s">
        <v>269</v>
      </c>
      <c r="I721" t="s">
        <v>547</v>
      </c>
      <c r="J721" t="s">
        <v>1657</v>
      </c>
      <c r="K721">
        <v>163163</v>
      </c>
      <c r="L721">
        <v>123.14</v>
      </c>
      <c r="M721">
        <v>123.14</v>
      </c>
      <c r="N721" t="s">
        <v>4002</v>
      </c>
      <c r="O721" t="s">
        <v>453</v>
      </c>
      <c r="P721" t="str">
        <f>TRIM(Table13_1[[#This Row],[Genre]])</f>
        <v>Musical</v>
      </c>
    </row>
    <row r="722" spans="1:16" x14ac:dyDescent="0.3">
      <c r="A722" t="s">
        <v>1654</v>
      </c>
      <c r="B722" t="s">
        <v>1655</v>
      </c>
      <c r="C722">
        <v>2022</v>
      </c>
      <c r="D722">
        <v>2020</v>
      </c>
      <c r="E722" t="s">
        <v>24</v>
      </c>
      <c r="F722">
        <v>119</v>
      </c>
      <c r="G722" t="s">
        <v>3997</v>
      </c>
      <c r="H722" t="s">
        <v>269</v>
      </c>
      <c r="I722" t="s">
        <v>547</v>
      </c>
      <c r="J722" t="s">
        <v>1657</v>
      </c>
      <c r="K722">
        <v>163163</v>
      </c>
      <c r="L722">
        <v>123.14</v>
      </c>
      <c r="M722">
        <v>123.14</v>
      </c>
      <c r="N722" t="s">
        <v>4002</v>
      </c>
      <c r="O722" t="s">
        <v>3988</v>
      </c>
      <c r="P722" t="str">
        <f>TRIM(Table13_1[[#This Row],[Genre]])</f>
        <v>Drama</v>
      </c>
    </row>
    <row r="723" spans="1:16" x14ac:dyDescent="0.3">
      <c r="A723" t="s">
        <v>1658</v>
      </c>
      <c r="B723" t="s">
        <v>1659</v>
      </c>
      <c r="C723">
        <v>2008</v>
      </c>
      <c r="D723">
        <v>2000</v>
      </c>
      <c r="E723" t="s">
        <v>24</v>
      </c>
      <c r="F723">
        <v>129</v>
      </c>
      <c r="G723" t="s">
        <v>3999</v>
      </c>
      <c r="H723" t="s">
        <v>1660</v>
      </c>
      <c r="I723" t="s">
        <v>68</v>
      </c>
      <c r="J723" t="s">
        <v>1661</v>
      </c>
      <c r="K723">
        <v>117191</v>
      </c>
      <c r="L723">
        <v>157.81</v>
      </c>
      <c r="M723">
        <v>157.81</v>
      </c>
      <c r="N723" t="s">
        <v>4002</v>
      </c>
      <c r="O723" t="s">
        <v>277</v>
      </c>
      <c r="P723" t="str">
        <f>TRIM(Table13_1[[#This Row],[Genre]])</f>
        <v>Thriller</v>
      </c>
    </row>
    <row r="724" spans="1:16" x14ac:dyDescent="0.3">
      <c r="A724" t="s">
        <v>1662</v>
      </c>
      <c r="B724" t="s">
        <v>1663</v>
      </c>
      <c r="C724">
        <v>2016</v>
      </c>
      <c r="D724">
        <v>2010</v>
      </c>
      <c r="E724" t="s">
        <v>54</v>
      </c>
      <c r="F724">
        <v>106</v>
      </c>
      <c r="G724" t="s">
        <v>3997</v>
      </c>
      <c r="H724" t="s">
        <v>19</v>
      </c>
      <c r="I724" t="s">
        <v>74</v>
      </c>
      <c r="J724" t="s">
        <v>1665</v>
      </c>
      <c r="K724">
        <v>88491</v>
      </c>
      <c r="L724">
        <v>486.65</v>
      </c>
      <c r="M724">
        <v>486.65</v>
      </c>
      <c r="N724" t="s">
        <v>3998</v>
      </c>
      <c r="O724" t="s">
        <v>210</v>
      </c>
      <c r="P724" t="str">
        <f>TRIM(Table13_1[[#This Row],[Genre]])</f>
        <v>Action</v>
      </c>
    </row>
    <row r="725" spans="1:16" x14ac:dyDescent="0.3">
      <c r="A725" t="s">
        <v>1662</v>
      </c>
      <c r="B725" t="s">
        <v>1663</v>
      </c>
      <c r="C725">
        <v>2016</v>
      </c>
      <c r="D725">
        <v>2010</v>
      </c>
      <c r="E725" t="s">
        <v>54</v>
      </c>
      <c r="F725">
        <v>106</v>
      </c>
      <c r="G725" t="s">
        <v>3997</v>
      </c>
      <c r="H725" t="s">
        <v>19</v>
      </c>
      <c r="I725" t="s">
        <v>74</v>
      </c>
      <c r="J725" t="s">
        <v>1665</v>
      </c>
      <c r="K725">
        <v>88491</v>
      </c>
      <c r="L725">
        <v>486.65</v>
      </c>
      <c r="M725">
        <v>486.65</v>
      </c>
      <c r="N725" t="s">
        <v>3998</v>
      </c>
      <c r="O725" t="s">
        <v>3981</v>
      </c>
      <c r="P725" t="str">
        <f>TRIM(Table13_1[[#This Row],[Genre]])</f>
        <v>Romance</v>
      </c>
    </row>
    <row r="726" spans="1:16" x14ac:dyDescent="0.3">
      <c r="A726" t="s">
        <v>1662</v>
      </c>
      <c r="B726" t="s">
        <v>1663</v>
      </c>
      <c r="C726">
        <v>2016</v>
      </c>
      <c r="D726">
        <v>2010</v>
      </c>
      <c r="E726" t="s">
        <v>54</v>
      </c>
      <c r="F726">
        <v>106</v>
      </c>
      <c r="G726" t="s">
        <v>3997</v>
      </c>
      <c r="H726" t="s">
        <v>19</v>
      </c>
      <c r="I726" t="s">
        <v>74</v>
      </c>
      <c r="J726" t="s">
        <v>1665</v>
      </c>
      <c r="K726">
        <v>88491</v>
      </c>
      <c r="L726">
        <v>486.65</v>
      </c>
      <c r="M726">
        <v>486.65</v>
      </c>
      <c r="N726" t="s">
        <v>3998</v>
      </c>
      <c r="O726" t="s">
        <v>3985</v>
      </c>
      <c r="P726" t="str">
        <f>TRIM(Table13_1[[#This Row],[Genre]])</f>
        <v>Horror</v>
      </c>
    </row>
    <row r="727" spans="1:16" x14ac:dyDescent="0.3">
      <c r="A727" t="s">
        <v>1666</v>
      </c>
      <c r="B727" t="s">
        <v>1667</v>
      </c>
      <c r="C727">
        <v>2008</v>
      </c>
      <c r="D727">
        <v>2000</v>
      </c>
      <c r="E727" t="s">
        <v>24</v>
      </c>
      <c r="F727">
        <v>95</v>
      </c>
      <c r="G727" t="s">
        <v>3997</v>
      </c>
      <c r="H727" t="s">
        <v>136</v>
      </c>
      <c r="I727" t="s">
        <v>718</v>
      </c>
      <c r="J727" t="s">
        <v>1669</v>
      </c>
      <c r="K727">
        <v>153038</v>
      </c>
      <c r="L727">
        <v>278.48</v>
      </c>
      <c r="M727">
        <v>278.48</v>
      </c>
      <c r="N727" t="s">
        <v>3998</v>
      </c>
      <c r="O727" t="s">
        <v>43</v>
      </c>
      <c r="P727" t="str">
        <f>TRIM(Table13_1[[#This Row],[Genre]])</f>
        <v>Mystery</v>
      </c>
    </row>
    <row r="728" spans="1:16" x14ac:dyDescent="0.3">
      <c r="A728" t="s">
        <v>1666</v>
      </c>
      <c r="B728" t="s">
        <v>1667</v>
      </c>
      <c r="C728">
        <v>2008</v>
      </c>
      <c r="D728">
        <v>2000</v>
      </c>
      <c r="E728" t="s">
        <v>24</v>
      </c>
      <c r="F728">
        <v>95</v>
      </c>
      <c r="G728" t="s">
        <v>3997</v>
      </c>
      <c r="H728" t="s">
        <v>136</v>
      </c>
      <c r="I728" t="s">
        <v>718</v>
      </c>
      <c r="J728" t="s">
        <v>1669</v>
      </c>
      <c r="K728">
        <v>153038</v>
      </c>
      <c r="L728">
        <v>278.48</v>
      </c>
      <c r="M728">
        <v>278.48</v>
      </c>
      <c r="N728" t="s">
        <v>3998</v>
      </c>
      <c r="O728" t="s">
        <v>3982</v>
      </c>
      <c r="P728" t="str">
        <f>TRIM(Table13_1[[#This Row],[Genre]])</f>
        <v>Family</v>
      </c>
    </row>
    <row r="729" spans="1:16" x14ac:dyDescent="0.3">
      <c r="A729" t="s">
        <v>1666</v>
      </c>
      <c r="B729" t="s">
        <v>1667</v>
      </c>
      <c r="C729">
        <v>2008</v>
      </c>
      <c r="D729">
        <v>2000</v>
      </c>
      <c r="E729" t="s">
        <v>24</v>
      </c>
      <c r="F729">
        <v>95</v>
      </c>
      <c r="G729" t="s">
        <v>3997</v>
      </c>
      <c r="H729" t="s">
        <v>136</v>
      </c>
      <c r="I729" t="s">
        <v>718</v>
      </c>
      <c r="J729" t="s">
        <v>1669</v>
      </c>
      <c r="K729">
        <v>153038</v>
      </c>
      <c r="L729">
        <v>278.48</v>
      </c>
      <c r="M729">
        <v>278.48</v>
      </c>
      <c r="N729" t="s">
        <v>3998</v>
      </c>
      <c r="O729" t="s">
        <v>3989</v>
      </c>
      <c r="P729" t="str">
        <f>TRIM(Table13_1[[#This Row],[Genre]])</f>
        <v>Sci-Fi</v>
      </c>
    </row>
    <row r="730" spans="1:16" x14ac:dyDescent="0.3">
      <c r="A730" t="s">
        <v>1670</v>
      </c>
      <c r="B730" t="s">
        <v>1671</v>
      </c>
      <c r="C730">
        <v>2000</v>
      </c>
      <c r="D730">
        <v>2000</v>
      </c>
      <c r="E730" t="s">
        <v>17</v>
      </c>
      <c r="F730">
        <v>102</v>
      </c>
      <c r="G730" t="s">
        <v>3997</v>
      </c>
      <c r="H730" t="s">
        <v>1672</v>
      </c>
      <c r="I730" t="s">
        <v>74</v>
      </c>
      <c r="J730" t="s">
        <v>1673</v>
      </c>
      <c r="K730">
        <v>14435</v>
      </c>
      <c r="M730">
        <v>0</v>
      </c>
      <c r="N730" t="s">
        <v>4001</v>
      </c>
      <c r="O730" t="s">
        <v>48</v>
      </c>
      <c r="P730" t="str">
        <f>TRIM(Table13_1[[#This Row],[Genre]])</f>
        <v>Crime</v>
      </c>
    </row>
    <row r="731" spans="1:16" x14ac:dyDescent="0.3">
      <c r="A731" t="s">
        <v>1674</v>
      </c>
      <c r="B731" t="s">
        <v>1675</v>
      </c>
      <c r="C731">
        <v>2013</v>
      </c>
      <c r="D731">
        <v>2010</v>
      </c>
      <c r="E731" t="s">
        <v>24</v>
      </c>
      <c r="F731">
        <v>107</v>
      </c>
      <c r="G731" t="s">
        <v>3997</v>
      </c>
      <c r="H731" t="s">
        <v>1677</v>
      </c>
      <c r="I731" t="s">
        <v>63</v>
      </c>
      <c r="J731" t="s">
        <v>1678</v>
      </c>
      <c r="K731">
        <v>125623</v>
      </c>
      <c r="L731">
        <v>83.13</v>
      </c>
      <c r="M731">
        <v>83.13</v>
      </c>
      <c r="N731" t="s">
        <v>4001</v>
      </c>
      <c r="O731" t="s">
        <v>78</v>
      </c>
      <c r="P731" t="str">
        <f>TRIM(Table13_1[[#This Row],[Genre]])</f>
        <v>Adventure</v>
      </c>
    </row>
    <row r="732" spans="1:16" x14ac:dyDescent="0.3">
      <c r="A732" t="s">
        <v>1674</v>
      </c>
      <c r="B732" t="s">
        <v>1675</v>
      </c>
      <c r="C732">
        <v>2013</v>
      </c>
      <c r="D732">
        <v>2010</v>
      </c>
      <c r="E732" t="s">
        <v>24</v>
      </c>
      <c r="F732">
        <v>107</v>
      </c>
      <c r="G732" t="s">
        <v>3997</v>
      </c>
      <c r="H732" t="s">
        <v>1677</v>
      </c>
      <c r="I732" t="s">
        <v>63</v>
      </c>
      <c r="J732" t="s">
        <v>1678</v>
      </c>
      <c r="K732">
        <v>125623</v>
      </c>
      <c r="L732">
        <v>83.13</v>
      </c>
      <c r="M732">
        <v>83.13</v>
      </c>
      <c r="N732" t="s">
        <v>4001</v>
      </c>
      <c r="O732" t="s">
        <v>3991</v>
      </c>
      <c r="P732" t="str">
        <f>TRIM(Table13_1[[#This Row],[Genre]])</f>
        <v>Thriller</v>
      </c>
    </row>
    <row r="733" spans="1:16" x14ac:dyDescent="0.3">
      <c r="A733" t="s">
        <v>1674</v>
      </c>
      <c r="B733" t="s">
        <v>1675</v>
      </c>
      <c r="C733">
        <v>2013</v>
      </c>
      <c r="D733">
        <v>2010</v>
      </c>
      <c r="E733" t="s">
        <v>24</v>
      </c>
      <c r="F733">
        <v>107</v>
      </c>
      <c r="G733" t="s">
        <v>3997</v>
      </c>
      <c r="H733" t="s">
        <v>1677</v>
      </c>
      <c r="I733" t="s">
        <v>63</v>
      </c>
      <c r="J733" t="s">
        <v>1678</v>
      </c>
      <c r="K733">
        <v>125623</v>
      </c>
      <c r="L733">
        <v>83.13</v>
      </c>
      <c r="M733">
        <v>83.13</v>
      </c>
      <c r="N733" t="s">
        <v>4001</v>
      </c>
      <c r="O733" t="s">
        <v>3988</v>
      </c>
      <c r="P733" t="str">
        <f>TRIM(Table13_1[[#This Row],[Genre]])</f>
        <v>Drama</v>
      </c>
    </row>
    <row r="734" spans="1:16" x14ac:dyDescent="0.3">
      <c r="A734" t="s">
        <v>1679</v>
      </c>
      <c r="B734" t="s">
        <v>1680</v>
      </c>
      <c r="C734">
        <v>2013</v>
      </c>
      <c r="D734">
        <v>2010</v>
      </c>
      <c r="E734" t="s">
        <v>17</v>
      </c>
      <c r="F734">
        <v>127</v>
      </c>
      <c r="G734" t="s">
        <v>3999</v>
      </c>
      <c r="H734" t="s">
        <v>250</v>
      </c>
      <c r="I734" t="s">
        <v>63</v>
      </c>
      <c r="J734" t="s">
        <v>1681</v>
      </c>
      <c r="K734">
        <v>3322</v>
      </c>
      <c r="L734">
        <v>384.56</v>
      </c>
      <c r="M734">
        <v>384.56</v>
      </c>
      <c r="N734" t="s">
        <v>3998</v>
      </c>
      <c r="O734" t="s">
        <v>606</v>
      </c>
      <c r="P734" t="str">
        <f>TRIM(Table13_1[[#This Row],[Genre]])</f>
        <v>Sci-Fi</v>
      </c>
    </row>
    <row r="735" spans="1:16" x14ac:dyDescent="0.3">
      <c r="A735" t="s">
        <v>1682</v>
      </c>
      <c r="B735" t="s">
        <v>1683</v>
      </c>
      <c r="C735">
        <v>2021</v>
      </c>
      <c r="D735">
        <v>2020</v>
      </c>
      <c r="E735" t="s">
        <v>54</v>
      </c>
      <c r="F735">
        <v>118</v>
      </c>
      <c r="G735" t="s">
        <v>3997</v>
      </c>
      <c r="H735" t="s">
        <v>19</v>
      </c>
      <c r="I735" t="s">
        <v>63</v>
      </c>
      <c r="J735" t="s">
        <v>1684</v>
      </c>
      <c r="K735">
        <v>222298</v>
      </c>
      <c r="L735">
        <v>249.57</v>
      </c>
      <c r="M735">
        <v>249.57</v>
      </c>
      <c r="N735" t="s">
        <v>3998</v>
      </c>
      <c r="O735" t="s">
        <v>210</v>
      </c>
      <c r="P735" t="str">
        <f>TRIM(Table13_1[[#This Row],[Genre]])</f>
        <v>Action</v>
      </c>
    </row>
    <row r="736" spans="1:16" x14ac:dyDescent="0.3">
      <c r="A736" t="s">
        <v>1685</v>
      </c>
      <c r="B736" t="s">
        <v>1686</v>
      </c>
      <c r="C736">
        <v>2019</v>
      </c>
      <c r="D736">
        <v>2010</v>
      </c>
      <c r="E736" t="s">
        <v>24</v>
      </c>
      <c r="F736">
        <v>139</v>
      </c>
      <c r="G736" t="s">
        <v>3999</v>
      </c>
      <c r="H736" t="s">
        <v>634</v>
      </c>
      <c r="I736" t="s">
        <v>113</v>
      </c>
      <c r="J736" t="s">
        <v>1688</v>
      </c>
      <c r="K736">
        <v>22712</v>
      </c>
      <c r="M736">
        <v>0</v>
      </c>
      <c r="N736" t="s">
        <v>4001</v>
      </c>
      <c r="O736" t="s">
        <v>129</v>
      </c>
      <c r="P736" t="str">
        <f>TRIM(Table13_1[[#This Row],[Genre]])</f>
        <v>Horror</v>
      </c>
    </row>
    <row r="737" spans="1:16" x14ac:dyDescent="0.3">
      <c r="A737" t="s">
        <v>1685</v>
      </c>
      <c r="B737" t="s">
        <v>1686</v>
      </c>
      <c r="C737">
        <v>2019</v>
      </c>
      <c r="D737">
        <v>2010</v>
      </c>
      <c r="E737" t="s">
        <v>24</v>
      </c>
      <c r="F737">
        <v>139</v>
      </c>
      <c r="G737" t="s">
        <v>3999</v>
      </c>
      <c r="H737" t="s">
        <v>634</v>
      </c>
      <c r="I737" t="s">
        <v>113</v>
      </c>
      <c r="J737" t="s">
        <v>1688</v>
      </c>
      <c r="K737">
        <v>22712</v>
      </c>
      <c r="M737">
        <v>0</v>
      </c>
      <c r="N737" t="s">
        <v>4001</v>
      </c>
      <c r="O737" t="s">
        <v>3983</v>
      </c>
      <c r="P737" t="str">
        <f>TRIM(Table13_1[[#This Row],[Genre]])</f>
        <v>Crime</v>
      </c>
    </row>
    <row r="738" spans="1:16" x14ac:dyDescent="0.3">
      <c r="A738" t="s">
        <v>1689</v>
      </c>
      <c r="B738" t="s">
        <v>1690</v>
      </c>
      <c r="C738">
        <v>2022</v>
      </c>
      <c r="D738">
        <v>2020</v>
      </c>
      <c r="E738" t="s">
        <v>17</v>
      </c>
      <c r="F738">
        <v>133</v>
      </c>
      <c r="G738" t="s">
        <v>3999</v>
      </c>
      <c r="H738" t="s">
        <v>566</v>
      </c>
      <c r="I738" t="s">
        <v>165</v>
      </c>
      <c r="J738" t="s">
        <v>1692</v>
      </c>
      <c r="K738">
        <v>125245</v>
      </c>
      <c r="M738">
        <v>0</v>
      </c>
      <c r="N738" t="s">
        <v>4001</v>
      </c>
      <c r="O738" t="s">
        <v>48</v>
      </c>
      <c r="P738" t="str">
        <f>TRIM(Table13_1[[#This Row],[Genre]])</f>
        <v>Crime</v>
      </c>
    </row>
    <row r="739" spans="1:16" x14ac:dyDescent="0.3">
      <c r="A739" t="s">
        <v>1689</v>
      </c>
      <c r="B739" t="s">
        <v>1690</v>
      </c>
      <c r="C739">
        <v>2022</v>
      </c>
      <c r="D739">
        <v>2020</v>
      </c>
      <c r="E739" t="s">
        <v>17</v>
      </c>
      <c r="F739">
        <v>133</v>
      </c>
      <c r="G739" t="s">
        <v>3999</v>
      </c>
      <c r="H739" t="s">
        <v>566</v>
      </c>
      <c r="I739" t="s">
        <v>165</v>
      </c>
      <c r="J739" t="s">
        <v>1692</v>
      </c>
      <c r="K739">
        <v>125245</v>
      </c>
      <c r="M739">
        <v>0</v>
      </c>
      <c r="N739" t="s">
        <v>4001</v>
      </c>
      <c r="O739" t="s">
        <v>3985</v>
      </c>
      <c r="P739" t="str">
        <f>TRIM(Table13_1[[#This Row],[Genre]])</f>
        <v>Horror</v>
      </c>
    </row>
    <row r="740" spans="1:16" x14ac:dyDescent="0.3">
      <c r="A740" t="s">
        <v>1693</v>
      </c>
      <c r="B740" t="s">
        <v>1694</v>
      </c>
      <c r="C740">
        <v>2014</v>
      </c>
      <c r="D740">
        <v>2010</v>
      </c>
      <c r="E740" t="s">
        <v>54</v>
      </c>
      <c r="F740">
        <v>84</v>
      </c>
      <c r="G740" t="s">
        <v>4000</v>
      </c>
      <c r="H740" t="s">
        <v>1696</v>
      </c>
      <c r="I740" t="s">
        <v>39</v>
      </c>
      <c r="J740" t="s">
        <v>1697</v>
      </c>
      <c r="K740">
        <v>12783</v>
      </c>
      <c r="L740">
        <v>225.86</v>
      </c>
      <c r="M740">
        <v>225.86</v>
      </c>
      <c r="N740" t="s">
        <v>3998</v>
      </c>
      <c r="O740" t="s">
        <v>230</v>
      </c>
      <c r="P740" t="str">
        <f>TRIM(Table13_1[[#This Row],[Genre]])</f>
        <v>Documentary</v>
      </c>
    </row>
    <row r="741" spans="1:16" x14ac:dyDescent="0.3">
      <c r="A741" t="s">
        <v>1693</v>
      </c>
      <c r="B741" t="s">
        <v>1694</v>
      </c>
      <c r="C741">
        <v>2014</v>
      </c>
      <c r="D741">
        <v>2010</v>
      </c>
      <c r="E741" t="s">
        <v>54</v>
      </c>
      <c r="F741">
        <v>84</v>
      </c>
      <c r="G741" t="s">
        <v>4000</v>
      </c>
      <c r="H741" t="s">
        <v>1696</v>
      </c>
      <c r="I741" t="s">
        <v>39</v>
      </c>
      <c r="J741" t="s">
        <v>1697</v>
      </c>
      <c r="K741">
        <v>12783</v>
      </c>
      <c r="L741">
        <v>225.86</v>
      </c>
      <c r="M741">
        <v>225.86</v>
      </c>
      <c r="N741" t="s">
        <v>3998</v>
      </c>
      <c r="O741" t="s">
        <v>3981</v>
      </c>
      <c r="P741" t="str">
        <f>TRIM(Table13_1[[#This Row],[Genre]])</f>
        <v>Romance</v>
      </c>
    </row>
    <row r="742" spans="1:16" x14ac:dyDescent="0.3">
      <c r="A742" t="s">
        <v>1693</v>
      </c>
      <c r="B742" t="s">
        <v>1694</v>
      </c>
      <c r="C742">
        <v>2014</v>
      </c>
      <c r="D742">
        <v>2010</v>
      </c>
      <c r="E742" t="s">
        <v>54</v>
      </c>
      <c r="F742">
        <v>84</v>
      </c>
      <c r="G742" t="s">
        <v>4000</v>
      </c>
      <c r="H742" t="s">
        <v>1696</v>
      </c>
      <c r="I742" t="s">
        <v>39</v>
      </c>
      <c r="J742" t="s">
        <v>1697</v>
      </c>
      <c r="K742">
        <v>12783</v>
      </c>
      <c r="L742">
        <v>225.86</v>
      </c>
      <c r="M742">
        <v>225.86</v>
      </c>
      <c r="N742" t="s">
        <v>3998</v>
      </c>
      <c r="O742" t="s">
        <v>3984</v>
      </c>
      <c r="P742" t="str">
        <f>TRIM(Table13_1[[#This Row],[Genre]])</f>
        <v>Adventure</v>
      </c>
    </row>
    <row r="743" spans="1:16" x14ac:dyDescent="0.3">
      <c r="A743" t="s">
        <v>1698</v>
      </c>
      <c r="B743" t="s">
        <v>1699</v>
      </c>
      <c r="C743">
        <v>2019</v>
      </c>
      <c r="D743">
        <v>2010</v>
      </c>
      <c r="E743" t="s">
        <v>293</v>
      </c>
      <c r="F743">
        <v>97</v>
      </c>
      <c r="G743" t="s">
        <v>3997</v>
      </c>
      <c r="H743" t="s">
        <v>1701</v>
      </c>
      <c r="I743" t="s">
        <v>92</v>
      </c>
      <c r="J743" t="s">
        <v>1702</v>
      </c>
      <c r="K743">
        <v>192606</v>
      </c>
      <c r="M743">
        <v>0</v>
      </c>
      <c r="N743" t="s">
        <v>4001</v>
      </c>
      <c r="O743" t="s">
        <v>375</v>
      </c>
      <c r="P743" t="str">
        <f>TRIM(Table13_1[[#This Row],[Genre]])</f>
        <v>Family</v>
      </c>
    </row>
    <row r="744" spans="1:16" x14ac:dyDescent="0.3">
      <c r="A744" t="s">
        <v>1698</v>
      </c>
      <c r="B744" t="s">
        <v>1699</v>
      </c>
      <c r="C744">
        <v>2019</v>
      </c>
      <c r="D744">
        <v>2010</v>
      </c>
      <c r="E744" t="s">
        <v>293</v>
      </c>
      <c r="F744">
        <v>97</v>
      </c>
      <c r="G744" t="s">
        <v>3997</v>
      </c>
      <c r="H744" t="s">
        <v>1701</v>
      </c>
      <c r="I744" t="s">
        <v>92</v>
      </c>
      <c r="J744" t="s">
        <v>1702</v>
      </c>
      <c r="K744">
        <v>192606</v>
      </c>
      <c r="M744">
        <v>0</v>
      </c>
      <c r="N744" t="s">
        <v>4001</v>
      </c>
      <c r="O744" t="s">
        <v>3977</v>
      </c>
      <c r="P744" t="str">
        <f>TRIM(Table13_1[[#This Row],[Genre]])</f>
        <v>Animation</v>
      </c>
    </row>
    <row r="745" spans="1:16" x14ac:dyDescent="0.3">
      <c r="A745" t="s">
        <v>1698</v>
      </c>
      <c r="B745" t="s">
        <v>1699</v>
      </c>
      <c r="C745">
        <v>2019</v>
      </c>
      <c r="D745">
        <v>2010</v>
      </c>
      <c r="E745" t="s">
        <v>293</v>
      </c>
      <c r="F745">
        <v>97</v>
      </c>
      <c r="G745" t="s">
        <v>3997</v>
      </c>
      <c r="H745" t="s">
        <v>1701</v>
      </c>
      <c r="I745" t="s">
        <v>92</v>
      </c>
      <c r="J745" t="s">
        <v>1702</v>
      </c>
      <c r="K745">
        <v>192606</v>
      </c>
      <c r="M745">
        <v>0</v>
      </c>
      <c r="N745" t="s">
        <v>4001</v>
      </c>
      <c r="O745" t="s">
        <v>3990</v>
      </c>
      <c r="P745" t="str">
        <f>TRIM(Table13_1[[#This Row],[Genre]])</f>
        <v>Western</v>
      </c>
    </row>
    <row r="746" spans="1:16" x14ac:dyDescent="0.3">
      <c r="A746" t="s">
        <v>1703</v>
      </c>
      <c r="B746" t="s">
        <v>1704</v>
      </c>
      <c r="C746">
        <v>2000</v>
      </c>
      <c r="D746">
        <v>2000</v>
      </c>
      <c r="E746" t="s">
        <v>17</v>
      </c>
      <c r="F746">
        <v>117</v>
      </c>
      <c r="G746" t="s">
        <v>3997</v>
      </c>
      <c r="H746" t="s">
        <v>758</v>
      </c>
      <c r="I746" t="s">
        <v>326</v>
      </c>
      <c r="J746" t="s">
        <v>1706</v>
      </c>
      <c r="K746">
        <v>15815</v>
      </c>
      <c r="M746">
        <v>0</v>
      </c>
      <c r="N746" t="s">
        <v>4001</v>
      </c>
      <c r="O746" t="s">
        <v>230</v>
      </c>
      <c r="P746" t="str">
        <f>TRIM(Table13_1[[#This Row],[Genre]])</f>
        <v>Documentary</v>
      </c>
    </row>
    <row r="747" spans="1:16" x14ac:dyDescent="0.3">
      <c r="A747" t="s">
        <v>1703</v>
      </c>
      <c r="B747" t="s">
        <v>1704</v>
      </c>
      <c r="C747">
        <v>2000</v>
      </c>
      <c r="D747">
        <v>2000</v>
      </c>
      <c r="E747" t="s">
        <v>17</v>
      </c>
      <c r="F747">
        <v>117</v>
      </c>
      <c r="G747" t="s">
        <v>3997</v>
      </c>
      <c r="H747" t="s">
        <v>758</v>
      </c>
      <c r="I747" t="s">
        <v>326</v>
      </c>
      <c r="J747" t="s">
        <v>1706</v>
      </c>
      <c r="K747">
        <v>15815</v>
      </c>
      <c r="M747">
        <v>0</v>
      </c>
      <c r="N747" t="s">
        <v>4001</v>
      </c>
      <c r="O747" t="s">
        <v>3989</v>
      </c>
      <c r="P747" t="str">
        <f>TRIM(Table13_1[[#This Row],[Genre]])</f>
        <v>Sci-Fi</v>
      </c>
    </row>
    <row r="748" spans="1:16" x14ac:dyDescent="0.3">
      <c r="A748" t="s">
        <v>1707</v>
      </c>
      <c r="B748" t="s">
        <v>1708</v>
      </c>
      <c r="C748">
        <v>2007</v>
      </c>
      <c r="D748">
        <v>2000</v>
      </c>
      <c r="E748" t="s">
        <v>169</v>
      </c>
      <c r="F748">
        <v>88</v>
      </c>
      <c r="G748" t="s">
        <v>4000</v>
      </c>
      <c r="H748" t="s">
        <v>1709</v>
      </c>
      <c r="I748" t="s">
        <v>137</v>
      </c>
      <c r="J748" t="s">
        <v>1710</v>
      </c>
      <c r="K748">
        <v>1247265</v>
      </c>
      <c r="M748">
        <v>0</v>
      </c>
      <c r="N748" t="s">
        <v>4001</v>
      </c>
      <c r="O748" t="s">
        <v>37</v>
      </c>
      <c r="P748" t="str">
        <f>TRIM(Table13_1[[#This Row],[Genre]])</f>
        <v>Biography</v>
      </c>
    </row>
    <row r="749" spans="1:16" x14ac:dyDescent="0.3">
      <c r="A749" t="s">
        <v>1711</v>
      </c>
      <c r="B749" t="s">
        <v>1712</v>
      </c>
      <c r="C749">
        <v>2010</v>
      </c>
      <c r="D749">
        <v>2010</v>
      </c>
      <c r="E749" t="s">
        <v>17</v>
      </c>
      <c r="F749">
        <v>98</v>
      </c>
      <c r="G749" t="s">
        <v>3997</v>
      </c>
      <c r="H749" t="s">
        <v>1713</v>
      </c>
      <c r="I749" t="s">
        <v>251</v>
      </c>
      <c r="J749" t="s">
        <v>1714</v>
      </c>
      <c r="K749">
        <v>45219</v>
      </c>
      <c r="L749">
        <v>96.15</v>
      </c>
      <c r="M749">
        <v>96.15</v>
      </c>
      <c r="N749" t="s">
        <v>4001</v>
      </c>
      <c r="O749" t="s">
        <v>78</v>
      </c>
      <c r="P749" t="str">
        <f>TRIM(Table13_1[[#This Row],[Genre]])</f>
        <v>Adventure</v>
      </c>
    </row>
    <row r="750" spans="1:16" x14ac:dyDescent="0.3">
      <c r="A750" t="s">
        <v>1711</v>
      </c>
      <c r="B750" t="s">
        <v>1712</v>
      </c>
      <c r="C750">
        <v>2010</v>
      </c>
      <c r="D750">
        <v>2010</v>
      </c>
      <c r="E750" t="s">
        <v>17</v>
      </c>
      <c r="F750">
        <v>98</v>
      </c>
      <c r="G750" t="s">
        <v>3997</v>
      </c>
      <c r="H750" t="s">
        <v>1713</v>
      </c>
      <c r="I750" t="s">
        <v>251</v>
      </c>
      <c r="J750" t="s">
        <v>1714</v>
      </c>
      <c r="K750">
        <v>45219</v>
      </c>
      <c r="L750">
        <v>96.15</v>
      </c>
      <c r="M750">
        <v>96.15</v>
      </c>
      <c r="N750" t="s">
        <v>4001</v>
      </c>
      <c r="O750" t="s">
        <v>3982</v>
      </c>
      <c r="P750" t="str">
        <f>TRIM(Table13_1[[#This Row],[Genre]])</f>
        <v>Family</v>
      </c>
    </row>
    <row r="751" spans="1:16" x14ac:dyDescent="0.3">
      <c r="A751" t="s">
        <v>1715</v>
      </c>
      <c r="B751" t="s">
        <v>1716</v>
      </c>
      <c r="C751">
        <v>2017</v>
      </c>
      <c r="D751">
        <v>2010</v>
      </c>
      <c r="E751" t="s">
        <v>24</v>
      </c>
      <c r="F751">
        <v>130</v>
      </c>
      <c r="G751" t="s">
        <v>3999</v>
      </c>
      <c r="H751" t="s">
        <v>1718</v>
      </c>
      <c r="I751" t="s">
        <v>80</v>
      </c>
      <c r="J751" t="s">
        <v>1719</v>
      </c>
      <c r="K751">
        <v>490116</v>
      </c>
      <c r="L751">
        <v>448.96</v>
      </c>
      <c r="M751">
        <v>448.96</v>
      </c>
      <c r="N751" t="s">
        <v>3998</v>
      </c>
      <c r="O751" t="s">
        <v>606</v>
      </c>
      <c r="P751" t="str">
        <f>TRIM(Table13_1[[#This Row],[Genre]])</f>
        <v>Sci-Fi</v>
      </c>
    </row>
    <row r="752" spans="1:16" x14ac:dyDescent="0.3">
      <c r="A752" t="s">
        <v>1715</v>
      </c>
      <c r="B752" t="s">
        <v>1716</v>
      </c>
      <c r="C752">
        <v>2017</v>
      </c>
      <c r="D752">
        <v>2010</v>
      </c>
      <c r="E752" t="s">
        <v>24</v>
      </c>
      <c r="F752">
        <v>130</v>
      </c>
      <c r="G752" t="s">
        <v>3999</v>
      </c>
      <c r="H752" t="s">
        <v>1718</v>
      </c>
      <c r="I752" t="s">
        <v>80</v>
      </c>
      <c r="J752" t="s">
        <v>1719</v>
      </c>
      <c r="K752">
        <v>490116</v>
      </c>
      <c r="L752">
        <v>448.96</v>
      </c>
      <c r="M752">
        <v>448.96</v>
      </c>
      <c r="N752" t="s">
        <v>3998</v>
      </c>
      <c r="O752" t="s">
        <v>3993</v>
      </c>
      <c r="P752" t="str">
        <f>TRIM(Table13_1[[#This Row],[Genre]])</f>
        <v>Comedy</v>
      </c>
    </row>
    <row r="753" spans="1:16" x14ac:dyDescent="0.3">
      <c r="A753" t="s">
        <v>1720</v>
      </c>
      <c r="B753" t="s">
        <v>1721</v>
      </c>
      <c r="C753">
        <v>2015</v>
      </c>
      <c r="D753">
        <v>2010</v>
      </c>
      <c r="E753" t="s">
        <v>285</v>
      </c>
      <c r="F753">
        <v>123</v>
      </c>
      <c r="G753" t="s">
        <v>3999</v>
      </c>
      <c r="H753" t="s">
        <v>1091</v>
      </c>
      <c r="I753" t="s">
        <v>103</v>
      </c>
      <c r="J753" t="s">
        <v>1723</v>
      </c>
      <c r="K753">
        <v>109802</v>
      </c>
      <c r="L753">
        <v>252.54</v>
      </c>
      <c r="M753">
        <v>252.54</v>
      </c>
      <c r="N753" t="s">
        <v>3998</v>
      </c>
      <c r="O753" t="s">
        <v>129</v>
      </c>
      <c r="P753" t="str">
        <f>TRIM(Table13_1[[#This Row],[Genre]])</f>
        <v>Horror</v>
      </c>
    </row>
    <row r="754" spans="1:16" x14ac:dyDescent="0.3">
      <c r="A754" t="s">
        <v>1720</v>
      </c>
      <c r="B754" t="s">
        <v>1721</v>
      </c>
      <c r="C754">
        <v>2015</v>
      </c>
      <c r="D754">
        <v>2010</v>
      </c>
      <c r="E754" t="s">
        <v>285</v>
      </c>
      <c r="F754">
        <v>123</v>
      </c>
      <c r="G754" t="s">
        <v>3999</v>
      </c>
      <c r="H754" t="s">
        <v>1091</v>
      </c>
      <c r="I754" t="s">
        <v>103</v>
      </c>
      <c r="J754" t="s">
        <v>1723</v>
      </c>
      <c r="K754">
        <v>109802</v>
      </c>
      <c r="L754">
        <v>252.54</v>
      </c>
      <c r="M754">
        <v>252.54</v>
      </c>
      <c r="N754" t="s">
        <v>3998</v>
      </c>
      <c r="O754" t="s">
        <v>3991</v>
      </c>
      <c r="P754" t="str">
        <f>TRIM(Table13_1[[#This Row],[Genre]])</f>
        <v>Thriller</v>
      </c>
    </row>
    <row r="755" spans="1:16" x14ac:dyDescent="0.3">
      <c r="A755" t="s">
        <v>1724</v>
      </c>
      <c r="B755" t="s">
        <v>1725</v>
      </c>
      <c r="C755">
        <v>2015</v>
      </c>
      <c r="D755">
        <v>2010</v>
      </c>
      <c r="E755" t="s">
        <v>54</v>
      </c>
      <c r="F755">
        <v>86</v>
      </c>
      <c r="G755" t="s">
        <v>4000</v>
      </c>
      <c r="H755" t="s">
        <v>1726</v>
      </c>
      <c r="I755" t="s">
        <v>119</v>
      </c>
      <c r="J755" t="s">
        <v>1727</v>
      </c>
      <c r="K755">
        <v>81759</v>
      </c>
      <c r="M755">
        <v>0</v>
      </c>
      <c r="N755" t="s">
        <v>4001</v>
      </c>
      <c r="O755" t="s">
        <v>230</v>
      </c>
      <c r="P755" t="str">
        <f>TRIM(Table13_1[[#This Row],[Genre]])</f>
        <v>Documentary</v>
      </c>
    </row>
    <row r="756" spans="1:16" x14ac:dyDescent="0.3">
      <c r="A756" t="s">
        <v>1728</v>
      </c>
      <c r="B756" t="s">
        <v>1729</v>
      </c>
      <c r="C756">
        <v>2013</v>
      </c>
      <c r="D756">
        <v>2010</v>
      </c>
      <c r="E756" t="s">
        <v>17</v>
      </c>
      <c r="F756">
        <v>136</v>
      </c>
      <c r="G756" t="s">
        <v>3999</v>
      </c>
      <c r="H756" t="s">
        <v>1155</v>
      </c>
      <c r="I756" t="s">
        <v>92</v>
      </c>
      <c r="J756" t="s">
        <v>1731</v>
      </c>
      <c r="K756">
        <v>53892</v>
      </c>
      <c r="M756">
        <v>0</v>
      </c>
      <c r="N756" t="s">
        <v>4001</v>
      </c>
      <c r="O756" t="s">
        <v>72</v>
      </c>
      <c r="P756" t="str">
        <f>TRIM(Table13_1[[#This Row],[Genre]])</f>
        <v>War</v>
      </c>
    </row>
    <row r="757" spans="1:16" x14ac:dyDescent="0.3">
      <c r="A757" t="s">
        <v>1728</v>
      </c>
      <c r="B757" t="s">
        <v>1729</v>
      </c>
      <c r="C757">
        <v>2013</v>
      </c>
      <c r="D757">
        <v>2010</v>
      </c>
      <c r="E757" t="s">
        <v>17</v>
      </c>
      <c r="F757">
        <v>136</v>
      </c>
      <c r="G757" t="s">
        <v>3999</v>
      </c>
      <c r="H757" t="s">
        <v>1155</v>
      </c>
      <c r="I757" t="s">
        <v>92</v>
      </c>
      <c r="J757" t="s">
        <v>1731</v>
      </c>
      <c r="K757">
        <v>53892</v>
      </c>
      <c r="M757">
        <v>0</v>
      </c>
      <c r="N757" t="s">
        <v>4001</v>
      </c>
      <c r="O757" t="s">
        <v>3984</v>
      </c>
      <c r="P757" t="str">
        <f>TRIM(Table13_1[[#This Row],[Genre]])</f>
        <v>Adventure</v>
      </c>
    </row>
    <row r="758" spans="1:16" x14ac:dyDescent="0.3">
      <c r="A758" t="s">
        <v>1728</v>
      </c>
      <c r="B758" t="s">
        <v>1729</v>
      </c>
      <c r="C758">
        <v>2013</v>
      </c>
      <c r="D758">
        <v>2010</v>
      </c>
      <c r="E758" t="s">
        <v>17</v>
      </c>
      <c r="F758">
        <v>136</v>
      </c>
      <c r="G758" t="s">
        <v>3999</v>
      </c>
      <c r="H758" t="s">
        <v>1155</v>
      </c>
      <c r="I758" t="s">
        <v>92</v>
      </c>
      <c r="J758" t="s">
        <v>1731</v>
      </c>
      <c r="K758">
        <v>53892</v>
      </c>
      <c r="M758">
        <v>0</v>
      </c>
      <c r="N758" t="s">
        <v>4001</v>
      </c>
      <c r="O758" t="s">
        <v>3990</v>
      </c>
      <c r="P758" t="str">
        <f>TRIM(Table13_1[[#This Row],[Genre]])</f>
        <v>Western</v>
      </c>
    </row>
    <row r="759" spans="1:16" x14ac:dyDescent="0.3">
      <c r="A759" t="s">
        <v>1732</v>
      </c>
      <c r="B759" t="s">
        <v>1733</v>
      </c>
      <c r="C759">
        <v>2019</v>
      </c>
      <c r="D759">
        <v>2010</v>
      </c>
      <c r="E759" t="s">
        <v>24</v>
      </c>
      <c r="F759">
        <v>100</v>
      </c>
      <c r="G759" t="s">
        <v>3997</v>
      </c>
      <c r="H759" t="s">
        <v>566</v>
      </c>
      <c r="I759" t="s">
        <v>125</v>
      </c>
      <c r="J759" t="s">
        <v>1735</v>
      </c>
      <c r="K759">
        <v>127797</v>
      </c>
      <c r="M759">
        <v>0</v>
      </c>
      <c r="N759" t="s">
        <v>4001</v>
      </c>
      <c r="O759" t="s">
        <v>48</v>
      </c>
      <c r="P759" t="str">
        <f>TRIM(Table13_1[[#This Row],[Genre]])</f>
        <v>Crime</v>
      </c>
    </row>
    <row r="760" spans="1:16" x14ac:dyDescent="0.3">
      <c r="A760" t="s">
        <v>1732</v>
      </c>
      <c r="B760" t="s">
        <v>1733</v>
      </c>
      <c r="C760">
        <v>2019</v>
      </c>
      <c r="D760">
        <v>2010</v>
      </c>
      <c r="E760" t="s">
        <v>24</v>
      </c>
      <c r="F760">
        <v>100</v>
      </c>
      <c r="G760" t="s">
        <v>3997</v>
      </c>
      <c r="H760" t="s">
        <v>566</v>
      </c>
      <c r="I760" t="s">
        <v>125</v>
      </c>
      <c r="J760" t="s">
        <v>1735</v>
      </c>
      <c r="K760">
        <v>127797</v>
      </c>
      <c r="M760">
        <v>0</v>
      </c>
      <c r="N760" t="s">
        <v>4001</v>
      </c>
      <c r="O760" t="s">
        <v>3989</v>
      </c>
      <c r="P760" t="str">
        <f>TRIM(Table13_1[[#This Row],[Genre]])</f>
        <v>Sci-Fi</v>
      </c>
    </row>
    <row r="761" spans="1:16" x14ac:dyDescent="0.3">
      <c r="A761" t="s">
        <v>1732</v>
      </c>
      <c r="B761" t="s">
        <v>1733</v>
      </c>
      <c r="C761">
        <v>2019</v>
      </c>
      <c r="D761">
        <v>2010</v>
      </c>
      <c r="E761" t="s">
        <v>24</v>
      </c>
      <c r="F761">
        <v>100</v>
      </c>
      <c r="G761" t="s">
        <v>3997</v>
      </c>
      <c r="H761" t="s">
        <v>566</v>
      </c>
      <c r="I761" t="s">
        <v>125</v>
      </c>
      <c r="J761" t="s">
        <v>1735</v>
      </c>
      <c r="K761">
        <v>127797</v>
      </c>
      <c r="M761">
        <v>0</v>
      </c>
      <c r="N761" t="s">
        <v>4001</v>
      </c>
      <c r="O761" t="s">
        <v>3986</v>
      </c>
      <c r="P761" t="str">
        <f>TRIM(Table13_1[[#This Row],[Genre]])</f>
        <v>Documentary</v>
      </c>
    </row>
    <row r="762" spans="1:16" x14ac:dyDescent="0.3">
      <c r="A762" t="s">
        <v>1736</v>
      </c>
      <c r="B762" t="s">
        <v>1737</v>
      </c>
      <c r="C762">
        <v>2014</v>
      </c>
      <c r="D762">
        <v>2010</v>
      </c>
      <c r="E762" t="s">
        <v>17</v>
      </c>
      <c r="F762">
        <v>117</v>
      </c>
      <c r="G762" t="s">
        <v>3997</v>
      </c>
      <c r="H762" t="s">
        <v>1738</v>
      </c>
      <c r="I762" t="s">
        <v>50</v>
      </c>
      <c r="J762" t="s">
        <v>1739</v>
      </c>
      <c r="K762">
        <v>51285</v>
      </c>
      <c r="L762">
        <v>321.63</v>
      </c>
      <c r="M762">
        <v>321.63</v>
      </c>
      <c r="N762" t="s">
        <v>3998</v>
      </c>
      <c r="O762" t="s">
        <v>37</v>
      </c>
      <c r="P762" t="str">
        <f>TRIM(Table13_1[[#This Row],[Genre]])</f>
        <v>Biography</v>
      </c>
    </row>
    <row r="763" spans="1:16" x14ac:dyDescent="0.3">
      <c r="A763" t="s">
        <v>1736</v>
      </c>
      <c r="B763" t="s">
        <v>1737</v>
      </c>
      <c r="C763">
        <v>2014</v>
      </c>
      <c r="D763">
        <v>2010</v>
      </c>
      <c r="E763" t="s">
        <v>17</v>
      </c>
      <c r="F763">
        <v>117</v>
      </c>
      <c r="G763" t="s">
        <v>3997</v>
      </c>
      <c r="H763" t="s">
        <v>1738</v>
      </c>
      <c r="I763" t="s">
        <v>50</v>
      </c>
      <c r="J763" t="s">
        <v>1739</v>
      </c>
      <c r="K763">
        <v>51285</v>
      </c>
      <c r="L763">
        <v>321.63</v>
      </c>
      <c r="M763">
        <v>321.63</v>
      </c>
      <c r="N763" t="s">
        <v>3998</v>
      </c>
      <c r="O763" t="s">
        <v>3980</v>
      </c>
      <c r="P763" t="str">
        <f>TRIM(Table13_1[[#This Row],[Genre]])</f>
        <v>Action</v>
      </c>
    </row>
    <row r="764" spans="1:16" x14ac:dyDescent="0.3">
      <c r="A764" t="s">
        <v>1740</v>
      </c>
      <c r="B764" t="s">
        <v>1741</v>
      </c>
      <c r="C764">
        <v>2013</v>
      </c>
      <c r="D764">
        <v>2010</v>
      </c>
      <c r="E764" t="s">
        <v>17</v>
      </c>
      <c r="F764">
        <v>119</v>
      </c>
      <c r="G764" t="s">
        <v>3997</v>
      </c>
      <c r="H764" t="s">
        <v>85</v>
      </c>
      <c r="I764" t="s">
        <v>524</v>
      </c>
      <c r="J764" t="s">
        <v>1742</v>
      </c>
      <c r="K764">
        <v>27594</v>
      </c>
      <c r="M764">
        <v>0</v>
      </c>
      <c r="N764" t="s">
        <v>4001</v>
      </c>
      <c r="O764" t="s">
        <v>767</v>
      </c>
      <c r="P764" t="str">
        <f>TRIM(Table13_1[[#This Row],[Genre]])</f>
        <v>Fantasy</v>
      </c>
    </row>
    <row r="765" spans="1:16" x14ac:dyDescent="0.3">
      <c r="A765" t="s">
        <v>1743</v>
      </c>
      <c r="B765" t="s">
        <v>1744</v>
      </c>
      <c r="C765">
        <v>2015</v>
      </c>
      <c r="D765">
        <v>2010</v>
      </c>
      <c r="E765" t="s">
        <v>54</v>
      </c>
      <c r="F765">
        <v>88</v>
      </c>
      <c r="G765" t="s">
        <v>4000</v>
      </c>
      <c r="H765" t="s">
        <v>1746</v>
      </c>
      <c r="I765" t="s">
        <v>92</v>
      </c>
      <c r="J765" t="s">
        <v>1747</v>
      </c>
      <c r="K765">
        <v>58136</v>
      </c>
      <c r="L765">
        <v>320.44</v>
      </c>
      <c r="M765">
        <v>320.44</v>
      </c>
      <c r="N765" t="s">
        <v>3998</v>
      </c>
      <c r="O765" t="s">
        <v>235</v>
      </c>
      <c r="P765" t="str">
        <f>TRIM(Table13_1[[#This Row],[Genre]])</f>
        <v>Drama</v>
      </c>
    </row>
    <row r="766" spans="1:16" x14ac:dyDescent="0.3">
      <c r="A766" t="s">
        <v>1743</v>
      </c>
      <c r="B766" t="s">
        <v>1744</v>
      </c>
      <c r="C766">
        <v>2015</v>
      </c>
      <c r="D766">
        <v>2010</v>
      </c>
      <c r="E766" t="s">
        <v>54</v>
      </c>
      <c r="F766">
        <v>88</v>
      </c>
      <c r="G766" t="s">
        <v>4000</v>
      </c>
      <c r="H766" t="s">
        <v>1746</v>
      </c>
      <c r="I766" t="s">
        <v>92</v>
      </c>
      <c r="J766" t="s">
        <v>1747</v>
      </c>
      <c r="K766">
        <v>58136</v>
      </c>
      <c r="L766">
        <v>320.44</v>
      </c>
      <c r="M766">
        <v>320.44</v>
      </c>
      <c r="N766" t="s">
        <v>3998</v>
      </c>
      <c r="O766" t="s">
        <v>3985</v>
      </c>
      <c r="P766" t="str">
        <f>TRIM(Table13_1[[#This Row],[Genre]])</f>
        <v>Horror</v>
      </c>
    </row>
    <row r="767" spans="1:16" x14ac:dyDescent="0.3">
      <c r="A767" t="s">
        <v>1743</v>
      </c>
      <c r="B767" t="s">
        <v>1744</v>
      </c>
      <c r="C767">
        <v>2015</v>
      </c>
      <c r="D767">
        <v>2010</v>
      </c>
      <c r="E767" t="s">
        <v>54</v>
      </c>
      <c r="F767">
        <v>88</v>
      </c>
      <c r="G767" t="s">
        <v>4000</v>
      </c>
      <c r="H767" t="s">
        <v>1746</v>
      </c>
      <c r="I767" t="s">
        <v>92</v>
      </c>
      <c r="J767" t="s">
        <v>1747</v>
      </c>
      <c r="K767">
        <v>58136</v>
      </c>
      <c r="L767">
        <v>320.44</v>
      </c>
      <c r="M767">
        <v>320.44</v>
      </c>
      <c r="N767" t="s">
        <v>3998</v>
      </c>
      <c r="O767" t="s">
        <v>3991</v>
      </c>
      <c r="P767" t="str">
        <f>TRIM(Table13_1[[#This Row],[Genre]])</f>
        <v>Thriller</v>
      </c>
    </row>
    <row r="768" spans="1:16" x14ac:dyDescent="0.3">
      <c r="A768" t="s">
        <v>1748</v>
      </c>
      <c r="B768" t="s">
        <v>1749</v>
      </c>
      <c r="C768">
        <v>1994</v>
      </c>
      <c r="D768">
        <v>1990</v>
      </c>
      <c r="E768" t="s">
        <v>17</v>
      </c>
      <c r="F768">
        <v>102</v>
      </c>
      <c r="G768" t="s">
        <v>3997</v>
      </c>
      <c r="H768" t="s">
        <v>164</v>
      </c>
      <c r="I768" t="s">
        <v>113</v>
      </c>
      <c r="J768" t="s">
        <v>1750</v>
      </c>
      <c r="K768">
        <v>8263</v>
      </c>
      <c r="M768">
        <v>0</v>
      </c>
      <c r="N768" t="s">
        <v>4001</v>
      </c>
      <c r="O768" t="s">
        <v>1044</v>
      </c>
      <c r="P768" t="str">
        <f>TRIM(Table13_1[[#This Row],[Genre]])</f>
        <v>Comedy</v>
      </c>
    </row>
    <row r="769" spans="1:16" x14ac:dyDescent="0.3">
      <c r="A769" t="s">
        <v>1751</v>
      </c>
      <c r="B769" t="s">
        <v>1752</v>
      </c>
      <c r="C769">
        <v>2009</v>
      </c>
      <c r="D769">
        <v>2000</v>
      </c>
      <c r="E769" t="s">
        <v>54</v>
      </c>
      <c r="F769">
        <v>137</v>
      </c>
      <c r="G769" t="s">
        <v>3999</v>
      </c>
      <c r="H769" t="s">
        <v>491</v>
      </c>
      <c r="I769" t="s">
        <v>221</v>
      </c>
      <c r="J769" t="s">
        <v>1753</v>
      </c>
      <c r="K769">
        <v>16822</v>
      </c>
      <c r="M769">
        <v>0</v>
      </c>
      <c r="N769" t="s">
        <v>4001</v>
      </c>
      <c r="O769" t="s">
        <v>72</v>
      </c>
      <c r="P769" t="str">
        <f>TRIM(Table13_1[[#This Row],[Genre]])</f>
        <v>War</v>
      </c>
    </row>
    <row r="770" spans="1:16" x14ac:dyDescent="0.3">
      <c r="A770" t="s">
        <v>1751</v>
      </c>
      <c r="B770" t="s">
        <v>1752</v>
      </c>
      <c r="C770">
        <v>2009</v>
      </c>
      <c r="D770">
        <v>2000</v>
      </c>
      <c r="E770" t="s">
        <v>54</v>
      </c>
      <c r="F770">
        <v>137</v>
      </c>
      <c r="G770" t="s">
        <v>3999</v>
      </c>
      <c r="H770" t="s">
        <v>491</v>
      </c>
      <c r="I770" t="s">
        <v>221</v>
      </c>
      <c r="J770" t="s">
        <v>1753</v>
      </c>
      <c r="K770">
        <v>16822</v>
      </c>
      <c r="M770">
        <v>0</v>
      </c>
      <c r="N770" t="s">
        <v>4001</v>
      </c>
      <c r="O770" t="s">
        <v>3986</v>
      </c>
      <c r="P770" t="str">
        <f>TRIM(Table13_1[[#This Row],[Genre]])</f>
        <v>Documentary</v>
      </c>
    </row>
    <row r="771" spans="1:16" x14ac:dyDescent="0.3">
      <c r="A771" t="s">
        <v>1754</v>
      </c>
      <c r="B771" t="s">
        <v>1755</v>
      </c>
      <c r="C771">
        <v>2015</v>
      </c>
      <c r="D771">
        <v>2010</v>
      </c>
      <c r="E771" t="s">
        <v>24</v>
      </c>
      <c r="F771">
        <v>124</v>
      </c>
      <c r="G771" t="s">
        <v>3999</v>
      </c>
      <c r="H771" t="s">
        <v>435</v>
      </c>
      <c r="I771" t="s">
        <v>147</v>
      </c>
      <c r="J771" t="s">
        <v>1757</v>
      </c>
      <c r="K771">
        <v>121540</v>
      </c>
      <c r="L771">
        <v>394.01</v>
      </c>
      <c r="M771">
        <v>394.01</v>
      </c>
      <c r="N771" t="s">
        <v>3998</v>
      </c>
      <c r="O771" t="s">
        <v>453</v>
      </c>
      <c r="P771" t="str">
        <f>TRIM(Table13_1[[#This Row],[Genre]])</f>
        <v>Musical</v>
      </c>
    </row>
    <row r="772" spans="1:16" x14ac:dyDescent="0.3">
      <c r="A772" t="s">
        <v>1754</v>
      </c>
      <c r="B772" t="s">
        <v>1755</v>
      </c>
      <c r="C772">
        <v>2015</v>
      </c>
      <c r="D772">
        <v>2010</v>
      </c>
      <c r="E772" t="s">
        <v>24</v>
      </c>
      <c r="F772">
        <v>124</v>
      </c>
      <c r="G772" t="s">
        <v>3999</v>
      </c>
      <c r="H772" t="s">
        <v>435</v>
      </c>
      <c r="I772" t="s">
        <v>147</v>
      </c>
      <c r="J772" t="s">
        <v>1757</v>
      </c>
      <c r="K772">
        <v>121540</v>
      </c>
      <c r="L772">
        <v>394.01</v>
      </c>
      <c r="M772">
        <v>394.01</v>
      </c>
      <c r="N772" t="s">
        <v>3998</v>
      </c>
      <c r="O772" t="s">
        <v>3978</v>
      </c>
      <c r="P772" t="str">
        <f>TRIM(Table13_1[[#This Row],[Genre]])</f>
        <v>Mystery</v>
      </c>
    </row>
    <row r="773" spans="1:16" x14ac:dyDescent="0.3">
      <c r="A773" t="s">
        <v>1754</v>
      </c>
      <c r="B773" t="s">
        <v>1755</v>
      </c>
      <c r="C773">
        <v>2015</v>
      </c>
      <c r="D773">
        <v>2010</v>
      </c>
      <c r="E773" t="s">
        <v>24</v>
      </c>
      <c r="F773">
        <v>124</v>
      </c>
      <c r="G773" t="s">
        <v>3999</v>
      </c>
      <c r="H773" t="s">
        <v>435</v>
      </c>
      <c r="I773" t="s">
        <v>147</v>
      </c>
      <c r="J773" t="s">
        <v>1757</v>
      </c>
      <c r="K773">
        <v>121540</v>
      </c>
      <c r="L773">
        <v>394.01</v>
      </c>
      <c r="M773">
        <v>394.01</v>
      </c>
      <c r="N773" t="s">
        <v>3998</v>
      </c>
      <c r="O773" t="s">
        <v>3983</v>
      </c>
      <c r="P773" t="str">
        <f>TRIM(Table13_1[[#This Row],[Genre]])</f>
        <v>Crime</v>
      </c>
    </row>
    <row r="774" spans="1:16" x14ac:dyDescent="0.3">
      <c r="A774" t="s">
        <v>1758</v>
      </c>
      <c r="B774" t="s">
        <v>1759</v>
      </c>
      <c r="C774">
        <v>2018</v>
      </c>
      <c r="D774">
        <v>2010</v>
      </c>
      <c r="E774" t="s">
        <v>54</v>
      </c>
      <c r="F774">
        <v>94</v>
      </c>
      <c r="G774" t="s">
        <v>3997</v>
      </c>
      <c r="H774" t="s">
        <v>1760</v>
      </c>
      <c r="I774" t="s">
        <v>368</v>
      </c>
      <c r="J774" t="s">
        <v>1761</v>
      </c>
      <c r="K774">
        <v>22538</v>
      </c>
      <c r="L774">
        <v>411.23</v>
      </c>
      <c r="M774">
        <v>411.23</v>
      </c>
      <c r="N774" t="s">
        <v>3998</v>
      </c>
      <c r="O774" t="s">
        <v>48</v>
      </c>
      <c r="P774" t="str">
        <f>TRIM(Table13_1[[#This Row],[Genre]])</f>
        <v>Crime</v>
      </c>
    </row>
    <row r="775" spans="1:16" x14ac:dyDescent="0.3">
      <c r="A775" t="s">
        <v>1758</v>
      </c>
      <c r="B775" t="s">
        <v>1759</v>
      </c>
      <c r="C775">
        <v>2018</v>
      </c>
      <c r="D775">
        <v>2010</v>
      </c>
      <c r="E775" t="s">
        <v>54</v>
      </c>
      <c r="F775">
        <v>94</v>
      </c>
      <c r="G775" t="s">
        <v>3997</v>
      </c>
      <c r="H775" t="s">
        <v>1760</v>
      </c>
      <c r="I775" t="s">
        <v>368</v>
      </c>
      <c r="J775" t="s">
        <v>1761</v>
      </c>
      <c r="K775">
        <v>22538</v>
      </c>
      <c r="L775">
        <v>411.23</v>
      </c>
      <c r="M775">
        <v>411.23</v>
      </c>
      <c r="N775" t="s">
        <v>3998</v>
      </c>
      <c r="O775" t="s">
        <v>3991</v>
      </c>
      <c r="P775" t="str">
        <f>TRIM(Table13_1[[#This Row],[Genre]])</f>
        <v>Thriller</v>
      </c>
    </row>
    <row r="776" spans="1:16" x14ac:dyDescent="0.3">
      <c r="A776" t="s">
        <v>1762</v>
      </c>
      <c r="B776" t="s">
        <v>1763</v>
      </c>
      <c r="C776">
        <v>2014</v>
      </c>
      <c r="D776">
        <v>2010</v>
      </c>
      <c r="E776" t="s">
        <v>17</v>
      </c>
      <c r="F776">
        <v>152</v>
      </c>
      <c r="G776" t="s">
        <v>3999</v>
      </c>
      <c r="H776" t="s">
        <v>1764</v>
      </c>
      <c r="I776" t="s">
        <v>326</v>
      </c>
      <c r="J776" t="s">
        <v>1765</v>
      </c>
      <c r="K776">
        <v>180289</v>
      </c>
      <c r="L776">
        <v>68.8</v>
      </c>
      <c r="M776">
        <v>68.8</v>
      </c>
      <c r="N776" t="s">
        <v>4001</v>
      </c>
      <c r="O776" t="s">
        <v>453</v>
      </c>
      <c r="P776" t="str">
        <f>TRIM(Table13_1[[#This Row],[Genre]])</f>
        <v>Musical</v>
      </c>
    </row>
    <row r="777" spans="1:16" x14ac:dyDescent="0.3">
      <c r="A777" t="s">
        <v>1766</v>
      </c>
      <c r="B777" t="s">
        <v>1767</v>
      </c>
      <c r="C777">
        <v>2000</v>
      </c>
      <c r="D777">
        <v>2000</v>
      </c>
      <c r="E777" t="s">
        <v>24</v>
      </c>
      <c r="F777">
        <v>104</v>
      </c>
      <c r="G777" t="s">
        <v>3997</v>
      </c>
      <c r="H777" t="s">
        <v>634</v>
      </c>
      <c r="I777" t="s">
        <v>63</v>
      </c>
      <c r="J777" t="s">
        <v>1769</v>
      </c>
      <c r="K777">
        <v>21664</v>
      </c>
      <c r="L777">
        <v>158.41999999999999</v>
      </c>
      <c r="M777">
        <v>158.41999999999999</v>
      </c>
      <c r="N777" t="s">
        <v>4002</v>
      </c>
      <c r="O777" t="s">
        <v>129</v>
      </c>
      <c r="P777" t="str">
        <f>TRIM(Table13_1[[#This Row],[Genre]])</f>
        <v>Horror</v>
      </c>
    </row>
    <row r="778" spans="1:16" x14ac:dyDescent="0.3">
      <c r="A778" t="s">
        <v>1766</v>
      </c>
      <c r="B778" t="s">
        <v>1767</v>
      </c>
      <c r="C778">
        <v>2000</v>
      </c>
      <c r="D778">
        <v>2000</v>
      </c>
      <c r="E778" t="s">
        <v>24</v>
      </c>
      <c r="F778">
        <v>104</v>
      </c>
      <c r="G778" t="s">
        <v>3997</v>
      </c>
      <c r="H778" t="s">
        <v>634</v>
      </c>
      <c r="I778" t="s">
        <v>63</v>
      </c>
      <c r="J778" t="s">
        <v>1769</v>
      </c>
      <c r="K778">
        <v>21664</v>
      </c>
      <c r="L778">
        <v>158.41999999999999</v>
      </c>
      <c r="M778">
        <v>158.41999999999999</v>
      </c>
      <c r="N778" t="s">
        <v>4002</v>
      </c>
      <c r="O778" t="s">
        <v>3976</v>
      </c>
      <c r="P778" t="str">
        <f>TRIM(Table13_1[[#This Row],[Genre]])</f>
        <v>Musical</v>
      </c>
    </row>
    <row r="779" spans="1:16" x14ac:dyDescent="0.3">
      <c r="A779" t="s">
        <v>1766</v>
      </c>
      <c r="B779" t="s">
        <v>1767</v>
      </c>
      <c r="C779">
        <v>2000</v>
      </c>
      <c r="D779">
        <v>2000</v>
      </c>
      <c r="E779" t="s">
        <v>24</v>
      </c>
      <c r="F779">
        <v>104</v>
      </c>
      <c r="G779" t="s">
        <v>3997</v>
      </c>
      <c r="H779" t="s">
        <v>634</v>
      </c>
      <c r="I779" t="s">
        <v>63</v>
      </c>
      <c r="J779" t="s">
        <v>1769</v>
      </c>
      <c r="K779">
        <v>21664</v>
      </c>
      <c r="L779">
        <v>158.41999999999999</v>
      </c>
      <c r="M779">
        <v>158.41999999999999</v>
      </c>
      <c r="N779" t="s">
        <v>4002</v>
      </c>
      <c r="O779" t="s">
        <v>3986</v>
      </c>
      <c r="P779" t="str">
        <f>TRIM(Table13_1[[#This Row],[Genre]])</f>
        <v>Documentary</v>
      </c>
    </row>
    <row r="780" spans="1:16" x14ac:dyDescent="0.3">
      <c r="A780" t="s">
        <v>1770</v>
      </c>
      <c r="B780" t="s">
        <v>1771</v>
      </c>
      <c r="C780">
        <v>2018</v>
      </c>
      <c r="D780">
        <v>2010</v>
      </c>
      <c r="E780" t="s">
        <v>24</v>
      </c>
      <c r="F780">
        <v>126</v>
      </c>
      <c r="G780" t="s">
        <v>3999</v>
      </c>
      <c r="H780" t="s">
        <v>1760</v>
      </c>
      <c r="I780" t="s">
        <v>50</v>
      </c>
      <c r="J780" t="s">
        <v>1772</v>
      </c>
      <c r="K780">
        <v>5982</v>
      </c>
      <c r="L780">
        <v>29.36</v>
      </c>
      <c r="M780">
        <v>29.36</v>
      </c>
      <c r="N780" t="s">
        <v>4001</v>
      </c>
      <c r="O780" t="s">
        <v>48</v>
      </c>
      <c r="P780" t="str">
        <f>TRIM(Table13_1[[#This Row],[Genre]])</f>
        <v>Crime</v>
      </c>
    </row>
    <row r="781" spans="1:16" x14ac:dyDescent="0.3">
      <c r="A781" t="s">
        <v>1773</v>
      </c>
      <c r="B781" t="s">
        <v>1774</v>
      </c>
      <c r="C781">
        <v>2011</v>
      </c>
      <c r="D781">
        <v>2010</v>
      </c>
      <c r="E781" t="s">
        <v>169</v>
      </c>
      <c r="F781">
        <v>137</v>
      </c>
      <c r="G781" t="s">
        <v>3999</v>
      </c>
      <c r="H781" t="s">
        <v>1776</v>
      </c>
      <c r="I781" t="s">
        <v>608</v>
      </c>
      <c r="J781" t="s">
        <v>1777</v>
      </c>
      <c r="K781">
        <v>119962</v>
      </c>
      <c r="L781">
        <v>30.56</v>
      </c>
      <c r="M781">
        <v>30.56</v>
      </c>
      <c r="N781" t="s">
        <v>4001</v>
      </c>
      <c r="O781" t="s">
        <v>235</v>
      </c>
      <c r="P781" t="str">
        <f>TRIM(Table13_1[[#This Row],[Genre]])</f>
        <v>Drama</v>
      </c>
    </row>
    <row r="782" spans="1:16" x14ac:dyDescent="0.3">
      <c r="A782" t="s">
        <v>1773</v>
      </c>
      <c r="B782" t="s">
        <v>1774</v>
      </c>
      <c r="C782">
        <v>2011</v>
      </c>
      <c r="D782">
        <v>2010</v>
      </c>
      <c r="E782" t="s">
        <v>169</v>
      </c>
      <c r="F782">
        <v>137</v>
      </c>
      <c r="G782" t="s">
        <v>3999</v>
      </c>
      <c r="H782" t="s">
        <v>1776</v>
      </c>
      <c r="I782" t="s">
        <v>608</v>
      </c>
      <c r="J782" t="s">
        <v>1777</v>
      </c>
      <c r="K782">
        <v>119962</v>
      </c>
      <c r="L782">
        <v>30.56</v>
      </c>
      <c r="M782">
        <v>30.56</v>
      </c>
      <c r="N782" t="s">
        <v>4001</v>
      </c>
      <c r="O782" t="s">
        <v>3992</v>
      </c>
      <c r="P782" t="str">
        <f>TRIM(Table13_1[[#This Row],[Genre]])</f>
        <v>Biography</v>
      </c>
    </row>
    <row r="783" spans="1:16" x14ac:dyDescent="0.3">
      <c r="A783" t="s">
        <v>1778</v>
      </c>
      <c r="B783" t="s">
        <v>1779</v>
      </c>
      <c r="C783">
        <v>2014</v>
      </c>
      <c r="D783">
        <v>2010</v>
      </c>
      <c r="E783" t="s">
        <v>285</v>
      </c>
      <c r="F783">
        <v>76</v>
      </c>
      <c r="G783" t="s">
        <v>4000</v>
      </c>
      <c r="H783" t="s">
        <v>852</v>
      </c>
      <c r="I783" t="s">
        <v>483</v>
      </c>
      <c r="J783" t="s">
        <v>1780</v>
      </c>
      <c r="K783">
        <v>28195</v>
      </c>
      <c r="L783">
        <v>397.7</v>
      </c>
      <c r="M783">
        <v>397.7</v>
      </c>
      <c r="N783" t="s">
        <v>3998</v>
      </c>
      <c r="O783" t="s">
        <v>55</v>
      </c>
      <c r="P783" t="str">
        <f>TRIM(Table13_1[[#This Row],[Genre]])</f>
        <v>Romance</v>
      </c>
    </row>
    <row r="784" spans="1:16" x14ac:dyDescent="0.3">
      <c r="A784" t="s">
        <v>1781</v>
      </c>
      <c r="B784" t="s">
        <v>1782</v>
      </c>
      <c r="C784">
        <v>2009</v>
      </c>
      <c r="D784">
        <v>2000</v>
      </c>
      <c r="E784" t="s">
        <v>54</v>
      </c>
      <c r="F784">
        <v>109</v>
      </c>
      <c r="G784" t="s">
        <v>3997</v>
      </c>
      <c r="H784" t="s">
        <v>85</v>
      </c>
      <c r="I784" t="s">
        <v>137</v>
      </c>
      <c r="J784" t="s">
        <v>1783</v>
      </c>
      <c r="K784">
        <v>6513</v>
      </c>
      <c r="L784">
        <v>106.79</v>
      </c>
      <c r="M784">
        <v>106.79</v>
      </c>
      <c r="N784" t="s">
        <v>4002</v>
      </c>
      <c r="O784" t="s">
        <v>767</v>
      </c>
      <c r="P784" t="str">
        <f>TRIM(Table13_1[[#This Row],[Genre]])</f>
        <v>Fantasy</v>
      </c>
    </row>
    <row r="785" spans="1:16" x14ac:dyDescent="0.3">
      <c r="A785" t="s">
        <v>1781</v>
      </c>
      <c r="B785" t="s">
        <v>1782</v>
      </c>
      <c r="C785">
        <v>2009</v>
      </c>
      <c r="D785">
        <v>2000</v>
      </c>
      <c r="E785" t="s">
        <v>54</v>
      </c>
      <c r="F785">
        <v>109</v>
      </c>
      <c r="G785" t="s">
        <v>3997</v>
      </c>
      <c r="H785" t="s">
        <v>85</v>
      </c>
      <c r="I785" t="s">
        <v>137</v>
      </c>
      <c r="J785" t="s">
        <v>1783</v>
      </c>
      <c r="K785">
        <v>6513</v>
      </c>
      <c r="L785">
        <v>106.79</v>
      </c>
      <c r="M785">
        <v>106.79</v>
      </c>
      <c r="N785" t="s">
        <v>4002</v>
      </c>
      <c r="O785" t="s">
        <v>3981</v>
      </c>
      <c r="P785" t="str">
        <f>TRIM(Table13_1[[#This Row],[Genre]])</f>
        <v>Romance</v>
      </c>
    </row>
    <row r="786" spans="1:16" x14ac:dyDescent="0.3">
      <c r="A786" t="s">
        <v>1784</v>
      </c>
      <c r="B786" t="s">
        <v>1785</v>
      </c>
      <c r="C786">
        <v>2012</v>
      </c>
      <c r="D786">
        <v>2010</v>
      </c>
      <c r="E786" t="s">
        <v>17</v>
      </c>
      <c r="F786">
        <v>168</v>
      </c>
      <c r="G786" t="s">
        <v>3999</v>
      </c>
      <c r="H786" t="s">
        <v>1787</v>
      </c>
      <c r="I786" t="s">
        <v>718</v>
      </c>
      <c r="J786" t="s">
        <v>1788</v>
      </c>
      <c r="K786">
        <v>7582</v>
      </c>
      <c r="M786">
        <v>0</v>
      </c>
      <c r="N786" t="s">
        <v>4001</v>
      </c>
      <c r="O786" t="s">
        <v>210</v>
      </c>
      <c r="P786" t="str">
        <f>TRIM(Table13_1[[#This Row],[Genre]])</f>
        <v>Action</v>
      </c>
    </row>
    <row r="787" spans="1:16" x14ac:dyDescent="0.3">
      <c r="A787" t="s">
        <v>1784</v>
      </c>
      <c r="B787" t="s">
        <v>1785</v>
      </c>
      <c r="C787">
        <v>2012</v>
      </c>
      <c r="D787">
        <v>2010</v>
      </c>
      <c r="E787" t="s">
        <v>17</v>
      </c>
      <c r="F787">
        <v>168</v>
      </c>
      <c r="G787" t="s">
        <v>3999</v>
      </c>
      <c r="H787" t="s">
        <v>1787</v>
      </c>
      <c r="I787" t="s">
        <v>718</v>
      </c>
      <c r="J787" t="s">
        <v>1788</v>
      </c>
      <c r="K787">
        <v>7582</v>
      </c>
      <c r="M787">
        <v>0</v>
      </c>
      <c r="N787" t="s">
        <v>4001</v>
      </c>
      <c r="O787" t="s">
        <v>3985</v>
      </c>
      <c r="P787" t="str">
        <f>TRIM(Table13_1[[#This Row],[Genre]])</f>
        <v>Horror</v>
      </c>
    </row>
    <row r="788" spans="1:16" x14ac:dyDescent="0.3">
      <c r="A788" t="s">
        <v>1789</v>
      </c>
      <c r="B788" t="s">
        <v>1790</v>
      </c>
      <c r="C788">
        <v>2017</v>
      </c>
      <c r="D788">
        <v>2010</v>
      </c>
      <c r="E788" t="s">
        <v>169</v>
      </c>
      <c r="F788">
        <v>97</v>
      </c>
      <c r="G788" t="s">
        <v>3997</v>
      </c>
      <c r="H788" t="s">
        <v>201</v>
      </c>
      <c r="I788" t="s">
        <v>524</v>
      </c>
      <c r="J788" t="s">
        <v>1791</v>
      </c>
      <c r="K788">
        <v>14919</v>
      </c>
      <c r="L788">
        <v>476.26</v>
      </c>
      <c r="M788">
        <v>476.26</v>
      </c>
      <c r="N788" t="s">
        <v>3998</v>
      </c>
      <c r="O788" t="s">
        <v>235</v>
      </c>
      <c r="P788" t="str">
        <f>TRIM(Table13_1[[#This Row],[Genre]])</f>
        <v>Drama</v>
      </c>
    </row>
    <row r="789" spans="1:16" x14ac:dyDescent="0.3">
      <c r="A789" t="s">
        <v>1792</v>
      </c>
      <c r="B789" t="s">
        <v>1793</v>
      </c>
      <c r="C789">
        <v>2024</v>
      </c>
      <c r="D789">
        <v>2020</v>
      </c>
      <c r="E789" t="s">
        <v>54</v>
      </c>
      <c r="F789">
        <v>120</v>
      </c>
      <c r="G789" t="s">
        <v>3997</v>
      </c>
      <c r="H789" t="s">
        <v>1795</v>
      </c>
      <c r="I789" t="s">
        <v>315</v>
      </c>
      <c r="J789" t="s">
        <v>1796</v>
      </c>
      <c r="K789">
        <v>357170</v>
      </c>
      <c r="L789">
        <v>172.7</v>
      </c>
      <c r="M789">
        <v>172.7</v>
      </c>
      <c r="N789" t="s">
        <v>4002</v>
      </c>
      <c r="O789" t="s">
        <v>43</v>
      </c>
      <c r="P789" t="str">
        <f>TRIM(Table13_1[[#This Row],[Genre]])</f>
        <v>Mystery</v>
      </c>
    </row>
    <row r="790" spans="1:16" x14ac:dyDescent="0.3">
      <c r="A790" t="s">
        <v>1792</v>
      </c>
      <c r="B790" t="s">
        <v>1793</v>
      </c>
      <c r="C790">
        <v>2024</v>
      </c>
      <c r="D790">
        <v>2020</v>
      </c>
      <c r="E790" t="s">
        <v>54</v>
      </c>
      <c r="F790">
        <v>120</v>
      </c>
      <c r="G790" t="s">
        <v>3997</v>
      </c>
      <c r="H790" t="s">
        <v>1795</v>
      </c>
      <c r="I790" t="s">
        <v>315</v>
      </c>
      <c r="J790" t="s">
        <v>1796</v>
      </c>
      <c r="K790">
        <v>357170</v>
      </c>
      <c r="L790">
        <v>172.7</v>
      </c>
      <c r="M790">
        <v>172.7</v>
      </c>
      <c r="N790" t="s">
        <v>4002</v>
      </c>
      <c r="O790" t="s">
        <v>3976</v>
      </c>
      <c r="P790" t="str">
        <f>TRIM(Table13_1[[#This Row],[Genre]])</f>
        <v>Musical</v>
      </c>
    </row>
    <row r="791" spans="1:16" x14ac:dyDescent="0.3">
      <c r="A791" t="s">
        <v>1797</v>
      </c>
      <c r="B791" t="s">
        <v>1798</v>
      </c>
      <c r="C791">
        <v>2019</v>
      </c>
      <c r="D791">
        <v>2010</v>
      </c>
      <c r="E791" t="s">
        <v>17</v>
      </c>
      <c r="F791">
        <v>141</v>
      </c>
      <c r="G791" t="s">
        <v>3999</v>
      </c>
      <c r="H791" t="s">
        <v>269</v>
      </c>
      <c r="I791" t="s">
        <v>131</v>
      </c>
      <c r="J791" t="s">
        <v>1800</v>
      </c>
      <c r="K791">
        <v>57668</v>
      </c>
      <c r="M791">
        <v>0</v>
      </c>
      <c r="N791" t="s">
        <v>4001</v>
      </c>
      <c r="O791" t="s">
        <v>453</v>
      </c>
      <c r="P791" t="str">
        <f>TRIM(Table13_1[[#This Row],[Genre]])</f>
        <v>Musical</v>
      </c>
    </row>
    <row r="792" spans="1:16" x14ac:dyDescent="0.3">
      <c r="A792" t="s">
        <v>1797</v>
      </c>
      <c r="B792" t="s">
        <v>1798</v>
      </c>
      <c r="C792">
        <v>2019</v>
      </c>
      <c r="D792">
        <v>2010</v>
      </c>
      <c r="E792" t="s">
        <v>17</v>
      </c>
      <c r="F792">
        <v>141</v>
      </c>
      <c r="G792" t="s">
        <v>3999</v>
      </c>
      <c r="H792" t="s">
        <v>269</v>
      </c>
      <c r="I792" t="s">
        <v>131</v>
      </c>
      <c r="J792" t="s">
        <v>1800</v>
      </c>
      <c r="K792">
        <v>57668</v>
      </c>
      <c r="M792">
        <v>0</v>
      </c>
      <c r="N792" t="s">
        <v>4001</v>
      </c>
      <c r="O792" t="s">
        <v>3990</v>
      </c>
      <c r="P792" t="str">
        <f>TRIM(Table13_1[[#This Row],[Genre]])</f>
        <v>Western</v>
      </c>
    </row>
    <row r="793" spans="1:16" x14ac:dyDescent="0.3">
      <c r="A793" t="s">
        <v>1801</v>
      </c>
      <c r="B793" t="s">
        <v>1802</v>
      </c>
      <c r="C793">
        <v>2015</v>
      </c>
      <c r="D793">
        <v>2010</v>
      </c>
      <c r="E793" t="s">
        <v>54</v>
      </c>
      <c r="F793">
        <v>147</v>
      </c>
      <c r="G793" t="s">
        <v>3999</v>
      </c>
      <c r="H793" t="s">
        <v>1804</v>
      </c>
      <c r="I793" t="s">
        <v>153</v>
      </c>
      <c r="J793" t="s">
        <v>1805</v>
      </c>
      <c r="K793">
        <v>999683</v>
      </c>
      <c r="L793">
        <v>480.99</v>
      </c>
      <c r="M793">
        <v>480.99</v>
      </c>
      <c r="N793" t="s">
        <v>3998</v>
      </c>
      <c r="O793" t="s">
        <v>78</v>
      </c>
      <c r="P793" t="str">
        <f>TRIM(Table13_1[[#This Row],[Genre]])</f>
        <v>Adventure</v>
      </c>
    </row>
    <row r="794" spans="1:16" x14ac:dyDescent="0.3">
      <c r="A794" t="s">
        <v>1801</v>
      </c>
      <c r="B794" t="s">
        <v>1802</v>
      </c>
      <c r="C794">
        <v>2015</v>
      </c>
      <c r="D794">
        <v>2010</v>
      </c>
      <c r="E794" t="s">
        <v>54</v>
      </c>
      <c r="F794">
        <v>147</v>
      </c>
      <c r="G794" t="s">
        <v>3999</v>
      </c>
      <c r="H794" t="s">
        <v>1804</v>
      </c>
      <c r="I794" t="s">
        <v>153</v>
      </c>
      <c r="J794" t="s">
        <v>1805</v>
      </c>
      <c r="K794">
        <v>999683</v>
      </c>
      <c r="L794">
        <v>480.99</v>
      </c>
      <c r="M794">
        <v>480.99</v>
      </c>
      <c r="N794" t="s">
        <v>3998</v>
      </c>
      <c r="O794" t="s">
        <v>3980</v>
      </c>
      <c r="P794" t="str">
        <f>TRIM(Table13_1[[#This Row],[Genre]])</f>
        <v>Action</v>
      </c>
    </row>
    <row r="795" spans="1:16" x14ac:dyDescent="0.3">
      <c r="A795" t="s">
        <v>1801</v>
      </c>
      <c r="B795" t="s">
        <v>1802</v>
      </c>
      <c r="C795">
        <v>2015</v>
      </c>
      <c r="D795">
        <v>2010</v>
      </c>
      <c r="E795" t="s">
        <v>54</v>
      </c>
      <c r="F795">
        <v>147</v>
      </c>
      <c r="G795" t="s">
        <v>3999</v>
      </c>
      <c r="H795" t="s">
        <v>1804</v>
      </c>
      <c r="I795" t="s">
        <v>153</v>
      </c>
      <c r="J795" t="s">
        <v>1805</v>
      </c>
      <c r="K795">
        <v>999683</v>
      </c>
      <c r="L795">
        <v>480.99</v>
      </c>
      <c r="M795">
        <v>480.99</v>
      </c>
      <c r="N795" t="s">
        <v>3998</v>
      </c>
      <c r="O795" t="s">
        <v>3991</v>
      </c>
      <c r="P795" t="str">
        <f>TRIM(Table13_1[[#This Row],[Genre]])</f>
        <v>Thriller</v>
      </c>
    </row>
    <row r="796" spans="1:16" x14ac:dyDescent="0.3">
      <c r="A796" t="s">
        <v>1806</v>
      </c>
      <c r="B796" t="s">
        <v>1807</v>
      </c>
      <c r="C796">
        <v>1999</v>
      </c>
      <c r="D796">
        <v>1990</v>
      </c>
      <c r="E796" t="s">
        <v>17</v>
      </c>
      <c r="F796">
        <v>110</v>
      </c>
      <c r="G796" t="s">
        <v>3997</v>
      </c>
      <c r="H796" t="s">
        <v>852</v>
      </c>
      <c r="I796" t="s">
        <v>80</v>
      </c>
      <c r="J796" t="s">
        <v>1808</v>
      </c>
      <c r="K796">
        <v>98764</v>
      </c>
      <c r="M796">
        <v>0</v>
      </c>
      <c r="N796" t="s">
        <v>4001</v>
      </c>
      <c r="O796" t="s">
        <v>55</v>
      </c>
      <c r="P796" t="str">
        <f>TRIM(Table13_1[[#This Row],[Genre]])</f>
        <v>Romance</v>
      </c>
    </row>
    <row r="797" spans="1:16" x14ac:dyDescent="0.3">
      <c r="A797" t="s">
        <v>1806</v>
      </c>
      <c r="B797" t="s">
        <v>1807</v>
      </c>
      <c r="C797">
        <v>1999</v>
      </c>
      <c r="D797">
        <v>1990</v>
      </c>
      <c r="E797" t="s">
        <v>17</v>
      </c>
      <c r="F797">
        <v>110</v>
      </c>
      <c r="G797" t="s">
        <v>3997</v>
      </c>
      <c r="H797" t="s">
        <v>852</v>
      </c>
      <c r="I797" t="s">
        <v>80</v>
      </c>
      <c r="J797" t="s">
        <v>1808</v>
      </c>
      <c r="K797">
        <v>98764</v>
      </c>
      <c r="M797">
        <v>0</v>
      </c>
      <c r="N797" t="s">
        <v>4001</v>
      </c>
      <c r="O797" t="s">
        <v>3985</v>
      </c>
      <c r="P797" t="str">
        <f>TRIM(Table13_1[[#This Row],[Genre]])</f>
        <v>Horror</v>
      </c>
    </row>
    <row r="798" spans="1:16" x14ac:dyDescent="0.3">
      <c r="A798" t="s">
        <v>1809</v>
      </c>
      <c r="B798" t="s">
        <v>1810</v>
      </c>
      <c r="C798">
        <v>2009</v>
      </c>
      <c r="D798">
        <v>2000</v>
      </c>
      <c r="E798" t="s">
        <v>17</v>
      </c>
      <c r="F798">
        <v>127</v>
      </c>
      <c r="G798" t="s">
        <v>3999</v>
      </c>
      <c r="H798" t="s">
        <v>1363</v>
      </c>
      <c r="I798" t="s">
        <v>153</v>
      </c>
      <c r="J798" t="s">
        <v>1812</v>
      </c>
      <c r="K798">
        <v>55288</v>
      </c>
      <c r="L798">
        <v>121.64</v>
      </c>
      <c r="M798">
        <v>121.64</v>
      </c>
      <c r="N798" t="s">
        <v>4002</v>
      </c>
      <c r="O798" t="s">
        <v>43</v>
      </c>
      <c r="P798" t="str">
        <f>TRIM(Table13_1[[#This Row],[Genre]])</f>
        <v>Mystery</v>
      </c>
    </row>
    <row r="799" spans="1:16" x14ac:dyDescent="0.3">
      <c r="A799" t="s">
        <v>1809</v>
      </c>
      <c r="B799" t="s">
        <v>1810</v>
      </c>
      <c r="C799">
        <v>2009</v>
      </c>
      <c r="D799">
        <v>2000</v>
      </c>
      <c r="E799" t="s">
        <v>17</v>
      </c>
      <c r="F799">
        <v>127</v>
      </c>
      <c r="G799" t="s">
        <v>3999</v>
      </c>
      <c r="H799" t="s">
        <v>1363</v>
      </c>
      <c r="I799" t="s">
        <v>153</v>
      </c>
      <c r="J799" t="s">
        <v>1812</v>
      </c>
      <c r="K799">
        <v>55288</v>
      </c>
      <c r="L799">
        <v>121.64</v>
      </c>
      <c r="M799">
        <v>121.64</v>
      </c>
      <c r="N799" t="s">
        <v>4002</v>
      </c>
      <c r="O799" t="s">
        <v>3987</v>
      </c>
      <c r="P799" t="str">
        <f>TRIM(Table13_1[[#This Row],[Genre]])</f>
        <v>Fantasy</v>
      </c>
    </row>
    <row r="800" spans="1:16" x14ac:dyDescent="0.3">
      <c r="A800" t="s">
        <v>1809</v>
      </c>
      <c r="B800" t="s">
        <v>1810</v>
      </c>
      <c r="C800">
        <v>2009</v>
      </c>
      <c r="D800">
        <v>2000</v>
      </c>
      <c r="E800" t="s">
        <v>17</v>
      </c>
      <c r="F800">
        <v>127</v>
      </c>
      <c r="G800" t="s">
        <v>3999</v>
      </c>
      <c r="H800" t="s">
        <v>1363</v>
      </c>
      <c r="I800" t="s">
        <v>153</v>
      </c>
      <c r="J800" t="s">
        <v>1812</v>
      </c>
      <c r="K800">
        <v>55288</v>
      </c>
      <c r="L800">
        <v>121.64</v>
      </c>
      <c r="M800">
        <v>121.64</v>
      </c>
      <c r="N800" t="s">
        <v>4002</v>
      </c>
      <c r="O800" t="s">
        <v>3983</v>
      </c>
      <c r="P800" t="str">
        <f>TRIM(Table13_1[[#This Row],[Genre]])</f>
        <v>Crime</v>
      </c>
    </row>
    <row r="801" spans="1:16" x14ac:dyDescent="0.3">
      <c r="A801" t="s">
        <v>1813</v>
      </c>
      <c r="B801" t="s">
        <v>1814</v>
      </c>
      <c r="C801">
        <v>2008</v>
      </c>
      <c r="D801">
        <v>2000</v>
      </c>
      <c r="E801" t="s">
        <v>17</v>
      </c>
      <c r="F801">
        <v>123</v>
      </c>
      <c r="G801" t="s">
        <v>3999</v>
      </c>
      <c r="H801" t="s">
        <v>1072</v>
      </c>
      <c r="I801" t="s">
        <v>518</v>
      </c>
      <c r="J801" t="s">
        <v>1815</v>
      </c>
      <c r="K801">
        <v>11665</v>
      </c>
      <c r="M801">
        <v>0</v>
      </c>
      <c r="N801" t="s">
        <v>4001</v>
      </c>
      <c r="O801" t="s">
        <v>453</v>
      </c>
      <c r="P801" t="str">
        <f>TRIM(Table13_1[[#This Row],[Genre]])</f>
        <v>Musical</v>
      </c>
    </row>
    <row r="802" spans="1:16" x14ac:dyDescent="0.3">
      <c r="A802" t="s">
        <v>1816</v>
      </c>
      <c r="B802" t="s">
        <v>1817</v>
      </c>
      <c r="C802">
        <v>2005</v>
      </c>
      <c r="D802">
        <v>2000</v>
      </c>
      <c r="E802" t="s">
        <v>54</v>
      </c>
      <c r="F802">
        <v>95</v>
      </c>
      <c r="G802" t="s">
        <v>3997</v>
      </c>
      <c r="H802" t="s">
        <v>1363</v>
      </c>
      <c r="I802" t="s">
        <v>368</v>
      </c>
      <c r="J802" t="s">
        <v>1818</v>
      </c>
      <c r="K802">
        <v>47434</v>
      </c>
      <c r="L802">
        <v>275.47000000000003</v>
      </c>
      <c r="M802">
        <v>275.47000000000003</v>
      </c>
      <c r="N802" t="s">
        <v>3998</v>
      </c>
      <c r="O802" t="s">
        <v>43</v>
      </c>
      <c r="P802" t="str">
        <f>TRIM(Table13_1[[#This Row],[Genre]])</f>
        <v>Mystery</v>
      </c>
    </row>
    <row r="803" spans="1:16" x14ac:dyDescent="0.3">
      <c r="A803" t="s">
        <v>1816</v>
      </c>
      <c r="B803" t="s">
        <v>1817</v>
      </c>
      <c r="C803">
        <v>2005</v>
      </c>
      <c r="D803">
        <v>2000</v>
      </c>
      <c r="E803" t="s">
        <v>54</v>
      </c>
      <c r="F803">
        <v>95</v>
      </c>
      <c r="G803" t="s">
        <v>3997</v>
      </c>
      <c r="H803" t="s">
        <v>1363</v>
      </c>
      <c r="I803" t="s">
        <v>368</v>
      </c>
      <c r="J803" t="s">
        <v>1818</v>
      </c>
      <c r="K803">
        <v>47434</v>
      </c>
      <c r="L803">
        <v>275.47000000000003</v>
      </c>
      <c r="M803">
        <v>275.47000000000003</v>
      </c>
      <c r="N803" t="s">
        <v>3998</v>
      </c>
      <c r="O803" t="s">
        <v>3992</v>
      </c>
      <c r="P803" t="str">
        <f>TRIM(Table13_1[[#This Row],[Genre]])</f>
        <v>Biography</v>
      </c>
    </row>
    <row r="804" spans="1:16" x14ac:dyDescent="0.3">
      <c r="A804" t="s">
        <v>1819</v>
      </c>
      <c r="B804" t="s">
        <v>1820</v>
      </c>
      <c r="C804">
        <v>2014</v>
      </c>
      <c r="D804">
        <v>2010</v>
      </c>
      <c r="E804" t="s">
        <v>17</v>
      </c>
      <c r="F804">
        <v>116</v>
      </c>
      <c r="G804" t="s">
        <v>3997</v>
      </c>
      <c r="H804" t="s">
        <v>1155</v>
      </c>
      <c r="I804" t="s">
        <v>518</v>
      </c>
      <c r="J804" t="s">
        <v>1822</v>
      </c>
      <c r="K804">
        <v>10704</v>
      </c>
      <c r="M804">
        <v>0</v>
      </c>
      <c r="N804" t="s">
        <v>4001</v>
      </c>
      <c r="O804" t="s">
        <v>72</v>
      </c>
      <c r="P804" t="str">
        <f>TRIM(Table13_1[[#This Row],[Genre]])</f>
        <v>War</v>
      </c>
    </row>
    <row r="805" spans="1:16" x14ac:dyDescent="0.3">
      <c r="A805" t="s">
        <v>1819</v>
      </c>
      <c r="B805" t="s">
        <v>1820</v>
      </c>
      <c r="C805">
        <v>2014</v>
      </c>
      <c r="D805">
        <v>2010</v>
      </c>
      <c r="E805" t="s">
        <v>17</v>
      </c>
      <c r="F805">
        <v>116</v>
      </c>
      <c r="G805" t="s">
        <v>3997</v>
      </c>
      <c r="H805" t="s">
        <v>1155</v>
      </c>
      <c r="I805" t="s">
        <v>518</v>
      </c>
      <c r="J805" t="s">
        <v>1822</v>
      </c>
      <c r="K805">
        <v>10704</v>
      </c>
      <c r="M805">
        <v>0</v>
      </c>
      <c r="N805" t="s">
        <v>4001</v>
      </c>
      <c r="O805" t="s">
        <v>3989</v>
      </c>
      <c r="P805" t="str">
        <f>TRIM(Table13_1[[#This Row],[Genre]])</f>
        <v>Sci-Fi</v>
      </c>
    </row>
    <row r="806" spans="1:16" x14ac:dyDescent="0.3">
      <c r="A806" t="s">
        <v>1823</v>
      </c>
      <c r="B806" t="s">
        <v>1824</v>
      </c>
      <c r="C806">
        <v>2019</v>
      </c>
      <c r="D806">
        <v>2010</v>
      </c>
      <c r="E806" t="s">
        <v>54</v>
      </c>
      <c r="F806">
        <v>134</v>
      </c>
      <c r="G806" t="s">
        <v>3999</v>
      </c>
      <c r="H806" t="s">
        <v>1825</v>
      </c>
      <c r="I806" t="s">
        <v>137</v>
      </c>
      <c r="J806" t="s">
        <v>1826</v>
      </c>
      <c r="K806">
        <v>5002</v>
      </c>
      <c r="L806">
        <v>370.36</v>
      </c>
      <c r="M806">
        <v>370.36</v>
      </c>
      <c r="N806" t="s">
        <v>3998</v>
      </c>
      <c r="O806" t="s">
        <v>1044</v>
      </c>
      <c r="P806" t="str">
        <f>TRIM(Table13_1[[#This Row],[Genre]])</f>
        <v>Comedy</v>
      </c>
    </row>
    <row r="807" spans="1:16" x14ac:dyDescent="0.3">
      <c r="A807" t="s">
        <v>1823</v>
      </c>
      <c r="B807" t="s">
        <v>1824</v>
      </c>
      <c r="C807">
        <v>2019</v>
      </c>
      <c r="D807">
        <v>2010</v>
      </c>
      <c r="E807" t="s">
        <v>54</v>
      </c>
      <c r="F807">
        <v>134</v>
      </c>
      <c r="G807" t="s">
        <v>3999</v>
      </c>
      <c r="H807" t="s">
        <v>1825</v>
      </c>
      <c r="I807" t="s">
        <v>137</v>
      </c>
      <c r="J807" t="s">
        <v>1826</v>
      </c>
      <c r="K807">
        <v>5002</v>
      </c>
      <c r="L807">
        <v>370.36</v>
      </c>
      <c r="M807">
        <v>370.36</v>
      </c>
      <c r="N807" t="s">
        <v>3998</v>
      </c>
      <c r="O807" t="s">
        <v>3982</v>
      </c>
      <c r="P807" t="str">
        <f>TRIM(Table13_1[[#This Row],[Genre]])</f>
        <v>Family</v>
      </c>
    </row>
    <row r="808" spans="1:16" x14ac:dyDescent="0.3">
      <c r="A808" t="s">
        <v>1827</v>
      </c>
      <c r="B808" t="s">
        <v>1828</v>
      </c>
      <c r="C808">
        <v>2002</v>
      </c>
      <c r="D808">
        <v>2000</v>
      </c>
      <c r="E808" t="s">
        <v>54</v>
      </c>
      <c r="F808">
        <v>138</v>
      </c>
      <c r="G808" t="s">
        <v>3999</v>
      </c>
      <c r="H808" t="s">
        <v>355</v>
      </c>
      <c r="I808" t="s">
        <v>368</v>
      </c>
      <c r="J808" t="s">
        <v>1829</v>
      </c>
      <c r="K808">
        <v>267537</v>
      </c>
      <c r="M808">
        <v>0</v>
      </c>
      <c r="N808" t="s">
        <v>4001</v>
      </c>
      <c r="O808" t="s">
        <v>868</v>
      </c>
      <c r="P808" t="str">
        <f>TRIM(Table13_1[[#This Row],[Genre]])</f>
        <v>Western</v>
      </c>
    </row>
    <row r="809" spans="1:16" x14ac:dyDescent="0.3">
      <c r="A809" t="s">
        <v>1830</v>
      </c>
      <c r="B809" t="s">
        <v>1831</v>
      </c>
      <c r="C809">
        <v>2014</v>
      </c>
      <c r="D809">
        <v>2010</v>
      </c>
      <c r="E809" t="s">
        <v>24</v>
      </c>
      <c r="F809">
        <v>143</v>
      </c>
      <c r="G809" t="s">
        <v>3999</v>
      </c>
      <c r="H809" t="s">
        <v>1833</v>
      </c>
      <c r="I809" t="s">
        <v>74</v>
      </c>
      <c r="J809" t="s">
        <v>1834</v>
      </c>
      <c r="K809">
        <v>50972</v>
      </c>
      <c r="L809">
        <v>92.97</v>
      </c>
      <c r="M809">
        <v>92.97</v>
      </c>
      <c r="N809" t="s">
        <v>4001</v>
      </c>
      <c r="O809" t="s">
        <v>129</v>
      </c>
      <c r="P809" t="str">
        <f>TRIM(Table13_1[[#This Row],[Genre]])</f>
        <v>Horror</v>
      </c>
    </row>
    <row r="810" spans="1:16" x14ac:dyDescent="0.3">
      <c r="A810" t="s">
        <v>1830</v>
      </c>
      <c r="B810" t="s">
        <v>1831</v>
      </c>
      <c r="C810">
        <v>2014</v>
      </c>
      <c r="D810">
        <v>2010</v>
      </c>
      <c r="E810" t="s">
        <v>24</v>
      </c>
      <c r="F810">
        <v>143</v>
      </c>
      <c r="G810" t="s">
        <v>3999</v>
      </c>
      <c r="H810" t="s">
        <v>1833</v>
      </c>
      <c r="I810" t="s">
        <v>74</v>
      </c>
      <c r="J810" t="s">
        <v>1834</v>
      </c>
      <c r="K810">
        <v>50972</v>
      </c>
      <c r="L810">
        <v>92.97</v>
      </c>
      <c r="M810">
        <v>92.97</v>
      </c>
      <c r="N810" t="s">
        <v>4001</v>
      </c>
      <c r="O810" t="s">
        <v>3991</v>
      </c>
      <c r="P810" t="str">
        <f>TRIM(Table13_1[[#This Row],[Genre]])</f>
        <v>Thriller</v>
      </c>
    </row>
    <row r="811" spans="1:16" x14ac:dyDescent="0.3">
      <c r="A811" t="s">
        <v>1830</v>
      </c>
      <c r="B811" t="s">
        <v>1831</v>
      </c>
      <c r="C811">
        <v>2014</v>
      </c>
      <c r="D811">
        <v>2010</v>
      </c>
      <c r="E811" t="s">
        <v>24</v>
      </c>
      <c r="F811">
        <v>143</v>
      </c>
      <c r="G811" t="s">
        <v>3999</v>
      </c>
      <c r="H811" t="s">
        <v>1833</v>
      </c>
      <c r="I811" t="s">
        <v>74</v>
      </c>
      <c r="J811" t="s">
        <v>1834</v>
      </c>
      <c r="K811">
        <v>50972</v>
      </c>
      <c r="L811">
        <v>92.97</v>
      </c>
      <c r="M811">
        <v>92.97</v>
      </c>
      <c r="N811" t="s">
        <v>4001</v>
      </c>
      <c r="O811" t="s">
        <v>3987</v>
      </c>
      <c r="P811" t="str">
        <f>TRIM(Table13_1[[#This Row],[Genre]])</f>
        <v>Fantasy</v>
      </c>
    </row>
    <row r="812" spans="1:16" x14ac:dyDescent="0.3">
      <c r="A812" t="s">
        <v>1835</v>
      </c>
      <c r="B812" t="s">
        <v>1836</v>
      </c>
      <c r="C812">
        <v>2015</v>
      </c>
      <c r="D812">
        <v>2010</v>
      </c>
      <c r="E812" t="s">
        <v>17</v>
      </c>
      <c r="F812">
        <v>139</v>
      </c>
      <c r="G812" t="s">
        <v>3999</v>
      </c>
      <c r="H812" t="s">
        <v>381</v>
      </c>
      <c r="I812" t="s">
        <v>103</v>
      </c>
      <c r="J812" t="s">
        <v>1838</v>
      </c>
      <c r="K812">
        <v>837294</v>
      </c>
      <c r="L812">
        <v>199.19</v>
      </c>
      <c r="M812">
        <v>199.19</v>
      </c>
      <c r="N812" t="s">
        <v>4002</v>
      </c>
      <c r="O812" t="s">
        <v>375</v>
      </c>
      <c r="P812" t="str">
        <f>TRIM(Table13_1[[#This Row],[Genre]])</f>
        <v>Family</v>
      </c>
    </row>
    <row r="813" spans="1:16" x14ac:dyDescent="0.3">
      <c r="A813" t="s">
        <v>1835</v>
      </c>
      <c r="B813" t="s">
        <v>1836</v>
      </c>
      <c r="C813">
        <v>2015</v>
      </c>
      <c r="D813">
        <v>2010</v>
      </c>
      <c r="E813" t="s">
        <v>17</v>
      </c>
      <c r="F813">
        <v>139</v>
      </c>
      <c r="G813" t="s">
        <v>3999</v>
      </c>
      <c r="H813" t="s">
        <v>381</v>
      </c>
      <c r="I813" t="s">
        <v>103</v>
      </c>
      <c r="J813" t="s">
        <v>1838</v>
      </c>
      <c r="K813">
        <v>837294</v>
      </c>
      <c r="L813">
        <v>199.19</v>
      </c>
      <c r="M813">
        <v>199.19</v>
      </c>
      <c r="N813" t="s">
        <v>4002</v>
      </c>
      <c r="O813" t="s">
        <v>3989</v>
      </c>
      <c r="P813" t="str">
        <f>TRIM(Table13_1[[#This Row],[Genre]])</f>
        <v>Sci-Fi</v>
      </c>
    </row>
    <row r="814" spans="1:16" x14ac:dyDescent="0.3">
      <c r="A814" t="s">
        <v>1835</v>
      </c>
      <c r="B814" t="s">
        <v>1836</v>
      </c>
      <c r="C814">
        <v>2015</v>
      </c>
      <c r="D814">
        <v>2010</v>
      </c>
      <c r="E814" t="s">
        <v>17</v>
      </c>
      <c r="F814">
        <v>139</v>
      </c>
      <c r="G814" t="s">
        <v>3999</v>
      </c>
      <c r="H814" t="s">
        <v>381</v>
      </c>
      <c r="I814" t="s">
        <v>103</v>
      </c>
      <c r="J814" t="s">
        <v>1838</v>
      </c>
      <c r="K814">
        <v>837294</v>
      </c>
      <c r="L814">
        <v>199.19</v>
      </c>
      <c r="M814">
        <v>199.19</v>
      </c>
      <c r="N814" t="s">
        <v>4002</v>
      </c>
      <c r="O814" t="s">
        <v>3976</v>
      </c>
      <c r="P814" t="str">
        <f>TRIM(Table13_1[[#This Row],[Genre]])</f>
        <v>Musical</v>
      </c>
    </row>
    <row r="815" spans="1:16" x14ac:dyDescent="0.3">
      <c r="A815" t="s">
        <v>1839</v>
      </c>
      <c r="B815" t="s">
        <v>1840</v>
      </c>
      <c r="C815">
        <v>2021</v>
      </c>
      <c r="D815">
        <v>2020</v>
      </c>
      <c r="E815" t="s">
        <v>169</v>
      </c>
      <c r="F815">
        <v>106</v>
      </c>
      <c r="G815" t="s">
        <v>3997</v>
      </c>
      <c r="H815" t="s">
        <v>136</v>
      </c>
      <c r="I815" t="s">
        <v>191</v>
      </c>
      <c r="J815" t="s">
        <v>1842</v>
      </c>
      <c r="K815">
        <v>45206</v>
      </c>
      <c r="L815">
        <v>116.22</v>
      </c>
      <c r="M815">
        <v>116.22</v>
      </c>
      <c r="N815" t="s">
        <v>4002</v>
      </c>
      <c r="O815" t="s">
        <v>43</v>
      </c>
      <c r="P815" t="str">
        <f>TRIM(Table13_1[[#This Row],[Genre]])</f>
        <v>Mystery</v>
      </c>
    </row>
    <row r="816" spans="1:16" x14ac:dyDescent="0.3">
      <c r="A816" t="s">
        <v>1839</v>
      </c>
      <c r="B816" t="s">
        <v>1840</v>
      </c>
      <c r="C816">
        <v>2021</v>
      </c>
      <c r="D816">
        <v>2020</v>
      </c>
      <c r="E816" t="s">
        <v>169</v>
      </c>
      <c r="F816">
        <v>106</v>
      </c>
      <c r="G816" t="s">
        <v>3997</v>
      </c>
      <c r="H816" t="s">
        <v>136</v>
      </c>
      <c r="I816" t="s">
        <v>191</v>
      </c>
      <c r="J816" t="s">
        <v>1842</v>
      </c>
      <c r="K816">
        <v>45206</v>
      </c>
      <c r="L816">
        <v>116.22</v>
      </c>
      <c r="M816">
        <v>116.22</v>
      </c>
      <c r="N816" t="s">
        <v>4002</v>
      </c>
      <c r="O816" t="s">
        <v>3987</v>
      </c>
      <c r="P816" t="str">
        <f>TRIM(Table13_1[[#This Row],[Genre]])</f>
        <v>Fantasy</v>
      </c>
    </row>
    <row r="817" spans="1:16" x14ac:dyDescent="0.3">
      <c r="A817" t="s">
        <v>1843</v>
      </c>
      <c r="B817" t="s">
        <v>1844</v>
      </c>
      <c r="C817">
        <v>2016</v>
      </c>
      <c r="D817">
        <v>2010</v>
      </c>
      <c r="E817" t="s">
        <v>24</v>
      </c>
      <c r="F817">
        <v>119</v>
      </c>
      <c r="G817" t="s">
        <v>3997</v>
      </c>
      <c r="H817" t="s">
        <v>566</v>
      </c>
      <c r="I817" t="s">
        <v>165</v>
      </c>
      <c r="J817" t="s">
        <v>1845</v>
      </c>
      <c r="K817">
        <v>17775</v>
      </c>
      <c r="M817">
        <v>0</v>
      </c>
      <c r="N817" t="s">
        <v>4001</v>
      </c>
      <c r="O817" t="s">
        <v>48</v>
      </c>
      <c r="P817" t="str">
        <f>TRIM(Table13_1[[#This Row],[Genre]])</f>
        <v>Crime</v>
      </c>
    </row>
    <row r="818" spans="1:16" x14ac:dyDescent="0.3">
      <c r="A818" t="s">
        <v>1843</v>
      </c>
      <c r="B818" t="s">
        <v>1844</v>
      </c>
      <c r="C818">
        <v>2016</v>
      </c>
      <c r="D818">
        <v>2010</v>
      </c>
      <c r="E818" t="s">
        <v>24</v>
      </c>
      <c r="F818">
        <v>119</v>
      </c>
      <c r="G818" t="s">
        <v>3997</v>
      </c>
      <c r="H818" t="s">
        <v>566</v>
      </c>
      <c r="I818" t="s">
        <v>165</v>
      </c>
      <c r="J818" t="s">
        <v>1845</v>
      </c>
      <c r="K818">
        <v>17775</v>
      </c>
      <c r="M818">
        <v>0</v>
      </c>
      <c r="N818" t="s">
        <v>4001</v>
      </c>
      <c r="O818" t="s">
        <v>3984</v>
      </c>
      <c r="P818" t="str">
        <f>TRIM(Table13_1[[#This Row],[Genre]])</f>
        <v>Adventure</v>
      </c>
    </row>
    <row r="819" spans="1:16" x14ac:dyDescent="0.3">
      <c r="A819" t="s">
        <v>1846</v>
      </c>
      <c r="B819" t="s">
        <v>1847</v>
      </c>
      <c r="C819">
        <v>2017</v>
      </c>
      <c r="D819">
        <v>2010</v>
      </c>
      <c r="E819" t="s">
        <v>17</v>
      </c>
      <c r="F819">
        <v>117</v>
      </c>
      <c r="G819" t="s">
        <v>3997</v>
      </c>
      <c r="H819" t="s">
        <v>305</v>
      </c>
      <c r="I819" t="s">
        <v>518</v>
      </c>
      <c r="J819" t="s">
        <v>1848</v>
      </c>
      <c r="K819">
        <v>68107</v>
      </c>
      <c r="L819">
        <v>370.25</v>
      </c>
      <c r="M819">
        <v>370.25</v>
      </c>
      <c r="N819" t="s">
        <v>3998</v>
      </c>
      <c r="O819" t="s">
        <v>78</v>
      </c>
      <c r="P819" t="str">
        <f>TRIM(Table13_1[[#This Row],[Genre]])</f>
        <v>Adventure</v>
      </c>
    </row>
    <row r="820" spans="1:16" x14ac:dyDescent="0.3">
      <c r="A820" t="s">
        <v>1846</v>
      </c>
      <c r="B820" t="s">
        <v>1847</v>
      </c>
      <c r="C820">
        <v>2017</v>
      </c>
      <c r="D820">
        <v>2010</v>
      </c>
      <c r="E820" t="s">
        <v>17</v>
      </c>
      <c r="F820">
        <v>117</v>
      </c>
      <c r="G820" t="s">
        <v>3997</v>
      </c>
      <c r="H820" t="s">
        <v>305</v>
      </c>
      <c r="I820" t="s">
        <v>518</v>
      </c>
      <c r="J820" t="s">
        <v>1848</v>
      </c>
      <c r="K820">
        <v>68107</v>
      </c>
      <c r="L820">
        <v>370.25</v>
      </c>
      <c r="M820">
        <v>370.25</v>
      </c>
      <c r="N820" t="s">
        <v>3998</v>
      </c>
      <c r="O820" t="s">
        <v>3977</v>
      </c>
      <c r="P820" t="str">
        <f>TRIM(Table13_1[[#This Row],[Genre]])</f>
        <v>Animation</v>
      </c>
    </row>
    <row r="821" spans="1:16" x14ac:dyDescent="0.3">
      <c r="A821" t="s">
        <v>1849</v>
      </c>
      <c r="B821" t="s">
        <v>1850</v>
      </c>
      <c r="C821">
        <v>1996</v>
      </c>
      <c r="D821">
        <v>1990</v>
      </c>
      <c r="E821" t="s">
        <v>24</v>
      </c>
      <c r="F821">
        <v>142</v>
      </c>
      <c r="G821" t="s">
        <v>3999</v>
      </c>
      <c r="H821" t="s">
        <v>561</v>
      </c>
      <c r="I821" t="s">
        <v>39</v>
      </c>
      <c r="J821" t="s">
        <v>1851</v>
      </c>
      <c r="K821">
        <v>32114</v>
      </c>
      <c r="M821">
        <v>0</v>
      </c>
      <c r="N821" t="s">
        <v>4001</v>
      </c>
      <c r="O821" t="s">
        <v>37</v>
      </c>
      <c r="P821" t="str">
        <f>TRIM(Table13_1[[#This Row],[Genre]])</f>
        <v>Biography</v>
      </c>
    </row>
    <row r="822" spans="1:16" x14ac:dyDescent="0.3">
      <c r="A822" t="s">
        <v>1852</v>
      </c>
      <c r="B822" t="s">
        <v>1853</v>
      </c>
      <c r="C822">
        <v>2020</v>
      </c>
      <c r="D822">
        <v>2020</v>
      </c>
      <c r="E822" t="s">
        <v>54</v>
      </c>
      <c r="F822">
        <v>116</v>
      </c>
      <c r="G822" t="s">
        <v>3997</v>
      </c>
      <c r="H822" t="s">
        <v>395</v>
      </c>
      <c r="I822" t="s">
        <v>103</v>
      </c>
      <c r="J822" t="s">
        <v>1854</v>
      </c>
      <c r="K822">
        <v>41231</v>
      </c>
      <c r="M822">
        <v>0</v>
      </c>
      <c r="N822" t="s">
        <v>4001</v>
      </c>
      <c r="O822" t="s">
        <v>277</v>
      </c>
      <c r="P822" t="str">
        <f>TRIM(Table13_1[[#This Row],[Genre]])</f>
        <v>Thriller</v>
      </c>
    </row>
    <row r="823" spans="1:16" x14ac:dyDescent="0.3">
      <c r="A823" t="s">
        <v>1855</v>
      </c>
      <c r="B823" t="s">
        <v>1856</v>
      </c>
      <c r="C823">
        <v>2020</v>
      </c>
      <c r="D823">
        <v>2020</v>
      </c>
      <c r="E823" t="s">
        <v>54</v>
      </c>
      <c r="F823">
        <v>125</v>
      </c>
      <c r="G823" t="s">
        <v>3999</v>
      </c>
      <c r="H823" t="s">
        <v>220</v>
      </c>
      <c r="I823" t="s">
        <v>608</v>
      </c>
      <c r="J823" t="s">
        <v>1858</v>
      </c>
      <c r="K823">
        <v>42124</v>
      </c>
      <c r="L823">
        <v>313.06</v>
      </c>
      <c r="M823">
        <v>313.06</v>
      </c>
      <c r="N823" t="s">
        <v>3998</v>
      </c>
      <c r="O823" t="s">
        <v>606</v>
      </c>
      <c r="P823" t="str">
        <f>TRIM(Table13_1[[#This Row],[Genre]])</f>
        <v>Sci-Fi</v>
      </c>
    </row>
    <row r="824" spans="1:16" x14ac:dyDescent="0.3">
      <c r="A824" t="s">
        <v>1855</v>
      </c>
      <c r="B824" t="s">
        <v>1856</v>
      </c>
      <c r="C824">
        <v>2020</v>
      </c>
      <c r="D824">
        <v>2020</v>
      </c>
      <c r="E824" t="s">
        <v>54</v>
      </c>
      <c r="F824">
        <v>125</v>
      </c>
      <c r="G824" t="s">
        <v>3999</v>
      </c>
      <c r="H824" t="s">
        <v>220</v>
      </c>
      <c r="I824" t="s">
        <v>608</v>
      </c>
      <c r="J824" t="s">
        <v>1858</v>
      </c>
      <c r="K824">
        <v>42124</v>
      </c>
      <c r="L824">
        <v>313.06</v>
      </c>
      <c r="M824">
        <v>313.06</v>
      </c>
      <c r="N824" t="s">
        <v>3998</v>
      </c>
      <c r="O824" t="s">
        <v>3986</v>
      </c>
      <c r="P824" t="str">
        <f>TRIM(Table13_1[[#This Row],[Genre]])</f>
        <v>Documentary</v>
      </c>
    </row>
    <row r="825" spans="1:16" x14ac:dyDescent="0.3">
      <c r="A825" t="s">
        <v>1859</v>
      </c>
      <c r="B825" t="s">
        <v>1860</v>
      </c>
      <c r="C825">
        <v>2024</v>
      </c>
      <c r="D825">
        <v>2020</v>
      </c>
      <c r="E825" t="s">
        <v>54</v>
      </c>
      <c r="F825">
        <v>113</v>
      </c>
      <c r="G825" t="s">
        <v>3997</v>
      </c>
      <c r="H825" t="s">
        <v>1155</v>
      </c>
      <c r="I825" t="s">
        <v>147</v>
      </c>
      <c r="J825" t="s">
        <v>1862</v>
      </c>
      <c r="K825">
        <v>616146</v>
      </c>
      <c r="L825">
        <v>24.6</v>
      </c>
      <c r="M825">
        <v>24.6</v>
      </c>
      <c r="N825" t="s">
        <v>4001</v>
      </c>
      <c r="O825" t="s">
        <v>72</v>
      </c>
      <c r="P825" t="str">
        <f>TRIM(Table13_1[[#This Row],[Genre]])</f>
        <v>War</v>
      </c>
    </row>
    <row r="826" spans="1:16" x14ac:dyDescent="0.3">
      <c r="A826" t="s">
        <v>1859</v>
      </c>
      <c r="B826" t="s">
        <v>1860</v>
      </c>
      <c r="C826">
        <v>2024</v>
      </c>
      <c r="D826">
        <v>2020</v>
      </c>
      <c r="E826" t="s">
        <v>54</v>
      </c>
      <c r="F826">
        <v>113</v>
      </c>
      <c r="G826" t="s">
        <v>3997</v>
      </c>
      <c r="H826" t="s">
        <v>1155</v>
      </c>
      <c r="I826" t="s">
        <v>147</v>
      </c>
      <c r="J826" t="s">
        <v>1862</v>
      </c>
      <c r="K826">
        <v>616146</v>
      </c>
      <c r="L826">
        <v>24.6</v>
      </c>
      <c r="M826">
        <v>24.6</v>
      </c>
      <c r="N826" t="s">
        <v>4001</v>
      </c>
      <c r="O826" t="s">
        <v>3991</v>
      </c>
      <c r="P826" t="str">
        <f>TRIM(Table13_1[[#This Row],[Genre]])</f>
        <v>Thriller</v>
      </c>
    </row>
    <row r="827" spans="1:16" x14ac:dyDescent="0.3">
      <c r="A827" t="s">
        <v>1859</v>
      </c>
      <c r="B827" t="s">
        <v>1860</v>
      </c>
      <c r="C827">
        <v>2024</v>
      </c>
      <c r="D827">
        <v>2020</v>
      </c>
      <c r="E827" t="s">
        <v>54</v>
      </c>
      <c r="F827">
        <v>113</v>
      </c>
      <c r="G827" t="s">
        <v>3997</v>
      </c>
      <c r="H827" t="s">
        <v>1155</v>
      </c>
      <c r="I827" t="s">
        <v>147</v>
      </c>
      <c r="J827" t="s">
        <v>1862</v>
      </c>
      <c r="K827">
        <v>616146</v>
      </c>
      <c r="L827">
        <v>24.6</v>
      </c>
      <c r="M827">
        <v>24.6</v>
      </c>
      <c r="N827" t="s">
        <v>4001</v>
      </c>
      <c r="O827" t="s">
        <v>3977</v>
      </c>
      <c r="P827" t="str">
        <f>TRIM(Table13_1[[#This Row],[Genre]])</f>
        <v>Animation</v>
      </c>
    </row>
    <row r="828" spans="1:16" x14ac:dyDescent="0.3">
      <c r="A828" t="s">
        <v>1863</v>
      </c>
      <c r="B828" t="s">
        <v>1864</v>
      </c>
      <c r="C828">
        <v>2016</v>
      </c>
      <c r="D828">
        <v>2010</v>
      </c>
      <c r="E828" t="s">
        <v>17</v>
      </c>
      <c r="F828">
        <v>120</v>
      </c>
      <c r="G828" t="s">
        <v>3997</v>
      </c>
      <c r="H828" t="s">
        <v>1865</v>
      </c>
      <c r="I828" t="s">
        <v>547</v>
      </c>
      <c r="J828" t="s">
        <v>1866</v>
      </c>
      <c r="K828">
        <v>769366</v>
      </c>
      <c r="M828">
        <v>0</v>
      </c>
      <c r="N828" t="s">
        <v>4001</v>
      </c>
      <c r="O828" t="s">
        <v>375</v>
      </c>
      <c r="P828" t="str">
        <f>TRIM(Table13_1[[#This Row],[Genre]])</f>
        <v>Family</v>
      </c>
    </row>
    <row r="829" spans="1:16" x14ac:dyDescent="0.3">
      <c r="A829" t="s">
        <v>1867</v>
      </c>
      <c r="B829" t="s">
        <v>1868</v>
      </c>
      <c r="C829">
        <v>2011</v>
      </c>
      <c r="D829">
        <v>2010</v>
      </c>
      <c r="E829" t="s">
        <v>24</v>
      </c>
      <c r="F829">
        <v>97</v>
      </c>
      <c r="G829" t="s">
        <v>3997</v>
      </c>
      <c r="H829" t="s">
        <v>1869</v>
      </c>
      <c r="I829" t="s">
        <v>326</v>
      </c>
      <c r="J829" t="s">
        <v>1870</v>
      </c>
      <c r="K829">
        <v>19314</v>
      </c>
      <c r="M829">
        <v>0</v>
      </c>
      <c r="N829" t="s">
        <v>4001</v>
      </c>
      <c r="O829" t="s">
        <v>78</v>
      </c>
      <c r="P829" t="str">
        <f>TRIM(Table13_1[[#This Row],[Genre]])</f>
        <v>Adventure</v>
      </c>
    </row>
    <row r="830" spans="1:16" x14ac:dyDescent="0.3">
      <c r="A830" t="s">
        <v>1867</v>
      </c>
      <c r="B830" t="s">
        <v>1868</v>
      </c>
      <c r="C830">
        <v>2011</v>
      </c>
      <c r="D830">
        <v>2010</v>
      </c>
      <c r="E830" t="s">
        <v>24</v>
      </c>
      <c r="F830">
        <v>97</v>
      </c>
      <c r="G830" t="s">
        <v>3997</v>
      </c>
      <c r="H830" t="s">
        <v>1869</v>
      </c>
      <c r="I830" t="s">
        <v>326</v>
      </c>
      <c r="J830" t="s">
        <v>1870</v>
      </c>
      <c r="K830">
        <v>19314</v>
      </c>
      <c r="M830">
        <v>0</v>
      </c>
      <c r="N830" t="s">
        <v>4001</v>
      </c>
      <c r="O830" t="s">
        <v>3982</v>
      </c>
      <c r="P830" t="str">
        <f>TRIM(Table13_1[[#This Row],[Genre]])</f>
        <v>Family</v>
      </c>
    </row>
    <row r="831" spans="1:16" x14ac:dyDescent="0.3">
      <c r="A831" t="s">
        <v>1871</v>
      </c>
      <c r="B831" t="s">
        <v>1872</v>
      </c>
      <c r="C831">
        <v>2009</v>
      </c>
      <c r="D831">
        <v>2000</v>
      </c>
      <c r="E831" t="s">
        <v>17</v>
      </c>
      <c r="F831">
        <v>115</v>
      </c>
      <c r="G831" t="s">
        <v>3997</v>
      </c>
      <c r="H831" t="s">
        <v>634</v>
      </c>
      <c r="I831" t="s">
        <v>524</v>
      </c>
      <c r="J831" t="s">
        <v>1873</v>
      </c>
      <c r="K831">
        <v>235714</v>
      </c>
      <c r="L831">
        <v>85.71</v>
      </c>
      <c r="M831">
        <v>85.71</v>
      </c>
      <c r="N831" t="s">
        <v>4001</v>
      </c>
      <c r="O831" t="s">
        <v>129</v>
      </c>
      <c r="P831" t="str">
        <f>TRIM(Table13_1[[#This Row],[Genre]])</f>
        <v>Horror</v>
      </c>
    </row>
    <row r="832" spans="1:16" x14ac:dyDescent="0.3">
      <c r="A832" t="s">
        <v>1874</v>
      </c>
      <c r="B832" t="s">
        <v>1875</v>
      </c>
      <c r="C832">
        <v>2019</v>
      </c>
      <c r="D832">
        <v>2010</v>
      </c>
      <c r="E832" t="s">
        <v>169</v>
      </c>
      <c r="F832">
        <v>120</v>
      </c>
      <c r="G832" t="s">
        <v>3997</v>
      </c>
      <c r="H832" t="s">
        <v>1876</v>
      </c>
      <c r="I832" t="s">
        <v>524</v>
      </c>
      <c r="J832" t="s">
        <v>1877</v>
      </c>
      <c r="K832">
        <v>26645</v>
      </c>
      <c r="L832">
        <v>152.34</v>
      </c>
      <c r="M832">
        <v>152.34</v>
      </c>
      <c r="N832" t="s">
        <v>4002</v>
      </c>
      <c r="O832" t="s">
        <v>277</v>
      </c>
      <c r="P832" t="str">
        <f>TRIM(Table13_1[[#This Row],[Genre]])</f>
        <v>Thriller</v>
      </c>
    </row>
    <row r="833" spans="1:16" x14ac:dyDescent="0.3">
      <c r="A833" t="s">
        <v>1878</v>
      </c>
      <c r="B833" t="s">
        <v>1879</v>
      </c>
      <c r="C833">
        <v>2008</v>
      </c>
      <c r="D833">
        <v>2000</v>
      </c>
      <c r="E833" t="s">
        <v>169</v>
      </c>
      <c r="F833">
        <v>112</v>
      </c>
      <c r="G833" t="s">
        <v>3997</v>
      </c>
      <c r="H833" t="s">
        <v>320</v>
      </c>
      <c r="I833" t="s">
        <v>315</v>
      </c>
      <c r="J833" t="s">
        <v>1881</v>
      </c>
      <c r="K833">
        <v>38441</v>
      </c>
      <c r="L833">
        <v>452.31</v>
      </c>
      <c r="M833">
        <v>452.31</v>
      </c>
      <c r="N833" t="s">
        <v>3998</v>
      </c>
      <c r="O833" t="s">
        <v>767</v>
      </c>
      <c r="P833" t="str">
        <f>TRIM(Table13_1[[#This Row],[Genre]])</f>
        <v>Fantasy</v>
      </c>
    </row>
    <row r="834" spans="1:16" x14ac:dyDescent="0.3">
      <c r="A834" t="s">
        <v>1878</v>
      </c>
      <c r="B834" t="s">
        <v>1879</v>
      </c>
      <c r="C834">
        <v>2008</v>
      </c>
      <c r="D834">
        <v>2000</v>
      </c>
      <c r="E834" t="s">
        <v>169</v>
      </c>
      <c r="F834">
        <v>112</v>
      </c>
      <c r="G834" t="s">
        <v>3997</v>
      </c>
      <c r="H834" t="s">
        <v>320</v>
      </c>
      <c r="I834" t="s">
        <v>315</v>
      </c>
      <c r="J834" t="s">
        <v>1881</v>
      </c>
      <c r="K834">
        <v>38441</v>
      </c>
      <c r="L834">
        <v>452.31</v>
      </c>
      <c r="M834">
        <v>452.31</v>
      </c>
      <c r="N834" t="s">
        <v>3998</v>
      </c>
      <c r="O834" t="s">
        <v>3988</v>
      </c>
      <c r="P834" t="str">
        <f>TRIM(Table13_1[[#This Row],[Genre]])</f>
        <v>Drama</v>
      </c>
    </row>
    <row r="835" spans="1:16" x14ac:dyDescent="0.3">
      <c r="A835" t="s">
        <v>1878</v>
      </c>
      <c r="B835" t="s">
        <v>1879</v>
      </c>
      <c r="C835">
        <v>2008</v>
      </c>
      <c r="D835">
        <v>2000</v>
      </c>
      <c r="E835" t="s">
        <v>169</v>
      </c>
      <c r="F835">
        <v>112</v>
      </c>
      <c r="G835" t="s">
        <v>3997</v>
      </c>
      <c r="H835" t="s">
        <v>320</v>
      </c>
      <c r="I835" t="s">
        <v>315</v>
      </c>
      <c r="J835" t="s">
        <v>1881</v>
      </c>
      <c r="K835">
        <v>38441</v>
      </c>
      <c r="L835">
        <v>452.31</v>
      </c>
      <c r="M835">
        <v>452.31</v>
      </c>
      <c r="N835" t="s">
        <v>3998</v>
      </c>
      <c r="O835" t="s">
        <v>3979</v>
      </c>
      <c r="P835" t="str">
        <f>TRIM(Table13_1[[#This Row],[Genre]])</f>
        <v>War</v>
      </c>
    </row>
    <row r="836" spans="1:16" x14ac:dyDescent="0.3">
      <c r="A836" t="s">
        <v>1882</v>
      </c>
      <c r="B836" t="s">
        <v>1883</v>
      </c>
      <c r="C836">
        <v>2006</v>
      </c>
      <c r="D836">
        <v>2000</v>
      </c>
      <c r="E836" t="s">
        <v>293</v>
      </c>
      <c r="F836">
        <v>131</v>
      </c>
      <c r="G836" t="s">
        <v>3999</v>
      </c>
      <c r="H836" t="s">
        <v>38</v>
      </c>
      <c r="I836" t="s">
        <v>50</v>
      </c>
      <c r="J836" t="s">
        <v>1885</v>
      </c>
      <c r="K836">
        <v>80143</v>
      </c>
      <c r="M836">
        <v>0</v>
      </c>
      <c r="N836" t="s">
        <v>4001</v>
      </c>
      <c r="O836" t="s">
        <v>37</v>
      </c>
      <c r="P836" t="str">
        <f>TRIM(Table13_1[[#This Row],[Genre]])</f>
        <v>Biography</v>
      </c>
    </row>
    <row r="837" spans="1:16" x14ac:dyDescent="0.3">
      <c r="A837" t="s">
        <v>1882</v>
      </c>
      <c r="B837" t="s">
        <v>1883</v>
      </c>
      <c r="C837">
        <v>2006</v>
      </c>
      <c r="D837">
        <v>2000</v>
      </c>
      <c r="E837" t="s">
        <v>293</v>
      </c>
      <c r="F837">
        <v>131</v>
      </c>
      <c r="G837" t="s">
        <v>3999</v>
      </c>
      <c r="H837" t="s">
        <v>38</v>
      </c>
      <c r="I837" t="s">
        <v>50</v>
      </c>
      <c r="J837" t="s">
        <v>1885</v>
      </c>
      <c r="K837">
        <v>80143</v>
      </c>
      <c r="M837">
        <v>0</v>
      </c>
      <c r="N837" t="s">
        <v>4001</v>
      </c>
      <c r="O837" t="s">
        <v>3990</v>
      </c>
      <c r="P837" t="str">
        <f>TRIM(Table13_1[[#This Row],[Genre]])</f>
        <v>Western</v>
      </c>
    </row>
    <row r="838" spans="1:16" x14ac:dyDescent="0.3">
      <c r="A838" t="s">
        <v>1882</v>
      </c>
      <c r="B838" t="s">
        <v>1883</v>
      </c>
      <c r="C838">
        <v>2006</v>
      </c>
      <c r="D838">
        <v>2000</v>
      </c>
      <c r="E838" t="s">
        <v>293</v>
      </c>
      <c r="F838">
        <v>131</v>
      </c>
      <c r="G838" t="s">
        <v>3999</v>
      </c>
      <c r="H838" t="s">
        <v>38</v>
      </c>
      <c r="I838" t="s">
        <v>50</v>
      </c>
      <c r="J838" t="s">
        <v>1885</v>
      </c>
      <c r="K838">
        <v>80143</v>
      </c>
      <c r="M838">
        <v>0</v>
      </c>
      <c r="N838" t="s">
        <v>4001</v>
      </c>
      <c r="O838" t="s">
        <v>3979</v>
      </c>
      <c r="P838" t="str">
        <f>TRIM(Table13_1[[#This Row],[Genre]])</f>
        <v>War</v>
      </c>
    </row>
    <row r="839" spans="1:16" x14ac:dyDescent="0.3">
      <c r="A839" t="s">
        <v>1886</v>
      </c>
      <c r="B839" t="s">
        <v>1887</v>
      </c>
      <c r="C839">
        <v>2005</v>
      </c>
      <c r="D839">
        <v>2000</v>
      </c>
      <c r="E839" t="s">
        <v>54</v>
      </c>
      <c r="F839">
        <v>161</v>
      </c>
      <c r="G839" t="s">
        <v>3999</v>
      </c>
      <c r="H839" t="s">
        <v>201</v>
      </c>
      <c r="I839" t="s">
        <v>50</v>
      </c>
      <c r="J839" t="s">
        <v>1888</v>
      </c>
      <c r="K839">
        <v>114126</v>
      </c>
      <c r="L839">
        <v>387.73</v>
      </c>
      <c r="M839">
        <v>387.73</v>
      </c>
      <c r="N839" t="s">
        <v>3998</v>
      </c>
      <c r="O839" t="s">
        <v>235</v>
      </c>
      <c r="P839" t="str">
        <f>TRIM(Table13_1[[#This Row],[Genre]])</f>
        <v>Drama</v>
      </c>
    </row>
    <row r="840" spans="1:16" x14ac:dyDescent="0.3">
      <c r="A840" t="s">
        <v>1886</v>
      </c>
      <c r="B840" t="s">
        <v>1887</v>
      </c>
      <c r="C840">
        <v>2005</v>
      </c>
      <c r="D840">
        <v>2000</v>
      </c>
      <c r="E840" t="s">
        <v>54</v>
      </c>
      <c r="F840">
        <v>161</v>
      </c>
      <c r="G840" t="s">
        <v>3999</v>
      </c>
      <c r="H840" t="s">
        <v>201</v>
      </c>
      <c r="I840" t="s">
        <v>50</v>
      </c>
      <c r="J840" t="s">
        <v>1888</v>
      </c>
      <c r="K840">
        <v>114126</v>
      </c>
      <c r="L840">
        <v>387.73</v>
      </c>
      <c r="M840">
        <v>387.73</v>
      </c>
      <c r="N840" t="s">
        <v>3998</v>
      </c>
      <c r="O840" t="s">
        <v>3983</v>
      </c>
      <c r="P840" t="str">
        <f>TRIM(Table13_1[[#This Row],[Genre]])</f>
        <v>Crime</v>
      </c>
    </row>
    <row r="841" spans="1:16" x14ac:dyDescent="0.3">
      <c r="A841" t="s">
        <v>1889</v>
      </c>
      <c r="B841" t="s">
        <v>1890</v>
      </c>
      <c r="C841">
        <v>2000</v>
      </c>
      <c r="D841">
        <v>2000</v>
      </c>
      <c r="E841" t="s">
        <v>17</v>
      </c>
      <c r="F841">
        <v>109</v>
      </c>
      <c r="G841" t="s">
        <v>3997</v>
      </c>
      <c r="H841" t="s">
        <v>1891</v>
      </c>
      <c r="I841" t="s">
        <v>547</v>
      </c>
      <c r="J841" t="s">
        <v>1892</v>
      </c>
      <c r="K841">
        <v>20001</v>
      </c>
      <c r="M841">
        <v>0</v>
      </c>
      <c r="N841" t="s">
        <v>4001</v>
      </c>
      <c r="O841" t="s">
        <v>129</v>
      </c>
      <c r="P841" t="str">
        <f>TRIM(Table13_1[[#This Row],[Genre]])</f>
        <v>Horror</v>
      </c>
    </row>
    <row r="842" spans="1:16" x14ac:dyDescent="0.3">
      <c r="A842" t="s">
        <v>1889</v>
      </c>
      <c r="B842" t="s">
        <v>1890</v>
      </c>
      <c r="C842">
        <v>2000</v>
      </c>
      <c r="D842">
        <v>2000</v>
      </c>
      <c r="E842" t="s">
        <v>17</v>
      </c>
      <c r="F842">
        <v>109</v>
      </c>
      <c r="G842" t="s">
        <v>3997</v>
      </c>
      <c r="H842" t="s">
        <v>1891</v>
      </c>
      <c r="I842" t="s">
        <v>547</v>
      </c>
      <c r="J842" t="s">
        <v>1892</v>
      </c>
      <c r="K842">
        <v>20001</v>
      </c>
      <c r="M842">
        <v>0</v>
      </c>
      <c r="N842" t="s">
        <v>4001</v>
      </c>
      <c r="O842" t="s">
        <v>3984</v>
      </c>
      <c r="P842" t="str">
        <f>TRIM(Table13_1[[#This Row],[Genre]])</f>
        <v>Adventure</v>
      </c>
    </row>
    <row r="843" spans="1:16" x14ac:dyDescent="0.3">
      <c r="A843" t="s">
        <v>1893</v>
      </c>
      <c r="B843" t="s">
        <v>1894</v>
      </c>
      <c r="C843">
        <v>2014</v>
      </c>
      <c r="D843">
        <v>2010</v>
      </c>
      <c r="E843" t="s">
        <v>17</v>
      </c>
      <c r="F843">
        <v>114</v>
      </c>
      <c r="G843" t="s">
        <v>3997</v>
      </c>
      <c r="H843" t="s">
        <v>1895</v>
      </c>
      <c r="I843" t="s">
        <v>86</v>
      </c>
      <c r="J843" t="s">
        <v>1896</v>
      </c>
      <c r="K843">
        <v>88475</v>
      </c>
      <c r="L843">
        <v>28.13</v>
      </c>
      <c r="M843">
        <v>28.13</v>
      </c>
      <c r="N843" t="s">
        <v>4001</v>
      </c>
      <c r="O843" t="s">
        <v>375</v>
      </c>
      <c r="P843" t="str">
        <f>TRIM(Table13_1[[#This Row],[Genre]])</f>
        <v>Family</v>
      </c>
    </row>
    <row r="844" spans="1:16" x14ac:dyDescent="0.3">
      <c r="A844" t="s">
        <v>1893</v>
      </c>
      <c r="B844" t="s">
        <v>1894</v>
      </c>
      <c r="C844">
        <v>2014</v>
      </c>
      <c r="D844">
        <v>2010</v>
      </c>
      <c r="E844" t="s">
        <v>17</v>
      </c>
      <c r="F844">
        <v>114</v>
      </c>
      <c r="G844" t="s">
        <v>3997</v>
      </c>
      <c r="H844" t="s">
        <v>1895</v>
      </c>
      <c r="I844" t="s">
        <v>86</v>
      </c>
      <c r="J844" t="s">
        <v>1896</v>
      </c>
      <c r="K844">
        <v>88475</v>
      </c>
      <c r="L844">
        <v>28.13</v>
      </c>
      <c r="M844">
        <v>28.13</v>
      </c>
      <c r="N844" t="s">
        <v>4001</v>
      </c>
      <c r="O844" t="s">
        <v>3983</v>
      </c>
      <c r="P844" t="str">
        <f>TRIM(Table13_1[[#This Row],[Genre]])</f>
        <v>Crime</v>
      </c>
    </row>
    <row r="845" spans="1:16" x14ac:dyDescent="0.3">
      <c r="A845" t="s">
        <v>1897</v>
      </c>
      <c r="B845" t="s">
        <v>1898</v>
      </c>
      <c r="C845">
        <v>2019</v>
      </c>
      <c r="D845">
        <v>2010</v>
      </c>
      <c r="E845" t="s">
        <v>24</v>
      </c>
      <c r="F845">
        <v>114</v>
      </c>
      <c r="G845" t="s">
        <v>3997</v>
      </c>
      <c r="H845" t="s">
        <v>250</v>
      </c>
      <c r="I845" t="s">
        <v>80</v>
      </c>
      <c r="J845" t="s">
        <v>1899</v>
      </c>
      <c r="K845">
        <v>55923</v>
      </c>
      <c r="L845">
        <v>436.91</v>
      </c>
      <c r="M845">
        <v>436.91</v>
      </c>
      <c r="N845" t="s">
        <v>3998</v>
      </c>
      <c r="O845" t="s">
        <v>606</v>
      </c>
      <c r="P845" t="str">
        <f>TRIM(Table13_1[[#This Row],[Genre]])</f>
        <v>Sci-Fi</v>
      </c>
    </row>
    <row r="846" spans="1:16" x14ac:dyDescent="0.3">
      <c r="A846" t="s">
        <v>1900</v>
      </c>
      <c r="B846" t="s">
        <v>1901</v>
      </c>
      <c r="C846">
        <v>2009</v>
      </c>
      <c r="D846">
        <v>2000</v>
      </c>
      <c r="E846" t="s">
        <v>169</v>
      </c>
      <c r="F846">
        <v>135</v>
      </c>
      <c r="G846" t="s">
        <v>3999</v>
      </c>
      <c r="H846" t="s">
        <v>1902</v>
      </c>
      <c r="I846" t="s">
        <v>153</v>
      </c>
      <c r="J846" t="s">
        <v>1903</v>
      </c>
      <c r="K846">
        <v>70003</v>
      </c>
      <c r="L846">
        <v>23.71</v>
      </c>
      <c r="M846">
        <v>23.71</v>
      </c>
      <c r="N846" t="s">
        <v>4001</v>
      </c>
      <c r="O846" t="s">
        <v>72</v>
      </c>
      <c r="P846" t="str">
        <f>TRIM(Table13_1[[#This Row],[Genre]])</f>
        <v>War</v>
      </c>
    </row>
    <row r="847" spans="1:16" x14ac:dyDescent="0.3">
      <c r="A847" t="s">
        <v>1904</v>
      </c>
      <c r="B847" t="s">
        <v>1905</v>
      </c>
      <c r="C847">
        <v>2015</v>
      </c>
      <c r="D847">
        <v>2010</v>
      </c>
      <c r="E847" t="s">
        <v>54</v>
      </c>
      <c r="F847">
        <v>110</v>
      </c>
      <c r="G847" t="s">
        <v>3997</v>
      </c>
      <c r="H847" t="s">
        <v>102</v>
      </c>
      <c r="I847" t="s">
        <v>74</v>
      </c>
      <c r="J847" t="s">
        <v>1906</v>
      </c>
      <c r="K847">
        <v>55805</v>
      </c>
      <c r="M847">
        <v>0</v>
      </c>
      <c r="N847" t="s">
        <v>4001</v>
      </c>
      <c r="O847" t="s">
        <v>868</v>
      </c>
      <c r="P847" t="str">
        <f>TRIM(Table13_1[[#This Row],[Genre]])</f>
        <v>Western</v>
      </c>
    </row>
    <row r="848" spans="1:16" x14ac:dyDescent="0.3">
      <c r="A848" t="s">
        <v>1907</v>
      </c>
      <c r="B848" t="s">
        <v>1908</v>
      </c>
      <c r="C848">
        <v>1989</v>
      </c>
      <c r="D848">
        <v>1980</v>
      </c>
      <c r="E848" t="s">
        <v>24</v>
      </c>
      <c r="F848">
        <v>114</v>
      </c>
      <c r="G848" t="s">
        <v>3997</v>
      </c>
      <c r="H848" t="s">
        <v>1910</v>
      </c>
      <c r="I848" t="s">
        <v>483</v>
      </c>
      <c r="J848" t="s">
        <v>1911</v>
      </c>
      <c r="K848">
        <v>10386</v>
      </c>
      <c r="L848">
        <v>266.62</v>
      </c>
      <c r="M848">
        <v>266.62</v>
      </c>
      <c r="N848" t="s">
        <v>3998</v>
      </c>
      <c r="O848" t="s">
        <v>55</v>
      </c>
      <c r="P848" t="str">
        <f>TRIM(Table13_1[[#This Row],[Genre]])</f>
        <v>Romance</v>
      </c>
    </row>
    <row r="849" spans="1:16" x14ac:dyDescent="0.3">
      <c r="A849" t="s">
        <v>1907</v>
      </c>
      <c r="B849" t="s">
        <v>1908</v>
      </c>
      <c r="C849">
        <v>1989</v>
      </c>
      <c r="D849">
        <v>1980</v>
      </c>
      <c r="E849" t="s">
        <v>24</v>
      </c>
      <c r="F849">
        <v>114</v>
      </c>
      <c r="G849" t="s">
        <v>3997</v>
      </c>
      <c r="H849" t="s">
        <v>1910</v>
      </c>
      <c r="I849" t="s">
        <v>483</v>
      </c>
      <c r="J849" t="s">
        <v>1911</v>
      </c>
      <c r="K849">
        <v>10386</v>
      </c>
      <c r="L849">
        <v>266.62</v>
      </c>
      <c r="M849">
        <v>266.62</v>
      </c>
      <c r="N849" t="s">
        <v>3998</v>
      </c>
      <c r="O849" t="s">
        <v>3990</v>
      </c>
      <c r="P849" t="str">
        <f>TRIM(Table13_1[[#This Row],[Genre]])</f>
        <v>Western</v>
      </c>
    </row>
    <row r="850" spans="1:16" x14ac:dyDescent="0.3">
      <c r="A850" t="s">
        <v>1912</v>
      </c>
      <c r="B850" t="s">
        <v>1913</v>
      </c>
      <c r="C850">
        <v>2017</v>
      </c>
      <c r="D850">
        <v>2010</v>
      </c>
      <c r="E850" t="s">
        <v>24</v>
      </c>
      <c r="F850">
        <v>118</v>
      </c>
      <c r="G850" t="s">
        <v>3997</v>
      </c>
      <c r="H850" t="s">
        <v>561</v>
      </c>
      <c r="I850" t="s">
        <v>92</v>
      </c>
      <c r="J850" t="s">
        <v>1914</v>
      </c>
      <c r="K850">
        <v>96958</v>
      </c>
      <c r="L850">
        <v>136.33000000000001</v>
      </c>
      <c r="M850">
        <v>136.33000000000001</v>
      </c>
      <c r="N850" t="s">
        <v>4002</v>
      </c>
      <c r="O850" t="s">
        <v>37</v>
      </c>
      <c r="P850" t="str">
        <f>TRIM(Table13_1[[#This Row],[Genre]])</f>
        <v>Biography</v>
      </c>
    </row>
    <row r="851" spans="1:16" x14ac:dyDescent="0.3">
      <c r="A851" t="s">
        <v>1912</v>
      </c>
      <c r="B851" t="s">
        <v>1913</v>
      </c>
      <c r="C851">
        <v>2017</v>
      </c>
      <c r="D851">
        <v>2010</v>
      </c>
      <c r="E851" t="s">
        <v>24</v>
      </c>
      <c r="F851">
        <v>118</v>
      </c>
      <c r="G851" t="s">
        <v>3997</v>
      </c>
      <c r="H851" t="s">
        <v>561</v>
      </c>
      <c r="I851" t="s">
        <v>92</v>
      </c>
      <c r="J851" t="s">
        <v>1914</v>
      </c>
      <c r="K851">
        <v>96958</v>
      </c>
      <c r="L851">
        <v>136.33000000000001</v>
      </c>
      <c r="M851">
        <v>136.33000000000001</v>
      </c>
      <c r="N851" t="s">
        <v>4002</v>
      </c>
      <c r="O851" t="s">
        <v>3980</v>
      </c>
      <c r="P851" t="str">
        <f>TRIM(Table13_1[[#This Row],[Genre]])</f>
        <v>Action</v>
      </c>
    </row>
    <row r="852" spans="1:16" x14ac:dyDescent="0.3">
      <c r="A852" t="s">
        <v>1915</v>
      </c>
      <c r="B852" t="s">
        <v>1916</v>
      </c>
      <c r="C852">
        <v>1981</v>
      </c>
      <c r="D852">
        <v>1980</v>
      </c>
      <c r="E852" t="s">
        <v>285</v>
      </c>
      <c r="F852">
        <v>143</v>
      </c>
      <c r="G852" t="s">
        <v>3999</v>
      </c>
      <c r="H852" t="s">
        <v>1918</v>
      </c>
      <c r="I852" t="s">
        <v>718</v>
      </c>
      <c r="J852" t="s">
        <v>1919</v>
      </c>
      <c r="K852">
        <v>59609</v>
      </c>
      <c r="L852">
        <v>121.15</v>
      </c>
      <c r="M852">
        <v>121.15</v>
      </c>
      <c r="N852" t="s">
        <v>4002</v>
      </c>
      <c r="O852" t="s">
        <v>78</v>
      </c>
      <c r="P852" t="str">
        <f>TRIM(Table13_1[[#This Row],[Genre]])</f>
        <v>Adventure</v>
      </c>
    </row>
    <row r="853" spans="1:16" x14ac:dyDescent="0.3">
      <c r="A853" t="s">
        <v>1915</v>
      </c>
      <c r="B853" t="s">
        <v>1916</v>
      </c>
      <c r="C853">
        <v>1981</v>
      </c>
      <c r="D853">
        <v>1980</v>
      </c>
      <c r="E853" t="s">
        <v>285</v>
      </c>
      <c r="F853">
        <v>143</v>
      </c>
      <c r="G853" t="s">
        <v>3999</v>
      </c>
      <c r="H853" t="s">
        <v>1918</v>
      </c>
      <c r="I853" t="s">
        <v>718</v>
      </c>
      <c r="J853" t="s">
        <v>1919</v>
      </c>
      <c r="K853">
        <v>59609</v>
      </c>
      <c r="L853">
        <v>121.15</v>
      </c>
      <c r="M853">
        <v>121.15</v>
      </c>
      <c r="N853" t="s">
        <v>4002</v>
      </c>
      <c r="O853" t="s">
        <v>3990</v>
      </c>
      <c r="P853" t="str">
        <f>TRIM(Table13_1[[#This Row],[Genre]])</f>
        <v>Western</v>
      </c>
    </row>
    <row r="854" spans="1:16" x14ac:dyDescent="0.3">
      <c r="A854" t="s">
        <v>1920</v>
      </c>
      <c r="B854" t="s">
        <v>1921</v>
      </c>
      <c r="C854">
        <v>2001</v>
      </c>
      <c r="D854">
        <v>2000</v>
      </c>
      <c r="E854" t="s">
        <v>17</v>
      </c>
      <c r="F854">
        <v>129</v>
      </c>
      <c r="G854" t="s">
        <v>3999</v>
      </c>
      <c r="H854" t="s">
        <v>1922</v>
      </c>
      <c r="I854" t="s">
        <v>33</v>
      </c>
      <c r="J854" t="s">
        <v>1923</v>
      </c>
      <c r="K854">
        <v>95507</v>
      </c>
      <c r="L854">
        <v>424.8</v>
      </c>
      <c r="M854">
        <v>424.8</v>
      </c>
      <c r="N854" t="s">
        <v>3998</v>
      </c>
      <c r="O854" t="s">
        <v>37</v>
      </c>
      <c r="P854" t="str">
        <f>TRIM(Table13_1[[#This Row],[Genre]])</f>
        <v>Biography</v>
      </c>
    </row>
    <row r="855" spans="1:16" x14ac:dyDescent="0.3">
      <c r="A855" t="s">
        <v>1924</v>
      </c>
      <c r="B855" t="s">
        <v>1925</v>
      </c>
      <c r="C855">
        <v>2017</v>
      </c>
      <c r="D855">
        <v>2010</v>
      </c>
      <c r="E855" t="s">
        <v>17</v>
      </c>
      <c r="F855">
        <v>119</v>
      </c>
      <c r="G855" t="s">
        <v>3997</v>
      </c>
      <c r="H855" t="s">
        <v>381</v>
      </c>
      <c r="I855" t="s">
        <v>80</v>
      </c>
      <c r="J855" t="s">
        <v>1927</v>
      </c>
      <c r="K855">
        <v>41695</v>
      </c>
      <c r="L855">
        <v>417.39</v>
      </c>
      <c r="M855">
        <v>417.39</v>
      </c>
      <c r="N855" t="s">
        <v>3998</v>
      </c>
      <c r="O855" t="s">
        <v>375</v>
      </c>
      <c r="P855" t="str">
        <f>TRIM(Table13_1[[#This Row],[Genre]])</f>
        <v>Family</v>
      </c>
    </row>
    <row r="856" spans="1:16" x14ac:dyDescent="0.3">
      <c r="A856" t="s">
        <v>1924</v>
      </c>
      <c r="B856" t="s">
        <v>1925</v>
      </c>
      <c r="C856">
        <v>2017</v>
      </c>
      <c r="D856">
        <v>2010</v>
      </c>
      <c r="E856" t="s">
        <v>17</v>
      </c>
      <c r="F856">
        <v>119</v>
      </c>
      <c r="G856" t="s">
        <v>3997</v>
      </c>
      <c r="H856" t="s">
        <v>381</v>
      </c>
      <c r="I856" t="s">
        <v>80</v>
      </c>
      <c r="J856" t="s">
        <v>1927</v>
      </c>
      <c r="K856">
        <v>41695</v>
      </c>
      <c r="L856">
        <v>417.39</v>
      </c>
      <c r="M856">
        <v>417.39</v>
      </c>
      <c r="N856" t="s">
        <v>3998</v>
      </c>
      <c r="O856" t="s">
        <v>3991</v>
      </c>
      <c r="P856" t="str">
        <f>TRIM(Table13_1[[#This Row],[Genre]])</f>
        <v>Thriller</v>
      </c>
    </row>
    <row r="857" spans="1:16" x14ac:dyDescent="0.3">
      <c r="A857" t="s">
        <v>1928</v>
      </c>
      <c r="B857" t="s">
        <v>1929</v>
      </c>
      <c r="C857">
        <v>2009</v>
      </c>
      <c r="D857">
        <v>2000</v>
      </c>
      <c r="E857" t="s">
        <v>285</v>
      </c>
      <c r="F857">
        <v>101</v>
      </c>
      <c r="G857" t="s">
        <v>3997</v>
      </c>
      <c r="H857" t="s">
        <v>1677</v>
      </c>
      <c r="I857" t="s">
        <v>63</v>
      </c>
      <c r="J857" t="s">
        <v>1930</v>
      </c>
      <c r="K857">
        <v>7182</v>
      </c>
      <c r="L857">
        <v>191.12</v>
      </c>
      <c r="M857">
        <v>191.12</v>
      </c>
      <c r="N857" t="s">
        <v>4002</v>
      </c>
      <c r="O857" t="s">
        <v>78</v>
      </c>
      <c r="P857" t="str">
        <f>TRIM(Table13_1[[#This Row],[Genre]])</f>
        <v>Adventure</v>
      </c>
    </row>
    <row r="858" spans="1:16" x14ac:dyDescent="0.3">
      <c r="A858" t="s">
        <v>1928</v>
      </c>
      <c r="B858" t="s">
        <v>1929</v>
      </c>
      <c r="C858">
        <v>2009</v>
      </c>
      <c r="D858">
        <v>2000</v>
      </c>
      <c r="E858" t="s">
        <v>285</v>
      </c>
      <c r="F858">
        <v>101</v>
      </c>
      <c r="G858" t="s">
        <v>3997</v>
      </c>
      <c r="H858" t="s">
        <v>1677</v>
      </c>
      <c r="I858" t="s">
        <v>63</v>
      </c>
      <c r="J858" t="s">
        <v>1930</v>
      </c>
      <c r="K858">
        <v>7182</v>
      </c>
      <c r="L858">
        <v>191.12</v>
      </c>
      <c r="M858">
        <v>191.12</v>
      </c>
      <c r="N858" t="s">
        <v>4002</v>
      </c>
      <c r="O858" t="s">
        <v>3986</v>
      </c>
      <c r="P858" t="str">
        <f>TRIM(Table13_1[[#This Row],[Genre]])</f>
        <v>Documentary</v>
      </c>
    </row>
    <row r="859" spans="1:16" x14ac:dyDescent="0.3">
      <c r="A859" t="s">
        <v>1931</v>
      </c>
      <c r="B859" t="s">
        <v>1932</v>
      </c>
      <c r="C859">
        <v>2017</v>
      </c>
      <c r="D859">
        <v>2010</v>
      </c>
      <c r="E859" t="s">
        <v>24</v>
      </c>
      <c r="F859">
        <v>129</v>
      </c>
      <c r="G859" t="s">
        <v>3999</v>
      </c>
      <c r="H859" t="s">
        <v>1934</v>
      </c>
      <c r="I859" t="s">
        <v>608</v>
      </c>
      <c r="J859" t="s">
        <v>1935</v>
      </c>
      <c r="K859">
        <v>18293</v>
      </c>
      <c r="L859">
        <v>10.35</v>
      </c>
      <c r="M859">
        <v>10.35</v>
      </c>
      <c r="N859" t="s">
        <v>4001</v>
      </c>
      <c r="O859" t="s">
        <v>157</v>
      </c>
      <c r="P859" t="str">
        <f>TRIM(Table13_1[[#This Row],[Genre]])</f>
        <v>Animation</v>
      </c>
    </row>
    <row r="860" spans="1:16" x14ac:dyDescent="0.3">
      <c r="A860" t="s">
        <v>1931</v>
      </c>
      <c r="B860" t="s">
        <v>1932</v>
      </c>
      <c r="C860">
        <v>2017</v>
      </c>
      <c r="D860">
        <v>2010</v>
      </c>
      <c r="E860" t="s">
        <v>24</v>
      </c>
      <c r="F860">
        <v>129</v>
      </c>
      <c r="G860" t="s">
        <v>3999</v>
      </c>
      <c r="H860" t="s">
        <v>1934</v>
      </c>
      <c r="I860" t="s">
        <v>608</v>
      </c>
      <c r="J860" t="s">
        <v>1935</v>
      </c>
      <c r="K860">
        <v>18293</v>
      </c>
      <c r="L860">
        <v>10.35</v>
      </c>
      <c r="M860">
        <v>10.35</v>
      </c>
      <c r="N860" t="s">
        <v>4001</v>
      </c>
      <c r="O860" t="s">
        <v>3984</v>
      </c>
      <c r="P860" t="str">
        <f>TRIM(Table13_1[[#This Row],[Genre]])</f>
        <v>Adventure</v>
      </c>
    </row>
    <row r="861" spans="1:16" x14ac:dyDescent="0.3">
      <c r="A861" t="s">
        <v>1936</v>
      </c>
      <c r="B861" t="s">
        <v>1937</v>
      </c>
      <c r="C861">
        <v>2009</v>
      </c>
      <c r="D861">
        <v>2000</v>
      </c>
      <c r="E861" t="s">
        <v>24</v>
      </c>
      <c r="F861">
        <v>140</v>
      </c>
      <c r="G861" t="s">
        <v>3999</v>
      </c>
      <c r="H861" t="s">
        <v>561</v>
      </c>
      <c r="I861" t="s">
        <v>326</v>
      </c>
      <c r="J861" t="s">
        <v>1939</v>
      </c>
      <c r="K861">
        <v>40596</v>
      </c>
      <c r="M861">
        <v>0</v>
      </c>
      <c r="N861" t="s">
        <v>4001</v>
      </c>
      <c r="O861" t="s">
        <v>37</v>
      </c>
      <c r="P861" t="str">
        <f>TRIM(Table13_1[[#This Row],[Genre]])</f>
        <v>Biography</v>
      </c>
    </row>
    <row r="862" spans="1:16" x14ac:dyDescent="0.3">
      <c r="A862" t="s">
        <v>1936</v>
      </c>
      <c r="B862" t="s">
        <v>1937</v>
      </c>
      <c r="C862">
        <v>2009</v>
      </c>
      <c r="D862">
        <v>2000</v>
      </c>
      <c r="E862" t="s">
        <v>24</v>
      </c>
      <c r="F862">
        <v>140</v>
      </c>
      <c r="G862" t="s">
        <v>3999</v>
      </c>
      <c r="H862" t="s">
        <v>561</v>
      </c>
      <c r="I862" t="s">
        <v>326</v>
      </c>
      <c r="J862" t="s">
        <v>1939</v>
      </c>
      <c r="K862">
        <v>40596</v>
      </c>
      <c r="M862">
        <v>0</v>
      </c>
      <c r="N862" t="s">
        <v>4001</v>
      </c>
      <c r="O862" t="s">
        <v>3991</v>
      </c>
      <c r="P862" t="str">
        <f>TRIM(Table13_1[[#This Row],[Genre]])</f>
        <v>Thriller</v>
      </c>
    </row>
    <row r="863" spans="1:16" x14ac:dyDescent="0.3">
      <c r="A863" t="s">
        <v>1940</v>
      </c>
      <c r="B863" t="s">
        <v>1941</v>
      </c>
      <c r="C863">
        <v>2008</v>
      </c>
      <c r="D863">
        <v>2000</v>
      </c>
      <c r="E863" t="s">
        <v>17</v>
      </c>
      <c r="F863">
        <v>110</v>
      </c>
      <c r="G863" t="s">
        <v>3997</v>
      </c>
      <c r="H863" t="s">
        <v>1943</v>
      </c>
      <c r="I863" t="s">
        <v>547</v>
      </c>
      <c r="J863" t="s">
        <v>1944</v>
      </c>
      <c r="K863">
        <v>31098</v>
      </c>
      <c r="L863">
        <v>331.62</v>
      </c>
      <c r="M863">
        <v>331.62</v>
      </c>
      <c r="N863" t="s">
        <v>3998</v>
      </c>
      <c r="O863" t="s">
        <v>277</v>
      </c>
      <c r="P863" t="str">
        <f>TRIM(Table13_1[[#This Row],[Genre]])</f>
        <v>Thriller</v>
      </c>
    </row>
    <row r="864" spans="1:16" x14ac:dyDescent="0.3">
      <c r="A864" t="s">
        <v>1940</v>
      </c>
      <c r="B864" t="s">
        <v>1941</v>
      </c>
      <c r="C864">
        <v>2008</v>
      </c>
      <c r="D864">
        <v>2000</v>
      </c>
      <c r="E864" t="s">
        <v>17</v>
      </c>
      <c r="F864">
        <v>110</v>
      </c>
      <c r="G864" t="s">
        <v>3997</v>
      </c>
      <c r="H864" t="s">
        <v>1943</v>
      </c>
      <c r="I864" t="s">
        <v>547</v>
      </c>
      <c r="J864" t="s">
        <v>1944</v>
      </c>
      <c r="K864">
        <v>31098</v>
      </c>
      <c r="L864">
        <v>331.62</v>
      </c>
      <c r="M864">
        <v>331.62</v>
      </c>
      <c r="N864" t="s">
        <v>3998</v>
      </c>
      <c r="O864" t="s">
        <v>3976</v>
      </c>
      <c r="P864" t="str">
        <f>TRIM(Table13_1[[#This Row],[Genre]])</f>
        <v>Musical</v>
      </c>
    </row>
    <row r="865" spans="1:16" x14ac:dyDescent="0.3">
      <c r="A865" t="s">
        <v>1945</v>
      </c>
      <c r="B865" t="s">
        <v>1946</v>
      </c>
      <c r="C865">
        <v>2014</v>
      </c>
      <c r="D865">
        <v>2010</v>
      </c>
      <c r="E865" t="s">
        <v>285</v>
      </c>
      <c r="F865">
        <v>92</v>
      </c>
      <c r="G865" t="s">
        <v>3997</v>
      </c>
      <c r="H865" t="s">
        <v>278</v>
      </c>
      <c r="I865" t="s">
        <v>326</v>
      </c>
      <c r="J865" t="s">
        <v>1948</v>
      </c>
      <c r="K865">
        <v>22181</v>
      </c>
      <c r="L865">
        <v>110.76</v>
      </c>
      <c r="M865">
        <v>110.76</v>
      </c>
      <c r="N865" t="s">
        <v>4002</v>
      </c>
      <c r="O865" t="s">
        <v>277</v>
      </c>
      <c r="P865" t="str">
        <f>TRIM(Table13_1[[#This Row],[Genre]])</f>
        <v>Thriller</v>
      </c>
    </row>
    <row r="866" spans="1:16" x14ac:dyDescent="0.3">
      <c r="A866" t="s">
        <v>1945</v>
      </c>
      <c r="B866" t="s">
        <v>1946</v>
      </c>
      <c r="C866">
        <v>2014</v>
      </c>
      <c r="D866">
        <v>2010</v>
      </c>
      <c r="E866" t="s">
        <v>285</v>
      </c>
      <c r="F866">
        <v>92</v>
      </c>
      <c r="G866" t="s">
        <v>3997</v>
      </c>
      <c r="H866" t="s">
        <v>278</v>
      </c>
      <c r="I866" t="s">
        <v>326</v>
      </c>
      <c r="J866" t="s">
        <v>1948</v>
      </c>
      <c r="K866">
        <v>22181</v>
      </c>
      <c r="L866">
        <v>110.76</v>
      </c>
      <c r="M866">
        <v>110.76</v>
      </c>
      <c r="N866" t="s">
        <v>4002</v>
      </c>
      <c r="O866" t="s">
        <v>3993</v>
      </c>
      <c r="P866" t="str">
        <f>TRIM(Table13_1[[#This Row],[Genre]])</f>
        <v>Comedy</v>
      </c>
    </row>
    <row r="867" spans="1:16" x14ac:dyDescent="0.3">
      <c r="A867" t="s">
        <v>1949</v>
      </c>
      <c r="B867" t="s">
        <v>1950</v>
      </c>
      <c r="C867">
        <v>2020</v>
      </c>
      <c r="D867">
        <v>2020</v>
      </c>
      <c r="E867" t="s">
        <v>24</v>
      </c>
      <c r="F867">
        <v>123</v>
      </c>
      <c r="G867" t="s">
        <v>3999</v>
      </c>
      <c r="H867" t="s">
        <v>852</v>
      </c>
      <c r="I867" t="s">
        <v>57</v>
      </c>
      <c r="J867" t="s">
        <v>1951</v>
      </c>
      <c r="K867">
        <v>42838</v>
      </c>
      <c r="L867">
        <v>258.57</v>
      </c>
      <c r="M867">
        <v>258.57</v>
      </c>
      <c r="N867" t="s">
        <v>3998</v>
      </c>
      <c r="O867" t="s">
        <v>55</v>
      </c>
      <c r="P867" t="str">
        <f>TRIM(Table13_1[[#This Row],[Genre]])</f>
        <v>Romance</v>
      </c>
    </row>
    <row r="868" spans="1:16" x14ac:dyDescent="0.3">
      <c r="A868" t="s">
        <v>1949</v>
      </c>
      <c r="B868" t="s">
        <v>1950</v>
      </c>
      <c r="C868">
        <v>2020</v>
      </c>
      <c r="D868">
        <v>2020</v>
      </c>
      <c r="E868" t="s">
        <v>24</v>
      </c>
      <c r="F868">
        <v>123</v>
      </c>
      <c r="G868" t="s">
        <v>3999</v>
      </c>
      <c r="H868" t="s">
        <v>852</v>
      </c>
      <c r="I868" t="s">
        <v>57</v>
      </c>
      <c r="J868" t="s">
        <v>1951</v>
      </c>
      <c r="K868">
        <v>42838</v>
      </c>
      <c r="L868">
        <v>258.57</v>
      </c>
      <c r="M868">
        <v>258.57</v>
      </c>
      <c r="N868" t="s">
        <v>3998</v>
      </c>
      <c r="O868" t="s">
        <v>3985</v>
      </c>
      <c r="P868" t="str">
        <f>TRIM(Table13_1[[#This Row],[Genre]])</f>
        <v>Horror</v>
      </c>
    </row>
    <row r="869" spans="1:16" x14ac:dyDescent="0.3">
      <c r="A869" t="s">
        <v>1952</v>
      </c>
      <c r="B869" t="s">
        <v>1953</v>
      </c>
      <c r="C869">
        <v>2001</v>
      </c>
      <c r="D869">
        <v>2000</v>
      </c>
      <c r="E869" t="s">
        <v>17</v>
      </c>
      <c r="F869">
        <v>111</v>
      </c>
      <c r="G869" t="s">
        <v>3997</v>
      </c>
      <c r="H869" t="s">
        <v>158</v>
      </c>
      <c r="I869" t="s">
        <v>86</v>
      </c>
      <c r="J869" t="s">
        <v>1955</v>
      </c>
      <c r="K869">
        <v>299673</v>
      </c>
      <c r="L869">
        <v>279.97000000000003</v>
      </c>
      <c r="M869">
        <v>279.97000000000003</v>
      </c>
      <c r="N869" t="s">
        <v>3998</v>
      </c>
      <c r="O869" t="s">
        <v>157</v>
      </c>
      <c r="P869" t="str">
        <f>TRIM(Table13_1[[#This Row],[Genre]])</f>
        <v>Animation</v>
      </c>
    </row>
    <row r="870" spans="1:16" x14ac:dyDescent="0.3">
      <c r="A870" t="s">
        <v>1952</v>
      </c>
      <c r="B870" t="s">
        <v>1953</v>
      </c>
      <c r="C870">
        <v>2001</v>
      </c>
      <c r="D870">
        <v>2000</v>
      </c>
      <c r="E870" t="s">
        <v>17</v>
      </c>
      <c r="F870">
        <v>111</v>
      </c>
      <c r="G870" t="s">
        <v>3997</v>
      </c>
      <c r="H870" t="s">
        <v>158</v>
      </c>
      <c r="I870" t="s">
        <v>86</v>
      </c>
      <c r="J870" t="s">
        <v>1955</v>
      </c>
      <c r="K870">
        <v>299673</v>
      </c>
      <c r="L870">
        <v>279.97000000000003</v>
      </c>
      <c r="M870">
        <v>279.97000000000003</v>
      </c>
      <c r="N870" t="s">
        <v>3998</v>
      </c>
      <c r="O870" t="s">
        <v>3987</v>
      </c>
      <c r="P870" t="str">
        <f>TRIM(Table13_1[[#This Row],[Genre]])</f>
        <v>Fantasy</v>
      </c>
    </row>
    <row r="871" spans="1:16" x14ac:dyDescent="0.3">
      <c r="A871" t="s">
        <v>1956</v>
      </c>
      <c r="B871" t="s">
        <v>1957</v>
      </c>
      <c r="C871">
        <v>2023</v>
      </c>
      <c r="D871">
        <v>2020</v>
      </c>
      <c r="E871" t="s">
        <v>24</v>
      </c>
      <c r="F871">
        <v>145</v>
      </c>
      <c r="G871" t="s">
        <v>3999</v>
      </c>
      <c r="H871" t="s">
        <v>85</v>
      </c>
      <c r="I871" t="s">
        <v>718</v>
      </c>
      <c r="J871" t="s">
        <v>1958</v>
      </c>
      <c r="K871">
        <v>64193</v>
      </c>
      <c r="L871">
        <v>152.84</v>
      </c>
      <c r="M871">
        <v>152.84</v>
      </c>
      <c r="N871" t="s">
        <v>4002</v>
      </c>
      <c r="O871" t="s">
        <v>767</v>
      </c>
      <c r="P871" t="str">
        <f>TRIM(Table13_1[[#This Row],[Genre]])</f>
        <v>Fantasy</v>
      </c>
    </row>
    <row r="872" spans="1:16" x14ac:dyDescent="0.3">
      <c r="A872" t="s">
        <v>1959</v>
      </c>
      <c r="B872" t="s">
        <v>1960</v>
      </c>
      <c r="C872">
        <v>2024</v>
      </c>
      <c r="D872">
        <v>2020</v>
      </c>
      <c r="E872" t="s">
        <v>54</v>
      </c>
      <c r="F872">
        <v>97</v>
      </c>
      <c r="G872" t="s">
        <v>3997</v>
      </c>
      <c r="H872" t="s">
        <v>1961</v>
      </c>
      <c r="I872" t="s">
        <v>119</v>
      </c>
      <c r="J872" t="s">
        <v>1962</v>
      </c>
      <c r="K872">
        <v>483111</v>
      </c>
      <c r="M872">
        <v>0</v>
      </c>
      <c r="N872" t="s">
        <v>4001</v>
      </c>
      <c r="O872" t="s">
        <v>277</v>
      </c>
      <c r="P872" t="str">
        <f>TRIM(Table13_1[[#This Row],[Genre]])</f>
        <v>Thriller</v>
      </c>
    </row>
    <row r="873" spans="1:16" x14ac:dyDescent="0.3">
      <c r="A873" t="s">
        <v>1959</v>
      </c>
      <c r="B873" t="s">
        <v>1960</v>
      </c>
      <c r="C873">
        <v>2024</v>
      </c>
      <c r="D873">
        <v>2020</v>
      </c>
      <c r="E873" t="s">
        <v>54</v>
      </c>
      <c r="F873">
        <v>97</v>
      </c>
      <c r="G873" t="s">
        <v>3997</v>
      </c>
      <c r="H873" t="s">
        <v>1961</v>
      </c>
      <c r="I873" t="s">
        <v>119</v>
      </c>
      <c r="J873" t="s">
        <v>1962</v>
      </c>
      <c r="K873">
        <v>483111</v>
      </c>
      <c r="M873">
        <v>0</v>
      </c>
      <c r="N873" t="s">
        <v>4001</v>
      </c>
      <c r="O873" t="s">
        <v>3993</v>
      </c>
      <c r="P873" t="str">
        <f>TRIM(Table13_1[[#This Row],[Genre]])</f>
        <v>Comedy</v>
      </c>
    </row>
    <row r="874" spans="1:16" x14ac:dyDescent="0.3">
      <c r="A874" t="s">
        <v>1963</v>
      </c>
      <c r="B874" t="s">
        <v>1964</v>
      </c>
      <c r="C874">
        <v>1994</v>
      </c>
      <c r="D874">
        <v>1990</v>
      </c>
      <c r="E874" t="s">
        <v>17</v>
      </c>
      <c r="F874">
        <v>106</v>
      </c>
      <c r="G874" t="s">
        <v>3997</v>
      </c>
      <c r="H874" t="s">
        <v>305</v>
      </c>
      <c r="I874" t="s">
        <v>27</v>
      </c>
      <c r="J874" t="s">
        <v>1965</v>
      </c>
      <c r="K874">
        <v>50589</v>
      </c>
      <c r="L874">
        <v>247.53</v>
      </c>
      <c r="M874">
        <v>247.53</v>
      </c>
      <c r="N874" t="s">
        <v>3998</v>
      </c>
      <c r="O874" t="s">
        <v>78</v>
      </c>
      <c r="P874" t="str">
        <f>TRIM(Table13_1[[#This Row],[Genre]])</f>
        <v>Adventure</v>
      </c>
    </row>
    <row r="875" spans="1:16" x14ac:dyDescent="0.3">
      <c r="A875" t="s">
        <v>1966</v>
      </c>
      <c r="B875" t="s">
        <v>1967</v>
      </c>
      <c r="C875">
        <v>2006</v>
      </c>
      <c r="D875">
        <v>2000</v>
      </c>
      <c r="E875" t="s">
        <v>54</v>
      </c>
      <c r="F875">
        <v>97</v>
      </c>
      <c r="G875" t="s">
        <v>3997</v>
      </c>
      <c r="H875" t="s">
        <v>102</v>
      </c>
      <c r="I875" t="s">
        <v>57</v>
      </c>
      <c r="J875" t="s">
        <v>1968</v>
      </c>
      <c r="K875">
        <v>126415</v>
      </c>
      <c r="M875">
        <v>0</v>
      </c>
      <c r="N875" t="s">
        <v>4001</v>
      </c>
      <c r="O875" t="s">
        <v>868</v>
      </c>
      <c r="P875" t="str">
        <f>TRIM(Table13_1[[#This Row],[Genre]])</f>
        <v>Western</v>
      </c>
    </row>
    <row r="876" spans="1:16" x14ac:dyDescent="0.3">
      <c r="A876" t="s">
        <v>1966</v>
      </c>
      <c r="B876" t="s">
        <v>1967</v>
      </c>
      <c r="C876">
        <v>2006</v>
      </c>
      <c r="D876">
        <v>2000</v>
      </c>
      <c r="E876" t="s">
        <v>54</v>
      </c>
      <c r="F876">
        <v>97</v>
      </c>
      <c r="G876" t="s">
        <v>3997</v>
      </c>
      <c r="H876" t="s">
        <v>102</v>
      </c>
      <c r="I876" t="s">
        <v>57</v>
      </c>
      <c r="J876" t="s">
        <v>1968</v>
      </c>
      <c r="K876">
        <v>126415</v>
      </c>
      <c r="M876">
        <v>0</v>
      </c>
      <c r="N876" t="s">
        <v>4001</v>
      </c>
      <c r="O876" t="s">
        <v>3985</v>
      </c>
      <c r="P876" t="str">
        <f>TRIM(Table13_1[[#This Row],[Genre]])</f>
        <v>Horror</v>
      </c>
    </row>
    <row r="877" spans="1:16" x14ac:dyDescent="0.3">
      <c r="A877" t="s">
        <v>1969</v>
      </c>
      <c r="B877" t="s">
        <v>1970</v>
      </c>
      <c r="C877">
        <v>2003</v>
      </c>
      <c r="D877">
        <v>2000</v>
      </c>
      <c r="E877" t="s">
        <v>54</v>
      </c>
      <c r="F877">
        <v>125</v>
      </c>
      <c r="G877" t="s">
        <v>3999</v>
      </c>
      <c r="H877" t="s">
        <v>19</v>
      </c>
      <c r="I877" t="s">
        <v>113</v>
      </c>
      <c r="J877" t="s">
        <v>1972</v>
      </c>
      <c r="K877">
        <v>214560</v>
      </c>
      <c r="M877">
        <v>0</v>
      </c>
      <c r="N877" t="s">
        <v>4001</v>
      </c>
      <c r="O877" t="s">
        <v>210</v>
      </c>
      <c r="P877" t="str">
        <f>TRIM(Table13_1[[#This Row],[Genre]])</f>
        <v>Action</v>
      </c>
    </row>
    <row r="878" spans="1:16" x14ac:dyDescent="0.3">
      <c r="A878" t="s">
        <v>1969</v>
      </c>
      <c r="B878" t="s">
        <v>1970</v>
      </c>
      <c r="C878">
        <v>2003</v>
      </c>
      <c r="D878">
        <v>2000</v>
      </c>
      <c r="E878" t="s">
        <v>54</v>
      </c>
      <c r="F878">
        <v>125</v>
      </c>
      <c r="G878" t="s">
        <v>3999</v>
      </c>
      <c r="H878" t="s">
        <v>19</v>
      </c>
      <c r="I878" t="s">
        <v>113</v>
      </c>
      <c r="J878" t="s">
        <v>1972</v>
      </c>
      <c r="K878">
        <v>214560</v>
      </c>
      <c r="M878">
        <v>0</v>
      </c>
      <c r="N878" t="s">
        <v>4001</v>
      </c>
      <c r="O878" t="s">
        <v>3992</v>
      </c>
      <c r="P878" t="str">
        <f>TRIM(Table13_1[[#This Row],[Genre]])</f>
        <v>Biography</v>
      </c>
    </row>
    <row r="879" spans="1:16" x14ac:dyDescent="0.3">
      <c r="A879" t="s">
        <v>1973</v>
      </c>
      <c r="B879" t="s">
        <v>1974</v>
      </c>
      <c r="C879">
        <v>2021</v>
      </c>
      <c r="D879">
        <v>2020</v>
      </c>
      <c r="E879" t="s">
        <v>54</v>
      </c>
      <c r="F879">
        <v>82</v>
      </c>
      <c r="G879" t="s">
        <v>4000</v>
      </c>
      <c r="H879" t="s">
        <v>220</v>
      </c>
      <c r="I879" t="s">
        <v>137</v>
      </c>
      <c r="J879" t="s">
        <v>1976</v>
      </c>
      <c r="K879">
        <v>59982</v>
      </c>
      <c r="L879">
        <v>104.54</v>
      </c>
      <c r="M879">
        <v>104.54</v>
      </c>
      <c r="N879" t="s">
        <v>4002</v>
      </c>
      <c r="O879" t="s">
        <v>606</v>
      </c>
      <c r="P879" t="str">
        <f>TRIM(Table13_1[[#This Row],[Genre]])</f>
        <v>Sci-Fi</v>
      </c>
    </row>
    <row r="880" spans="1:16" x14ac:dyDescent="0.3">
      <c r="A880" t="s">
        <v>1973</v>
      </c>
      <c r="B880" t="s">
        <v>1974</v>
      </c>
      <c r="C880">
        <v>2021</v>
      </c>
      <c r="D880">
        <v>2020</v>
      </c>
      <c r="E880" t="s">
        <v>54</v>
      </c>
      <c r="F880">
        <v>82</v>
      </c>
      <c r="G880" t="s">
        <v>4000</v>
      </c>
      <c r="H880" t="s">
        <v>220</v>
      </c>
      <c r="I880" t="s">
        <v>137</v>
      </c>
      <c r="J880" t="s">
        <v>1976</v>
      </c>
      <c r="K880">
        <v>59982</v>
      </c>
      <c r="L880">
        <v>104.54</v>
      </c>
      <c r="M880">
        <v>104.54</v>
      </c>
      <c r="N880" t="s">
        <v>4002</v>
      </c>
      <c r="O880" t="s">
        <v>3985</v>
      </c>
      <c r="P880" t="str">
        <f>TRIM(Table13_1[[#This Row],[Genre]])</f>
        <v>Horror</v>
      </c>
    </row>
    <row r="881" spans="1:16" x14ac:dyDescent="0.3">
      <c r="A881" t="s">
        <v>1977</v>
      </c>
      <c r="B881" t="s">
        <v>1978</v>
      </c>
      <c r="C881">
        <v>2022</v>
      </c>
      <c r="D881">
        <v>2020</v>
      </c>
      <c r="E881" t="s">
        <v>24</v>
      </c>
      <c r="F881">
        <v>112</v>
      </c>
      <c r="G881" t="s">
        <v>3997</v>
      </c>
      <c r="H881" t="s">
        <v>538</v>
      </c>
      <c r="I881" t="s">
        <v>27</v>
      </c>
      <c r="J881" t="s">
        <v>1979</v>
      </c>
      <c r="K881">
        <v>35782</v>
      </c>
      <c r="L881">
        <v>143.5</v>
      </c>
      <c r="M881">
        <v>143.5</v>
      </c>
      <c r="N881" t="s">
        <v>4002</v>
      </c>
      <c r="O881" t="s">
        <v>157</v>
      </c>
      <c r="P881" t="str">
        <f>TRIM(Table13_1[[#This Row],[Genre]])</f>
        <v>Animation</v>
      </c>
    </row>
    <row r="882" spans="1:16" x14ac:dyDescent="0.3">
      <c r="A882" t="s">
        <v>1980</v>
      </c>
      <c r="B882" t="s">
        <v>1981</v>
      </c>
      <c r="C882">
        <v>2019</v>
      </c>
      <c r="D882">
        <v>2010</v>
      </c>
      <c r="E882" t="s">
        <v>17</v>
      </c>
      <c r="F882">
        <v>110</v>
      </c>
      <c r="G882" t="s">
        <v>3997</v>
      </c>
      <c r="H882" t="s">
        <v>124</v>
      </c>
      <c r="I882" t="s">
        <v>524</v>
      </c>
      <c r="J882" t="s">
        <v>1982</v>
      </c>
      <c r="K882">
        <v>91576</v>
      </c>
      <c r="M882">
        <v>0</v>
      </c>
      <c r="N882" t="s">
        <v>4001</v>
      </c>
      <c r="O882" t="s">
        <v>230</v>
      </c>
      <c r="P882" t="str">
        <f>TRIM(Table13_1[[#This Row],[Genre]])</f>
        <v>Documentary</v>
      </c>
    </row>
    <row r="883" spans="1:16" x14ac:dyDescent="0.3">
      <c r="A883" t="s">
        <v>1980</v>
      </c>
      <c r="B883" t="s">
        <v>1981</v>
      </c>
      <c r="C883">
        <v>2019</v>
      </c>
      <c r="D883">
        <v>2010</v>
      </c>
      <c r="E883" t="s">
        <v>17</v>
      </c>
      <c r="F883">
        <v>110</v>
      </c>
      <c r="G883" t="s">
        <v>3997</v>
      </c>
      <c r="H883" t="s">
        <v>124</v>
      </c>
      <c r="I883" t="s">
        <v>524</v>
      </c>
      <c r="J883" t="s">
        <v>1982</v>
      </c>
      <c r="K883">
        <v>91576</v>
      </c>
      <c r="M883">
        <v>0</v>
      </c>
      <c r="N883" t="s">
        <v>4001</v>
      </c>
      <c r="O883" t="s">
        <v>3992</v>
      </c>
      <c r="P883" t="str">
        <f>TRIM(Table13_1[[#This Row],[Genre]])</f>
        <v>Biography</v>
      </c>
    </row>
    <row r="884" spans="1:16" x14ac:dyDescent="0.3">
      <c r="A884" t="s">
        <v>1983</v>
      </c>
      <c r="B884" t="s">
        <v>1984</v>
      </c>
      <c r="C884">
        <v>2004</v>
      </c>
      <c r="D884">
        <v>2000</v>
      </c>
      <c r="E884" t="s">
        <v>285</v>
      </c>
      <c r="F884">
        <v>131</v>
      </c>
      <c r="G884" t="s">
        <v>3999</v>
      </c>
      <c r="H884" t="s">
        <v>1701</v>
      </c>
      <c r="I884" t="s">
        <v>92</v>
      </c>
      <c r="J884" t="s">
        <v>1985</v>
      </c>
      <c r="K884">
        <v>463337</v>
      </c>
      <c r="L884">
        <v>492.8</v>
      </c>
      <c r="M884">
        <v>492.8</v>
      </c>
      <c r="N884" t="s">
        <v>3998</v>
      </c>
      <c r="O884" t="s">
        <v>375</v>
      </c>
      <c r="P884" t="str">
        <f>TRIM(Table13_1[[#This Row],[Genre]])</f>
        <v>Family</v>
      </c>
    </row>
    <row r="885" spans="1:16" x14ac:dyDescent="0.3">
      <c r="A885" t="s">
        <v>1983</v>
      </c>
      <c r="B885" t="s">
        <v>1984</v>
      </c>
      <c r="C885">
        <v>2004</v>
      </c>
      <c r="D885">
        <v>2000</v>
      </c>
      <c r="E885" t="s">
        <v>285</v>
      </c>
      <c r="F885">
        <v>131</v>
      </c>
      <c r="G885" t="s">
        <v>3999</v>
      </c>
      <c r="H885" t="s">
        <v>1701</v>
      </c>
      <c r="I885" t="s">
        <v>92</v>
      </c>
      <c r="J885" t="s">
        <v>1985</v>
      </c>
      <c r="K885">
        <v>463337</v>
      </c>
      <c r="L885">
        <v>492.8</v>
      </c>
      <c r="M885">
        <v>492.8</v>
      </c>
      <c r="N885" t="s">
        <v>3998</v>
      </c>
      <c r="O885" t="s">
        <v>3979</v>
      </c>
      <c r="P885" t="str">
        <f>TRIM(Table13_1[[#This Row],[Genre]])</f>
        <v>War</v>
      </c>
    </row>
    <row r="886" spans="1:16" x14ac:dyDescent="0.3">
      <c r="A886" t="s">
        <v>1986</v>
      </c>
      <c r="B886" t="s">
        <v>1987</v>
      </c>
      <c r="C886">
        <v>2009</v>
      </c>
      <c r="D886">
        <v>2000</v>
      </c>
      <c r="E886" t="s">
        <v>285</v>
      </c>
      <c r="F886">
        <v>114</v>
      </c>
      <c r="G886" t="s">
        <v>3997</v>
      </c>
      <c r="H886" t="s">
        <v>1989</v>
      </c>
      <c r="I886" t="s">
        <v>33</v>
      </c>
      <c r="J886" t="s">
        <v>1990</v>
      </c>
      <c r="K886">
        <v>10651</v>
      </c>
      <c r="L886">
        <v>62.22</v>
      </c>
      <c r="M886">
        <v>62.22</v>
      </c>
      <c r="N886" t="s">
        <v>4001</v>
      </c>
      <c r="O886" t="s">
        <v>606</v>
      </c>
      <c r="P886" t="str">
        <f>TRIM(Table13_1[[#This Row],[Genre]])</f>
        <v>Sci-Fi</v>
      </c>
    </row>
    <row r="887" spans="1:16" x14ac:dyDescent="0.3">
      <c r="A887" t="s">
        <v>1986</v>
      </c>
      <c r="B887" t="s">
        <v>1987</v>
      </c>
      <c r="C887">
        <v>2009</v>
      </c>
      <c r="D887">
        <v>2000</v>
      </c>
      <c r="E887" t="s">
        <v>285</v>
      </c>
      <c r="F887">
        <v>114</v>
      </c>
      <c r="G887" t="s">
        <v>3997</v>
      </c>
      <c r="H887" t="s">
        <v>1989</v>
      </c>
      <c r="I887" t="s">
        <v>33</v>
      </c>
      <c r="J887" t="s">
        <v>1990</v>
      </c>
      <c r="K887">
        <v>10651</v>
      </c>
      <c r="L887">
        <v>62.22</v>
      </c>
      <c r="M887">
        <v>62.22</v>
      </c>
      <c r="N887" t="s">
        <v>4001</v>
      </c>
      <c r="O887" t="s">
        <v>3985</v>
      </c>
      <c r="P887" t="str">
        <f>TRIM(Table13_1[[#This Row],[Genre]])</f>
        <v>Horror</v>
      </c>
    </row>
    <row r="888" spans="1:16" x14ac:dyDescent="0.3">
      <c r="A888" t="s">
        <v>1986</v>
      </c>
      <c r="B888" t="s">
        <v>1987</v>
      </c>
      <c r="C888">
        <v>2009</v>
      </c>
      <c r="D888">
        <v>2000</v>
      </c>
      <c r="E888" t="s">
        <v>285</v>
      </c>
      <c r="F888">
        <v>114</v>
      </c>
      <c r="G888" t="s">
        <v>3997</v>
      </c>
      <c r="H888" t="s">
        <v>1989</v>
      </c>
      <c r="I888" t="s">
        <v>33</v>
      </c>
      <c r="J888" t="s">
        <v>1990</v>
      </c>
      <c r="K888">
        <v>10651</v>
      </c>
      <c r="L888">
        <v>62.22</v>
      </c>
      <c r="M888">
        <v>62.22</v>
      </c>
      <c r="N888" t="s">
        <v>4001</v>
      </c>
      <c r="O888" t="s">
        <v>3977</v>
      </c>
      <c r="P888" t="str">
        <f>TRIM(Table13_1[[#This Row],[Genre]])</f>
        <v>Animation</v>
      </c>
    </row>
    <row r="889" spans="1:16" x14ac:dyDescent="0.3">
      <c r="A889" t="s">
        <v>1991</v>
      </c>
      <c r="B889" t="s">
        <v>1992</v>
      </c>
      <c r="C889">
        <v>2008</v>
      </c>
      <c r="D889">
        <v>2000</v>
      </c>
      <c r="E889" t="s">
        <v>17</v>
      </c>
      <c r="F889">
        <v>107</v>
      </c>
      <c r="G889" t="s">
        <v>3997</v>
      </c>
      <c r="H889" t="s">
        <v>1994</v>
      </c>
      <c r="I889" t="s">
        <v>251</v>
      </c>
      <c r="J889" t="s">
        <v>1995</v>
      </c>
      <c r="K889">
        <v>204948</v>
      </c>
      <c r="L889">
        <v>367.63</v>
      </c>
      <c r="M889">
        <v>367.63</v>
      </c>
      <c r="N889" t="s">
        <v>3998</v>
      </c>
      <c r="O889" t="s">
        <v>453</v>
      </c>
      <c r="P889" t="str">
        <f>TRIM(Table13_1[[#This Row],[Genre]])</f>
        <v>Musical</v>
      </c>
    </row>
    <row r="890" spans="1:16" x14ac:dyDescent="0.3">
      <c r="A890" t="s">
        <v>1991</v>
      </c>
      <c r="B890" t="s">
        <v>1992</v>
      </c>
      <c r="C890">
        <v>2008</v>
      </c>
      <c r="D890">
        <v>2000</v>
      </c>
      <c r="E890" t="s">
        <v>17</v>
      </c>
      <c r="F890">
        <v>107</v>
      </c>
      <c r="G890" t="s">
        <v>3997</v>
      </c>
      <c r="H890" t="s">
        <v>1994</v>
      </c>
      <c r="I890" t="s">
        <v>251</v>
      </c>
      <c r="J890" t="s">
        <v>1995</v>
      </c>
      <c r="K890">
        <v>204948</v>
      </c>
      <c r="L890">
        <v>367.63</v>
      </c>
      <c r="M890">
        <v>367.63</v>
      </c>
      <c r="N890" t="s">
        <v>3998</v>
      </c>
      <c r="O890" t="s">
        <v>3987</v>
      </c>
      <c r="P890" t="str">
        <f>TRIM(Table13_1[[#This Row],[Genre]])</f>
        <v>Fantasy</v>
      </c>
    </row>
    <row r="891" spans="1:16" x14ac:dyDescent="0.3">
      <c r="A891" t="s">
        <v>1991</v>
      </c>
      <c r="B891" t="s">
        <v>1992</v>
      </c>
      <c r="C891">
        <v>2008</v>
      </c>
      <c r="D891">
        <v>2000</v>
      </c>
      <c r="E891" t="s">
        <v>17</v>
      </c>
      <c r="F891">
        <v>107</v>
      </c>
      <c r="G891" t="s">
        <v>3997</v>
      </c>
      <c r="H891" t="s">
        <v>1994</v>
      </c>
      <c r="I891" t="s">
        <v>251</v>
      </c>
      <c r="J891" t="s">
        <v>1995</v>
      </c>
      <c r="K891">
        <v>204948</v>
      </c>
      <c r="L891">
        <v>367.63</v>
      </c>
      <c r="M891">
        <v>367.63</v>
      </c>
      <c r="N891" t="s">
        <v>3998</v>
      </c>
      <c r="O891" t="s">
        <v>3980</v>
      </c>
      <c r="P891" t="str">
        <f>TRIM(Table13_1[[#This Row],[Genre]])</f>
        <v>Action</v>
      </c>
    </row>
    <row r="892" spans="1:16" x14ac:dyDescent="0.3">
      <c r="A892" t="s">
        <v>1996</v>
      </c>
      <c r="B892" t="s">
        <v>1997</v>
      </c>
      <c r="C892">
        <v>2003</v>
      </c>
      <c r="D892">
        <v>2000</v>
      </c>
      <c r="E892" t="s">
        <v>169</v>
      </c>
      <c r="F892">
        <v>116</v>
      </c>
      <c r="G892" t="s">
        <v>3997</v>
      </c>
      <c r="H892" t="s">
        <v>435</v>
      </c>
      <c r="I892" t="s">
        <v>137</v>
      </c>
      <c r="J892" t="s">
        <v>1998</v>
      </c>
      <c r="K892">
        <v>220819</v>
      </c>
      <c r="L892">
        <v>84.69</v>
      </c>
      <c r="M892">
        <v>84.69</v>
      </c>
      <c r="N892" t="s">
        <v>4001</v>
      </c>
      <c r="O892" t="s">
        <v>453</v>
      </c>
      <c r="P892" t="str">
        <f>TRIM(Table13_1[[#This Row],[Genre]])</f>
        <v>Musical</v>
      </c>
    </row>
    <row r="893" spans="1:16" x14ac:dyDescent="0.3">
      <c r="A893" t="s">
        <v>1996</v>
      </c>
      <c r="B893" t="s">
        <v>1997</v>
      </c>
      <c r="C893">
        <v>2003</v>
      </c>
      <c r="D893">
        <v>2000</v>
      </c>
      <c r="E893" t="s">
        <v>169</v>
      </c>
      <c r="F893">
        <v>116</v>
      </c>
      <c r="G893" t="s">
        <v>3997</v>
      </c>
      <c r="H893" t="s">
        <v>435</v>
      </c>
      <c r="I893" t="s">
        <v>137</v>
      </c>
      <c r="J893" t="s">
        <v>1998</v>
      </c>
      <c r="K893">
        <v>220819</v>
      </c>
      <c r="L893">
        <v>84.69</v>
      </c>
      <c r="M893">
        <v>84.69</v>
      </c>
      <c r="N893" t="s">
        <v>4001</v>
      </c>
      <c r="O893" t="s">
        <v>3982</v>
      </c>
      <c r="P893" t="str">
        <f>TRIM(Table13_1[[#This Row],[Genre]])</f>
        <v>Family</v>
      </c>
    </row>
    <row r="894" spans="1:16" x14ac:dyDescent="0.3">
      <c r="A894" t="s">
        <v>1999</v>
      </c>
      <c r="B894" t="s">
        <v>2000</v>
      </c>
      <c r="C894">
        <v>2010</v>
      </c>
      <c r="D894">
        <v>2010</v>
      </c>
      <c r="E894" t="s">
        <v>54</v>
      </c>
      <c r="F894">
        <v>129</v>
      </c>
      <c r="G894" t="s">
        <v>3999</v>
      </c>
      <c r="H894" t="s">
        <v>2001</v>
      </c>
      <c r="I894" t="s">
        <v>74</v>
      </c>
      <c r="J894" t="s">
        <v>2002</v>
      </c>
      <c r="K894">
        <v>261459</v>
      </c>
      <c r="L894">
        <v>19.170000000000002</v>
      </c>
      <c r="M894">
        <v>19.170000000000002</v>
      </c>
      <c r="N894" t="s">
        <v>4001</v>
      </c>
      <c r="O894" t="s">
        <v>43</v>
      </c>
      <c r="P894" t="str">
        <f>TRIM(Table13_1[[#This Row],[Genre]])</f>
        <v>Mystery</v>
      </c>
    </row>
    <row r="895" spans="1:16" x14ac:dyDescent="0.3">
      <c r="A895" t="s">
        <v>1999</v>
      </c>
      <c r="B895" t="s">
        <v>2000</v>
      </c>
      <c r="C895">
        <v>2010</v>
      </c>
      <c r="D895">
        <v>2010</v>
      </c>
      <c r="E895" t="s">
        <v>54</v>
      </c>
      <c r="F895">
        <v>129</v>
      </c>
      <c r="G895" t="s">
        <v>3999</v>
      </c>
      <c r="H895" t="s">
        <v>2001</v>
      </c>
      <c r="I895" t="s">
        <v>74</v>
      </c>
      <c r="J895" t="s">
        <v>2002</v>
      </c>
      <c r="K895">
        <v>261459</v>
      </c>
      <c r="L895">
        <v>19.170000000000002</v>
      </c>
      <c r="M895">
        <v>19.170000000000002</v>
      </c>
      <c r="N895" t="s">
        <v>4001</v>
      </c>
      <c r="O895" t="s">
        <v>3992</v>
      </c>
      <c r="P895" t="str">
        <f>TRIM(Table13_1[[#This Row],[Genre]])</f>
        <v>Biography</v>
      </c>
    </row>
    <row r="896" spans="1:16" x14ac:dyDescent="0.3">
      <c r="A896" t="s">
        <v>2003</v>
      </c>
      <c r="B896" t="s">
        <v>2004</v>
      </c>
      <c r="C896">
        <v>2022</v>
      </c>
      <c r="D896">
        <v>2020</v>
      </c>
      <c r="E896" t="s">
        <v>24</v>
      </c>
      <c r="F896">
        <v>104</v>
      </c>
      <c r="G896" t="s">
        <v>3997</v>
      </c>
      <c r="H896" t="s">
        <v>124</v>
      </c>
      <c r="I896" t="s">
        <v>524</v>
      </c>
      <c r="J896" t="s">
        <v>2006</v>
      </c>
      <c r="K896">
        <v>13800</v>
      </c>
      <c r="L896">
        <v>397.2</v>
      </c>
      <c r="M896">
        <v>397.2</v>
      </c>
      <c r="N896" t="s">
        <v>3998</v>
      </c>
      <c r="O896" t="s">
        <v>230</v>
      </c>
      <c r="P896" t="str">
        <f>TRIM(Table13_1[[#This Row],[Genre]])</f>
        <v>Documentary</v>
      </c>
    </row>
    <row r="897" spans="1:16" x14ac:dyDescent="0.3">
      <c r="A897" t="s">
        <v>2003</v>
      </c>
      <c r="B897" t="s">
        <v>2004</v>
      </c>
      <c r="C897">
        <v>2022</v>
      </c>
      <c r="D897">
        <v>2020</v>
      </c>
      <c r="E897" t="s">
        <v>24</v>
      </c>
      <c r="F897">
        <v>104</v>
      </c>
      <c r="G897" t="s">
        <v>3997</v>
      </c>
      <c r="H897" t="s">
        <v>124</v>
      </c>
      <c r="I897" t="s">
        <v>524</v>
      </c>
      <c r="J897" t="s">
        <v>2006</v>
      </c>
      <c r="K897">
        <v>13800</v>
      </c>
      <c r="L897">
        <v>397.2</v>
      </c>
      <c r="M897">
        <v>397.2</v>
      </c>
      <c r="N897" t="s">
        <v>3998</v>
      </c>
      <c r="O897" t="s">
        <v>3978</v>
      </c>
      <c r="P897" t="str">
        <f>TRIM(Table13_1[[#This Row],[Genre]])</f>
        <v>Mystery</v>
      </c>
    </row>
    <row r="898" spans="1:16" x14ac:dyDescent="0.3">
      <c r="A898" t="s">
        <v>2007</v>
      </c>
      <c r="B898" t="s">
        <v>2008</v>
      </c>
      <c r="C898">
        <v>2016</v>
      </c>
      <c r="D898">
        <v>2010</v>
      </c>
      <c r="E898" t="s">
        <v>17</v>
      </c>
      <c r="F898">
        <v>134</v>
      </c>
      <c r="G898" t="s">
        <v>3999</v>
      </c>
      <c r="H898" t="s">
        <v>852</v>
      </c>
      <c r="I898" t="s">
        <v>39</v>
      </c>
      <c r="J898" t="s">
        <v>2009</v>
      </c>
      <c r="K898">
        <v>45434</v>
      </c>
      <c r="M898">
        <v>0</v>
      </c>
      <c r="N898" t="s">
        <v>4001</v>
      </c>
      <c r="O898" t="s">
        <v>55</v>
      </c>
      <c r="P898" t="str">
        <f>TRIM(Table13_1[[#This Row],[Genre]])</f>
        <v>Romance</v>
      </c>
    </row>
    <row r="899" spans="1:16" x14ac:dyDescent="0.3">
      <c r="A899" t="s">
        <v>2007</v>
      </c>
      <c r="B899" t="s">
        <v>2008</v>
      </c>
      <c r="C899">
        <v>2016</v>
      </c>
      <c r="D899">
        <v>2010</v>
      </c>
      <c r="E899" t="s">
        <v>17</v>
      </c>
      <c r="F899">
        <v>134</v>
      </c>
      <c r="G899" t="s">
        <v>3999</v>
      </c>
      <c r="H899" t="s">
        <v>852</v>
      </c>
      <c r="I899" t="s">
        <v>39</v>
      </c>
      <c r="J899" t="s">
        <v>2009</v>
      </c>
      <c r="K899">
        <v>45434</v>
      </c>
      <c r="M899">
        <v>0</v>
      </c>
      <c r="N899" t="s">
        <v>4001</v>
      </c>
      <c r="O899" t="s">
        <v>3979</v>
      </c>
      <c r="P899" t="str">
        <f>TRIM(Table13_1[[#This Row],[Genre]])</f>
        <v>War</v>
      </c>
    </row>
    <row r="900" spans="1:16" x14ac:dyDescent="0.3">
      <c r="A900" t="s">
        <v>2010</v>
      </c>
      <c r="B900" t="s">
        <v>2011</v>
      </c>
      <c r="C900">
        <v>2015</v>
      </c>
      <c r="D900">
        <v>2010</v>
      </c>
      <c r="E900" t="s">
        <v>24</v>
      </c>
      <c r="F900">
        <v>112</v>
      </c>
      <c r="G900" t="s">
        <v>3997</v>
      </c>
      <c r="H900" t="s">
        <v>422</v>
      </c>
      <c r="I900" t="s">
        <v>547</v>
      </c>
      <c r="J900" t="s">
        <v>2012</v>
      </c>
      <c r="K900">
        <v>76180</v>
      </c>
      <c r="M900">
        <v>0</v>
      </c>
      <c r="N900" t="s">
        <v>4001</v>
      </c>
      <c r="O900" t="s">
        <v>375</v>
      </c>
      <c r="P900" t="str">
        <f>TRIM(Table13_1[[#This Row],[Genre]])</f>
        <v>Family</v>
      </c>
    </row>
    <row r="901" spans="1:16" x14ac:dyDescent="0.3">
      <c r="A901" t="s">
        <v>2013</v>
      </c>
      <c r="B901" t="s">
        <v>2014</v>
      </c>
      <c r="C901">
        <v>2016</v>
      </c>
      <c r="D901">
        <v>2010</v>
      </c>
      <c r="E901" t="s">
        <v>17</v>
      </c>
      <c r="F901">
        <v>101</v>
      </c>
      <c r="G901" t="s">
        <v>3997</v>
      </c>
      <c r="H901" t="s">
        <v>2015</v>
      </c>
      <c r="I901" t="s">
        <v>165</v>
      </c>
      <c r="J901" t="s">
        <v>2016</v>
      </c>
      <c r="K901">
        <v>15630</v>
      </c>
      <c r="M901">
        <v>0</v>
      </c>
      <c r="N901" t="s">
        <v>4001</v>
      </c>
      <c r="O901" t="s">
        <v>129</v>
      </c>
      <c r="P901" t="str">
        <f>TRIM(Table13_1[[#This Row],[Genre]])</f>
        <v>Horror</v>
      </c>
    </row>
    <row r="902" spans="1:16" x14ac:dyDescent="0.3">
      <c r="A902" t="s">
        <v>2017</v>
      </c>
      <c r="B902" t="s">
        <v>2018</v>
      </c>
      <c r="C902">
        <v>2016</v>
      </c>
      <c r="D902">
        <v>2010</v>
      </c>
      <c r="E902" t="s">
        <v>293</v>
      </c>
      <c r="F902">
        <v>105</v>
      </c>
      <c r="G902" t="s">
        <v>3997</v>
      </c>
      <c r="H902" t="s">
        <v>1363</v>
      </c>
      <c r="I902" t="s">
        <v>125</v>
      </c>
      <c r="J902" t="s">
        <v>2019</v>
      </c>
      <c r="K902">
        <v>26369</v>
      </c>
      <c r="M902">
        <v>0</v>
      </c>
      <c r="N902" t="s">
        <v>4001</v>
      </c>
      <c r="O902" t="s">
        <v>43</v>
      </c>
      <c r="P902" t="str">
        <f>TRIM(Table13_1[[#This Row],[Genre]])</f>
        <v>Mystery</v>
      </c>
    </row>
    <row r="903" spans="1:16" x14ac:dyDescent="0.3">
      <c r="A903" t="s">
        <v>2020</v>
      </c>
      <c r="B903" t="s">
        <v>2021</v>
      </c>
      <c r="C903">
        <v>2010</v>
      </c>
      <c r="D903">
        <v>2010</v>
      </c>
      <c r="E903" t="s">
        <v>293</v>
      </c>
      <c r="F903">
        <v>135</v>
      </c>
      <c r="G903" t="s">
        <v>3999</v>
      </c>
      <c r="H903" t="s">
        <v>852</v>
      </c>
      <c r="I903" t="s">
        <v>131</v>
      </c>
      <c r="J903" t="s">
        <v>2022</v>
      </c>
      <c r="K903">
        <v>128335</v>
      </c>
      <c r="L903">
        <v>55.19</v>
      </c>
      <c r="M903">
        <v>55.19</v>
      </c>
      <c r="N903" t="s">
        <v>4001</v>
      </c>
      <c r="O903" t="s">
        <v>55</v>
      </c>
      <c r="P903" t="str">
        <f>TRIM(Table13_1[[#This Row],[Genre]])</f>
        <v>Romance</v>
      </c>
    </row>
    <row r="904" spans="1:16" x14ac:dyDescent="0.3">
      <c r="A904" t="s">
        <v>2020</v>
      </c>
      <c r="B904" t="s">
        <v>2021</v>
      </c>
      <c r="C904">
        <v>2010</v>
      </c>
      <c r="D904">
        <v>2010</v>
      </c>
      <c r="E904" t="s">
        <v>293</v>
      </c>
      <c r="F904">
        <v>135</v>
      </c>
      <c r="G904" t="s">
        <v>3999</v>
      </c>
      <c r="H904" t="s">
        <v>852</v>
      </c>
      <c r="I904" t="s">
        <v>131</v>
      </c>
      <c r="J904" t="s">
        <v>2022</v>
      </c>
      <c r="K904">
        <v>128335</v>
      </c>
      <c r="L904">
        <v>55.19</v>
      </c>
      <c r="M904">
        <v>55.19</v>
      </c>
      <c r="N904" t="s">
        <v>4001</v>
      </c>
      <c r="O904" t="s">
        <v>3989</v>
      </c>
      <c r="P904" t="str">
        <f>TRIM(Table13_1[[#This Row],[Genre]])</f>
        <v>Sci-Fi</v>
      </c>
    </row>
    <row r="905" spans="1:16" x14ac:dyDescent="0.3">
      <c r="A905" t="s">
        <v>2020</v>
      </c>
      <c r="B905" t="s">
        <v>2021</v>
      </c>
      <c r="C905">
        <v>2010</v>
      </c>
      <c r="D905">
        <v>2010</v>
      </c>
      <c r="E905" t="s">
        <v>293</v>
      </c>
      <c r="F905">
        <v>135</v>
      </c>
      <c r="G905" t="s">
        <v>3999</v>
      </c>
      <c r="H905" t="s">
        <v>852</v>
      </c>
      <c r="I905" t="s">
        <v>131</v>
      </c>
      <c r="J905" t="s">
        <v>2022</v>
      </c>
      <c r="K905">
        <v>128335</v>
      </c>
      <c r="L905">
        <v>55.19</v>
      </c>
      <c r="M905">
        <v>55.19</v>
      </c>
      <c r="N905" t="s">
        <v>4001</v>
      </c>
      <c r="O905" t="s">
        <v>3979</v>
      </c>
      <c r="P905" t="str">
        <f>TRIM(Table13_1[[#This Row],[Genre]])</f>
        <v>War</v>
      </c>
    </row>
    <row r="906" spans="1:16" x14ac:dyDescent="0.3">
      <c r="A906" t="s">
        <v>2023</v>
      </c>
      <c r="B906" t="s">
        <v>2024</v>
      </c>
      <c r="C906">
        <v>2019</v>
      </c>
      <c r="D906">
        <v>2010</v>
      </c>
      <c r="E906" t="s">
        <v>24</v>
      </c>
      <c r="F906">
        <v>123</v>
      </c>
      <c r="G906" t="s">
        <v>3999</v>
      </c>
      <c r="H906" t="s">
        <v>305</v>
      </c>
      <c r="I906" t="s">
        <v>131</v>
      </c>
      <c r="J906" t="s">
        <v>2026</v>
      </c>
      <c r="K906">
        <v>403741</v>
      </c>
      <c r="L906">
        <v>393.84</v>
      </c>
      <c r="M906">
        <v>393.84</v>
      </c>
      <c r="N906" t="s">
        <v>3998</v>
      </c>
      <c r="O906" t="s">
        <v>78</v>
      </c>
      <c r="P906" t="str">
        <f>TRIM(Table13_1[[#This Row],[Genre]])</f>
        <v>Adventure</v>
      </c>
    </row>
    <row r="907" spans="1:16" x14ac:dyDescent="0.3">
      <c r="A907" t="s">
        <v>2023</v>
      </c>
      <c r="B907" t="s">
        <v>2024</v>
      </c>
      <c r="C907">
        <v>2019</v>
      </c>
      <c r="D907">
        <v>2010</v>
      </c>
      <c r="E907" t="s">
        <v>24</v>
      </c>
      <c r="F907">
        <v>123</v>
      </c>
      <c r="G907" t="s">
        <v>3999</v>
      </c>
      <c r="H907" t="s">
        <v>305</v>
      </c>
      <c r="I907" t="s">
        <v>131</v>
      </c>
      <c r="J907" t="s">
        <v>2026</v>
      </c>
      <c r="K907">
        <v>403741</v>
      </c>
      <c r="L907">
        <v>393.84</v>
      </c>
      <c r="M907">
        <v>393.84</v>
      </c>
      <c r="N907" t="s">
        <v>3998</v>
      </c>
      <c r="O907" t="s">
        <v>3989</v>
      </c>
      <c r="P907" t="str">
        <f>TRIM(Table13_1[[#This Row],[Genre]])</f>
        <v>Sci-Fi</v>
      </c>
    </row>
    <row r="908" spans="1:16" x14ac:dyDescent="0.3">
      <c r="A908" t="s">
        <v>2023</v>
      </c>
      <c r="B908" t="s">
        <v>2024</v>
      </c>
      <c r="C908">
        <v>2019</v>
      </c>
      <c r="D908">
        <v>2010</v>
      </c>
      <c r="E908" t="s">
        <v>24</v>
      </c>
      <c r="F908">
        <v>123</v>
      </c>
      <c r="G908" t="s">
        <v>3999</v>
      </c>
      <c r="H908" t="s">
        <v>305</v>
      </c>
      <c r="I908" t="s">
        <v>131</v>
      </c>
      <c r="J908" t="s">
        <v>2026</v>
      </c>
      <c r="K908">
        <v>403741</v>
      </c>
      <c r="L908">
        <v>393.84</v>
      </c>
      <c r="M908">
        <v>393.84</v>
      </c>
      <c r="N908" t="s">
        <v>3998</v>
      </c>
      <c r="O908" t="s">
        <v>3980</v>
      </c>
      <c r="P908" t="str">
        <f>TRIM(Table13_1[[#This Row],[Genre]])</f>
        <v>Action</v>
      </c>
    </row>
    <row r="909" spans="1:16" x14ac:dyDescent="0.3">
      <c r="A909" t="s">
        <v>2027</v>
      </c>
      <c r="B909" t="s">
        <v>2028</v>
      </c>
      <c r="C909">
        <v>2006</v>
      </c>
      <c r="D909">
        <v>2000</v>
      </c>
      <c r="E909" t="s">
        <v>24</v>
      </c>
      <c r="F909">
        <v>126</v>
      </c>
      <c r="G909" t="s">
        <v>3999</v>
      </c>
      <c r="H909" t="s">
        <v>2029</v>
      </c>
      <c r="I909" t="s">
        <v>593</v>
      </c>
      <c r="J909" t="s">
        <v>2030</v>
      </c>
      <c r="K909">
        <v>2500000</v>
      </c>
      <c r="L909">
        <v>272.14</v>
      </c>
      <c r="M909">
        <v>272.14</v>
      </c>
      <c r="N909" t="s">
        <v>3998</v>
      </c>
      <c r="O909" t="s">
        <v>277</v>
      </c>
      <c r="P909" t="str">
        <f>TRIM(Table13_1[[#This Row],[Genre]])</f>
        <v>Thriller</v>
      </c>
    </row>
    <row r="910" spans="1:16" x14ac:dyDescent="0.3">
      <c r="A910" t="s">
        <v>2027</v>
      </c>
      <c r="B910" t="s">
        <v>2028</v>
      </c>
      <c r="C910">
        <v>2006</v>
      </c>
      <c r="D910">
        <v>2000</v>
      </c>
      <c r="E910" t="s">
        <v>24</v>
      </c>
      <c r="F910">
        <v>126</v>
      </c>
      <c r="G910" t="s">
        <v>3999</v>
      </c>
      <c r="H910" t="s">
        <v>2029</v>
      </c>
      <c r="I910" t="s">
        <v>593</v>
      </c>
      <c r="J910" t="s">
        <v>2030</v>
      </c>
      <c r="K910">
        <v>2500000</v>
      </c>
      <c r="L910">
        <v>272.14</v>
      </c>
      <c r="M910">
        <v>272.14</v>
      </c>
      <c r="N910" t="s">
        <v>3998</v>
      </c>
      <c r="O910" t="s">
        <v>3990</v>
      </c>
      <c r="P910" t="str">
        <f>TRIM(Table13_1[[#This Row],[Genre]])</f>
        <v>Western</v>
      </c>
    </row>
    <row r="911" spans="1:16" x14ac:dyDescent="0.3">
      <c r="A911" t="s">
        <v>2031</v>
      </c>
      <c r="B911" t="s">
        <v>2032</v>
      </c>
      <c r="C911">
        <v>2020</v>
      </c>
      <c r="D911">
        <v>2020</v>
      </c>
      <c r="E911" t="s">
        <v>17</v>
      </c>
      <c r="F911">
        <v>119</v>
      </c>
      <c r="G911" t="s">
        <v>3997</v>
      </c>
      <c r="H911" t="s">
        <v>164</v>
      </c>
      <c r="I911" t="s">
        <v>368</v>
      </c>
      <c r="J911" t="s">
        <v>2033</v>
      </c>
      <c r="K911">
        <v>612773</v>
      </c>
      <c r="L911">
        <v>271.97000000000003</v>
      </c>
      <c r="M911">
        <v>271.97000000000003</v>
      </c>
      <c r="N911" t="s">
        <v>3998</v>
      </c>
      <c r="O911" t="s">
        <v>1044</v>
      </c>
      <c r="P911" t="str">
        <f>TRIM(Table13_1[[#This Row],[Genre]])</f>
        <v>Comedy</v>
      </c>
    </row>
    <row r="912" spans="1:16" x14ac:dyDescent="0.3">
      <c r="A912" t="s">
        <v>2031</v>
      </c>
      <c r="B912" t="s">
        <v>2032</v>
      </c>
      <c r="C912">
        <v>2020</v>
      </c>
      <c r="D912">
        <v>2020</v>
      </c>
      <c r="E912" t="s">
        <v>17</v>
      </c>
      <c r="F912">
        <v>119</v>
      </c>
      <c r="G912" t="s">
        <v>3997</v>
      </c>
      <c r="H912" t="s">
        <v>164</v>
      </c>
      <c r="I912" t="s">
        <v>368</v>
      </c>
      <c r="J912" t="s">
        <v>2033</v>
      </c>
      <c r="K912">
        <v>612773</v>
      </c>
      <c r="L912">
        <v>271.97000000000003</v>
      </c>
      <c r="M912">
        <v>271.97000000000003</v>
      </c>
      <c r="N912" t="s">
        <v>3998</v>
      </c>
      <c r="O912" t="s">
        <v>3990</v>
      </c>
      <c r="P912" t="str">
        <f>TRIM(Table13_1[[#This Row],[Genre]])</f>
        <v>Western</v>
      </c>
    </row>
    <row r="913" spans="1:16" x14ac:dyDescent="0.3">
      <c r="A913" t="s">
        <v>2031</v>
      </c>
      <c r="B913" t="s">
        <v>2032</v>
      </c>
      <c r="C913">
        <v>2020</v>
      </c>
      <c r="D913">
        <v>2020</v>
      </c>
      <c r="E913" t="s">
        <v>17</v>
      </c>
      <c r="F913">
        <v>119</v>
      </c>
      <c r="G913" t="s">
        <v>3997</v>
      </c>
      <c r="H913" t="s">
        <v>164</v>
      </c>
      <c r="I913" t="s">
        <v>368</v>
      </c>
      <c r="J913" t="s">
        <v>2033</v>
      </c>
      <c r="K913">
        <v>612773</v>
      </c>
      <c r="L913">
        <v>271.97000000000003</v>
      </c>
      <c r="M913">
        <v>271.97000000000003</v>
      </c>
      <c r="N913" t="s">
        <v>3998</v>
      </c>
      <c r="O913" t="s">
        <v>3981</v>
      </c>
      <c r="P913" t="str">
        <f>TRIM(Table13_1[[#This Row],[Genre]])</f>
        <v>Romance</v>
      </c>
    </row>
    <row r="914" spans="1:16" x14ac:dyDescent="0.3">
      <c r="A914" t="s">
        <v>2034</v>
      </c>
      <c r="B914" t="s">
        <v>2035</v>
      </c>
      <c r="C914">
        <v>2011</v>
      </c>
      <c r="D914">
        <v>2010</v>
      </c>
      <c r="E914" t="s">
        <v>17</v>
      </c>
      <c r="F914">
        <v>134</v>
      </c>
      <c r="G914" t="s">
        <v>3999</v>
      </c>
      <c r="H914" t="s">
        <v>2037</v>
      </c>
      <c r="I914" t="s">
        <v>593</v>
      </c>
      <c r="J914" t="s">
        <v>2038</v>
      </c>
      <c r="K914">
        <v>250122</v>
      </c>
      <c r="L914">
        <v>178.13</v>
      </c>
      <c r="M914">
        <v>178.13</v>
      </c>
      <c r="N914" t="s">
        <v>4002</v>
      </c>
      <c r="O914" t="s">
        <v>767</v>
      </c>
      <c r="P914" t="str">
        <f>TRIM(Table13_1[[#This Row],[Genre]])</f>
        <v>Fantasy</v>
      </c>
    </row>
    <row r="915" spans="1:16" x14ac:dyDescent="0.3">
      <c r="A915" t="s">
        <v>2034</v>
      </c>
      <c r="B915" t="s">
        <v>2035</v>
      </c>
      <c r="C915">
        <v>2011</v>
      </c>
      <c r="D915">
        <v>2010</v>
      </c>
      <c r="E915" t="s">
        <v>17</v>
      </c>
      <c r="F915">
        <v>134</v>
      </c>
      <c r="G915" t="s">
        <v>3999</v>
      </c>
      <c r="H915" t="s">
        <v>2037</v>
      </c>
      <c r="I915" t="s">
        <v>593</v>
      </c>
      <c r="J915" t="s">
        <v>2038</v>
      </c>
      <c r="K915">
        <v>250122</v>
      </c>
      <c r="L915">
        <v>178.13</v>
      </c>
      <c r="M915">
        <v>178.13</v>
      </c>
      <c r="N915" t="s">
        <v>4002</v>
      </c>
      <c r="O915" t="s">
        <v>3982</v>
      </c>
      <c r="P915" t="str">
        <f>TRIM(Table13_1[[#This Row],[Genre]])</f>
        <v>Family</v>
      </c>
    </row>
    <row r="916" spans="1:16" x14ac:dyDescent="0.3">
      <c r="A916" t="s">
        <v>2034</v>
      </c>
      <c r="B916" t="s">
        <v>2035</v>
      </c>
      <c r="C916">
        <v>2011</v>
      </c>
      <c r="D916">
        <v>2010</v>
      </c>
      <c r="E916" t="s">
        <v>17</v>
      </c>
      <c r="F916">
        <v>134</v>
      </c>
      <c r="G916" t="s">
        <v>3999</v>
      </c>
      <c r="H916" t="s">
        <v>2037</v>
      </c>
      <c r="I916" t="s">
        <v>593</v>
      </c>
      <c r="J916" t="s">
        <v>2038</v>
      </c>
      <c r="K916">
        <v>250122</v>
      </c>
      <c r="L916">
        <v>178.13</v>
      </c>
      <c r="M916">
        <v>178.13</v>
      </c>
      <c r="N916" t="s">
        <v>4002</v>
      </c>
      <c r="O916" t="s">
        <v>3993</v>
      </c>
      <c r="P916" t="str">
        <f>TRIM(Table13_1[[#This Row],[Genre]])</f>
        <v>Comedy</v>
      </c>
    </row>
    <row r="917" spans="1:16" x14ac:dyDescent="0.3">
      <c r="A917" t="s">
        <v>2039</v>
      </c>
      <c r="B917" t="s">
        <v>2040</v>
      </c>
      <c r="C917">
        <v>2016</v>
      </c>
      <c r="D917">
        <v>2010</v>
      </c>
      <c r="E917" t="s">
        <v>54</v>
      </c>
      <c r="F917">
        <v>89</v>
      </c>
      <c r="G917" t="s">
        <v>4000</v>
      </c>
      <c r="H917" t="s">
        <v>2042</v>
      </c>
      <c r="I917" t="s">
        <v>236</v>
      </c>
      <c r="J917" t="s">
        <v>2043</v>
      </c>
      <c r="K917">
        <v>120757</v>
      </c>
      <c r="L917">
        <v>272.38</v>
      </c>
      <c r="M917">
        <v>272.38</v>
      </c>
      <c r="N917" t="s">
        <v>3998</v>
      </c>
      <c r="O917" t="s">
        <v>375</v>
      </c>
      <c r="P917" t="str">
        <f>TRIM(Table13_1[[#This Row],[Genre]])</f>
        <v>Family</v>
      </c>
    </row>
    <row r="918" spans="1:16" x14ac:dyDescent="0.3">
      <c r="A918" t="s">
        <v>2039</v>
      </c>
      <c r="B918" t="s">
        <v>2040</v>
      </c>
      <c r="C918">
        <v>2016</v>
      </c>
      <c r="D918">
        <v>2010</v>
      </c>
      <c r="E918" t="s">
        <v>54</v>
      </c>
      <c r="F918">
        <v>89</v>
      </c>
      <c r="G918" t="s">
        <v>4000</v>
      </c>
      <c r="H918" t="s">
        <v>2042</v>
      </c>
      <c r="I918" t="s">
        <v>236</v>
      </c>
      <c r="J918" t="s">
        <v>2043</v>
      </c>
      <c r="K918">
        <v>120757</v>
      </c>
      <c r="L918">
        <v>272.38</v>
      </c>
      <c r="M918">
        <v>272.38</v>
      </c>
      <c r="N918" t="s">
        <v>3998</v>
      </c>
      <c r="O918" t="s">
        <v>3977</v>
      </c>
      <c r="P918" t="str">
        <f>TRIM(Table13_1[[#This Row],[Genre]])</f>
        <v>Animation</v>
      </c>
    </row>
    <row r="919" spans="1:16" x14ac:dyDescent="0.3">
      <c r="A919" t="s">
        <v>2039</v>
      </c>
      <c r="B919" t="s">
        <v>2040</v>
      </c>
      <c r="C919">
        <v>2016</v>
      </c>
      <c r="D919">
        <v>2010</v>
      </c>
      <c r="E919" t="s">
        <v>54</v>
      </c>
      <c r="F919">
        <v>89</v>
      </c>
      <c r="G919" t="s">
        <v>4000</v>
      </c>
      <c r="H919" t="s">
        <v>2042</v>
      </c>
      <c r="I919" t="s">
        <v>236</v>
      </c>
      <c r="J919" t="s">
        <v>2043</v>
      </c>
      <c r="K919">
        <v>120757</v>
      </c>
      <c r="L919">
        <v>272.38</v>
      </c>
      <c r="M919">
        <v>272.38</v>
      </c>
      <c r="N919" t="s">
        <v>3998</v>
      </c>
      <c r="O919" t="s">
        <v>3987</v>
      </c>
      <c r="P919" t="str">
        <f>TRIM(Table13_1[[#This Row],[Genre]])</f>
        <v>Fantasy</v>
      </c>
    </row>
    <row r="920" spans="1:16" x14ac:dyDescent="0.3">
      <c r="A920" t="s">
        <v>2044</v>
      </c>
      <c r="B920" t="s">
        <v>2045</v>
      </c>
      <c r="C920">
        <v>2024</v>
      </c>
      <c r="D920">
        <v>2020</v>
      </c>
      <c r="E920" t="s">
        <v>54</v>
      </c>
      <c r="F920">
        <v>109</v>
      </c>
      <c r="G920" t="s">
        <v>3997</v>
      </c>
      <c r="H920" t="s">
        <v>141</v>
      </c>
      <c r="I920" t="s">
        <v>718</v>
      </c>
      <c r="J920" t="s">
        <v>2047</v>
      </c>
      <c r="K920">
        <v>58417</v>
      </c>
      <c r="L920">
        <v>444.34</v>
      </c>
      <c r="M920">
        <v>444.34</v>
      </c>
      <c r="N920" t="s">
        <v>3998</v>
      </c>
      <c r="O920" t="s">
        <v>78</v>
      </c>
      <c r="P920" t="str">
        <f>TRIM(Table13_1[[#This Row],[Genre]])</f>
        <v>Adventure</v>
      </c>
    </row>
    <row r="921" spans="1:16" x14ac:dyDescent="0.3">
      <c r="A921" t="s">
        <v>2044</v>
      </c>
      <c r="B921" t="s">
        <v>2045</v>
      </c>
      <c r="C921">
        <v>2024</v>
      </c>
      <c r="D921">
        <v>2020</v>
      </c>
      <c r="E921" t="s">
        <v>54</v>
      </c>
      <c r="F921">
        <v>109</v>
      </c>
      <c r="G921" t="s">
        <v>3997</v>
      </c>
      <c r="H921" t="s">
        <v>141</v>
      </c>
      <c r="I921" t="s">
        <v>718</v>
      </c>
      <c r="J921" t="s">
        <v>2047</v>
      </c>
      <c r="K921">
        <v>58417</v>
      </c>
      <c r="L921">
        <v>444.34</v>
      </c>
      <c r="M921">
        <v>444.34</v>
      </c>
      <c r="N921" t="s">
        <v>3998</v>
      </c>
      <c r="O921" t="s">
        <v>3987</v>
      </c>
      <c r="P921" t="str">
        <f>TRIM(Table13_1[[#This Row],[Genre]])</f>
        <v>Fantasy</v>
      </c>
    </row>
    <row r="922" spans="1:16" x14ac:dyDescent="0.3">
      <c r="A922" t="s">
        <v>2048</v>
      </c>
      <c r="B922" t="s">
        <v>2049</v>
      </c>
      <c r="C922">
        <v>2010</v>
      </c>
      <c r="D922">
        <v>2010</v>
      </c>
      <c r="E922" t="s">
        <v>24</v>
      </c>
      <c r="F922">
        <v>126</v>
      </c>
      <c r="G922" t="s">
        <v>3999</v>
      </c>
      <c r="H922" t="s">
        <v>136</v>
      </c>
      <c r="I922" t="s">
        <v>74</v>
      </c>
      <c r="J922" t="s">
        <v>2051</v>
      </c>
      <c r="K922">
        <v>173542</v>
      </c>
      <c r="L922">
        <v>299.36</v>
      </c>
      <c r="M922">
        <v>299.36</v>
      </c>
      <c r="N922" t="s">
        <v>3998</v>
      </c>
      <c r="O922" t="s">
        <v>43</v>
      </c>
      <c r="P922" t="str">
        <f>TRIM(Table13_1[[#This Row],[Genre]])</f>
        <v>Mystery</v>
      </c>
    </row>
    <row r="923" spans="1:16" x14ac:dyDescent="0.3">
      <c r="A923" t="s">
        <v>2048</v>
      </c>
      <c r="B923" t="s">
        <v>2049</v>
      </c>
      <c r="C923">
        <v>2010</v>
      </c>
      <c r="D923">
        <v>2010</v>
      </c>
      <c r="E923" t="s">
        <v>24</v>
      </c>
      <c r="F923">
        <v>126</v>
      </c>
      <c r="G923" t="s">
        <v>3999</v>
      </c>
      <c r="H923" t="s">
        <v>136</v>
      </c>
      <c r="I923" t="s">
        <v>74</v>
      </c>
      <c r="J923" t="s">
        <v>2051</v>
      </c>
      <c r="K923">
        <v>173542</v>
      </c>
      <c r="L923">
        <v>299.36</v>
      </c>
      <c r="M923">
        <v>299.36</v>
      </c>
      <c r="N923" t="s">
        <v>3998</v>
      </c>
      <c r="O923" t="s">
        <v>3981</v>
      </c>
      <c r="P923" t="str">
        <f>TRIM(Table13_1[[#This Row],[Genre]])</f>
        <v>Romance</v>
      </c>
    </row>
    <row r="924" spans="1:16" x14ac:dyDescent="0.3">
      <c r="A924" t="s">
        <v>2052</v>
      </c>
      <c r="B924" t="s">
        <v>2053</v>
      </c>
      <c r="C924">
        <v>2002</v>
      </c>
      <c r="D924">
        <v>2000</v>
      </c>
      <c r="E924" t="s">
        <v>17</v>
      </c>
      <c r="F924">
        <v>129</v>
      </c>
      <c r="G924" t="s">
        <v>3999</v>
      </c>
      <c r="H924" t="s">
        <v>102</v>
      </c>
      <c r="I924" t="s">
        <v>147</v>
      </c>
      <c r="J924" t="s">
        <v>2055</v>
      </c>
      <c r="K924">
        <v>16522</v>
      </c>
      <c r="L924">
        <v>97.7</v>
      </c>
      <c r="M924">
        <v>97.7</v>
      </c>
      <c r="N924" t="s">
        <v>4001</v>
      </c>
      <c r="O924" t="s">
        <v>868</v>
      </c>
      <c r="P924" t="str">
        <f>TRIM(Table13_1[[#This Row],[Genre]])</f>
        <v>Western</v>
      </c>
    </row>
    <row r="925" spans="1:16" x14ac:dyDescent="0.3">
      <c r="A925" t="s">
        <v>2052</v>
      </c>
      <c r="B925" t="s">
        <v>2053</v>
      </c>
      <c r="C925">
        <v>2002</v>
      </c>
      <c r="D925">
        <v>2000</v>
      </c>
      <c r="E925" t="s">
        <v>17</v>
      </c>
      <c r="F925">
        <v>129</v>
      </c>
      <c r="G925" t="s">
        <v>3999</v>
      </c>
      <c r="H925" t="s">
        <v>102</v>
      </c>
      <c r="I925" t="s">
        <v>147</v>
      </c>
      <c r="J925" t="s">
        <v>2055</v>
      </c>
      <c r="K925">
        <v>16522</v>
      </c>
      <c r="L925">
        <v>97.7</v>
      </c>
      <c r="M925">
        <v>97.7</v>
      </c>
      <c r="N925" t="s">
        <v>4001</v>
      </c>
      <c r="O925" t="s">
        <v>3992</v>
      </c>
      <c r="P925" t="str">
        <f>TRIM(Table13_1[[#This Row],[Genre]])</f>
        <v>Biography</v>
      </c>
    </row>
    <row r="926" spans="1:16" x14ac:dyDescent="0.3">
      <c r="A926" t="s">
        <v>2056</v>
      </c>
      <c r="B926" t="s">
        <v>2057</v>
      </c>
      <c r="C926">
        <v>2012</v>
      </c>
      <c r="D926">
        <v>2010</v>
      </c>
      <c r="E926" t="s">
        <v>54</v>
      </c>
      <c r="F926">
        <v>130</v>
      </c>
      <c r="G926" t="s">
        <v>3999</v>
      </c>
      <c r="H926" t="s">
        <v>136</v>
      </c>
      <c r="I926" t="s">
        <v>159</v>
      </c>
      <c r="J926" t="s">
        <v>2058</v>
      </c>
      <c r="K926">
        <v>101310</v>
      </c>
      <c r="L926">
        <v>271.39999999999998</v>
      </c>
      <c r="M926">
        <v>271.39999999999998</v>
      </c>
      <c r="N926" t="s">
        <v>3998</v>
      </c>
      <c r="O926" t="s">
        <v>43</v>
      </c>
      <c r="P926" t="str">
        <f>TRIM(Table13_1[[#This Row],[Genre]])</f>
        <v>Mystery</v>
      </c>
    </row>
    <row r="927" spans="1:16" x14ac:dyDescent="0.3">
      <c r="A927" t="s">
        <v>2056</v>
      </c>
      <c r="B927" t="s">
        <v>2057</v>
      </c>
      <c r="C927">
        <v>2012</v>
      </c>
      <c r="D927">
        <v>2010</v>
      </c>
      <c r="E927" t="s">
        <v>54</v>
      </c>
      <c r="F927">
        <v>130</v>
      </c>
      <c r="G927" t="s">
        <v>3999</v>
      </c>
      <c r="H927" t="s">
        <v>136</v>
      </c>
      <c r="I927" t="s">
        <v>159</v>
      </c>
      <c r="J927" t="s">
        <v>2058</v>
      </c>
      <c r="K927">
        <v>101310</v>
      </c>
      <c r="L927">
        <v>271.39999999999998</v>
      </c>
      <c r="M927">
        <v>271.39999999999998</v>
      </c>
      <c r="N927" t="s">
        <v>3998</v>
      </c>
      <c r="O927" t="s">
        <v>3988</v>
      </c>
      <c r="P927" t="str">
        <f>TRIM(Table13_1[[#This Row],[Genre]])</f>
        <v>Drama</v>
      </c>
    </row>
    <row r="928" spans="1:16" x14ac:dyDescent="0.3">
      <c r="A928" t="s">
        <v>2059</v>
      </c>
      <c r="B928" t="s">
        <v>2060</v>
      </c>
      <c r="C928">
        <v>2006</v>
      </c>
      <c r="D928">
        <v>2000</v>
      </c>
      <c r="E928" t="s">
        <v>54</v>
      </c>
      <c r="F928">
        <v>119</v>
      </c>
      <c r="G928" t="s">
        <v>3997</v>
      </c>
      <c r="H928" t="s">
        <v>320</v>
      </c>
      <c r="I928" t="s">
        <v>63</v>
      </c>
      <c r="J928" t="s">
        <v>2062</v>
      </c>
      <c r="K928">
        <v>48216</v>
      </c>
      <c r="L928">
        <v>498.57</v>
      </c>
      <c r="M928">
        <v>498.57</v>
      </c>
      <c r="N928" t="s">
        <v>3998</v>
      </c>
      <c r="O928" t="s">
        <v>767</v>
      </c>
      <c r="P928" t="str">
        <f>TRIM(Table13_1[[#This Row],[Genre]])</f>
        <v>Fantasy</v>
      </c>
    </row>
    <row r="929" spans="1:16" x14ac:dyDescent="0.3">
      <c r="A929" t="s">
        <v>2059</v>
      </c>
      <c r="B929" t="s">
        <v>2060</v>
      </c>
      <c r="C929">
        <v>2006</v>
      </c>
      <c r="D929">
        <v>2000</v>
      </c>
      <c r="E929" t="s">
        <v>54</v>
      </c>
      <c r="F929">
        <v>119</v>
      </c>
      <c r="G929" t="s">
        <v>3997</v>
      </c>
      <c r="H929" t="s">
        <v>320</v>
      </c>
      <c r="I929" t="s">
        <v>63</v>
      </c>
      <c r="J929" t="s">
        <v>2062</v>
      </c>
      <c r="K929">
        <v>48216</v>
      </c>
      <c r="L929">
        <v>498.57</v>
      </c>
      <c r="M929">
        <v>498.57</v>
      </c>
      <c r="N929" t="s">
        <v>3998</v>
      </c>
      <c r="O929" t="s">
        <v>3993</v>
      </c>
      <c r="P929" t="str">
        <f>TRIM(Table13_1[[#This Row],[Genre]])</f>
        <v>Comedy</v>
      </c>
    </row>
    <row r="930" spans="1:16" x14ac:dyDescent="0.3">
      <c r="A930" t="s">
        <v>2063</v>
      </c>
      <c r="B930" t="s">
        <v>2064</v>
      </c>
      <c r="C930">
        <v>2021</v>
      </c>
      <c r="D930">
        <v>2020</v>
      </c>
      <c r="E930" t="s">
        <v>17</v>
      </c>
      <c r="F930">
        <v>99</v>
      </c>
      <c r="G930" t="s">
        <v>3997</v>
      </c>
      <c r="H930" t="s">
        <v>164</v>
      </c>
      <c r="I930" t="s">
        <v>103</v>
      </c>
      <c r="J930" t="s">
        <v>2065</v>
      </c>
      <c r="K930">
        <v>66437</v>
      </c>
      <c r="L930">
        <v>320.77</v>
      </c>
      <c r="M930">
        <v>320.77</v>
      </c>
      <c r="N930" t="s">
        <v>3998</v>
      </c>
      <c r="O930" t="s">
        <v>1044</v>
      </c>
      <c r="P930" t="str">
        <f>TRIM(Table13_1[[#This Row],[Genre]])</f>
        <v>Comedy</v>
      </c>
    </row>
    <row r="931" spans="1:16" x14ac:dyDescent="0.3">
      <c r="A931" t="s">
        <v>2066</v>
      </c>
      <c r="B931" t="s">
        <v>2067</v>
      </c>
      <c r="C931">
        <v>2005</v>
      </c>
      <c r="D931">
        <v>2000</v>
      </c>
      <c r="E931" t="s">
        <v>54</v>
      </c>
      <c r="F931">
        <v>140</v>
      </c>
      <c r="G931" t="s">
        <v>3999</v>
      </c>
      <c r="H931" t="s">
        <v>2068</v>
      </c>
      <c r="I931" t="s">
        <v>27</v>
      </c>
      <c r="J931" t="s">
        <v>2069</v>
      </c>
      <c r="K931">
        <v>287113</v>
      </c>
      <c r="M931">
        <v>0</v>
      </c>
      <c r="N931" t="s">
        <v>4001</v>
      </c>
      <c r="O931" t="s">
        <v>453</v>
      </c>
      <c r="P931" t="str">
        <f>TRIM(Table13_1[[#This Row],[Genre]])</f>
        <v>Musical</v>
      </c>
    </row>
    <row r="932" spans="1:16" x14ac:dyDescent="0.3">
      <c r="A932" t="s">
        <v>2066</v>
      </c>
      <c r="B932" t="s">
        <v>2067</v>
      </c>
      <c r="C932">
        <v>2005</v>
      </c>
      <c r="D932">
        <v>2000</v>
      </c>
      <c r="E932" t="s">
        <v>54</v>
      </c>
      <c r="F932">
        <v>140</v>
      </c>
      <c r="G932" t="s">
        <v>3999</v>
      </c>
      <c r="H932" t="s">
        <v>2068</v>
      </c>
      <c r="I932" t="s">
        <v>27</v>
      </c>
      <c r="J932" t="s">
        <v>2069</v>
      </c>
      <c r="K932">
        <v>287113</v>
      </c>
      <c r="M932">
        <v>0</v>
      </c>
      <c r="N932" t="s">
        <v>4001</v>
      </c>
      <c r="O932" t="s">
        <v>3978</v>
      </c>
      <c r="P932" t="str">
        <f>TRIM(Table13_1[[#This Row],[Genre]])</f>
        <v>Mystery</v>
      </c>
    </row>
    <row r="933" spans="1:16" x14ac:dyDescent="0.3">
      <c r="A933" t="s">
        <v>2070</v>
      </c>
      <c r="B933" t="s">
        <v>2071</v>
      </c>
      <c r="C933">
        <v>2007</v>
      </c>
      <c r="D933">
        <v>2000</v>
      </c>
      <c r="E933" t="s">
        <v>17</v>
      </c>
      <c r="F933">
        <v>154</v>
      </c>
      <c r="G933" t="s">
        <v>3999</v>
      </c>
      <c r="H933" t="s">
        <v>491</v>
      </c>
      <c r="I933" t="s">
        <v>80</v>
      </c>
      <c r="J933" t="s">
        <v>2072</v>
      </c>
      <c r="K933">
        <v>22536</v>
      </c>
      <c r="L933">
        <v>345.8</v>
      </c>
      <c r="M933">
        <v>345.8</v>
      </c>
      <c r="N933" t="s">
        <v>3998</v>
      </c>
      <c r="O933" t="s">
        <v>72</v>
      </c>
      <c r="P933" t="str">
        <f>TRIM(Table13_1[[#This Row],[Genre]])</f>
        <v>War</v>
      </c>
    </row>
    <row r="934" spans="1:16" x14ac:dyDescent="0.3">
      <c r="A934" t="s">
        <v>2070</v>
      </c>
      <c r="B934" t="s">
        <v>2071</v>
      </c>
      <c r="C934">
        <v>2007</v>
      </c>
      <c r="D934">
        <v>2000</v>
      </c>
      <c r="E934" t="s">
        <v>17</v>
      </c>
      <c r="F934">
        <v>154</v>
      </c>
      <c r="G934" t="s">
        <v>3999</v>
      </c>
      <c r="H934" t="s">
        <v>491</v>
      </c>
      <c r="I934" t="s">
        <v>80</v>
      </c>
      <c r="J934" t="s">
        <v>2072</v>
      </c>
      <c r="K934">
        <v>22536</v>
      </c>
      <c r="L934">
        <v>345.8</v>
      </c>
      <c r="M934">
        <v>345.8</v>
      </c>
      <c r="N934" t="s">
        <v>3998</v>
      </c>
      <c r="O934" t="s">
        <v>3982</v>
      </c>
      <c r="P934" t="str">
        <f>TRIM(Table13_1[[#This Row],[Genre]])</f>
        <v>Family</v>
      </c>
    </row>
    <row r="935" spans="1:16" x14ac:dyDescent="0.3">
      <c r="A935" t="s">
        <v>2073</v>
      </c>
      <c r="B935" t="s">
        <v>2074</v>
      </c>
      <c r="C935">
        <v>2012</v>
      </c>
      <c r="D935">
        <v>2010</v>
      </c>
      <c r="E935" t="s">
        <v>17</v>
      </c>
      <c r="F935">
        <v>116</v>
      </c>
      <c r="G935" t="s">
        <v>3997</v>
      </c>
      <c r="H935" t="s">
        <v>220</v>
      </c>
      <c r="I935" t="s">
        <v>315</v>
      </c>
      <c r="J935" t="s">
        <v>2076</v>
      </c>
      <c r="K935">
        <v>34396</v>
      </c>
      <c r="L935">
        <v>450.55</v>
      </c>
      <c r="M935">
        <v>450.55</v>
      </c>
      <c r="N935" t="s">
        <v>3998</v>
      </c>
      <c r="O935" t="s">
        <v>606</v>
      </c>
      <c r="P935" t="str">
        <f>TRIM(Table13_1[[#This Row],[Genre]])</f>
        <v>Sci-Fi</v>
      </c>
    </row>
    <row r="936" spans="1:16" x14ac:dyDescent="0.3">
      <c r="A936" t="s">
        <v>2073</v>
      </c>
      <c r="B936" t="s">
        <v>2074</v>
      </c>
      <c r="C936">
        <v>2012</v>
      </c>
      <c r="D936">
        <v>2010</v>
      </c>
      <c r="E936" t="s">
        <v>17</v>
      </c>
      <c r="F936">
        <v>116</v>
      </c>
      <c r="G936" t="s">
        <v>3997</v>
      </c>
      <c r="H936" t="s">
        <v>220</v>
      </c>
      <c r="I936" t="s">
        <v>315</v>
      </c>
      <c r="J936" t="s">
        <v>2076</v>
      </c>
      <c r="K936">
        <v>34396</v>
      </c>
      <c r="L936">
        <v>450.55</v>
      </c>
      <c r="M936">
        <v>450.55</v>
      </c>
      <c r="N936" t="s">
        <v>3998</v>
      </c>
      <c r="O936" t="s">
        <v>3977</v>
      </c>
      <c r="P936" t="str">
        <f>TRIM(Table13_1[[#This Row],[Genre]])</f>
        <v>Animation</v>
      </c>
    </row>
    <row r="937" spans="1:16" x14ac:dyDescent="0.3">
      <c r="A937" t="s">
        <v>2077</v>
      </c>
      <c r="B937" t="s">
        <v>2078</v>
      </c>
      <c r="C937">
        <v>2009</v>
      </c>
      <c r="D937">
        <v>2000</v>
      </c>
      <c r="E937" t="s">
        <v>17</v>
      </c>
      <c r="F937">
        <v>121</v>
      </c>
      <c r="G937" t="s">
        <v>3999</v>
      </c>
      <c r="H937" t="s">
        <v>355</v>
      </c>
      <c r="I937" t="s">
        <v>74</v>
      </c>
      <c r="J937" t="s">
        <v>2079</v>
      </c>
      <c r="K937">
        <v>592853</v>
      </c>
      <c r="M937">
        <v>0</v>
      </c>
      <c r="N937" t="s">
        <v>4001</v>
      </c>
      <c r="O937" t="s">
        <v>868</v>
      </c>
      <c r="P937" t="str">
        <f>TRIM(Table13_1[[#This Row],[Genre]])</f>
        <v>Western</v>
      </c>
    </row>
    <row r="938" spans="1:16" x14ac:dyDescent="0.3">
      <c r="A938" t="s">
        <v>2077</v>
      </c>
      <c r="B938" t="s">
        <v>2078</v>
      </c>
      <c r="C938">
        <v>2009</v>
      </c>
      <c r="D938">
        <v>2000</v>
      </c>
      <c r="E938" t="s">
        <v>17</v>
      </c>
      <c r="F938">
        <v>121</v>
      </c>
      <c r="G938" t="s">
        <v>3999</v>
      </c>
      <c r="H938" t="s">
        <v>355</v>
      </c>
      <c r="I938" t="s">
        <v>74</v>
      </c>
      <c r="J938" t="s">
        <v>2079</v>
      </c>
      <c r="K938">
        <v>592853</v>
      </c>
      <c r="M938">
        <v>0</v>
      </c>
      <c r="N938" t="s">
        <v>4001</v>
      </c>
      <c r="O938" t="s">
        <v>3989</v>
      </c>
      <c r="P938" t="str">
        <f>TRIM(Table13_1[[#This Row],[Genre]])</f>
        <v>Sci-Fi</v>
      </c>
    </row>
    <row r="939" spans="1:16" x14ac:dyDescent="0.3">
      <c r="A939" t="s">
        <v>2080</v>
      </c>
      <c r="B939" t="s">
        <v>2081</v>
      </c>
      <c r="C939">
        <v>2015</v>
      </c>
      <c r="D939">
        <v>2010</v>
      </c>
      <c r="E939" t="s">
        <v>17</v>
      </c>
      <c r="F939">
        <v>171</v>
      </c>
      <c r="G939" t="s">
        <v>3999</v>
      </c>
      <c r="H939" t="s">
        <v>226</v>
      </c>
      <c r="I939" t="s">
        <v>27</v>
      </c>
      <c r="J939" t="s">
        <v>2082</v>
      </c>
      <c r="K939">
        <v>61138</v>
      </c>
      <c r="L939">
        <v>34.159999999999997</v>
      </c>
      <c r="M939">
        <v>34.159999999999997</v>
      </c>
      <c r="N939" t="s">
        <v>4001</v>
      </c>
      <c r="O939" t="s">
        <v>1044</v>
      </c>
      <c r="P939" t="str">
        <f>TRIM(Table13_1[[#This Row],[Genre]])</f>
        <v>Comedy</v>
      </c>
    </row>
    <row r="940" spans="1:16" x14ac:dyDescent="0.3">
      <c r="A940" t="s">
        <v>2080</v>
      </c>
      <c r="B940" t="s">
        <v>2081</v>
      </c>
      <c r="C940">
        <v>2015</v>
      </c>
      <c r="D940">
        <v>2010</v>
      </c>
      <c r="E940" t="s">
        <v>17</v>
      </c>
      <c r="F940">
        <v>171</v>
      </c>
      <c r="G940" t="s">
        <v>3999</v>
      </c>
      <c r="H940" t="s">
        <v>226</v>
      </c>
      <c r="I940" t="s">
        <v>27</v>
      </c>
      <c r="J940" t="s">
        <v>2082</v>
      </c>
      <c r="K940">
        <v>61138</v>
      </c>
      <c r="L940">
        <v>34.159999999999997</v>
      </c>
      <c r="M940">
        <v>34.159999999999997</v>
      </c>
      <c r="N940" t="s">
        <v>4001</v>
      </c>
      <c r="O940" t="s">
        <v>3977</v>
      </c>
      <c r="P940" t="str">
        <f>TRIM(Table13_1[[#This Row],[Genre]])</f>
        <v>Animation</v>
      </c>
    </row>
    <row r="941" spans="1:16" x14ac:dyDescent="0.3">
      <c r="A941" t="s">
        <v>2083</v>
      </c>
      <c r="B941" t="s">
        <v>2084</v>
      </c>
      <c r="C941">
        <v>2012</v>
      </c>
      <c r="D941">
        <v>2010</v>
      </c>
      <c r="E941" t="s">
        <v>24</v>
      </c>
      <c r="F941">
        <v>160</v>
      </c>
      <c r="G941" t="s">
        <v>3999</v>
      </c>
      <c r="H941" t="s">
        <v>287</v>
      </c>
      <c r="I941" t="s">
        <v>50</v>
      </c>
      <c r="J941" t="s">
        <v>2086</v>
      </c>
      <c r="K941">
        <v>34614</v>
      </c>
      <c r="L941">
        <v>487.9</v>
      </c>
      <c r="M941">
        <v>487.9</v>
      </c>
      <c r="N941" t="s">
        <v>3998</v>
      </c>
      <c r="O941" t="s">
        <v>277</v>
      </c>
      <c r="P941" t="str">
        <f>TRIM(Table13_1[[#This Row],[Genre]])</f>
        <v>Thriller</v>
      </c>
    </row>
    <row r="942" spans="1:16" x14ac:dyDescent="0.3">
      <c r="A942" t="s">
        <v>2083</v>
      </c>
      <c r="B942" t="s">
        <v>2084</v>
      </c>
      <c r="C942">
        <v>2012</v>
      </c>
      <c r="D942">
        <v>2010</v>
      </c>
      <c r="E942" t="s">
        <v>24</v>
      </c>
      <c r="F942">
        <v>160</v>
      </c>
      <c r="G942" t="s">
        <v>3999</v>
      </c>
      <c r="H942" t="s">
        <v>287</v>
      </c>
      <c r="I942" t="s">
        <v>50</v>
      </c>
      <c r="J942" t="s">
        <v>2086</v>
      </c>
      <c r="K942">
        <v>34614</v>
      </c>
      <c r="L942">
        <v>487.9</v>
      </c>
      <c r="M942">
        <v>487.9</v>
      </c>
      <c r="N942" t="s">
        <v>3998</v>
      </c>
      <c r="O942" t="s">
        <v>3988</v>
      </c>
      <c r="P942" t="str">
        <f>TRIM(Table13_1[[#This Row],[Genre]])</f>
        <v>Drama</v>
      </c>
    </row>
    <row r="943" spans="1:16" x14ac:dyDescent="0.3">
      <c r="A943" t="s">
        <v>2083</v>
      </c>
      <c r="B943" t="s">
        <v>2084</v>
      </c>
      <c r="C943">
        <v>2012</v>
      </c>
      <c r="D943">
        <v>2010</v>
      </c>
      <c r="E943" t="s">
        <v>24</v>
      </c>
      <c r="F943">
        <v>160</v>
      </c>
      <c r="G943" t="s">
        <v>3999</v>
      </c>
      <c r="H943" t="s">
        <v>287</v>
      </c>
      <c r="I943" t="s">
        <v>50</v>
      </c>
      <c r="J943" t="s">
        <v>2086</v>
      </c>
      <c r="K943">
        <v>34614</v>
      </c>
      <c r="L943">
        <v>487.9</v>
      </c>
      <c r="M943">
        <v>487.9</v>
      </c>
      <c r="N943" t="s">
        <v>3998</v>
      </c>
      <c r="O943" t="s">
        <v>3990</v>
      </c>
      <c r="P943" t="str">
        <f>TRIM(Table13_1[[#This Row],[Genre]])</f>
        <v>Western</v>
      </c>
    </row>
    <row r="944" spans="1:16" x14ac:dyDescent="0.3">
      <c r="A944" t="s">
        <v>2087</v>
      </c>
      <c r="B944" t="s">
        <v>2088</v>
      </c>
      <c r="C944">
        <v>2010</v>
      </c>
      <c r="D944">
        <v>2010</v>
      </c>
      <c r="E944" t="s">
        <v>169</v>
      </c>
      <c r="F944">
        <v>131</v>
      </c>
      <c r="G944" t="s">
        <v>3999</v>
      </c>
      <c r="H944" t="s">
        <v>2089</v>
      </c>
      <c r="I944" t="s">
        <v>221</v>
      </c>
      <c r="J944" t="s">
        <v>2090</v>
      </c>
      <c r="K944">
        <v>134340</v>
      </c>
      <c r="M944">
        <v>0</v>
      </c>
      <c r="N944" t="s">
        <v>4001</v>
      </c>
      <c r="O944" t="s">
        <v>48</v>
      </c>
      <c r="P944" t="str">
        <f>TRIM(Table13_1[[#This Row],[Genre]])</f>
        <v>Crime</v>
      </c>
    </row>
    <row r="945" spans="1:16" x14ac:dyDescent="0.3">
      <c r="A945" t="s">
        <v>2091</v>
      </c>
      <c r="B945" t="s">
        <v>2092</v>
      </c>
      <c r="C945">
        <v>2020</v>
      </c>
      <c r="D945">
        <v>2020</v>
      </c>
      <c r="E945" t="s">
        <v>24</v>
      </c>
      <c r="F945">
        <v>100</v>
      </c>
      <c r="G945" t="s">
        <v>3997</v>
      </c>
      <c r="H945" t="s">
        <v>2094</v>
      </c>
      <c r="I945" t="s">
        <v>608</v>
      </c>
      <c r="J945" t="s">
        <v>2095</v>
      </c>
      <c r="K945">
        <v>88135</v>
      </c>
      <c r="M945">
        <v>0</v>
      </c>
      <c r="N945" t="s">
        <v>4001</v>
      </c>
      <c r="O945" t="s">
        <v>129</v>
      </c>
      <c r="P945" t="str">
        <f>TRIM(Table13_1[[#This Row],[Genre]])</f>
        <v>Horror</v>
      </c>
    </row>
    <row r="946" spans="1:16" x14ac:dyDescent="0.3">
      <c r="A946" t="s">
        <v>2091</v>
      </c>
      <c r="B946" t="s">
        <v>2092</v>
      </c>
      <c r="C946">
        <v>2020</v>
      </c>
      <c r="D946">
        <v>2020</v>
      </c>
      <c r="E946" t="s">
        <v>24</v>
      </c>
      <c r="F946">
        <v>100</v>
      </c>
      <c r="G946" t="s">
        <v>3997</v>
      </c>
      <c r="H946" t="s">
        <v>2094</v>
      </c>
      <c r="I946" t="s">
        <v>608</v>
      </c>
      <c r="J946" t="s">
        <v>2095</v>
      </c>
      <c r="K946">
        <v>88135</v>
      </c>
      <c r="M946">
        <v>0</v>
      </c>
      <c r="N946" t="s">
        <v>4001</v>
      </c>
      <c r="O946" t="s">
        <v>3988</v>
      </c>
      <c r="P946" t="str">
        <f>TRIM(Table13_1[[#This Row],[Genre]])</f>
        <v>Drama</v>
      </c>
    </row>
    <row r="947" spans="1:16" x14ac:dyDescent="0.3">
      <c r="A947" t="s">
        <v>2096</v>
      </c>
      <c r="B947" t="s">
        <v>2097</v>
      </c>
      <c r="C947">
        <v>2009</v>
      </c>
      <c r="D947">
        <v>2000</v>
      </c>
      <c r="E947" t="s">
        <v>17</v>
      </c>
      <c r="F947">
        <v>118</v>
      </c>
      <c r="G947" t="s">
        <v>3997</v>
      </c>
      <c r="H947" t="s">
        <v>898</v>
      </c>
      <c r="I947" t="s">
        <v>131</v>
      </c>
      <c r="J947" t="s">
        <v>2099</v>
      </c>
      <c r="K947">
        <v>2989</v>
      </c>
      <c r="M947">
        <v>0</v>
      </c>
      <c r="N947" t="s">
        <v>4001</v>
      </c>
      <c r="O947" t="s">
        <v>55</v>
      </c>
      <c r="P947" t="str">
        <f>TRIM(Table13_1[[#This Row],[Genre]])</f>
        <v>Romance</v>
      </c>
    </row>
    <row r="948" spans="1:16" x14ac:dyDescent="0.3">
      <c r="A948" t="s">
        <v>2096</v>
      </c>
      <c r="B948" t="s">
        <v>2097</v>
      </c>
      <c r="C948">
        <v>2009</v>
      </c>
      <c r="D948">
        <v>2000</v>
      </c>
      <c r="E948" t="s">
        <v>17</v>
      </c>
      <c r="F948">
        <v>118</v>
      </c>
      <c r="G948" t="s">
        <v>3997</v>
      </c>
      <c r="H948" t="s">
        <v>898</v>
      </c>
      <c r="I948" t="s">
        <v>131</v>
      </c>
      <c r="J948" t="s">
        <v>2099</v>
      </c>
      <c r="K948">
        <v>2989</v>
      </c>
      <c r="M948">
        <v>0</v>
      </c>
      <c r="N948" t="s">
        <v>4001</v>
      </c>
      <c r="O948" t="s">
        <v>3980</v>
      </c>
      <c r="P948" t="str">
        <f>TRIM(Table13_1[[#This Row],[Genre]])</f>
        <v>Action</v>
      </c>
    </row>
    <row r="949" spans="1:16" x14ac:dyDescent="0.3">
      <c r="A949" t="s">
        <v>2100</v>
      </c>
      <c r="B949" t="s">
        <v>2101</v>
      </c>
      <c r="C949">
        <v>2004</v>
      </c>
      <c r="D949">
        <v>2000</v>
      </c>
      <c r="E949" t="s">
        <v>17</v>
      </c>
      <c r="F949">
        <v>132</v>
      </c>
      <c r="G949" t="s">
        <v>3999</v>
      </c>
      <c r="H949" t="s">
        <v>231</v>
      </c>
      <c r="I949" t="s">
        <v>103</v>
      </c>
      <c r="J949" t="s">
        <v>2102</v>
      </c>
      <c r="K949">
        <v>43550</v>
      </c>
      <c r="M949">
        <v>0</v>
      </c>
      <c r="N949" t="s">
        <v>4001</v>
      </c>
      <c r="O949" t="s">
        <v>230</v>
      </c>
      <c r="P949" t="str">
        <f>TRIM(Table13_1[[#This Row],[Genre]])</f>
        <v>Documentary</v>
      </c>
    </row>
    <row r="950" spans="1:16" x14ac:dyDescent="0.3">
      <c r="A950" t="s">
        <v>2103</v>
      </c>
      <c r="B950" t="s">
        <v>2104</v>
      </c>
      <c r="C950">
        <v>2007</v>
      </c>
      <c r="D950">
        <v>2000</v>
      </c>
      <c r="E950" t="s">
        <v>293</v>
      </c>
      <c r="F950">
        <v>120</v>
      </c>
      <c r="G950" t="s">
        <v>3997</v>
      </c>
      <c r="H950" t="s">
        <v>158</v>
      </c>
      <c r="I950" t="s">
        <v>68</v>
      </c>
      <c r="J950" t="s">
        <v>2105</v>
      </c>
      <c r="K950">
        <v>150283</v>
      </c>
      <c r="L950">
        <v>388.86</v>
      </c>
      <c r="M950">
        <v>388.86</v>
      </c>
      <c r="N950" t="s">
        <v>3998</v>
      </c>
      <c r="O950" t="s">
        <v>157</v>
      </c>
      <c r="P950" t="str">
        <f>TRIM(Table13_1[[#This Row],[Genre]])</f>
        <v>Animation</v>
      </c>
    </row>
    <row r="951" spans="1:16" x14ac:dyDescent="0.3">
      <c r="A951" t="s">
        <v>2103</v>
      </c>
      <c r="B951" t="s">
        <v>2104</v>
      </c>
      <c r="C951">
        <v>2007</v>
      </c>
      <c r="D951">
        <v>2000</v>
      </c>
      <c r="E951" t="s">
        <v>293</v>
      </c>
      <c r="F951">
        <v>120</v>
      </c>
      <c r="G951" t="s">
        <v>3997</v>
      </c>
      <c r="H951" t="s">
        <v>158</v>
      </c>
      <c r="I951" t="s">
        <v>68</v>
      </c>
      <c r="J951" t="s">
        <v>2105</v>
      </c>
      <c r="K951">
        <v>150283</v>
      </c>
      <c r="L951">
        <v>388.86</v>
      </c>
      <c r="M951">
        <v>388.86</v>
      </c>
      <c r="N951" t="s">
        <v>3998</v>
      </c>
      <c r="O951" t="s">
        <v>3987</v>
      </c>
      <c r="P951" t="str">
        <f>TRIM(Table13_1[[#This Row],[Genre]])</f>
        <v>Fantasy</v>
      </c>
    </row>
    <row r="952" spans="1:16" x14ac:dyDescent="0.3">
      <c r="A952" t="s">
        <v>2106</v>
      </c>
      <c r="B952" t="s">
        <v>2107</v>
      </c>
      <c r="C952">
        <v>2006</v>
      </c>
      <c r="D952">
        <v>2000</v>
      </c>
      <c r="E952" t="s">
        <v>24</v>
      </c>
      <c r="F952">
        <v>122</v>
      </c>
      <c r="G952" t="s">
        <v>3999</v>
      </c>
      <c r="H952" t="s">
        <v>102</v>
      </c>
      <c r="I952" t="s">
        <v>92</v>
      </c>
      <c r="J952" t="s">
        <v>2108</v>
      </c>
      <c r="K952">
        <v>177841</v>
      </c>
      <c r="L952">
        <v>276.37</v>
      </c>
      <c r="M952">
        <v>276.37</v>
      </c>
      <c r="N952" t="s">
        <v>3998</v>
      </c>
      <c r="O952" t="s">
        <v>868</v>
      </c>
      <c r="P952" t="str">
        <f>TRIM(Table13_1[[#This Row],[Genre]])</f>
        <v>Western</v>
      </c>
    </row>
    <row r="953" spans="1:16" x14ac:dyDescent="0.3">
      <c r="A953" t="s">
        <v>2106</v>
      </c>
      <c r="B953" t="s">
        <v>2107</v>
      </c>
      <c r="C953">
        <v>2006</v>
      </c>
      <c r="D953">
        <v>2000</v>
      </c>
      <c r="E953" t="s">
        <v>24</v>
      </c>
      <c r="F953">
        <v>122</v>
      </c>
      <c r="G953" t="s">
        <v>3999</v>
      </c>
      <c r="H953" t="s">
        <v>102</v>
      </c>
      <c r="I953" t="s">
        <v>92</v>
      </c>
      <c r="J953" t="s">
        <v>2108</v>
      </c>
      <c r="K953">
        <v>177841</v>
      </c>
      <c r="L953">
        <v>276.37</v>
      </c>
      <c r="M953">
        <v>276.37</v>
      </c>
      <c r="N953" t="s">
        <v>3998</v>
      </c>
      <c r="O953" t="s">
        <v>3985</v>
      </c>
      <c r="P953" t="str">
        <f>TRIM(Table13_1[[#This Row],[Genre]])</f>
        <v>Horror</v>
      </c>
    </row>
    <row r="954" spans="1:16" x14ac:dyDescent="0.3">
      <c r="A954" t="s">
        <v>2109</v>
      </c>
      <c r="B954" t="s">
        <v>2110</v>
      </c>
      <c r="C954">
        <v>2004</v>
      </c>
      <c r="D954">
        <v>2000</v>
      </c>
      <c r="E954" t="s">
        <v>169</v>
      </c>
      <c r="F954">
        <v>109</v>
      </c>
      <c r="G954" t="s">
        <v>3997</v>
      </c>
      <c r="H954" t="s">
        <v>2111</v>
      </c>
      <c r="I954" t="s">
        <v>131</v>
      </c>
      <c r="J954" t="s">
        <v>2112</v>
      </c>
      <c r="K954">
        <v>76098</v>
      </c>
      <c r="L954">
        <v>125.2</v>
      </c>
      <c r="M954">
        <v>125.2</v>
      </c>
      <c r="N954" t="s">
        <v>4002</v>
      </c>
      <c r="O954" t="s">
        <v>868</v>
      </c>
      <c r="P954" t="str">
        <f>TRIM(Table13_1[[#This Row],[Genre]])</f>
        <v>Western</v>
      </c>
    </row>
    <row r="955" spans="1:16" x14ac:dyDescent="0.3">
      <c r="A955" t="s">
        <v>2109</v>
      </c>
      <c r="B955" t="s">
        <v>2110</v>
      </c>
      <c r="C955">
        <v>2004</v>
      </c>
      <c r="D955">
        <v>2000</v>
      </c>
      <c r="E955" t="s">
        <v>169</v>
      </c>
      <c r="F955">
        <v>109</v>
      </c>
      <c r="G955" t="s">
        <v>3997</v>
      </c>
      <c r="H955" t="s">
        <v>2111</v>
      </c>
      <c r="I955" t="s">
        <v>131</v>
      </c>
      <c r="J955" t="s">
        <v>2112</v>
      </c>
      <c r="K955">
        <v>76098</v>
      </c>
      <c r="L955">
        <v>125.2</v>
      </c>
      <c r="M955">
        <v>125.2</v>
      </c>
      <c r="N955" t="s">
        <v>4002</v>
      </c>
      <c r="O955" t="s">
        <v>3991</v>
      </c>
      <c r="P955" t="str">
        <f>TRIM(Table13_1[[#This Row],[Genre]])</f>
        <v>Thriller</v>
      </c>
    </row>
    <row r="956" spans="1:16" x14ac:dyDescent="0.3">
      <c r="A956" t="s">
        <v>2113</v>
      </c>
      <c r="B956" t="s">
        <v>2114</v>
      </c>
      <c r="C956">
        <v>1994</v>
      </c>
      <c r="D956">
        <v>1990</v>
      </c>
      <c r="E956" t="s">
        <v>54</v>
      </c>
      <c r="F956">
        <v>118</v>
      </c>
      <c r="G956" t="s">
        <v>3997</v>
      </c>
      <c r="H956" t="s">
        <v>136</v>
      </c>
      <c r="I956" t="s">
        <v>20</v>
      </c>
      <c r="J956" t="s">
        <v>2115</v>
      </c>
      <c r="K956">
        <v>12879</v>
      </c>
      <c r="M956">
        <v>0</v>
      </c>
      <c r="N956" t="s">
        <v>4001</v>
      </c>
      <c r="O956" t="s">
        <v>43</v>
      </c>
      <c r="P956" t="str">
        <f>TRIM(Table13_1[[#This Row],[Genre]])</f>
        <v>Mystery</v>
      </c>
    </row>
    <row r="957" spans="1:16" x14ac:dyDescent="0.3">
      <c r="A957" t="s">
        <v>2116</v>
      </c>
      <c r="B957" t="s">
        <v>2117</v>
      </c>
      <c r="C957">
        <v>2008</v>
      </c>
      <c r="D957">
        <v>2000</v>
      </c>
      <c r="E957" t="s">
        <v>17</v>
      </c>
      <c r="F957">
        <v>109</v>
      </c>
      <c r="G957" t="s">
        <v>3997</v>
      </c>
      <c r="H957" t="s">
        <v>395</v>
      </c>
      <c r="I957" t="s">
        <v>74</v>
      </c>
      <c r="J957" t="s">
        <v>2118</v>
      </c>
      <c r="K957">
        <v>29929</v>
      </c>
      <c r="M957">
        <v>0</v>
      </c>
      <c r="N957" t="s">
        <v>4001</v>
      </c>
      <c r="O957" t="s">
        <v>277</v>
      </c>
      <c r="P957" t="str">
        <f>TRIM(Table13_1[[#This Row],[Genre]])</f>
        <v>Thriller</v>
      </c>
    </row>
    <row r="958" spans="1:16" x14ac:dyDescent="0.3">
      <c r="A958" t="s">
        <v>2119</v>
      </c>
      <c r="B958" t="s">
        <v>2120</v>
      </c>
      <c r="C958">
        <v>2014</v>
      </c>
      <c r="D958">
        <v>2010</v>
      </c>
      <c r="E958" t="s">
        <v>285</v>
      </c>
      <c r="F958">
        <v>129</v>
      </c>
      <c r="G958" t="s">
        <v>3999</v>
      </c>
      <c r="H958" t="s">
        <v>2122</v>
      </c>
      <c r="I958" t="s">
        <v>92</v>
      </c>
      <c r="J958" t="s">
        <v>2123</v>
      </c>
      <c r="K958">
        <v>8738</v>
      </c>
      <c r="L958">
        <v>497.65</v>
      </c>
      <c r="M958">
        <v>497.65</v>
      </c>
      <c r="N958" t="s">
        <v>3998</v>
      </c>
      <c r="O958" t="s">
        <v>210</v>
      </c>
      <c r="P958" t="str">
        <f>TRIM(Table13_1[[#This Row],[Genre]])</f>
        <v>Action</v>
      </c>
    </row>
    <row r="959" spans="1:16" x14ac:dyDescent="0.3">
      <c r="A959" t="s">
        <v>2119</v>
      </c>
      <c r="B959" t="s">
        <v>2120</v>
      </c>
      <c r="C959">
        <v>2014</v>
      </c>
      <c r="D959">
        <v>2010</v>
      </c>
      <c r="E959" t="s">
        <v>285</v>
      </c>
      <c r="F959">
        <v>129</v>
      </c>
      <c r="G959" t="s">
        <v>3999</v>
      </c>
      <c r="H959" t="s">
        <v>2122</v>
      </c>
      <c r="I959" t="s">
        <v>92</v>
      </c>
      <c r="J959" t="s">
        <v>2123</v>
      </c>
      <c r="K959">
        <v>8738</v>
      </c>
      <c r="L959">
        <v>497.65</v>
      </c>
      <c r="M959">
        <v>497.65</v>
      </c>
      <c r="N959" t="s">
        <v>3998</v>
      </c>
      <c r="O959" t="s">
        <v>3990</v>
      </c>
      <c r="P959" t="str">
        <f>TRIM(Table13_1[[#This Row],[Genre]])</f>
        <v>Western</v>
      </c>
    </row>
    <row r="960" spans="1:16" x14ac:dyDescent="0.3">
      <c r="A960" t="s">
        <v>2119</v>
      </c>
      <c r="B960" t="s">
        <v>2120</v>
      </c>
      <c r="C960">
        <v>2014</v>
      </c>
      <c r="D960">
        <v>2010</v>
      </c>
      <c r="E960" t="s">
        <v>285</v>
      </c>
      <c r="F960">
        <v>129</v>
      </c>
      <c r="G960" t="s">
        <v>3999</v>
      </c>
      <c r="H960" t="s">
        <v>2122</v>
      </c>
      <c r="I960" t="s">
        <v>92</v>
      </c>
      <c r="J960" t="s">
        <v>2123</v>
      </c>
      <c r="K960">
        <v>8738</v>
      </c>
      <c r="L960">
        <v>497.65</v>
      </c>
      <c r="M960">
        <v>497.65</v>
      </c>
      <c r="N960" t="s">
        <v>3998</v>
      </c>
      <c r="O960" t="s">
        <v>3992</v>
      </c>
      <c r="P960" t="str">
        <f>TRIM(Table13_1[[#This Row],[Genre]])</f>
        <v>Biography</v>
      </c>
    </row>
    <row r="961" spans="1:16" x14ac:dyDescent="0.3">
      <c r="A961" t="s">
        <v>2124</v>
      </c>
      <c r="B961" t="s">
        <v>2125</v>
      </c>
      <c r="C961">
        <v>2009</v>
      </c>
      <c r="D961">
        <v>2000</v>
      </c>
      <c r="E961" t="s">
        <v>17</v>
      </c>
      <c r="F961">
        <v>95</v>
      </c>
      <c r="G961" t="s">
        <v>3997</v>
      </c>
      <c r="H961" t="s">
        <v>2126</v>
      </c>
      <c r="I961" t="s">
        <v>68</v>
      </c>
      <c r="J961" t="s">
        <v>2127</v>
      </c>
      <c r="K961">
        <v>90768</v>
      </c>
      <c r="L961">
        <v>352.83</v>
      </c>
      <c r="M961">
        <v>352.83</v>
      </c>
      <c r="N961" t="s">
        <v>3998</v>
      </c>
      <c r="O961" t="s">
        <v>129</v>
      </c>
      <c r="P961" t="str">
        <f>TRIM(Table13_1[[#This Row],[Genre]])</f>
        <v>Horror</v>
      </c>
    </row>
    <row r="962" spans="1:16" x14ac:dyDescent="0.3">
      <c r="A962" t="s">
        <v>2124</v>
      </c>
      <c r="B962" t="s">
        <v>2125</v>
      </c>
      <c r="C962">
        <v>2009</v>
      </c>
      <c r="D962">
        <v>2000</v>
      </c>
      <c r="E962" t="s">
        <v>17</v>
      </c>
      <c r="F962">
        <v>95</v>
      </c>
      <c r="G962" t="s">
        <v>3997</v>
      </c>
      <c r="H962" t="s">
        <v>2126</v>
      </c>
      <c r="I962" t="s">
        <v>68</v>
      </c>
      <c r="J962" t="s">
        <v>2127</v>
      </c>
      <c r="K962">
        <v>90768</v>
      </c>
      <c r="L962">
        <v>352.83</v>
      </c>
      <c r="M962">
        <v>352.83</v>
      </c>
      <c r="N962" t="s">
        <v>3998</v>
      </c>
      <c r="O962" t="s">
        <v>3993</v>
      </c>
      <c r="P962" t="str">
        <f>TRIM(Table13_1[[#This Row],[Genre]])</f>
        <v>Comedy</v>
      </c>
    </row>
    <row r="963" spans="1:16" x14ac:dyDescent="0.3">
      <c r="A963" t="s">
        <v>2128</v>
      </c>
      <c r="B963" t="s">
        <v>2129</v>
      </c>
      <c r="C963">
        <v>2022</v>
      </c>
      <c r="D963">
        <v>2020</v>
      </c>
      <c r="E963" t="s">
        <v>17</v>
      </c>
      <c r="F963">
        <v>116</v>
      </c>
      <c r="G963" t="s">
        <v>3997</v>
      </c>
      <c r="H963" t="s">
        <v>350</v>
      </c>
      <c r="I963" t="s">
        <v>191</v>
      </c>
      <c r="J963" t="s">
        <v>2130</v>
      </c>
      <c r="K963">
        <v>136930</v>
      </c>
      <c r="L963">
        <v>468.09</v>
      </c>
      <c r="M963">
        <v>468.09</v>
      </c>
      <c r="N963" t="s">
        <v>3998</v>
      </c>
      <c r="O963" t="s">
        <v>868</v>
      </c>
      <c r="P963" t="str">
        <f>TRIM(Table13_1[[#This Row],[Genre]])</f>
        <v>Western</v>
      </c>
    </row>
    <row r="964" spans="1:16" x14ac:dyDescent="0.3">
      <c r="A964" t="s">
        <v>2128</v>
      </c>
      <c r="B964" t="s">
        <v>2129</v>
      </c>
      <c r="C964">
        <v>2022</v>
      </c>
      <c r="D964">
        <v>2020</v>
      </c>
      <c r="E964" t="s">
        <v>17</v>
      </c>
      <c r="F964">
        <v>116</v>
      </c>
      <c r="G964" t="s">
        <v>3997</v>
      </c>
      <c r="H964" t="s">
        <v>350</v>
      </c>
      <c r="I964" t="s">
        <v>191</v>
      </c>
      <c r="J964" t="s">
        <v>2130</v>
      </c>
      <c r="K964">
        <v>136930</v>
      </c>
      <c r="L964">
        <v>468.09</v>
      </c>
      <c r="M964">
        <v>468.09</v>
      </c>
      <c r="N964" t="s">
        <v>3998</v>
      </c>
      <c r="O964" t="s">
        <v>3992</v>
      </c>
      <c r="P964" t="str">
        <f>TRIM(Table13_1[[#This Row],[Genre]])</f>
        <v>Biography</v>
      </c>
    </row>
    <row r="965" spans="1:16" x14ac:dyDescent="0.3">
      <c r="A965" t="s">
        <v>2131</v>
      </c>
      <c r="B965" t="s">
        <v>2132</v>
      </c>
      <c r="C965">
        <v>2007</v>
      </c>
      <c r="D965">
        <v>2000</v>
      </c>
      <c r="E965" t="s">
        <v>17</v>
      </c>
      <c r="F965">
        <v>127</v>
      </c>
      <c r="G965" t="s">
        <v>3999</v>
      </c>
      <c r="H965" t="s">
        <v>314</v>
      </c>
      <c r="I965" t="s">
        <v>315</v>
      </c>
      <c r="J965" t="s">
        <v>2133</v>
      </c>
      <c r="K965">
        <v>125326</v>
      </c>
      <c r="M965">
        <v>0</v>
      </c>
      <c r="N965" t="s">
        <v>4001</v>
      </c>
      <c r="O965" t="s">
        <v>606</v>
      </c>
      <c r="P965" t="str">
        <f>TRIM(Table13_1[[#This Row],[Genre]])</f>
        <v>Sci-Fi</v>
      </c>
    </row>
    <row r="966" spans="1:16" x14ac:dyDescent="0.3">
      <c r="A966" t="s">
        <v>2134</v>
      </c>
      <c r="B966" t="s">
        <v>2135</v>
      </c>
      <c r="C966">
        <v>2001</v>
      </c>
      <c r="D966">
        <v>2000</v>
      </c>
      <c r="E966" t="s">
        <v>17</v>
      </c>
      <c r="F966">
        <v>141</v>
      </c>
      <c r="G966" t="s">
        <v>3999</v>
      </c>
      <c r="H966" t="s">
        <v>2137</v>
      </c>
      <c r="I966" t="s">
        <v>103</v>
      </c>
      <c r="J966" t="s">
        <v>2138</v>
      </c>
      <c r="K966">
        <v>95042</v>
      </c>
      <c r="M966">
        <v>0</v>
      </c>
      <c r="N966" t="s">
        <v>4001</v>
      </c>
      <c r="O966" t="s">
        <v>230</v>
      </c>
      <c r="P966" t="str">
        <f>TRIM(Table13_1[[#This Row],[Genre]])</f>
        <v>Documentary</v>
      </c>
    </row>
    <row r="967" spans="1:16" x14ac:dyDescent="0.3">
      <c r="A967" t="s">
        <v>2134</v>
      </c>
      <c r="B967" t="s">
        <v>2135</v>
      </c>
      <c r="C967">
        <v>2001</v>
      </c>
      <c r="D967">
        <v>2000</v>
      </c>
      <c r="E967" t="s">
        <v>17</v>
      </c>
      <c r="F967">
        <v>141</v>
      </c>
      <c r="G967" t="s">
        <v>3999</v>
      </c>
      <c r="H967" t="s">
        <v>2137</v>
      </c>
      <c r="I967" t="s">
        <v>103</v>
      </c>
      <c r="J967" t="s">
        <v>2138</v>
      </c>
      <c r="K967">
        <v>95042</v>
      </c>
      <c r="M967">
        <v>0</v>
      </c>
      <c r="N967" t="s">
        <v>4001</v>
      </c>
      <c r="O967" t="s">
        <v>3991</v>
      </c>
      <c r="P967" t="str">
        <f>TRIM(Table13_1[[#This Row],[Genre]])</f>
        <v>Thriller</v>
      </c>
    </row>
    <row r="968" spans="1:16" x14ac:dyDescent="0.3">
      <c r="A968" t="s">
        <v>2139</v>
      </c>
      <c r="B968" t="s">
        <v>2140</v>
      </c>
      <c r="C968">
        <v>2001</v>
      </c>
      <c r="D968">
        <v>2000</v>
      </c>
      <c r="E968" t="s">
        <v>17</v>
      </c>
      <c r="F968">
        <v>108</v>
      </c>
      <c r="G968" t="s">
        <v>3997</v>
      </c>
      <c r="H968" t="s">
        <v>634</v>
      </c>
      <c r="I968" t="s">
        <v>153</v>
      </c>
      <c r="J968" t="s">
        <v>2142</v>
      </c>
      <c r="K968">
        <v>1122687</v>
      </c>
      <c r="M968">
        <v>0</v>
      </c>
      <c r="N968" t="s">
        <v>4001</v>
      </c>
      <c r="O968" t="s">
        <v>129</v>
      </c>
      <c r="P968" t="str">
        <f>TRIM(Table13_1[[#This Row],[Genre]])</f>
        <v>Horror</v>
      </c>
    </row>
    <row r="969" spans="1:16" x14ac:dyDescent="0.3">
      <c r="A969" t="s">
        <v>2139</v>
      </c>
      <c r="B969" t="s">
        <v>2140</v>
      </c>
      <c r="C969">
        <v>2001</v>
      </c>
      <c r="D969">
        <v>2000</v>
      </c>
      <c r="E969" t="s">
        <v>17</v>
      </c>
      <c r="F969">
        <v>108</v>
      </c>
      <c r="G969" t="s">
        <v>3997</v>
      </c>
      <c r="H969" t="s">
        <v>634</v>
      </c>
      <c r="I969" t="s">
        <v>153</v>
      </c>
      <c r="J969" t="s">
        <v>2142</v>
      </c>
      <c r="K969">
        <v>1122687</v>
      </c>
      <c r="M969">
        <v>0</v>
      </c>
      <c r="N969" t="s">
        <v>4001</v>
      </c>
      <c r="O969" t="s">
        <v>3979</v>
      </c>
      <c r="P969" t="str">
        <f>TRIM(Table13_1[[#This Row],[Genre]])</f>
        <v>War</v>
      </c>
    </row>
    <row r="970" spans="1:16" x14ac:dyDescent="0.3">
      <c r="A970" t="s">
        <v>2139</v>
      </c>
      <c r="B970" t="s">
        <v>2140</v>
      </c>
      <c r="C970">
        <v>2001</v>
      </c>
      <c r="D970">
        <v>2000</v>
      </c>
      <c r="E970" t="s">
        <v>17</v>
      </c>
      <c r="F970">
        <v>108</v>
      </c>
      <c r="G970" t="s">
        <v>3997</v>
      </c>
      <c r="H970" t="s">
        <v>634</v>
      </c>
      <c r="I970" t="s">
        <v>153</v>
      </c>
      <c r="J970" t="s">
        <v>2142</v>
      </c>
      <c r="K970">
        <v>1122687</v>
      </c>
      <c r="M970">
        <v>0</v>
      </c>
      <c r="N970" t="s">
        <v>4001</v>
      </c>
      <c r="O970" t="s">
        <v>3988</v>
      </c>
      <c r="P970" t="str">
        <f>TRIM(Table13_1[[#This Row],[Genre]])</f>
        <v>Drama</v>
      </c>
    </row>
    <row r="971" spans="1:16" x14ac:dyDescent="0.3">
      <c r="A971" t="s">
        <v>2143</v>
      </c>
      <c r="B971" t="s">
        <v>2144</v>
      </c>
      <c r="C971">
        <v>2011</v>
      </c>
      <c r="D971">
        <v>2010</v>
      </c>
      <c r="E971" t="s">
        <v>17</v>
      </c>
      <c r="F971">
        <v>136</v>
      </c>
      <c r="G971" t="s">
        <v>3999</v>
      </c>
      <c r="H971" t="s">
        <v>629</v>
      </c>
      <c r="I971" t="s">
        <v>315</v>
      </c>
      <c r="J971" t="s">
        <v>2145</v>
      </c>
      <c r="K971">
        <v>51620</v>
      </c>
      <c r="L971">
        <v>215.38</v>
      </c>
      <c r="M971">
        <v>215.38</v>
      </c>
      <c r="N971" t="s">
        <v>3998</v>
      </c>
      <c r="O971" t="s">
        <v>157</v>
      </c>
      <c r="P971" t="str">
        <f>TRIM(Table13_1[[#This Row],[Genre]])</f>
        <v>Animation</v>
      </c>
    </row>
    <row r="972" spans="1:16" x14ac:dyDescent="0.3">
      <c r="A972" t="s">
        <v>2143</v>
      </c>
      <c r="B972" t="s">
        <v>2144</v>
      </c>
      <c r="C972">
        <v>2011</v>
      </c>
      <c r="D972">
        <v>2010</v>
      </c>
      <c r="E972" t="s">
        <v>17</v>
      </c>
      <c r="F972">
        <v>136</v>
      </c>
      <c r="G972" t="s">
        <v>3999</v>
      </c>
      <c r="H972" t="s">
        <v>629</v>
      </c>
      <c r="I972" t="s">
        <v>315</v>
      </c>
      <c r="J972" t="s">
        <v>2145</v>
      </c>
      <c r="K972">
        <v>51620</v>
      </c>
      <c r="L972">
        <v>215.38</v>
      </c>
      <c r="M972">
        <v>215.38</v>
      </c>
      <c r="N972" t="s">
        <v>3998</v>
      </c>
      <c r="O972" t="s">
        <v>3981</v>
      </c>
      <c r="P972" t="str">
        <f>TRIM(Table13_1[[#This Row],[Genre]])</f>
        <v>Romance</v>
      </c>
    </row>
    <row r="973" spans="1:16" x14ac:dyDescent="0.3">
      <c r="A973" t="s">
        <v>2146</v>
      </c>
      <c r="B973" t="s">
        <v>2147</v>
      </c>
      <c r="C973">
        <v>2019</v>
      </c>
      <c r="D973">
        <v>2010</v>
      </c>
      <c r="E973" t="s">
        <v>54</v>
      </c>
      <c r="F973">
        <v>129</v>
      </c>
      <c r="G973" t="s">
        <v>3999</v>
      </c>
      <c r="H973" t="s">
        <v>2148</v>
      </c>
      <c r="I973" t="s">
        <v>165</v>
      </c>
      <c r="J973" t="s">
        <v>2149</v>
      </c>
      <c r="K973">
        <v>3092</v>
      </c>
      <c r="L973">
        <v>154.13</v>
      </c>
      <c r="M973">
        <v>154.13</v>
      </c>
      <c r="N973" t="s">
        <v>4002</v>
      </c>
      <c r="O973" t="s">
        <v>157</v>
      </c>
      <c r="P973" t="str">
        <f>TRIM(Table13_1[[#This Row],[Genre]])</f>
        <v>Animation</v>
      </c>
    </row>
    <row r="974" spans="1:16" x14ac:dyDescent="0.3">
      <c r="A974" t="s">
        <v>2146</v>
      </c>
      <c r="B974" t="s">
        <v>2147</v>
      </c>
      <c r="C974">
        <v>2019</v>
      </c>
      <c r="D974">
        <v>2010</v>
      </c>
      <c r="E974" t="s">
        <v>54</v>
      </c>
      <c r="F974">
        <v>129</v>
      </c>
      <c r="G974" t="s">
        <v>3999</v>
      </c>
      <c r="H974" t="s">
        <v>2148</v>
      </c>
      <c r="I974" t="s">
        <v>165</v>
      </c>
      <c r="J974" t="s">
        <v>2149</v>
      </c>
      <c r="K974">
        <v>3092</v>
      </c>
      <c r="L974">
        <v>154.13</v>
      </c>
      <c r="M974">
        <v>154.13</v>
      </c>
      <c r="N974" t="s">
        <v>4002</v>
      </c>
      <c r="O974" t="s">
        <v>3984</v>
      </c>
      <c r="P974" t="str">
        <f>TRIM(Table13_1[[#This Row],[Genre]])</f>
        <v>Adventure</v>
      </c>
    </row>
    <row r="975" spans="1:16" x14ac:dyDescent="0.3">
      <c r="A975" t="s">
        <v>2150</v>
      </c>
      <c r="B975" t="s">
        <v>2151</v>
      </c>
      <c r="C975">
        <v>1998</v>
      </c>
      <c r="D975">
        <v>1990</v>
      </c>
      <c r="E975" t="s">
        <v>17</v>
      </c>
      <c r="F975">
        <v>107</v>
      </c>
      <c r="G975" t="s">
        <v>3997</v>
      </c>
      <c r="H975" t="s">
        <v>231</v>
      </c>
      <c r="I975" t="s">
        <v>547</v>
      </c>
      <c r="J975" t="s">
        <v>2153</v>
      </c>
      <c r="K975">
        <v>47405</v>
      </c>
      <c r="M975">
        <v>0</v>
      </c>
      <c r="N975" t="s">
        <v>4001</v>
      </c>
      <c r="O975" t="s">
        <v>230</v>
      </c>
      <c r="P975" t="str">
        <f>TRIM(Table13_1[[#This Row],[Genre]])</f>
        <v>Documentary</v>
      </c>
    </row>
    <row r="976" spans="1:16" x14ac:dyDescent="0.3">
      <c r="A976" t="s">
        <v>2150</v>
      </c>
      <c r="B976" t="s">
        <v>2151</v>
      </c>
      <c r="C976">
        <v>1998</v>
      </c>
      <c r="D976">
        <v>1990</v>
      </c>
      <c r="E976" t="s">
        <v>17</v>
      </c>
      <c r="F976">
        <v>107</v>
      </c>
      <c r="G976" t="s">
        <v>3997</v>
      </c>
      <c r="H976" t="s">
        <v>231</v>
      </c>
      <c r="I976" t="s">
        <v>547</v>
      </c>
      <c r="J976" t="s">
        <v>2153</v>
      </c>
      <c r="K976">
        <v>47405</v>
      </c>
      <c r="M976">
        <v>0</v>
      </c>
      <c r="N976" t="s">
        <v>4001</v>
      </c>
      <c r="O976" t="s">
        <v>3985</v>
      </c>
      <c r="P976" t="str">
        <f>TRIM(Table13_1[[#This Row],[Genre]])</f>
        <v>Horror</v>
      </c>
    </row>
    <row r="977" spans="1:16" x14ac:dyDescent="0.3">
      <c r="A977" t="s">
        <v>2154</v>
      </c>
      <c r="B977" t="s">
        <v>2155</v>
      </c>
      <c r="C977">
        <v>2013</v>
      </c>
      <c r="D977">
        <v>2010</v>
      </c>
      <c r="E977" t="s">
        <v>17</v>
      </c>
      <c r="F977">
        <v>119</v>
      </c>
      <c r="G977" t="s">
        <v>3997</v>
      </c>
      <c r="H977" t="s">
        <v>2156</v>
      </c>
      <c r="I977" t="s">
        <v>524</v>
      </c>
      <c r="J977" t="s">
        <v>2157</v>
      </c>
      <c r="K977">
        <v>213767</v>
      </c>
      <c r="L977">
        <v>249.88</v>
      </c>
      <c r="M977">
        <v>249.88</v>
      </c>
      <c r="N977" t="s">
        <v>3998</v>
      </c>
      <c r="O977" t="s">
        <v>72</v>
      </c>
      <c r="P977" t="str">
        <f>TRIM(Table13_1[[#This Row],[Genre]])</f>
        <v>War</v>
      </c>
    </row>
    <row r="978" spans="1:16" x14ac:dyDescent="0.3">
      <c r="A978" t="s">
        <v>2158</v>
      </c>
      <c r="B978" t="s">
        <v>2159</v>
      </c>
      <c r="C978">
        <v>2012</v>
      </c>
      <c r="D978">
        <v>2010</v>
      </c>
      <c r="E978" t="s">
        <v>17</v>
      </c>
      <c r="F978">
        <v>105</v>
      </c>
      <c r="G978" t="s">
        <v>3997</v>
      </c>
      <c r="H978" t="s">
        <v>1155</v>
      </c>
      <c r="I978" t="s">
        <v>518</v>
      </c>
      <c r="J978" t="s">
        <v>2160</v>
      </c>
      <c r="K978">
        <v>118886</v>
      </c>
      <c r="L978">
        <v>223.78</v>
      </c>
      <c r="M978">
        <v>223.78</v>
      </c>
      <c r="N978" t="s">
        <v>3998</v>
      </c>
      <c r="O978" t="s">
        <v>72</v>
      </c>
      <c r="P978" t="str">
        <f>TRIM(Table13_1[[#This Row],[Genre]])</f>
        <v>War</v>
      </c>
    </row>
    <row r="979" spans="1:16" x14ac:dyDescent="0.3">
      <c r="A979" t="s">
        <v>2158</v>
      </c>
      <c r="B979" t="s">
        <v>2159</v>
      </c>
      <c r="C979">
        <v>2012</v>
      </c>
      <c r="D979">
        <v>2010</v>
      </c>
      <c r="E979" t="s">
        <v>17</v>
      </c>
      <c r="F979">
        <v>105</v>
      </c>
      <c r="G979" t="s">
        <v>3997</v>
      </c>
      <c r="H979" t="s">
        <v>1155</v>
      </c>
      <c r="I979" t="s">
        <v>518</v>
      </c>
      <c r="J979" t="s">
        <v>2160</v>
      </c>
      <c r="K979">
        <v>118886</v>
      </c>
      <c r="L979">
        <v>223.78</v>
      </c>
      <c r="M979">
        <v>223.78</v>
      </c>
      <c r="N979" t="s">
        <v>3998</v>
      </c>
      <c r="O979" t="s">
        <v>3993</v>
      </c>
      <c r="P979" t="str">
        <f>TRIM(Table13_1[[#This Row],[Genre]])</f>
        <v>Comedy</v>
      </c>
    </row>
    <row r="980" spans="1:16" x14ac:dyDescent="0.3">
      <c r="A980" t="s">
        <v>2161</v>
      </c>
      <c r="B980" t="s">
        <v>2162</v>
      </c>
      <c r="C980">
        <v>2009</v>
      </c>
      <c r="D980">
        <v>2000</v>
      </c>
      <c r="E980" t="s">
        <v>24</v>
      </c>
      <c r="F980">
        <v>96</v>
      </c>
      <c r="G980" t="s">
        <v>3997</v>
      </c>
      <c r="H980" t="s">
        <v>278</v>
      </c>
      <c r="I980" t="s">
        <v>103</v>
      </c>
      <c r="J980" t="s">
        <v>2163</v>
      </c>
      <c r="K980">
        <v>805140</v>
      </c>
      <c r="M980">
        <v>0</v>
      </c>
      <c r="N980" t="s">
        <v>4001</v>
      </c>
      <c r="O980" t="s">
        <v>277</v>
      </c>
      <c r="P980" t="str">
        <f>TRIM(Table13_1[[#This Row],[Genre]])</f>
        <v>Thriller</v>
      </c>
    </row>
    <row r="981" spans="1:16" x14ac:dyDescent="0.3">
      <c r="A981" t="s">
        <v>2161</v>
      </c>
      <c r="B981" t="s">
        <v>2162</v>
      </c>
      <c r="C981">
        <v>2009</v>
      </c>
      <c r="D981">
        <v>2000</v>
      </c>
      <c r="E981" t="s">
        <v>24</v>
      </c>
      <c r="F981">
        <v>96</v>
      </c>
      <c r="G981" t="s">
        <v>3997</v>
      </c>
      <c r="H981" t="s">
        <v>278</v>
      </c>
      <c r="I981" t="s">
        <v>103</v>
      </c>
      <c r="J981" t="s">
        <v>2163</v>
      </c>
      <c r="K981">
        <v>805140</v>
      </c>
      <c r="M981">
        <v>0</v>
      </c>
      <c r="N981" t="s">
        <v>4001</v>
      </c>
      <c r="O981" t="s">
        <v>3990</v>
      </c>
      <c r="P981" t="str">
        <f>TRIM(Table13_1[[#This Row],[Genre]])</f>
        <v>Western</v>
      </c>
    </row>
    <row r="982" spans="1:16" x14ac:dyDescent="0.3">
      <c r="A982" t="s">
        <v>2164</v>
      </c>
      <c r="B982" t="s">
        <v>2165</v>
      </c>
      <c r="C982">
        <v>2010</v>
      </c>
      <c r="D982">
        <v>2010</v>
      </c>
      <c r="E982" t="s">
        <v>17</v>
      </c>
      <c r="F982">
        <v>136</v>
      </c>
      <c r="G982" t="s">
        <v>3999</v>
      </c>
      <c r="H982" t="s">
        <v>1155</v>
      </c>
      <c r="I982" t="s">
        <v>547</v>
      </c>
      <c r="J982" t="s">
        <v>2167</v>
      </c>
      <c r="K982">
        <v>8647</v>
      </c>
      <c r="L982">
        <v>498.46</v>
      </c>
      <c r="M982">
        <v>498.46</v>
      </c>
      <c r="N982" t="s">
        <v>3998</v>
      </c>
      <c r="O982" t="s">
        <v>72</v>
      </c>
      <c r="P982" t="str">
        <f>TRIM(Table13_1[[#This Row],[Genre]])</f>
        <v>War</v>
      </c>
    </row>
    <row r="983" spans="1:16" x14ac:dyDescent="0.3">
      <c r="A983" t="s">
        <v>2164</v>
      </c>
      <c r="B983" t="s">
        <v>2165</v>
      </c>
      <c r="C983">
        <v>2010</v>
      </c>
      <c r="D983">
        <v>2010</v>
      </c>
      <c r="E983" t="s">
        <v>17</v>
      </c>
      <c r="F983">
        <v>136</v>
      </c>
      <c r="G983" t="s">
        <v>3999</v>
      </c>
      <c r="H983" t="s">
        <v>1155</v>
      </c>
      <c r="I983" t="s">
        <v>547</v>
      </c>
      <c r="J983" t="s">
        <v>2167</v>
      </c>
      <c r="K983">
        <v>8647</v>
      </c>
      <c r="L983">
        <v>498.46</v>
      </c>
      <c r="M983">
        <v>498.46</v>
      </c>
      <c r="N983" t="s">
        <v>3998</v>
      </c>
      <c r="O983" t="s">
        <v>3982</v>
      </c>
      <c r="P983" t="str">
        <f>TRIM(Table13_1[[#This Row],[Genre]])</f>
        <v>Family</v>
      </c>
    </row>
    <row r="984" spans="1:16" x14ac:dyDescent="0.3">
      <c r="A984" t="s">
        <v>2164</v>
      </c>
      <c r="B984" t="s">
        <v>2165</v>
      </c>
      <c r="C984">
        <v>2010</v>
      </c>
      <c r="D984">
        <v>2010</v>
      </c>
      <c r="E984" t="s">
        <v>17</v>
      </c>
      <c r="F984">
        <v>136</v>
      </c>
      <c r="G984" t="s">
        <v>3999</v>
      </c>
      <c r="H984" t="s">
        <v>1155</v>
      </c>
      <c r="I984" t="s">
        <v>547</v>
      </c>
      <c r="J984" t="s">
        <v>2167</v>
      </c>
      <c r="K984">
        <v>8647</v>
      </c>
      <c r="L984">
        <v>498.46</v>
      </c>
      <c r="M984">
        <v>498.46</v>
      </c>
      <c r="N984" t="s">
        <v>3998</v>
      </c>
      <c r="O984" t="s">
        <v>3978</v>
      </c>
      <c r="P984" t="str">
        <f>TRIM(Table13_1[[#This Row],[Genre]])</f>
        <v>Mystery</v>
      </c>
    </row>
    <row r="985" spans="1:16" x14ac:dyDescent="0.3">
      <c r="A985" t="s">
        <v>2168</v>
      </c>
      <c r="B985" t="s">
        <v>2169</v>
      </c>
      <c r="C985">
        <v>2006</v>
      </c>
      <c r="D985">
        <v>2000</v>
      </c>
      <c r="E985" t="s">
        <v>17</v>
      </c>
      <c r="F985">
        <v>117</v>
      </c>
      <c r="G985" t="s">
        <v>3997</v>
      </c>
      <c r="H985" t="s">
        <v>2171</v>
      </c>
      <c r="I985" t="s">
        <v>191</v>
      </c>
      <c r="J985" t="s">
        <v>2172</v>
      </c>
      <c r="K985">
        <v>309058</v>
      </c>
      <c r="L985">
        <v>464.92</v>
      </c>
      <c r="M985">
        <v>464.92</v>
      </c>
      <c r="N985" t="s">
        <v>3998</v>
      </c>
      <c r="O985" t="s">
        <v>868</v>
      </c>
      <c r="P985" t="str">
        <f>TRIM(Table13_1[[#This Row],[Genre]])</f>
        <v>Western</v>
      </c>
    </row>
    <row r="986" spans="1:16" x14ac:dyDescent="0.3">
      <c r="A986" t="s">
        <v>2168</v>
      </c>
      <c r="B986" t="s">
        <v>2169</v>
      </c>
      <c r="C986">
        <v>2006</v>
      </c>
      <c r="D986">
        <v>2000</v>
      </c>
      <c r="E986" t="s">
        <v>17</v>
      </c>
      <c r="F986">
        <v>117</v>
      </c>
      <c r="G986" t="s">
        <v>3997</v>
      </c>
      <c r="H986" t="s">
        <v>2171</v>
      </c>
      <c r="I986" t="s">
        <v>191</v>
      </c>
      <c r="J986" t="s">
        <v>2172</v>
      </c>
      <c r="K986">
        <v>309058</v>
      </c>
      <c r="L986">
        <v>464.92</v>
      </c>
      <c r="M986">
        <v>464.92</v>
      </c>
      <c r="N986" t="s">
        <v>3998</v>
      </c>
      <c r="O986" t="s">
        <v>3980</v>
      </c>
      <c r="P986" t="str">
        <f>TRIM(Table13_1[[#This Row],[Genre]])</f>
        <v>Action</v>
      </c>
    </row>
    <row r="987" spans="1:16" x14ac:dyDescent="0.3">
      <c r="A987" t="s">
        <v>2168</v>
      </c>
      <c r="B987" t="s">
        <v>2169</v>
      </c>
      <c r="C987">
        <v>2006</v>
      </c>
      <c r="D987">
        <v>2000</v>
      </c>
      <c r="E987" t="s">
        <v>17</v>
      </c>
      <c r="F987">
        <v>117</v>
      </c>
      <c r="G987" t="s">
        <v>3997</v>
      </c>
      <c r="H987" t="s">
        <v>2171</v>
      </c>
      <c r="I987" t="s">
        <v>191</v>
      </c>
      <c r="J987" t="s">
        <v>2172</v>
      </c>
      <c r="K987">
        <v>309058</v>
      </c>
      <c r="L987">
        <v>464.92</v>
      </c>
      <c r="M987">
        <v>464.92</v>
      </c>
      <c r="N987" t="s">
        <v>3998</v>
      </c>
      <c r="O987" t="s">
        <v>3992</v>
      </c>
      <c r="P987" t="str">
        <f>TRIM(Table13_1[[#This Row],[Genre]])</f>
        <v>Biography</v>
      </c>
    </row>
    <row r="988" spans="1:16" x14ac:dyDescent="0.3">
      <c r="A988" t="s">
        <v>2173</v>
      </c>
      <c r="B988" t="s">
        <v>2174</v>
      </c>
      <c r="C988">
        <v>2007</v>
      </c>
      <c r="D988">
        <v>2000</v>
      </c>
      <c r="E988" t="s">
        <v>54</v>
      </c>
      <c r="F988">
        <v>127</v>
      </c>
      <c r="G988" t="s">
        <v>3999</v>
      </c>
      <c r="H988" t="s">
        <v>2176</v>
      </c>
      <c r="I988" t="s">
        <v>236</v>
      </c>
      <c r="J988" t="s">
        <v>2177</v>
      </c>
      <c r="K988">
        <v>2450</v>
      </c>
      <c r="L988">
        <v>243.9</v>
      </c>
      <c r="M988">
        <v>243.9</v>
      </c>
      <c r="N988" t="s">
        <v>3998</v>
      </c>
      <c r="O988" t="s">
        <v>606</v>
      </c>
      <c r="P988" t="str">
        <f>TRIM(Table13_1[[#This Row],[Genre]])</f>
        <v>Sci-Fi</v>
      </c>
    </row>
    <row r="989" spans="1:16" x14ac:dyDescent="0.3">
      <c r="A989" t="s">
        <v>2173</v>
      </c>
      <c r="B989" t="s">
        <v>2174</v>
      </c>
      <c r="C989">
        <v>2007</v>
      </c>
      <c r="D989">
        <v>2000</v>
      </c>
      <c r="E989" t="s">
        <v>54</v>
      </c>
      <c r="F989">
        <v>127</v>
      </c>
      <c r="G989" t="s">
        <v>3999</v>
      </c>
      <c r="H989" t="s">
        <v>2176</v>
      </c>
      <c r="I989" t="s">
        <v>236</v>
      </c>
      <c r="J989" t="s">
        <v>2177</v>
      </c>
      <c r="K989">
        <v>2450</v>
      </c>
      <c r="L989">
        <v>243.9</v>
      </c>
      <c r="M989">
        <v>243.9</v>
      </c>
      <c r="N989" t="s">
        <v>3998</v>
      </c>
      <c r="O989" t="s">
        <v>3979</v>
      </c>
      <c r="P989" t="str">
        <f>TRIM(Table13_1[[#This Row],[Genre]])</f>
        <v>War</v>
      </c>
    </row>
    <row r="990" spans="1:16" x14ac:dyDescent="0.3">
      <c r="A990" t="s">
        <v>2173</v>
      </c>
      <c r="B990" t="s">
        <v>2174</v>
      </c>
      <c r="C990">
        <v>2007</v>
      </c>
      <c r="D990">
        <v>2000</v>
      </c>
      <c r="E990" t="s">
        <v>54</v>
      </c>
      <c r="F990">
        <v>127</v>
      </c>
      <c r="G990" t="s">
        <v>3999</v>
      </c>
      <c r="H990" t="s">
        <v>2176</v>
      </c>
      <c r="I990" t="s">
        <v>236</v>
      </c>
      <c r="J990" t="s">
        <v>2177</v>
      </c>
      <c r="K990">
        <v>2450</v>
      </c>
      <c r="L990">
        <v>243.9</v>
      </c>
      <c r="M990">
        <v>243.9</v>
      </c>
      <c r="N990" t="s">
        <v>3998</v>
      </c>
      <c r="O990" t="s">
        <v>3983</v>
      </c>
      <c r="P990" t="str">
        <f>TRIM(Table13_1[[#This Row],[Genre]])</f>
        <v>Crime</v>
      </c>
    </row>
    <row r="991" spans="1:16" x14ac:dyDescent="0.3">
      <c r="A991" t="s">
        <v>2178</v>
      </c>
      <c r="B991" t="s">
        <v>2179</v>
      </c>
      <c r="C991">
        <v>2017</v>
      </c>
      <c r="D991">
        <v>2010</v>
      </c>
      <c r="E991" t="s">
        <v>17</v>
      </c>
      <c r="F991">
        <v>99</v>
      </c>
      <c r="G991" t="s">
        <v>3997</v>
      </c>
      <c r="H991" t="s">
        <v>2180</v>
      </c>
      <c r="I991" t="s">
        <v>103</v>
      </c>
      <c r="J991" t="s">
        <v>2181</v>
      </c>
      <c r="K991">
        <v>20948</v>
      </c>
      <c r="M991">
        <v>0</v>
      </c>
      <c r="N991" t="s">
        <v>4001</v>
      </c>
      <c r="O991" t="s">
        <v>1044</v>
      </c>
      <c r="P991" t="str">
        <f>TRIM(Table13_1[[#This Row],[Genre]])</f>
        <v>Comedy</v>
      </c>
    </row>
    <row r="992" spans="1:16" x14ac:dyDescent="0.3">
      <c r="A992" t="s">
        <v>2178</v>
      </c>
      <c r="B992" t="s">
        <v>2179</v>
      </c>
      <c r="C992">
        <v>2017</v>
      </c>
      <c r="D992">
        <v>2010</v>
      </c>
      <c r="E992" t="s">
        <v>17</v>
      </c>
      <c r="F992">
        <v>99</v>
      </c>
      <c r="G992" t="s">
        <v>3997</v>
      </c>
      <c r="H992" t="s">
        <v>2180</v>
      </c>
      <c r="I992" t="s">
        <v>103</v>
      </c>
      <c r="J992" t="s">
        <v>2181</v>
      </c>
      <c r="K992">
        <v>20948</v>
      </c>
      <c r="M992">
        <v>0</v>
      </c>
      <c r="N992" t="s">
        <v>4001</v>
      </c>
      <c r="O992" t="s">
        <v>3986</v>
      </c>
      <c r="P992" t="str">
        <f>TRIM(Table13_1[[#This Row],[Genre]])</f>
        <v>Documentary</v>
      </c>
    </row>
    <row r="993" spans="1:16" x14ac:dyDescent="0.3">
      <c r="A993" t="s">
        <v>2182</v>
      </c>
      <c r="B993" t="s">
        <v>2183</v>
      </c>
      <c r="C993">
        <v>2005</v>
      </c>
      <c r="D993">
        <v>2000</v>
      </c>
      <c r="E993" t="s">
        <v>17</v>
      </c>
      <c r="F993">
        <v>152</v>
      </c>
      <c r="G993" t="s">
        <v>3999</v>
      </c>
      <c r="H993" t="s">
        <v>320</v>
      </c>
      <c r="I993" t="s">
        <v>50</v>
      </c>
      <c r="J993" t="s">
        <v>2185</v>
      </c>
      <c r="K993">
        <v>15550</v>
      </c>
      <c r="M993">
        <v>0</v>
      </c>
      <c r="N993" t="s">
        <v>4001</v>
      </c>
      <c r="O993" t="s">
        <v>767</v>
      </c>
      <c r="P993" t="str">
        <f>TRIM(Table13_1[[#This Row],[Genre]])</f>
        <v>Fantasy</v>
      </c>
    </row>
    <row r="994" spans="1:16" x14ac:dyDescent="0.3">
      <c r="A994" t="s">
        <v>2182</v>
      </c>
      <c r="B994" t="s">
        <v>2183</v>
      </c>
      <c r="C994">
        <v>2005</v>
      </c>
      <c r="D994">
        <v>2000</v>
      </c>
      <c r="E994" t="s">
        <v>17</v>
      </c>
      <c r="F994">
        <v>152</v>
      </c>
      <c r="G994" t="s">
        <v>3999</v>
      </c>
      <c r="H994" t="s">
        <v>320</v>
      </c>
      <c r="I994" t="s">
        <v>50</v>
      </c>
      <c r="J994" t="s">
        <v>2185</v>
      </c>
      <c r="K994">
        <v>15550</v>
      </c>
      <c r="M994">
        <v>0</v>
      </c>
      <c r="N994" t="s">
        <v>4001</v>
      </c>
      <c r="O994" t="s">
        <v>3977</v>
      </c>
      <c r="P994" t="str">
        <f>TRIM(Table13_1[[#This Row],[Genre]])</f>
        <v>Animation</v>
      </c>
    </row>
    <row r="995" spans="1:16" x14ac:dyDescent="0.3">
      <c r="A995" t="s">
        <v>2182</v>
      </c>
      <c r="B995" t="s">
        <v>2183</v>
      </c>
      <c r="C995">
        <v>2005</v>
      </c>
      <c r="D995">
        <v>2000</v>
      </c>
      <c r="E995" t="s">
        <v>17</v>
      </c>
      <c r="F995">
        <v>152</v>
      </c>
      <c r="G995" t="s">
        <v>3999</v>
      </c>
      <c r="H995" t="s">
        <v>320</v>
      </c>
      <c r="I995" t="s">
        <v>50</v>
      </c>
      <c r="J995" t="s">
        <v>2185</v>
      </c>
      <c r="K995">
        <v>15550</v>
      </c>
      <c r="M995">
        <v>0</v>
      </c>
      <c r="N995" t="s">
        <v>4001</v>
      </c>
      <c r="O995" t="s">
        <v>3984</v>
      </c>
      <c r="P995" t="str">
        <f>TRIM(Table13_1[[#This Row],[Genre]])</f>
        <v>Adventure</v>
      </c>
    </row>
    <row r="996" spans="1:16" x14ac:dyDescent="0.3">
      <c r="A996" t="s">
        <v>2186</v>
      </c>
      <c r="B996" t="s">
        <v>2187</v>
      </c>
      <c r="C996">
        <v>2011</v>
      </c>
      <c r="D996">
        <v>2010</v>
      </c>
      <c r="E996" t="s">
        <v>24</v>
      </c>
      <c r="F996">
        <v>97</v>
      </c>
      <c r="G996" t="s">
        <v>3997</v>
      </c>
      <c r="H996" t="s">
        <v>2189</v>
      </c>
      <c r="I996" t="s">
        <v>196</v>
      </c>
      <c r="J996" t="s">
        <v>2190</v>
      </c>
      <c r="K996">
        <v>56962</v>
      </c>
      <c r="M996">
        <v>0</v>
      </c>
      <c r="N996" t="s">
        <v>4001</v>
      </c>
      <c r="O996" t="s">
        <v>868</v>
      </c>
      <c r="P996" t="str">
        <f>TRIM(Table13_1[[#This Row],[Genre]])</f>
        <v>Western</v>
      </c>
    </row>
    <row r="997" spans="1:16" x14ac:dyDescent="0.3">
      <c r="A997" t="s">
        <v>2186</v>
      </c>
      <c r="B997" t="s">
        <v>2187</v>
      </c>
      <c r="C997">
        <v>2011</v>
      </c>
      <c r="D997">
        <v>2010</v>
      </c>
      <c r="E997" t="s">
        <v>24</v>
      </c>
      <c r="F997">
        <v>97</v>
      </c>
      <c r="G997" t="s">
        <v>3997</v>
      </c>
      <c r="H997" t="s">
        <v>2189</v>
      </c>
      <c r="I997" t="s">
        <v>196</v>
      </c>
      <c r="J997" t="s">
        <v>2190</v>
      </c>
      <c r="K997">
        <v>56962</v>
      </c>
      <c r="M997">
        <v>0</v>
      </c>
      <c r="N997" t="s">
        <v>4001</v>
      </c>
      <c r="O997" t="s">
        <v>3981</v>
      </c>
      <c r="P997" t="str">
        <f>TRIM(Table13_1[[#This Row],[Genre]])</f>
        <v>Romance</v>
      </c>
    </row>
    <row r="998" spans="1:16" x14ac:dyDescent="0.3">
      <c r="A998" t="s">
        <v>2186</v>
      </c>
      <c r="B998" t="s">
        <v>2187</v>
      </c>
      <c r="C998">
        <v>2011</v>
      </c>
      <c r="D998">
        <v>2010</v>
      </c>
      <c r="E998" t="s">
        <v>24</v>
      </c>
      <c r="F998">
        <v>97</v>
      </c>
      <c r="G998" t="s">
        <v>3997</v>
      </c>
      <c r="H998" t="s">
        <v>2189</v>
      </c>
      <c r="I998" t="s">
        <v>196</v>
      </c>
      <c r="J998" t="s">
        <v>2190</v>
      </c>
      <c r="K998">
        <v>56962</v>
      </c>
      <c r="M998">
        <v>0</v>
      </c>
      <c r="N998" t="s">
        <v>4001</v>
      </c>
      <c r="O998" t="s">
        <v>3992</v>
      </c>
      <c r="P998" t="str">
        <f>TRIM(Table13_1[[#This Row],[Genre]])</f>
        <v>Biography</v>
      </c>
    </row>
    <row r="999" spans="1:16" x14ac:dyDescent="0.3">
      <c r="A999" t="s">
        <v>2191</v>
      </c>
      <c r="B999" t="s">
        <v>2192</v>
      </c>
      <c r="C999">
        <v>2007</v>
      </c>
      <c r="D999">
        <v>2000</v>
      </c>
      <c r="E999" t="s">
        <v>285</v>
      </c>
      <c r="F999">
        <v>134</v>
      </c>
      <c r="G999" t="s">
        <v>3999</v>
      </c>
      <c r="H999" t="s">
        <v>2193</v>
      </c>
      <c r="I999" t="s">
        <v>159</v>
      </c>
      <c r="J999" t="s">
        <v>2194</v>
      </c>
      <c r="K999">
        <v>5415</v>
      </c>
      <c r="M999">
        <v>0</v>
      </c>
      <c r="N999" t="s">
        <v>4001</v>
      </c>
      <c r="O999" t="s">
        <v>72</v>
      </c>
      <c r="P999" t="str">
        <f>TRIM(Table13_1[[#This Row],[Genre]])</f>
        <v>War</v>
      </c>
    </row>
    <row r="1000" spans="1:16" x14ac:dyDescent="0.3">
      <c r="A1000" t="s">
        <v>2191</v>
      </c>
      <c r="B1000" t="s">
        <v>2192</v>
      </c>
      <c r="C1000">
        <v>2007</v>
      </c>
      <c r="D1000">
        <v>2000</v>
      </c>
      <c r="E1000" t="s">
        <v>285</v>
      </c>
      <c r="F1000">
        <v>134</v>
      </c>
      <c r="G1000" t="s">
        <v>3999</v>
      </c>
      <c r="H1000" t="s">
        <v>2193</v>
      </c>
      <c r="I1000" t="s">
        <v>159</v>
      </c>
      <c r="J1000" t="s">
        <v>2194</v>
      </c>
      <c r="K1000">
        <v>5415</v>
      </c>
      <c r="M1000">
        <v>0</v>
      </c>
      <c r="N1000" t="s">
        <v>4001</v>
      </c>
      <c r="O1000" t="s">
        <v>3977</v>
      </c>
      <c r="P1000" t="str">
        <f>TRIM(Table13_1[[#This Row],[Genre]])</f>
        <v>Animation</v>
      </c>
    </row>
    <row r="1001" spans="1:16" x14ac:dyDescent="0.3">
      <c r="A1001" t="s">
        <v>2195</v>
      </c>
      <c r="B1001" t="s">
        <v>2196</v>
      </c>
      <c r="C1001">
        <v>1995</v>
      </c>
      <c r="D1001">
        <v>1990</v>
      </c>
      <c r="E1001" t="s">
        <v>54</v>
      </c>
      <c r="F1001">
        <v>104</v>
      </c>
      <c r="G1001" t="s">
        <v>3997</v>
      </c>
      <c r="H1001" t="s">
        <v>278</v>
      </c>
      <c r="I1001" t="s">
        <v>86</v>
      </c>
      <c r="J1001" t="s">
        <v>2197</v>
      </c>
      <c r="K1001">
        <v>99970</v>
      </c>
      <c r="L1001">
        <v>5.81</v>
      </c>
      <c r="M1001">
        <v>5.81</v>
      </c>
      <c r="N1001" t="s">
        <v>4001</v>
      </c>
      <c r="O1001" t="s">
        <v>277</v>
      </c>
      <c r="P1001" t="str">
        <f>TRIM(Table13_1[[#This Row],[Genre]])</f>
        <v>Thriller</v>
      </c>
    </row>
    <row r="1002" spans="1:16" x14ac:dyDescent="0.3">
      <c r="A1002" t="s">
        <v>2195</v>
      </c>
      <c r="B1002" t="s">
        <v>2196</v>
      </c>
      <c r="C1002">
        <v>1995</v>
      </c>
      <c r="D1002">
        <v>1990</v>
      </c>
      <c r="E1002" t="s">
        <v>54</v>
      </c>
      <c r="F1002">
        <v>104</v>
      </c>
      <c r="G1002" t="s">
        <v>3997</v>
      </c>
      <c r="H1002" t="s">
        <v>278</v>
      </c>
      <c r="I1002" t="s">
        <v>86</v>
      </c>
      <c r="J1002" t="s">
        <v>2197</v>
      </c>
      <c r="K1002">
        <v>99970</v>
      </c>
      <c r="L1002">
        <v>5.81</v>
      </c>
      <c r="M1002">
        <v>5.81</v>
      </c>
      <c r="N1002" t="s">
        <v>4001</v>
      </c>
      <c r="O1002" t="s">
        <v>3976</v>
      </c>
      <c r="P1002" t="str">
        <f>TRIM(Table13_1[[#This Row],[Genre]])</f>
        <v>Musical</v>
      </c>
    </row>
    <row r="1003" spans="1:16" x14ac:dyDescent="0.3">
      <c r="A1003" t="s">
        <v>2198</v>
      </c>
      <c r="B1003" t="s">
        <v>2199</v>
      </c>
      <c r="C1003">
        <v>2022</v>
      </c>
      <c r="D1003">
        <v>2020</v>
      </c>
      <c r="E1003" t="s">
        <v>169</v>
      </c>
      <c r="F1003">
        <v>129</v>
      </c>
      <c r="G1003" t="s">
        <v>3999</v>
      </c>
      <c r="H1003" t="s">
        <v>2200</v>
      </c>
      <c r="I1003" t="s">
        <v>50</v>
      </c>
      <c r="J1003" t="s">
        <v>2201</v>
      </c>
      <c r="K1003">
        <v>103511</v>
      </c>
      <c r="L1003">
        <v>213.69</v>
      </c>
      <c r="M1003">
        <v>213.69</v>
      </c>
      <c r="N1003" t="s">
        <v>3998</v>
      </c>
      <c r="O1003" t="s">
        <v>375</v>
      </c>
      <c r="P1003" t="str">
        <f>TRIM(Table13_1[[#This Row],[Genre]])</f>
        <v>Family</v>
      </c>
    </row>
    <row r="1004" spans="1:16" x14ac:dyDescent="0.3">
      <c r="A1004" t="s">
        <v>2198</v>
      </c>
      <c r="B1004" t="s">
        <v>2199</v>
      </c>
      <c r="C1004">
        <v>2022</v>
      </c>
      <c r="D1004">
        <v>2020</v>
      </c>
      <c r="E1004" t="s">
        <v>169</v>
      </c>
      <c r="F1004">
        <v>129</v>
      </c>
      <c r="G1004" t="s">
        <v>3999</v>
      </c>
      <c r="H1004" t="s">
        <v>2200</v>
      </c>
      <c r="I1004" t="s">
        <v>50</v>
      </c>
      <c r="J1004" t="s">
        <v>2201</v>
      </c>
      <c r="K1004">
        <v>103511</v>
      </c>
      <c r="L1004">
        <v>213.69</v>
      </c>
      <c r="M1004">
        <v>213.69</v>
      </c>
      <c r="N1004" t="s">
        <v>3998</v>
      </c>
      <c r="O1004" t="s">
        <v>3981</v>
      </c>
      <c r="P1004" t="str">
        <f>TRIM(Table13_1[[#This Row],[Genre]])</f>
        <v>Romance</v>
      </c>
    </row>
    <row r="1005" spans="1:16" x14ac:dyDescent="0.3">
      <c r="A1005" t="s">
        <v>2202</v>
      </c>
      <c r="B1005" t="s">
        <v>2203</v>
      </c>
      <c r="C1005">
        <v>2017</v>
      </c>
      <c r="D1005">
        <v>2010</v>
      </c>
      <c r="E1005" t="s">
        <v>17</v>
      </c>
      <c r="F1005">
        <v>90</v>
      </c>
      <c r="G1005" t="s">
        <v>3997</v>
      </c>
      <c r="H1005" t="s">
        <v>201</v>
      </c>
      <c r="I1005" t="s">
        <v>524</v>
      </c>
      <c r="J1005" t="s">
        <v>2204</v>
      </c>
      <c r="K1005">
        <v>64623</v>
      </c>
      <c r="L1005">
        <v>303.16000000000003</v>
      </c>
      <c r="M1005">
        <v>303.16000000000003</v>
      </c>
      <c r="N1005" t="s">
        <v>3998</v>
      </c>
      <c r="O1005" t="s">
        <v>235</v>
      </c>
      <c r="P1005" t="str">
        <f>TRIM(Table13_1[[#This Row],[Genre]])</f>
        <v>Drama</v>
      </c>
    </row>
    <row r="1006" spans="1:16" x14ac:dyDescent="0.3">
      <c r="A1006" t="s">
        <v>2205</v>
      </c>
      <c r="B1006" t="s">
        <v>2206</v>
      </c>
      <c r="C1006">
        <v>2019</v>
      </c>
      <c r="D1006">
        <v>2010</v>
      </c>
      <c r="E1006" t="s">
        <v>54</v>
      </c>
      <c r="F1006">
        <v>100</v>
      </c>
      <c r="G1006" t="s">
        <v>3997</v>
      </c>
      <c r="H1006" t="s">
        <v>2207</v>
      </c>
      <c r="I1006" t="s">
        <v>80</v>
      </c>
      <c r="J1006" t="s">
        <v>2208</v>
      </c>
      <c r="K1006">
        <v>684892</v>
      </c>
      <c r="M1006">
        <v>0</v>
      </c>
      <c r="N1006" t="s">
        <v>4001</v>
      </c>
      <c r="O1006" t="s">
        <v>157</v>
      </c>
      <c r="P1006" t="str">
        <f>TRIM(Table13_1[[#This Row],[Genre]])</f>
        <v>Animation</v>
      </c>
    </row>
    <row r="1007" spans="1:16" x14ac:dyDescent="0.3">
      <c r="A1007" t="s">
        <v>2205</v>
      </c>
      <c r="B1007" t="s">
        <v>2206</v>
      </c>
      <c r="C1007">
        <v>2019</v>
      </c>
      <c r="D1007">
        <v>2010</v>
      </c>
      <c r="E1007" t="s">
        <v>54</v>
      </c>
      <c r="F1007">
        <v>100</v>
      </c>
      <c r="G1007" t="s">
        <v>3997</v>
      </c>
      <c r="H1007" t="s">
        <v>2207</v>
      </c>
      <c r="I1007" t="s">
        <v>80</v>
      </c>
      <c r="J1007" t="s">
        <v>2208</v>
      </c>
      <c r="K1007">
        <v>684892</v>
      </c>
      <c r="M1007">
        <v>0</v>
      </c>
      <c r="N1007" t="s">
        <v>4001</v>
      </c>
      <c r="O1007" t="s">
        <v>3987</v>
      </c>
      <c r="P1007" t="str">
        <f>TRIM(Table13_1[[#This Row],[Genre]])</f>
        <v>Fantasy</v>
      </c>
    </row>
    <row r="1008" spans="1:16" x14ac:dyDescent="0.3">
      <c r="A1008" t="s">
        <v>2209</v>
      </c>
      <c r="B1008" t="s">
        <v>2210</v>
      </c>
      <c r="C1008">
        <v>2009</v>
      </c>
      <c r="D1008">
        <v>2000</v>
      </c>
      <c r="E1008" t="s">
        <v>17</v>
      </c>
      <c r="F1008">
        <v>91</v>
      </c>
      <c r="G1008" t="s">
        <v>3997</v>
      </c>
      <c r="H1008" t="s">
        <v>2212</v>
      </c>
      <c r="I1008" t="s">
        <v>196</v>
      </c>
      <c r="J1008" t="s">
        <v>2213</v>
      </c>
      <c r="K1008">
        <v>21556</v>
      </c>
      <c r="L1008">
        <v>370.73</v>
      </c>
      <c r="M1008">
        <v>370.73</v>
      </c>
      <c r="N1008" t="s">
        <v>3998</v>
      </c>
      <c r="O1008" t="s">
        <v>868</v>
      </c>
      <c r="P1008" t="str">
        <f>TRIM(Table13_1[[#This Row],[Genre]])</f>
        <v>Western</v>
      </c>
    </row>
    <row r="1009" spans="1:16" x14ac:dyDescent="0.3">
      <c r="A1009" t="s">
        <v>2209</v>
      </c>
      <c r="B1009" t="s">
        <v>2210</v>
      </c>
      <c r="C1009">
        <v>2009</v>
      </c>
      <c r="D1009">
        <v>2000</v>
      </c>
      <c r="E1009" t="s">
        <v>17</v>
      </c>
      <c r="F1009">
        <v>91</v>
      </c>
      <c r="G1009" t="s">
        <v>3997</v>
      </c>
      <c r="H1009" t="s">
        <v>2212</v>
      </c>
      <c r="I1009" t="s">
        <v>196</v>
      </c>
      <c r="J1009" t="s">
        <v>2213</v>
      </c>
      <c r="K1009">
        <v>21556</v>
      </c>
      <c r="L1009">
        <v>370.73</v>
      </c>
      <c r="M1009">
        <v>370.73</v>
      </c>
      <c r="N1009" t="s">
        <v>3998</v>
      </c>
      <c r="O1009" t="s">
        <v>3987</v>
      </c>
      <c r="P1009" t="str">
        <f>TRIM(Table13_1[[#This Row],[Genre]])</f>
        <v>Fantasy</v>
      </c>
    </row>
    <row r="1010" spans="1:16" x14ac:dyDescent="0.3">
      <c r="A1010" t="s">
        <v>2214</v>
      </c>
      <c r="B1010" t="s">
        <v>2215</v>
      </c>
      <c r="C1010">
        <v>2010</v>
      </c>
      <c r="D1010">
        <v>2010</v>
      </c>
      <c r="E1010" t="s">
        <v>54</v>
      </c>
      <c r="F1010">
        <v>113</v>
      </c>
      <c r="G1010" t="s">
        <v>3997</v>
      </c>
      <c r="H1010" t="s">
        <v>2216</v>
      </c>
      <c r="I1010" t="s">
        <v>191</v>
      </c>
      <c r="J1010" t="s">
        <v>2217</v>
      </c>
      <c r="K1010">
        <v>17107</v>
      </c>
      <c r="L1010">
        <v>486</v>
      </c>
      <c r="M1010">
        <v>486</v>
      </c>
      <c r="N1010" t="s">
        <v>3998</v>
      </c>
      <c r="O1010" t="s">
        <v>235</v>
      </c>
      <c r="P1010" t="str">
        <f>TRIM(Table13_1[[#This Row],[Genre]])</f>
        <v>Drama</v>
      </c>
    </row>
    <row r="1011" spans="1:16" x14ac:dyDescent="0.3">
      <c r="A1011" t="s">
        <v>2218</v>
      </c>
      <c r="B1011" t="s">
        <v>2219</v>
      </c>
      <c r="C1011">
        <v>2008</v>
      </c>
      <c r="D1011">
        <v>2000</v>
      </c>
      <c r="E1011" t="s">
        <v>17</v>
      </c>
      <c r="F1011">
        <v>128</v>
      </c>
      <c r="G1011" t="s">
        <v>3999</v>
      </c>
      <c r="H1011" t="s">
        <v>130</v>
      </c>
      <c r="I1011" t="s">
        <v>153</v>
      </c>
      <c r="J1011" t="s">
        <v>2221</v>
      </c>
      <c r="K1011">
        <v>15435</v>
      </c>
      <c r="L1011">
        <v>346.66</v>
      </c>
      <c r="M1011">
        <v>346.66</v>
      </c>
      <c r="N1011" t="s">
        <v>3998</v>
      </c>
      <c r="O1011" t="s">
        <v>129</v>
      </c>
      <c r="P1011" t="str">
        <f>TRIM(Table13_1[[#This Row],[Genre]])</f>
        <v>Horror</v>
      </c>
    </row>
    <row r="1012" spans="1:16" x14ac:dyDescent="0.3">
      <c r="A1012" t="s">
        <v>2218</v>
      </c>
      <c r="B1012" t="s">
        <v>2219</v>
      </c>
      <c r="C1012">
        <v>2008</v>
      </c>
      <c r="D1012">
        <v>2000</v>
      </c>
      <c r="E1012" t="s">
        <v>17</v>
      </c>
      <c r="F1012">
        <v>128</v>
      </c>
      <c r="G1012" t="s">
        <v>3999</v>
      </c>
      <c r="H1012" t="s">
        <v>130</v>
      </c>
      <c r="I1012" t="s">
        <v>153</v>
      </c>
      <c r="J1012" t="s">
        <v>2221</v>
      </c>
      <c r="K1012">
        <v>15435</v>
      </c>
      <c r="L1012">
        <v>346.66</v>
      </c>
      <c r="M1012">
        <v>346.66</v>
      </c>
      <c r="N1012" t="s">
        <v>3998</v>
      </c>
      <c r="O1012" t="s">
        <v>3977</v>
      </c>
      <c r="P1012" t="str">
        <f>TRIM(Table13_1[[#This Row],[Genre]])</f>
        <v>Animation</v>
      </c>
    </row>
    <row r="1013" spans="1:16" x14ac:dyDescent="0.3">
      <c r="A1013" t="s">
        <v>2218</v>
      </c>
      <c r="B1013" t="s">
        <v>2219</v>
      </c>
      <c r="C1013">
        <v>2008</v>
      </c>
      <c r="D1013">
        <v>2000</v>
      </c>
      <c r="E1013" t="s">
        <v>17</v>
      </c>
      <c r="F1013">
        <v>128</v>
      </c>
      <c r="G1013" t="s">
        <v>3999</v>
      </c>
      <c r="H1013" t="s">
        <v>130</v>
      </c>
      <c r="I1013" t="s">
        <v>153</v>
      </c>
      <c r="J1013" t="s">
        <v>2221</v>
      </c>
      <c r="K1013">
        <v>15435</v>
      </c>
      <c r="L1013">
        <v>346.66</v>
      </c>
      <c r="M1013">
        <v>346.66</v>
      </c>
      <c r="N1013" t="s">
        <v>3998</v>
      </c>
      <c r="O1013" t="s">
        <v>3991</v>
      </c>
      <c r="P1013" t="str">
        <f>TRIM(Table13_1[[#This Row],[Genre]])</f>
        <v>Thriller</v>
      </c>
    </row>
    <row r="1014" spans="1:16" x14ac:dyDescent="0.3">
      <c r="A1014" t="s">
        <v>2222</v>
      </c>
      <c r="B1014" t="s">
        <v>2223</v>
      </c>
      <c r="C1014">
        <v>2019</v>
      </c>
      <c r="D1014">
        <v>2010</v>
      </c>
      <c r="E1014" t="s">
        <v>17</v>
      </c>
      <c r="F1014">
        <v>113</v>
      </c>
      <c r="G1014" t="s">
        <v>3997</v>
      </c>
      <c r="H1014" t="s">
        <v>300</v>
      </c>
      <c r="I1014" t="s">
        <v>236</v>
      </c>
      <c r="J1014" t="s">
        <v>2225</v>
      </c>
      <c r="K1014">
        <v>37995</v>
      </c>
      <c r="L1014">
        <v>208.23</v>
      </c>
      <c r="M1014">
        <v>208.23</v>
      </c>
      <c r="N1014" t="s">
        <v>3998</v>
      </c>
      <c r="O1014" t="s">
        <v>767</v>
      </c>
      <c r="P1014" t="str">
        <f>TRIM(Table13_1[[#This Row],[Genre]])</f>
        <v>Fantasy</v>
      </c>
    </row>
    <row r="1015" spans="1:16" x14ac:dyDescent="0.3">
      <c r="A1015" t="s">
        <v>2222</v>
      </c>
      <c r="B1015" t="s">
        <v>2223</v>
      </c>
      <c r="C1015">
        <v>2019</v>
      </c>
      <c r="D1015">
        <v>2010</v>
      </c>
      <c r="E1015" t="s">
        <v>17</v>
      </c>
      <c r="F1015">
        <v>113</v>
      </c>
      <c r="G1015" t="s">
        <v>3997</v>
      </c>
      <c r="H1015" t="s">
        <v>300</v>
      </c>
      <c r="I1015" t="s">
        <v>236</v>
      </c>
      <c r="J1015" t="s">
        <v>2225</v>
      </c>
      <c r="K1015">
        <v>37995</v>
      </c>
      <c r="L1015">
        <v>208.23</v>
      </c>
      <c r="M1015">
        <v>208.23</v>
      </c>
      <c r="N1015" t="s">
        <v>3998</v>
      </c>
      <c r="O1015" t="s">
        <v>3985</v>
      </c>
      <c r="P1015" t="str">
        <f>TRIM(Table13_1[[#This Row],[Genre]])</f>
        <v>Horror</v>
      </c>
    </row>
    <row r="1016" spans="1:16" x14ac:dyDescent="0.3">
      <c r="A1016" t="s">
        <v>2226</v>
      </c>
      <c r="B1016" t="s">
        <v>2227</v>
      </c>
      <c r="C1016">
        <v>2013</v>
      </c>
      <c r="D1016">
        <v>2010</v>
      </c>
      <c r="E1016" t="s">
        <v>54</v>
      </c>
      <c r="F1016">
        <v>120</v>
      </c>
      <c r="G1016" t="s">
        <v>3997</v>
      </c>
      <c r="H1016" t="s">
        <v>2228</v>
      </c>
      <c r="I1016" t="s">
        <v>251</v>
      </c>
      <c r="J1016" t="s">
        <v>2229</v>
      </c>
      <c r="K1016">
        <v>36612</v>
      </c>
      <c r="L1016">
        <v>198.19</v>
      </c>
      <c r="M1016">
        <v>198.19</v>
      </c>
      <c r="N1016" t="s">
        <v>4002</v>
      </c>
      <c r="O1016" t="s">
        <v>606</v>
      </c>
      <c r="P1016" t="str">
        <f>TRIM(Table13_1[[#This Row],[Genre]])</f>
        <v>Sci-Fi</v>
      </c>
    </row>
    <row r="1017" spans="1:16" x14ac:dyDescent="0.3">
      <c r="A1017" t="s">
        <v>2230</v>
      </c>
      <c r="B1017" t="s">
        <v>2231</v>
      </c>
      <c r="C1017">
        <v>2004</v>
      </c>
      <c r="D1017">
        <v>2000</v>
      </c>
      <c r="E1017" t="s">
        <v>24</v>
      </c>
      <c r="F1017">
        <v>126</v>
      </c>
      <c r="G1017" t="s">
        <v>3999</v>
      </c>
      <c r="H1017" t="s">
        <v>124</v>
      </c>
      <c r="I1017" t="s">
        <v>80</v>
      </c>
      <c r="J1017" t="s">
        <v>2233</v>
      </c>
      <c r="K1017">
        <v>62893</v>
      </c>
      <c r="M1017">
        <v>0</v>
      </c>
      <c r="N1017" t="s">
        <v>4001</v>
      </c>
      <c r="O1017" t="s">
        <v>230</v>
      </c>
      <c r="P1017" t="str">
        <f>TRIM(Table13_1[[#This Row],[Genre]])</f>
        <v>Documentary</v>
      </c>
    </row>
    <row r="1018" spans="1:16" x14ac:dyDescent="0.3">
      <c r="A1018" t="s">
        <v>2230</v>
      </c>
      <c r="B1018" t="s">
        <v>2231</v>
      </c>
      <c r="C1018">
        <v>2004</v>
      </c>
      <c r="D1018">
        <v>2000</v>
      </c>
      <c r="E1018" t="s">
        <v>24</v>
      </c>
      <c r="F1018">
        <v>126</v>
      </c>
      <c r="G1018" t="s">
        <v>3999</v>
      </c>
      <c r="H1018" t="s">
        <v>124</v>
      </c>
      <c r="I1018" t="s">
        <v>80</v>
      </c>
      <c r="J1018" t="s">
        <v>2233</v>
      </c>
      <c r="K1018">
        <v>62893</v>
      </c>
      <c r="M1018">
        <v>0</v>
      </c>
      <c r="N1018" t="s">
        <v>4001</v>
      </c>
      <c r="O1018" t="s">
        <v>3980</v>
      </c>
      <c r="P1018" t="str">
        <f>TRIM(Table13_1[[#This Row],[Genre]])</f>
        <v>Action</v>
      </c>
    </row>
    <row r="1019" spans="1:16" x14ac:dyDescent="0.3">
      <c r="A1019" t="s">
        <v>2234</v>
      </c>
      <c r="B1019" t="s">
        <v>2235</v>
      </c>
      <c r="C1019">
        <v>2003</v>
      </c>
      <c r="D1019">
        <v>2000</v>
      </c>
      <c r="E1019" t="s">
        <v>54</v>
      </c>
      <c r="F1019">
        <v>130</v>
      </c>
      <c r="G1019" t="s">
        <v>3999</v>
      </c>
      <c r="H1019" t="s">
        <v>500</v>
      </c>
      <c r="I1019" t="s">
        <v>326</v>
      </c>
      <c r="J1019" t="s">
        <v>2237</v>
      </c>
      <c r="K1019">
        <v>63633</v>
      </c>
      <c r="M1019">
        <v>0</v>
      </c>
      <c r="N1019" t="s">
        <v>4001</v>
      </c>
      <c r="O1019" t="s">
        <v>129</v>
      </c>
      <c r="P1019" t="str">
        <f>TRIM(Table13_1[[#This Row],[Genre]])</f>
        <v>Horror</v>
      </c>
    </row>
    <row r="1020" spans="1:16" x14ac:dyDescent="0.3">
      <c r="A1020" t="s">
        <v>2234</v>
      </c>
      <c r="B1020" t="s">
        <v>2235</v>
      </c>
      <c r="C1020">
        <v>2003</v>
      </c>
      <c r="D1020">
        <v>2000</v>
      </c>
      <c r="E1020" t="s">
        <v>54</v>
      </c>
      <c r="F1020">
        <v>130</v>
      </c>
      <c r="G1020" t="s">
        <v>3999</v>
      </c>
      <c r="H1020" t="s">
        <v>500</v>
      </c>
      <c r="I1020" t="s">
        <v>326</v>
      </c>
      <c r="J1020" t="s">
        <v>2237</v>
      </c>
      <c r="K1020">
        <v>63633</v>
      </c>
      <c r="M1020">
        <v>0</v>
      </c>
      <c r="N1020" t="s">
        <v>4001</v>
      </c>
      <c r="O1020" t="s">
        <v>3979</v>
      </c>
      <c r="P1020" t="str">
        <f>TRIM(Table13_1[[#This Row],[Genre]])</f>
        <v>War</v>
      </c>
    </row>
    <row r="1021" spans="1:16" x14ac:dyDescent="0.3">
      <c r="A1021" t="s">
        <v>2238</v>
      </c>
      <c r="B1021" t="s">
        <v>2239</v>
      </c>
      <c r="C1021">
        <v>2023</v>
      </c>
      <c r="D1021">
        <v>2020</v>
      </c>
      <c r="E1021" t="s">
        <v>54</v>
      </c>
      <c r="F1021">
        <v>105</v>
      </c>
      <c r="G1021" t="s">
        <v>3997</v>
      </c>
      <c r="H1021" t="s">
        <v>136</v>
      </c>
      <c r="I1021" t="s">
        <v>547</v>
      </c>
      <c r="J1021" t="s">
        <v>2240</v>
      </c>
      <c r="K1021">
        <v>883668</v>
      </c>
      <c r="L1021">
        <v>185.71</v>
      </c>
      <c r="M1021">
        <v>185.71</v>
      </c>
      <c r="N1021" t="s">
        <v>4002</v>
      </c>
      <c r="O1021" t="s">
        <v>43</v>
      </c>
      <c r="P1021" t="str">
        <f>TRIM(Table13_1[[#This Row],[Genre]])</f>
        <v>Mystery</v>
      </c>
    </row>
    <row r="1022" spans="1:16" x14ac:dyDescent="0.3">
      <c r="A1022" t="s">
        <v>2241</v>
      </c>
      <c r="B1022" t="s">
        <v>2242</v>
      </c>
      <c r="C1022">
        <v>2005</v>
      </c>
      <c r="D1022">
        <v>2000</v>
      </c>
      <c r="E1022" t="s">
        <v>54</v>
      </c>
      <c r="F1022">
        <v>153</v>
      </c>
      <c r="G1022" t="s">
        <v>3999</v>
      </c>
      <c r="H1022" t="s">
        <v>435</v>
      </c>
      <c r="I1022" t="s">
        <v>221</v>
      </c>
      <c r="J1022" t="s">
        <v>2244</v>
      </c>
      <c r="K1022">
        <v>84630</v>
      </c>
      <c r="L1022">
        <v>87</v>
      </c>
      <c r="M1022">
        <v>87</v>
      </c>
      <c r="N1022" t="s">
        <v>4001</v>
      </c>
      <c r="O1022" t="s">
        <v>453</v>
      </c>
      <c r="P1022" t="str">
        <f>TRIM(Table13_1[[#This Row],[Genre]])</f>
        <v>Musical</v>
      </c>
    </row>
    <row r="1023" spans="1:16" x14ac:dyDescent="0.3">
      <c r="A1023" t="s">
        <v>2241</v>
      </c>
      <c r="B1023" t="s">
        <v>2242</v>
      </c>
      <c r="C1023">
        <v>2005</v>
      </c>
      <c r="D1023">
        <v>2000</v>
      </c>
      <c r="E1023" t="s">
        <v>54</v>
      </c>
      <c r="F1023">
        <v>153</v>
      </c>
      <c r="G1023" t="s">
        <v>3999</v>
      </c>
      <c r="H1023" t="s">
        <v>435</v>
      </c>
      <c r="I1023" t="s">
        <v>221</v>
      </c>
      <c r="J1023" t="s">
        <v>2244</v>
      </c>
      <c r="K1023">
        <v>84630</v>
      </c>
      <c r="L1023">
        <v>87</v>
      </c>
      <c r="M1023">
        <v>87</v>
      </c>
      <c r="N1023" t="s">
        <v>4001</v>
      </c>
      <c r="O1023" t="s">
        <v>3979</v>
      </c>
      <c r="P1023" t="str">
        <f>TRIM(Table13_1[[#This Row],[Genre]])</f>
        <v>War</v>
      </c>
    </row>
    <row r="1024" spans="1:16" x14ac:dyDescent="0.3">
      <c r="A1024" t="s">
        <v>2241</v>
      </c>
      <c r="B1024" t="s">
        <v>2242</v>
      </c>
      <c r="C1024">
        <v>2005</v>
      </c>
      <c r="D1024">
        <v>2000</v>
      </c>
      <c r="E1024" t="s">
        <v>54</v>
      </c>
      <c r="F1024">
        <v>153</v>
      </c>
      <c r="G1024" t="s">
        <v>3999</v>
      </c>
      <c r="H1024" t="s">
        <v>435</v>
      </c>
      <c r="I1024" t="s">
        <v>221</v>
      </c>
      <c r="J1024" t="s">
        <v>2244</v>
      </c>
      <c r="K1024">
        <v>84630</v>
      </c>
      <c r="L1024">
        <v>87</v>
      </c>
      <c r="M1024">
        <v>87</v>
      </c>
      <c r="N1024" t="s">
        <v>4001</v>
      </c>
      <c r="O1024" t="s">
        <v>3985</v>
      </c>
      <c r="P1024" t="str">
        <f>TRIM(Table13_1[[#This Row],[Genre]])</f>
        <v>Horror</v>
      </c>
    </row>
    <row r="1025" spans="1:16" x14ac:dyDescent="0.3">
      <c r="A1025" t="s">
        <v>2245</v>
      </c>
      <c r="B1025" t="s">
        <v>2246</v>
      </c>
      <c r="C1025">
        <v>1991</v>
      </c>
      <c r="D1025">
        <v>1990</v>
      </c>
      <c r="E1025" t="s">
        <v>54</v>
      </c>
      <c r="F1025">
        <v>104</v>
      </c>
      <c r="G1025" t="s">
        <v>3997</v>
      </c>
      <c r="H1025" t="s">
        <v>852</v>
      </c>
      <c r="I1025" t="s">
        <v>131</v>
      </c>
      <c r="J1025" t="s">
        <v>2248</v>
      </c>
      <c r="K1025">
        <v>126373</v>
      </c>
      <c r="L1025">
        <v>35.299999999999997</v>
      </c>
      <c r="M1025">
        <v>35.299999999999997</v>
      </c>
      <c r="N1025" t="s">
        <v>4001</v>
      </c>
      <c r="O1025" t="s">
        <v>55</v>
      </c>
      <c r="P1025" t="str">
        <f>TRIM(Table13_1[[#This Row],[Genre]])</f>
        <v>Romance</v>
      </c>
    </row>
    <row r="1026" spans="1:16" x14ac:dyDescent="0.3">
      <c r="A1026" t="s">
        <v>2245</v>
      </c>
      <c r="B1026" t="s">
        <v>2246</v>
      </c>
      <c r="C1026">
        <v>1991</v>
      </c>
      <c r="D1026">
        <v>1990</v>
      </c>
      <c r="E1026" t="s">
        <v>54</v>
      </c>
      <c r="F1026">
        <v>104</v>
      </c>
      <c r="G1026" t="s">
        <v>3997</v>
      </c>
      <c r="H1026" t="s">
        <v>852</v>
      </c>
      <c r="I1026" t="s">
        <v>131</v>
      </c>
      <c r="J1026" t="s">
        <v>2248</v>
      </c>
      <c r="K1026">
        <v>126373</v>
      </c>
      <c r="L1026">
        <v>35.299999999999997</v>
      </c>
      <c r="M1026">
        <v>35.299999999999997</v>
      </c>
      <c r="N1026" t="s">
        <v>4001</v>
      </c>
      <c r="O1026" t="s">
        <v>3984</v>
      </c>
      <c r="P1026" t="str">
        <f>TRIM(Table13_1[[#This Row],[Genre]])</f>
        <v>Adventure</v>
      </c>
    </row>
    <row r="1027" spans="1:16" x14ac:dyDescent="0.3">
      <c r="A1027" t="s">
        <v>2249</v>
      </c>
      <c r="B1027" t="s">
        <v>2250</v>
      </c>
      <c r="C1027">
        <v>2005</v>
      </c>
      <c r="D1027">
        <v>2000</v>
      </c>
      <c r="E1027" t="s">
        <v>54</v>
      </c>
      <c r="F1027">
        <v>120</v>
      </c>
      <c r="G1027" t="s">
        <v>3997</v>
      </c>
      <c r="H1027" t="s">
        <v>673</v>
      </c>
      <c r="I1027" t="s">
        <v>86</v>
      </c>
      <c r="J1027" t="s">
        <v>2251</v>
      </c>
      <c r="K1027">
        <v>244611</v>
      </c>
      <c r="L1027">
        <v>331.6</v>
      </c>
      <c r="M1027">
        <v>331.6</v>
      </c>
      <c r="N1027" t="s">
        <v>3998</v>
      </c>
      <c r="O1027" t="s">
        <v>235</v>
      </c>
      <c r="P1027" t="str">
        <f>TRIM(Table13_1[[#This Row],[Genre]])</f>
        <v>Drama</v>
      </c>
    </row>
    <row r="1028" spans="1:16" x14ac:dyDescent="0.3">
      <c r="A1028" t="s">
        <v>2252</v>
      </c>
      <c r="B1028" t="s">
        <v>2253</v>
      </c>
      <c r="C1028">
        <v>2024</v>
      </c>
      <c r="D1028">
        <v>2020</v>
      </c>
      <c r="E1028" t="s">
        <v>54</v>
      </c>
      <c r="F1028">
        <v>91</v>
      </c>
      <c r="G1028" t="s">
        <v>3997</v>
      </c>
      <c r="H1028" t="s">
        <v>2255</v>
      </c>
      <c r="I1028" t="s">
        <v>119</v>
      </c>
      <c r="J1028" t="s">
        <v>2256</v>
      </c>
      <c r="K1028">
        <v>771551</v>
      </c>
      <c r="L1028">
        <v>464.35</v>
      </c>
      <c r="M1028">
        <v>464.35</v>
      </c>
      <c r="N1028" t="s">
        <v>3998</v>
      </c>
      <c r="O1028" t="s">
        <v>277</v>
      </c>
      <c r="P1028" t="str">
        <f>TRIM(Table13_1[[#This Row],[Genre]])</f>
        <v>Thriller</v>
      </c>
    </row>
    <row r="1029" spans="1:16" x14ac:dyDescent="0.3">
      <c r="A1029" t="s">
        <v>2252</v>
      </c>
      <c r="B1029" t="s">
        <v>2253</v>
      </c>
      <c r="C1029">
        <v>2024</v>
      </c>
      <c r="D1029">
        <v>2020</v>
      </c>
      <c r="E1029" t="s">
        <v>54</v>
      </c>
      <c r="F1029">
        <v>91</v>
      </c>
      <c r="G1029" t="s">
        <v>3997</v>
      </c>
      <c r="H1029" t="s">
        <v>2255</v>
      </c>
      <c r="I1029" t="s">
        <v>119</v>
      </c>
      <c r="J1029" t="s">
        <v>2256</v>
      </c>
      <c r="K1029">
        <v>771551</v>
      </c>
      <c r="L1029">
        <v>464.35</v>
      </c>
      <c r="M1029">
        <v>464.35</v>
      </c>
      <c r="N1029" t="s">
        <v>3998</v>
      </c>
      <c r="O1029" t="s">
        <v>3989</v>
      </c>
      <c r="P1029" t="str">
        <f>TRIM(Table13_1[[#This Row],[Genre]])</f>
        <v>Sci-Fi</v>
      </c>
    </row>
    <row r="1030" spans="1:16" x14ac:dyDescent="0.3">
      <c r="A1030" t="s">
        <v>2252</v>
      </c>
      <c r="B1030" t="s">
        <v>2253</v>
      </c>
      <c r="C1030">
        <v>2024</v>
      </c>
      <c r="D1030">
        <v>2020</v>
      </c>
      <c r="E1030" t="s">
        <v>54</v>
      </c>
      <c r="F1030">
        <v>91</v>
      </c>
      <c r="G1030" t="s">
        <v>3997</v>
      </c>
      <c r="H1030" t="s">
        <v>2255</v>
      </c>
      <c r="I1030" t="s">
        <v>119</v>
      </c>
      <c r="J1030" t="s">
        <v>2256</v>
      </c>
      <c r="K1030">
        <v>771551</v>
      </c>
      <c r="L1030">
        <v>464.35</v>
      </c>
      <c r="M1030">
        <v>464.35</v>
      </c>
      <c r="N1030" t="s">
        <v>3998</v>
      </c>
      <c r="O1030" t="s">
        <v>3980</v>
      </c>
      <c r="P1030" t="str">
        <f>TRIM(Table13_1[[#This Row],[Genre]])</f>
        <v>Action</v>
      </c>
    </row>
    <row r="1031" spans="1:16" x14ac:dyDescent="0.3">
      <c r="A1031" t="s">
        <v>2257</v>
      </c>
      <c r="B1031" t="s">
        <v>2258</v>
      </c>
      <c r="C1031">
        <v>2015</v>
      </c>
      <c r="D1031">
        <v>2010</v>
      </c>
      <c r="E1031" t="s">
        <v>24</v>
      </c>
      <c r="F1031">
        <v>101</v>
      </c>
      <c r="G1031" t="s">
        <v>3997</v>
      </c>
      <c r="H1031" t="s">
        <v>1155</v>
      </c>
      <c r="I1031" t="s">
        <v>33</v>
      </c>
      <c r="J1031" t="s">
        <v>2260</v>
      </c>
      <c r="K1031">
        <v>16770</v>
      </c>
      <c r="L1031">
        <v>63.15</v>
      </c>
      <c r="M1031">
        <v>63.15</v>
      </c>
      <c r="N1031" t="s">
        <v>4001</v>
      </c>
      <c r="O1031" t="s">
        <v>72</v>
      </c>
      <c r="P1031" t="str">
        <f>TRIM(Table13_1[[#This Row],[Genre]])</f>
        <v>War</v>
      </c>
    </row>
    <row r="1032" spans="1:16" x14ac:dyDescent="0.3">
      <c r="A1032" t="s">
        <v>2257</v>
      </c>
      <c r="B1032" t="s">
        <v>2258</v>
      </c>
      <c r="C1032">
        <v>2015</v>
      </c>
      <c r="D1032">
        <v>2010</v>
      </c>
      <c r="E1032" t="s">
        <v>24</v>
      </c>
      <c r="F1032">
        <v>101</v>
      </c>
      <c r="G1032" t="s">
        <v>3997</v>
      </c>
      <c r="H1032" t="s">
        <v>1155</v>
      </c>
      <c r="I1032" t="s">
        <v>33</v>
      </c>
      <c r="J1032" t="s">
        <v>2260</v>
      </c>
      <c r="K1032">
        <v>16770</v>
      </c>
      <c r="L1032">
        <v>63.15</v>
      </c>
      <c r="M1032">
        <v>63.15</v>
      </c>
      <c r="N1032" t="s">
        <v>4001</v>
      </c>
      <c r="O1032" t="s">
        <v>3985</v>
      </c>
      <c r="P1032" t="str">
        <f>TRIM(Table13_1[[#This Row],[Genre]])</f>
        <v>Horror</v>
      </c>
    </row>
    <row r="1033" spans="1:16" x14ac:dyDescent="0.3">
      <c r="A1033" t="s">
        <v>2261</v>
      </c>
      <c r="B1033" t="s">
        <v>2262</v>
      </c>
      <c r="C1033">
        <v>2010</v>
      </c>
      <c r="D1033">
        <v>2010</v>
      </c>
      <c r="E1033" t="s">
        <v>17</v>
      </c>
      <c r="F1033">
        <v>141</v>
      </c>
      <c r="G1033" t="s">
        <v>3999</v>
      </c>
      <c r="H1033" t="s">
        <v>2263</v>
      </c>
      <c r="I1033" t="s">
        <v>196</v>
      </c>
      <c r="J1033" t="s">
        <v>2264</v>
      </c>
      <c r="K1033">
        <v>166416</v>
      </c>
      <c r="L1033">
        <v>15.28</v>
      </c>
      <c r="M1033">
        <v>15.28</v>
      </c>
      <c r="N1033" t="s">
        <v>4001</v>
      </c>
      <c r="O1033" t="s">
        <v>453</v>
      </c>
      <c r="P1033" t="str">
        <f>TRIM(Table13_1[[#This Row],[Genre]])</f>
        <v>Musical</v>
      </c>
    </row>
    <row r="1034" spans="1:16" x14ac:dyDescent="0.3">
      <c r="A1034" t="s">
        <v>2261</v>
      </c>
      <c r="B1034" t="s">
        <v>2262</v>
      </c>
      <c r="C1034">
        <v>2010</v>
      </c>
      <c r="D1034">
        <v>2010</v>
      </c>
      <c r="E1034" t="s">
        <v>17</v>
      </c>
      <c r="F1034">
        <v>141</v>
      </c>
      <c r="G1034" t="s">
        <v>3999</v>
      </c>
      <c r="H1034" t="s">
        <v>2263</v>
      </c>
      <c r="I1034" t="s">
        <v>196</v>
      </c>
      <c r="J1034" t="s">
        <v>2264</v>
      </c>
      <c r="K1034">
        <v>166416</v>
      </c>
      <c r="L1034">
        <v>15.28</v>
      </c>
      <c r="M1034">
        <v>15.28</v>
      </c>
      <c r="N1034" t="s">
        <v>4001</v>
      </c>
      <c r="O1034" t="s">
        <v>3978</v>
      </c>
      <c r="P1034" t="str">
        <f>TRIM(Table13_1[[#This Row],[Genre]])</f>
        <v>Mystery</v>
      </c>
    </row>
    <row r="1035" spans="1:16" x14ac:dyDescent="0.3">
      <c r="A1035" t="s">
        <v>2265</v>
      </c>
      <c r="B1035" t="s">
        <v>2266</v>
      </c>
      <c r="C1035">
        <v>2015</v>
      </c>
      <c r="D1035">
        <v>2010</v>
      </c>
      <c r="E1035" t="s">
        <v>17</v>
      </c>
      <c r="F1035">
        <v>141</v>
      </c>
      <c r="G1035" t="s">
        <v>3999</v>
      </c>
      <c r="H1035" t="s">
        <v>2267</v>
      </c>
      <c r="I1035" t="s">
        <v>119</v>
      </c>
      <c r="J1035" t="s">
        <v>2268</v>
      </c>
      <c r="K1035">
        <v>15949</v>
      </c>
      <c r="M1035">
        <v>0</v>
      </c>
      <c r="N1035" t="s">
        <v>4001</v>
      </c>
      <c r="O1035" t="s">
        <v>453</v>
      </c>
      <c r="P1035" t="str">
        <f>TRIM(Table13_1[[#This Row],[Genre]])</f>
        <v>Musical</v>
      </c>
    </row>
    <row r="1036" spans="1:16" x14ac:dyDescent="0.3">
      <c r="A1036" t="s">
        <v>2265</v>
      </c>
      <c r="B1036" t="s">
        <v>2266</v>
      </c>
      <c r="C1036">
        <v>2015</v>
      </c>
      <c r="D1036">
        <v>2010</v>
      </c>
      <c r="E1036" t="s">
        <v>17</v>
      </c>
      <c r="F1036">
        <v>141</v>
      </c>
      <c r="G1036" t="s">
        <v>3999</v>
      </c>
      <c r="H1036" t="s">
        <v>2267</v>
      </c>
      <c r="I1036" t="s">
        <v>119</v>
      </c>
      <c r="J1036" t="s">
        <v>2268</v>
      </c>
      <c r="K1036">
        <v>15949</v>
      </c>
      <c r="M1036">
        <v>0</v>
      </c>
      <c r="N1036" t="s">
        <v>4001</v>
      </c>
      <c r="O1036" t="s">
        <v>3984</v>
      </c>
      <c r="P1036" t="str">
        <f>TRIM(Table13_1[[#This Row],[Genre]])</f>
        <v>Adventure</v>
      </c>
    </row>
    <row r="1037" spans="1:16" x14ac:dyDescent="0.3">
      <c r="A1037" t="s">
        <v>2269</v>
      </c>
      <c r="B1037" t="s">
        <v>2270</v>
      </c>
      <c r="C1037">
        <v>2016</v>
      </c>
      <c r="D1037">
        <v>2010</v>
      </c>
      <c r="E1037" t="s">
        <v>17</v>
      </c>
      <c r="F1037">
        <v>107</v>
      </c>
      <c r="G1037" t="s">
        <v>3997</v>
      </c>
      <c r="H1037" t="s">
        <v>2271</v>
      </c>
      <c r="I1037" t="s">
        <v>153</v>
      </c>
      <c r="J1037" t="s">
        <v>2272</v>
      </c>
      <c r="K1037">
        <v>31446</v>
      </c>
      <c r="L1037">
        <v>372.81</v>
      </c>
      <c r="M1037">
        <v>372.81</v>
      </c>
      <c r="N1037" t="s">
        <v>3998</v>
      </c>
      <c r="O1037" t="s">
        <v>767</v>
      </c>
      <c r="P1037" t="str">
        <f>TRIM(Table13_1[[#This Row],[Genre]])</f>
        <v>Fantasy</v>
      </c>
    </row>
    <row r="1038" spans="1:16" x14ac:dyDescent="0.3">
      <c r="A1038" t="s">
        <v>2269</v>
      </c>
      <c r="B1038" t="s">
        <v>2270</v>
      </c>
      <c r="C1038">
        <v>2016</v>
      </c>
      <c r="D1038">
        <v>2010</v>
      </c>
      <c r="E1038" t="s">
        <v>17</v>
      </c>
      <c r="F1038">
        <v>107</v>
      </c>
      <c r="G1038" t="s">
        <v>3997</v>
      </c>
      <c r="H1038" t="s">
        <v>2271</v>
      </c>
      <c r="I1038" t="s">
        <v>153</v>
      </c>
      <c r="J1038" t="s">
        <v>2272</v>
      </c>
      <c r="K1038">
        <v>31446</v>
      </c>
      <c r="L1038">
        <v>372.81</v>
      </c>
      <c r="M1038">
        <v>372.81</v>
      </c>
      <c r="N1038" t="s">
        <v>3998</v>
      </c>
      <c r="O1038" t="s">
        <v>3989</v>
      </c>
      <c r="P1038" t="str">
        <f>TRIM(Table13_1[[#This Row],[Genre]])</f>
        <v>Sci-Fi</v>
      </c>
    </row>
    <row r="1039" spans="1:16" x14ac:dyDescent="0.3">
      <c r="A1039" t="s">
        <v>2273</v>
      </c>
      <c r="B1039" t="s">
        <v>2274</v>
      </c>
      <c r="C1039">
        <v>2015</v>
      </c>
      <c r="D1039">
        <v>2010</v>
      </c>
      <c r="E1039" t="s">
        <v>24</v>
      </c>
      <c r="F1039">
        <v>124</v>
      </c>
      <c r="G1039" t="s">
        <v>3999</v>
      </c>
      <c r="H1039" t="s">
        <v>2276</v>
      </c>
      <c r="I1039" t="s">
        <v>251</v>
      </c>
      <c r="J1039" t="s">
        <v>2277</v>
      </c>
      <c r="K1039">
        <v>91888</v>
      </c>
      <c r="L1039">
        <v>430.74</v>
      </c>
      <c r="M1039">
        <v>430.74</v>
      </c>
      <c r="N1039" t="s">
        <v>3998</v>
      </c>
      <c r="O1039" t="s">
        <v>1044</v>
      </c>
      <c r="P1039" t="str">
        <f>TRIM(Table13_1[[#This Row],[Genre]])</f>
        <v>Comedy</v>
      </c>
    </row>
    <row r="1040" spans="1:16" x14ac:dyDescent="0.3">
      <c r="A1040" t="s">
        <v>2273</v>
      </c>
      <c r="B1040" t="s">
        <v>2274</v>
      </c>
      <c r="C1040">
        <v>2015</v>
      </c>
      <c r="D1040">
        <v>2010</v>
      </c>
      <c r="E1040" t="s">
        <v>24</v>
      </c>
      <c r="F1040">
        <v>124</v>
      </c>
      <c r="G1040" t="s">
        <v>3999</v>
      </c>
      <c r="H1040" t="s">
        <v>2276</v>
      </c>
      <c r="I1040" t="s">
        <v>251</v>
      </c>
      <c r="J1040" t="s">
        <v>2277</v>
      </c>
      <c r="K1040">
        <v>91888</v>
      </c>
      <c r="L1040">
        <v>430.74</v>
      </c>
      <c r="M1040">
        <v>430.74</v>
      </c>
      <c r="N1040" t="s">
        <v>3998</v>
      </c>
      <c r="O1040" t="s">
        <v>3991</v>
      </c>
      <c r="P1040" t="str">
        <f>TRIM(Table13_1[[#This Row],[Genre]])</f>
        <v>Thriller</v>
      </c>
    </row>
    <row r="1041" spans="1:16" x14ac:dyDescent="0.3">
      <c r="A1041" t="s">
        <v>2273</v>
      </c>
      <c r="B1041" t="s">
        <v>2274</v>
      </c>
      <c r="C1041">
        <v>2015</v>
      </c>
      <c r="D1041">
        <v>2010</v>
      </c>
      <c r="E1041" t="s">
        <v>24</v>
      </c>
      <c r="F1041">
        <v>124</v>
      </c>
      <c r="G1041" t="s">
        <v>3999</v>
      </c>
      <c r="H1041" t="s">
        <v>2276</v>
      </c>
      <c r="I1041" t="s">
        <v>251</v>
      </c>
      <c r="J1041" t="s">
        <v>2277</v>
      </c>
      <c r="K1041">
        <v>91888</v>
      </c>
      <c r="L1041">
        <v>430.74</v>
      </c>
      <c r="M1041">
        <v>430.74</v>
      </c>
      <c r="N1041" t="s">
        <v>3998</v>
      </c>
      <c r="O1041" t="s">
        <v>3979</v>
      </c>
      <c r="P1041" t="str">
        <f>TRIM(Table13_1[[#This Row],[Genre]])</f>
        <v>War</v>
      </c>
    </row>
    <row r="1042" spans="1:16" x14ac:dyDescent="0.3">
      <c r="A1042" t="s">
        <v>2278</v>
      </c>
      <c r="B1042" t="s">
        <v>2279</v>
      </c>
      <c r="C1042">
        <v>2017</v>
      </c>
      <c r="D1042">
        <v>2010</v>
      </c>
      <c r="E1042" t="s">
        <v>17</v>
      </c>
      <c r="F1042">
        <v>110</v>
      </c>
      <c r="G1042" t="s">
        <v>3997</v>
      </c>
      <c r="H1042" t="s">
        <v>2280</v>
      </c>
      <c r="I1042" t="s">
        <v>137</v>
      </c>
      <c r="J1042" t="s">
        <v>2281</v>
      </c>
      <c r="K1042">
        <v>147533</v>
      </c>
      <c r="L1042">
        <v>465.64</v>
      </c>
      <c r="M1042">
        <v>465.64</v>
      </c>
      <c r="N1042" t="s">
        <v>3998</v>
      </c>
      <c r="O1042" t="s">
        <v>43</v>
      </c>
      <c r="P1042" t="str">
        <f>TRIM(Table13_1[[#This Row],[Genre]])</f>
        <v>Mystery</v>
      </c>
    </row>
    <row r="1043" spans="1:16" x14ac:dyDescent="0.3">
      <c r="A1043" t="s">
        <v>2282</v>
      </c>
      <c r="B1043" t="s">
        <v>2283</v>
      </c>
      <c r="C1043">
        <v>2007</v>
      </c>
      <c r="D1043">
        <v>2000</v>
      </c>
      <c r="E1043" t="s">
        <v>54</v>
      </c>
      <c r="F1043">
        <v>105</v>
      </c>
      <c r="G1043" t="s">
        <v>3997</v>
      </c>
      <c r="H1043" t="s">
        <v>748</v>
      </c>
      <c r="I1043" t="s">
        <v>63</v>
      </c>
      <c r="J1043" t="s">
        <v>2285</v>
      </c>
      <c r="K1043">
        <v>852732</v>
      </c>
      <c r="L1043">
        <v>278.5</v>
      </c>
      <c r="M1043">
        <v>278.5</v>
      </c>
      <c r="N1043" t="s">
        <v>3998</v>
      </c>
      <c r="O1043" t="s">
        <v>157</v>
      </c>
      <c r="P1043" t="str">
        <f>TRIM(Table13_1[[#This Row],[Genre]])</f>
        <v>Animation</v>
      </c>
    </row>
    <row r="1044" spans="1:16" x14ac:dyDescent="0.3">
      <c r="A1044" t="s">
        <v>2282</v>
      </c>
      <c r="B1044" t="s">
        <v>2283</v>
      </c>
      <c r="C1044">
        <v>2007</v>
      </c>
      <c r="D1044">
        <v>2000</v>
      </c>
      <c r="E1044" t="s">
        <v>54</v>
      </c>
      <c r="F1044">
        <v>105</v>
      </c>
      <c r="G1044" t="s">
        <v>3997</v>
      </c>
      <c r="H1044" t="s">
        <v>748</v>
      </c>
      <c r="I1044" t="s">
        <v>63</v>
      </c>
      <c r="J1044" t="s">
        <v>2285</v>
      </c>
      <c r="K1044">
        <v>852732</v>
      </c>
      <c r="L1044">
        <v>278.5</v>
      </c>
      <c r="M1044">
        <v>278.5</v>
      </c>
      <c r="N1044" t="s">
        <v>3998</v>
      </c>
      <c r="O1044" t="s">
        <v>3993</v>
      </c>
      <c r="P1044" t="str">
        <f>TRIM(Table13_1[[#This Row],[Genre]])</f>
        <v>Comedy</v>
      </c>
    </row>
    <row r="1045" spans="1:16" x14ac:dyDescent="0.3">
      <c r="A1045" t="s">
        <v>2282</v>
      </c>
      <c r="B1045" t="s">
        <v>2283</v>
      </c>
      <c r="C1045">
        <v>2007</v>
      </c>
      <c r="D1045">
        <v>2000</v>
      </c>
      <c r="E1045" t="s">
        <v>54</v>
      </c>
      <c r="F1045">
        <v>105</v>
      </c>
      <c r="G1045" t="s">
        <v>3997</v>
      </c>
      <c r="H1045" t="s">
        <v>748</v>
      </c>
      <c r="I1045" t="s">
        <v>63</v>
      </c>
      <c r="J1045" t="s">
        <v>2285</v>
      </c>
      <c r="K1045">
        <v>852732</v>
      </c>
      <c r="L1045">
        <v>278.5</v>
      </c>
      <c r="M1045">
        <v>278.5</v>
      </c>
      <c r="N1045" t="s">
        <v>3998</v>
      </c>
      <c r="O1045" t="s">
        <v>3978</v>
      </c>
      <c r="P1045" t="str">
        <f>TRIM(Table13_1[[#This Row],[Genre]])</f>
        <v>Mystery</v>
      </c>
    </row>
    <row r="1046" spans="1:16" x14ac:dyDescent="0.3">
      <c r="A1046" t="s">
        <v>2286</v>
      </c>
      <c r="B1046" t="s">
        <v>2287</v>
      </c>
      <c r="C1046">
        <v>2024</v>
      </c>
      <c r="D1046">
        <v>2020</v>
      </c>
      <c r="E1046" t="s">
        <v>24</v>
      </c>
      <c r="F1046">
        <v>109</v>
      </c>
      <c r="G1046" t="s">
        <v>3997</v>
      </c>
      <c r="H1046" t="s">
        <v>435</v>
      </c>
      <c r="I1046" t="s">
        <v>483</v>
      </c>
      <c r="J1046" t="s">
        <v>2288</v>
      </c>
      <c r="K1046">
        <v>4214</v>
      </c>
      <c r="L1046">
        <v>243.9</v>
      </c>
      <c r="M1046">
        <v>243.9</v>
      </c>
      <c r="N1046" t="s">
        <v>3998</v>
      </c>
      <c r="O1046" t="s">
        <v>453</v>
      </c>
      <c r="P1046" t="str">
        <f>TRIM(Table13_1[[#This Row],[Genre]])</f>
        <v>Musical</v>
      </c>
    </row>
    <row r="1047" spans="1:16" x14ac:dyDescent="0.3">
      <c r="A1047" t="s">
        <v>2286</v>
      </c>
      <c r="B1047" t="s">
        <v>2287</v>
      </c>
      <c r="C1047">
        <v>2024</v>
      </c>
      <c r="D1047">
        <v>2020</v>
      </c>
      <c r="E1047" t="s">
        <v>24</v>
      </c>
      <c r="F1047">
        <v>109</v>
      </c>
      <c r="G1047" t="s">
        <v>3997</v>
      </c>
      <c r="H1047" t="s">
        <v>435</v>
      </c>
      <c r="I1047" t="s">
        <v>483</v>
      </c>
      <c r="J1047" t="s">
        <v>2288</v>
      </c>
      <c r="K1047">
        <v>4214</v>
      </c>
      <c r="L1047">
        <v>243.9</v>
      </c>
      <c r="M1047">
        <v>243.9</v>
      </c>
      <c r="N1047" t="s">
        <v>3998</v>
      </c>
      <c r="O1047" t="s">
        <v>3977</v>
      </c>
      <c r="P1047" t="str">
        <f>TRIM(Table13_1[[#This Row],[Genre]])</f>
        <v>Animation</v>
      </c>
    </row>
    <row r="1048" spans="1:16" x14ac:dyDescent="0.3">
      <c r="A1048" t="s">
        <v>2289</v>
      </c>
      <c r="B1048" t="s">
        <v>2290</v>
      </c>
      <c r="C1048">
        <v>2012</v>
      </c>
      <c r="D1048">
        <v>2010</v>
      </c>
      <c r="E1048" t="s">
        <v>54</v>
      </c>
      <c r="F1048">
        <v>135</v>
      </c>
      <c r="G1048" t="s">
        <v>3999</v>
      </c>
      <c r="H1048" t="s">
        <v>2292</v>
      </c>
      <c r="I1048" t="s">
        <v>326</v>
      </c>
      <c r="J1048" t="s">
        <v>2293</v>
      </c>
      <c r="K1048">
        <v>40362</v>
      </c>
      <c r="L1048">
        <v>121.68</v>
      </c>
      <c r="M1048">
        <v>121.68</v>
      </c>
      <c r="N1048" t="s">
        <v>4002</v>
      </c>
      <c r="O1048" t="s">
        <v>55</v>
      </c>
      <c r="P1048" t="str">
        <f>TRIM(Table13_1[[#This Row],[Genre]])</f>
        <v>Romance</v>
      </c>
    </row>
    <row r="1049" spans="1:16" x14ac:dyDescent="0.3">
      <c r="A1049" t="s">
        <v>2289</v>
      </c>
      <c r="B1049" t="s">
        <v>2290</v>
      </c>
      <c r="C1049">
        <v>2012</v>
      </c>
      <c r="D1049">
        <v>2010</v>
      </c>
      <c r="E1049" t="s">
        <v>54</v>
      </c>
      <c r="F1049">
        <v>135</v>
      </c>
      <c r="G1049" t="s">
        <v>3999</v>
      </c>
      <c r="H1049" t="s">
        <v>2292</v>
      </c>
      <c r="I1049" t="s">
        <v>326</v>
      </c>
      <c r="J1049" t="s">
        <v>2293</v>
      </c>
      <c r="K1049">
        <v>40362</v>
      </c>
      <c r="L1049">
        <v>121.68</v>
      </c>
      <c r="M1049">
        <v>121.68</v>
      </c>
      <c r="N1049" t="s">
        <v>4002</v>
      </c>
      <c r="O1049" t="s">
        <v>3989</v>
      </c>
      <c r="P1049" t="str">
        <f>TRIM(Table13_1[[#This Row],[Genre]])</f>
        <v>Sci-Fi</v>
      </c>
    </row>
    <row r="1050" spans="1:16" x14ac:dyDescent="0.3">
      <c r="A1050" t="s">
        <v>2289</v>
      </c>
      <c r="B1050" t="s">
        <v>2290</v>
      </c>
      <c r="C1050">
        <v>2012</v>
      </c>
      <c r="D1050">
        <v>2010</v>
      </c>
      <c r="E1050" t="s">
        <v>54</v>
      </c>
      <c r="F1050">
        <v>135</v>
      </c>
      <c r="G1050" t="s">
        <v>3999</v>
      </c>
      <c r="H1050" t="s">
        <v>2292</v>
      </c>
      <c r="I1050" t="s">
        <v>326</v>
      </c>
      <c r="J1050" t="s">
        <v>2293</v>
      </c>
      <c r="K1050">
        <v>40362</v>
      </c>
      <c r="L1050">
        <v>121.68</v>
      </c>
      <c r="M1050">
        <v>121.68</v>
      </c>
      <c r="N1050" t="s">
        <v>4002</v>
      </c>
      <c r="O1050" t="s">
        <v>3988</v>
      </c>
      <c r="P1050" t="str">
        <f>TRIM(Table13_1[[#This Row],[Genre]])</f>
        <v>Drama</v>
      </c>
    </row>
    <row r="1051" spans="1:16" x14ac:dyDescent="0.3">
      <c r="A1051" t="s">
        <v>2294</v>
      </c>
      <c r="B1051" t="s">
        <v>2295</v>
      </c>
      <c r="C1051">
        <v>2021</v>
      </c>
      <c r="D1051">
        <v>2020</v>
      </c>
      <c r="E1051" t="s">
        <v>17</v>
      </c>
      <c r="F1051">
        <v>120</v>
      </c>
      <c r="G1051" t="s">
        <v>3997</v>
      </c>
      <c r="H1051" t="s">
        <v>412</v>
      </c>
      <c r="I1051" t="s">
        <v>50</v>
      </c>
      <c r="J1051" t="s">
        <v>2297</v>
      </c>
      <c r="K1051">
        <v>22237</v>
      </c>
      <c r="M1051">
        <v>0</v>
      </c>
      <c r="N1051" t="s">
        <v>4001</v>
      </c>
      <c r="O1051" t="s">
        <v>78</v>
      </c>
      <c r="P1051" t="str">
        <f>TRIM(Table13_1[[#This Row],[Genre]])</f>
        <v>Adventure</v>
      </c>
    </row>
    <row r="1052" spans="1:16" x14ac:dyDescent="0.3">
      <c r="A1052" t="s">
        <v>2294</v>
      </c>
      <c r="B1052" t="s">
        <v>2295</v>
      </c>
      <c r="C1052">
        <v>2021</v>
      </c>
      <c r="D1052">
        <v>2020</v>
      </c>
      <c r="E1052" t="s">
        <v>17</v>
      </c>
      <c r="F1052">
        <v>120</v>
      </c>
      <c r="G1052" t="s">
        <v>3997</v>
      </c>
      <c r="H1052" t="s">
        <v>412</v>
      </c>
      <c r="I1052" t="s">
        <v>50</v>
      </c>
      <c r="J1052" t="s">
        <v>2297</v>
      </c>
      <c r="K1052">
        <v>22237</v>
      </c>
      <c r="M1052">
        <v>0</v>
      </c>
      <c r="N1052" t="s">
        <v>4001</v>
      </c>
      <c r="O1052" t="s">
        <v>3977</v>
      </c>
      <c r="P1052" t="str">
        <f>TRIM(Table13_1[[#This Row],[Genre]])</f>
        <v>Animation</v>
      </c>
    </row>
    <row r="1053" spans="1:16" x14ac:dyDescent="0.3">
      <c r="A1053" t="s">
        <v>2294</v>
      </c>
      <c r="B1053" t="s">
        <v>2295</v>
      </c>
      <c r="C1053">
        <v>2021</v>
      </c>
      <c r="D1053">
        <v>2020</v>
      </c>
      <c r="E1053" t="s">
        <v>17</v>
      </c>
      <c r="F1053">
        <v>120</v>
      </c>
      <c r="G1053" t="s">
        <v>3997</v>
      </c>
      <c r="H1053" t="s">
        <v>412</v>
      </c>
      <c r="I1053" t="s">
        <v>50</v>
      </c>
      <c r="J1053" t="s">
        <v>2297</v>
      </c>
      <c r="K1053">
        <v>22237</v>
      </c>
      <c r="M1053">
        <v>0</v>
      </c>
      <c r="N1053" t="s">
        <v>4001</v>
      </c>
      <c r="O1053" t="s">
        <v>3987</v>
      </c>
      <c r="P1053" t="str">
        <f>TRIM(Table13_1[[#This Row],[Genre]])</f>
        <v>Fantasy</v>
      </c>
    </row>
    <row r="1054" spans="1:16" x14ac:dyDescent="0.3">
      <c r="A1054" t="s">
        <v>2298</v>
      </c>
      <c r="B1054" t="s">
        <v>2299</v>
      </c>
      <c r="C1054">
        <v>2008</v>
      </c>
      <c r="D1054">
        <v>2000</v>
      </c>
      <c r="E1054" t="s">
        <v>24</v>
      </c>
      <c r="F1054">
        <v>113</v>
      </c>
      <c r="G1054" t="s">
        <v>3997</v>
      </c>
      <c r="H1054" t="s">
        <v>2300</v>
      </c>
      <c r="I1054" t="s">
        <v>131</v>
      </c>
      <c r="J1054" t="s">
        <v>2301</v>
      </c>
      <c r="K1054">
        <v>9176</v>
      </c>
      <c r="L1054">
        <v>23.95</v>
      </c>
      <c r="M1054">
        <v>23.95</v>
      </c>
      <c r="N1054" t="s">
        <v>4001</v>
      </c>
      <c r="O1054" t="s">
        <v>235</v>
      </c>
      <c r="P1054" t="str">
        <f>TRIM(Table13_1[[#This Row],[Genre]])</f>
        <v>Drama</v>
      </c>
    </row>
    <row r="1055" spans="1:16" x14ac:dyDescent="0.3">
      <c r="A1055" t="s">
        <v>2302</v>
      </c>
      <c r="B1055" t="s">
        <v>2303</v>
      </c>
      <c r="C1055">
        <v>1986</v>
      </c>
      <c r="D1055">
        <v>1980</v>
      </c>
      <c r="E1055" t="s">
        <v>24</v>
      </c>
      <c r="F1055">
        <v>85</v>
      </c>
      <c r="G1055" t="s">
        <v>4000</v>
      </c>
      <c r="H1055" t="s">
        <v>305</v>
      </c>
      <c r="I1055" t="s">
        <v>524</v>
      </c>
      <c r="J1055" t="s">
        <v>2304</v>
      </c>
      <c r="K1055">
        <v>63912</v>
      </c>
      <c r="L1055">
        <v>57.34</v>
      </c>
      <c r="M1055">
        <v>57.34</v>
      </c>
      <c r="N1055" t="s">
        <v>4001</v>
      </c>
      <c r="O1055" t="s">
        <v>78</v>
      </c>
      <c r="P1055" t="str">
        <f>TRIM(Table13_1[[#This Row],[Genre]])</f>
        <v>Adventure</v>
      </c>
    </row>
    <row r="1056" spans="1:16" x14ac:dyDescent="0.3">
      <c r="A1056" t="s">
        <v>2302</v>
      </c>
      <c r="B1056" t="s">
        <v>2303</v>
      </c>
      <c r="C1056">
        <v>1986</v>
      </c>
      <c r="D1056">
        <v>1980</v>
      </c>
      <c r="E1056" t="s">
        <v>24</v>
      </c>
      <c r="F1056">
        <v>85</v>
      </c>
      <c r="G1056" t="s">
        <v>4000</v>
      </c>
      <c r="H1056" t="s">
        <v>305</v>
      </c>
      <c r="I1056" t="s">
        <v>524</v>
      </c>
      <c r="J1056" t="s">
        <v>2304</v>
      </c>
      <c r="K1056">
        <v>63912</v>
      </c>
      <c r="L1056">
        <v>57.34</v>
      </c>
      <c r="M1056">
        <v>57.34</v>
      </c>
      <c r="N1056" t="s">
        <v>4001</v>
      </c>
      <c r="O1056" t="s">
        <v>3982</v>
      </c>
      <c r="P1056" t="str">
        <f>TRIM(Table13_1[[#This Row],[Genre]])</f>
        <v>Family</v>
      </c>
    </row>
    <row r="1057" spans="1:16" x14ac:dyDescent="0.3">
      <c r="A1057" t="s">
        <v>2305</v>
      </c>
      <c r="B1057" t="s">
        <v>2306</v>
      </c>
      <c r="C1057">
        <v>2021</v>
      </c>
      <c r="D1057">
        <v>2020</v>
      </c>
      <c r="E1057" t="s">
        <v>54</v>
      </c>
      <c r="F1057">
        <v>70</v>
      </c>
      <c r="G1057" t="s">
        <v>4000</v>
      </c>
      <c r="H1057" t="s">
        <v>250</v>
      </c>
      <c r="I1057" t="s">
        <v>547</v>
      </c>
      <c r="J1057" t="s">
        <v>2308</v>
      </c>
      <c r="K1057">
        <v>97902</v>
      </c>
      <c r="L1057">
        <v>206.65</v>
      </c>
      <c r="M1057">
        <v>206.65</v>
      </c>
      <c r="N1057" t="s">
        <v>3998</v>
      </c>
      <c r="O1057" t="s">
        <v>606</v>
      </c>
      <c r="P1057" t="str">
        <f>TRIM(Table13_1[[#This Row],[Genre]])</f>
        <v>Sci-Fi</v>
      </c>
    </row>
    <row r="1058" spans="1:16" x14ac:dyDescent="0.3">
      <c r="A1058" t="s">
        <v>2305</v>
      </c>
      <c r="B1058" t="s">
        <v>2306</v>
      </c>
      <c r="C1058">
        <v>2021</v>
      </c>
      <c r="D1058">
        <v>2020</v>
      </c>
      <c r="E1058" t="s">
        <v>54</v>
      </c>
      <c r="F1058">
        <v>70</v>
      </c>
      <c r="G1058" t="s">
        <v>4000</v>
      </c>
      <c r="H1058" t="s">
        <v>250</v>
      </c>
      <c r="I1058" t="s">
        <v>547</v>
      </c>
      <c r="J1058" t="s">
        <v>2308</v>
      </c>
      <c r="K1058">
        <v>97902</v>
      </c>
      <c r="L1058">
        <v>206.65</v>
      </c>
      <c r="M1058">
        <v>206.65</v>
      </c>
      <c r="N1058" t="s">
        <v>3998</v>
      </c>
      <c r="O1058" t="s">
        <v>3991</v>
      </c>
      <c r="P1058" t="str">
        <f>TRIM(Table13_1[[#This Row],[Genre]])</f>
        <v>Thriller</v>
      </c>
    </row>
    <row r="1059" spans="1:16" x14ac:dyDescent="0.3">
      <c r="A1059" t="s">
        <v>2305</v>
      </c>
      <c r="B1059" t="s">
        <v>2306</v>
      </c>
      <c r="C1059">
        <v>2021</v>
      </c>
      <c r="D1059">
        <v>2020</v>
      </c>
      <c r="E1059" t="s">
        <v>54</v>
      </c>
      <c r="F1059">
        <v>70</v>
      </c>
      <c r="G1059" t="s">
        <v>4000</v>
      </c>
      <c r="H1059" t="s">
        <v>250</v>
      </c>
      <c r="I1059" t="s">
        <v>547</v>
      </c>
      <c r="J1059" t="s">
        <v>2308</v>
      </c>
      <c r="K1059">
        <v>97902</v>
      </c>
      <c r="L1059">
        <v>206.65</v>
      </c>
      <c r="M1059">
        <v>206.65</v>
      </c>
      <c r="N1059" t="s">
        <v>3998</v>
      </c>
      <c r="O1059" t="s">
        <v>3988</v>
      </c>
      <c r="P1059" t="str">
        <f>TRIM(Table13_1[[#This Row],[Genre]])</f>
        <v>Drama</v>
      </c>
    </row>
    <row r="1060" spans="1:16" x14ac:dyDescent="0.3">
      <c r="A1060" t="s">
        <v>2309</v>
      </c>
      <c r="B1060" t="s">
        <v>2310</v>
      </c>
      <c r="C1060">
        <v>1996</v>
      </c>
      <c r="D1060">
        <v>1990</v>
      </c>
      <c r="E1060" t="s">
        <v>293</v>
      </c>
      <c r="F1060">
        <v>102</v>
      </c>
      <c r="G1060" t="s">
        <v>3997</v>
      </c>
      <c r="H1060" t="s">
        <v>2311</v>
      </c>
      <c r="I1060" t="s">
        <v>131</v>
      </c>
      <c r="J1060" t="s">
        <v>2312</v>
      </c>
      <c r="K1060">
        <v>17215</v>
      </c>
      <c r="L1060">
        <v>248.82</v>
      </c>
      <c r="M1060">
        <v>248.82</v>
      </c>
      <c r="N1060" t="s">
        <v>3998</v>
      </c>
      <c r="O1060" t="s">
        <v>78</v>
      </c>
      <c r="P1060" t="str">
        <f>TRIM(Table13_1[[#This Row],[Genre]])</f>
        <v>Adventure</v>
      </c>
    </row>
    <row r="1061" spans="1:16" x14ac:dyDescent="0.3">
      <c r="A1061" t="s">
        <v>2309</v>
      </c>
      <c r="B1061" t="s">
        <v>2310</v>
      </c>
      <c r="C1061">
        <v>1996</v>
      </c>
      <c r="D1061">
        <v>1990</v>
      </c>
      <c r="E1061" t="s">
        <v>293</v>
      </c>
      <c r="F1061">
        <v>102</v>
      </c>
      <c r="G1061" t="s">
        <v>3997</v>
      </c>
      <c r="H1061" t="s">
        <v>2311</v>
      </c>
      <c r="I1061" t="s">
        <v>131</v>
      </c>
      <c r="J1061" t="s">
        <v>2312</v>
      </c>
      <c r="K1061">
        <v>17215</v>
      </c>
      <c r="L1061">
        <v>248.82</v>
      </c>
      <c r="M1061">
        <v>248.82</v>
      </c>
      <c r="N1061" t="s">
        <v>3998</v>
      </c>
      <c r="O1061" t="s">
        <v>3976</v>
      </c>
      <c r="P1061" t="str">
        <f>TRIM(Table13_1[[#This Row],[Genre]])</f>
        <v>Musical</v>
      </c>
    </row>
    <row r="1062" spans="1:16" x14ac:dyDescent="0.3">
      <c r="A1062" t="s">
        <v>2313</v>
      </c>
      <c r="B1062" t="s">
        <v>2314</v>
      </c>
      <c r="C1062">
        <v>2004</v>
      </c>
      <c r="D1062">
        <v>2000</v>
      </c>
      <c r="E1062" t="s">
        <v>54</v>
      </c>
      <c r="F1062">
        <v>134</v>
      </c>
      <c r="G1062" t="s">
        <v>3999</v>
      </c>
      <c r="H1062" t="s">
        <v>2316</v>
      </c>
      <c r="I1062" t="s">
        <v>63</v>
      </c>
      <c r="J1062" t="s">
        <v>2317</v>
      </c>
      <c r="K1062">
        <v>179684</v>
      </c>
      <c r="M1062">
        <v>0</v>
      </c>
      <c r="N1062" t="s">
        <v>4001</v>
      </c>
      <c r="O1062" t="s">
        <v>230</v>
      </c>
      <c r="P1062" t="str">
        <f>TRIM(Table13_1[[#This Row],[Genre]])</f>
        <v>Documentary</v>
      </c>
    </row>
    <row r="1063" spans="1:16" x14ac:dyDescent="0.3">
      <c r="A1063" t="s">
        <v>2313</v>
      </c>
      <c r="B1063" t="s">
        <v>2314</v>
      </c>
      <c r="C1063">
        <v>2004</v>
      </c>
      <c r="D1063">
        <v>2000</v>
      </c>
      <c r="E1063" t="s">
        <v>54</v>
      </c>
      <c r="F1063">
        <v>134</v>
      </c>
      <c r="G1063" t="s">
        <v>3999</v>
      </c>
      <c r="H1063" t="s">
        <v>2316</v>
      </c>
      <c r="I1063" t="s">
        <v>63</v>
      </c>
      <c r="J1063" t="s">
        <v>2317</v>
      </c>
      <c r="K1063">
        <v>179684</v>
      </c>
      <c r="M1063">
        <v>0</v>
      </c>
      <c r="N1063" t="s">
        <v>4001</v>
      </c>
      <c r="O1063" t="s">
        <v>3993</v>
      </c>
      <c r="P1063" t="str">
        <f>TRIM(Table13_1[[#This Row],[Genre]])</f>
        <v>Comedy</v>
      </c>
    </row>
    <row r="1064" spans="1:16" x14ac:dyDescent="0.3">
      <c r="A1064" t="s">
        <v>2318</v>
      </c>
      <c r="B1064" t="s">
        <v>2319</v>
      </c>
      <c r="C1064">
        <v>2014</v>
      </c>
      <c r="D1064">
        <v>2010</v>
      </c>
      <c r="E1064" t="s">
        <v>169</v>
      </c>
      <c r="F1064">
        <v>123</v>
      </c>
      <c r="G1064" t="s">
        <v>3999</v>
      </c>
      <c r="H1064" t="s">
        <v>2228</v>
      </c>
      <c r="I1064" t="s">
        <v>251</v>
      </c>
      <c r="J1064" t="s">
        <v>2320</v>
      </c>
      <c r="K1064">
        <v>142762</v>
      </c>
      <c r="L1064">
        <v>308.60000000000002</v>
      </c>
      <c r="M1064">
        <v>308.60000000000002</v>
      </c>
      <c r="N1064" t="s">
        <v>3998</v>
      </c>
      <c r="O1064" t="s">
        <v>606</v>
      </c>
      <c r="P1064" t="str">
        <f>TRIM(Table13_1[[#This Row],[Genre]])</f>
        <v>Sci-Fi</v>
      </c>
    </row>
    <row r="1065" spans="1:16" x14ac:dyDescent="0.3">
      <c r="A1065" t="s">
        <v>2318</v>
      </c>
      <c r="B1065" t="s">
        <v>2319</v>
      </c>
      <c r="C1065">
        <v>2014</v>
      </c>
      <c r="D1065">
        <v>2010</v>
      </c>
      <c r="E1065" t="s">
        <v>169</v>
      </c>
      <c r="F1065">
        <v>123</v>
      </c>
      <c r="G1065" t="s">
        <v>3999</v>
      </c>
      <c r="H1065" t="s">
        <v>2228</v>
      </c>
      <c r="I1065" t="s">
        <v>251</v>
      </c>
      <c r="J1065" t="s">
        <v>2320</v>
      </c>
      <c r="K1065">
        <v>142762</v>
      </c>
      <c r="L1065">
        <v>308.60000000000002</v>
      </c>
      <c r="M1065">
        <v>308.60000000000002</v>
      </c>
      <c r="N1065" t="s">
        <v>3998</v>
      </c>
      <c r="O1065" t="s">
        <v>3976</v>
      </c>
      <c r="P1065" t="str">
        <f>TRIM(Table13_1[[#This Row],[Genre]])</f>
        <v>Musical</v>
      </c>
    </row>
    <row r="1066" spans="1:16" x14ac:dyDescent="0.3">
      <c r="A1066" t="s">
        <v>2321</v>
      </c>
      <c r="B1066" t="s">
        <v>2322</v>
      </c>
      <c r="C1066">
        <v>2024</v>
      </c>
      <c r="D1066">
        <v>2020</v>
      </c>
      <c r="E1066" t="s">
        <v>54</v>
      </c>
      <c r="F1066">
        <v>95</v>
      </c>
      <c r="G1066" t="s">
        <v>3997</v>
      </c>
      <c r="H1066" t="s">
        <v>2324</v>
      </c>
      <c r="I1066" t="s">
        <v>159</v>
      </c>
      <c r="J1066" t="s">
        <v>2325</v>
      </c>
      <c r="K1066">
        <v>20653</v>
      </c>
      <c r="M1066">
        <v>0</v>
      </c>
      <c r="N1066" t="s">
        <v>4001</v>
      </c>
      <c r="O1066" t="s">
        <v>375</v>
      </c>
      <c r="P1066" t="str">
        <f>TRIM(Table13_1[[#This Row],[Genre]])</f>
        <v>Family</v>
      </c>
    </row>
    <row r="1067" spans="1:16" x14ac:dyDescent="0.3">
      <c r="A1067" t="s">
        <v>2321</v>
      </c>
      <c r="B1067" t="s">
        <v>2322</v>
      </c>
      <c r="C1067">
        <v>2024</v>
      </c>
      <c r="D1067">
        <v>2020</v>
      </c>
      <c r="E1067" t="s">
        <v>54</v>
      </c>
      <c r="F1067">
        <v>95</v>
      </c>
      <c r="G1067" t="s">
        <v>3997</v>
      </c>
      <c r="H1067" t="s">
        <v>2324</v>
      </c>
      <c r="I1067" t="s">
        <v>159</v>
      </c>
      <c r="J1067" t="s">
        <v>2325</v>
      </c>
      <c r="K1067">
        <v>20653</v>
      </c>
      <c r="M1067">
        <v>0</v>
      </c>
      <c r="N1067" t="s">
        <v>4001</v>
      </c>
      <c r="O1067" t="s">
        <v>3993</v>
      </c>
      <c r="P1067" t="str">
        <f>TRIM(Table13_1[[#This Row],[Genre]])</f>
        <v>Comedy</v>
      </c>
    </row>
    <row r="1068" spans="1:16" x14ac:dyDescent="0.3">
      <c r="A1068" t="s">
        <v>2326</v>
      </c>
      <c r="B1068" t="s">
        <v>2327</v>
      </c>
      <c r="C1068">
        <v>2023</v>
      </c>
      <c r="D1068">
        <v>2020</v>
      </c>
      <c r="E1068" t="s">
        <v>285</v>
      </c>
      <c r="F1068">
        <v>116</v>
      </c>
      <c r="G1068" t="s">
        <v>3997</v>
      </c>
      <c r="H1068" t="s">
        <v>73</v>
      </c>
      <c r="I1068" t="s">
        <v>608</v>
      </c>
      <c r="J1068" t="s">
        <v>2328</v>
      </c>
      <c r="K1068">
        <v>14766</v>
      </c>
      <c r="M1068">
        <v>0</v>
      </c>
      <c r="N1068" t="s">
        <v>4001</v>
      </c>
      <c r="O1068" t="s">
        <v>72</v>
      </c>
      <c r="P1068" t="str">
        <f>TRIM(Table13_1[[#This Row],[Genre]])</f>
        <v>War</v>
      </c>
    </row>
    <row r="1069" spans="1:16" x14ac:dyDescent="0.3">
      <c r="A1069" t="s">
        <v>2326</v>
      </c>
      <c r="B1069" t="s">
        <v>2327</v>
      </c>
      <c r="C1069">
        <v>2023</v>
      </c>
      <c r="D1069">
        <v>2020</v>
      </c>
      <c r="E1069" t="s">
        <v>285</v>
      </c>
      <c r="F1069">
        <v>116</v>
      </c>
      <c r="G1069" t="s">
        <v>3997</v>
      </c>
      <c r="H1069" t="s">
        <v>73</v>
      </c>
      <c r="I1069" t="s">
        <v>608</v>
      </c>
      <c r="J1069" t="s">
        <v>2328</v>
      </c>
      <c r="K1069">
        <v>14766</v>
      </c>
      <c r="M1069">
        <v>0</v>
      </c>
      <c r="N1069" t="s">
        <v>4001</v>
      </c>
      <c r="O1069" t="s">
        <v>3977</v>
      </c>
      <c r="P1069" t="str">
        <f>TRIM(Table13_1[[#This Row],[Genre]])</f>
        <v>Animation</v>
      </c>
    </row>
    <row r="1070" spans="1:16" x14ac:dyDescent="0.3">
      <c r="A1070" t="s">
        <v>2329</v>
      </c>
      <c r="B1070" t="s">
        <v>2330</v>
      </c>
      <c r="C1070">
        <v>1997</v>
      </c>
      <c r="D1070">
        <v>1990</v>
      </c>
      <c r="E1070" t="s">
        <v>17</v>
      </c>
      <c r="F1070">
        <v>120</v>
      </c>
      <c r="G1070" t="s">
        <v>3997</v>
      </c>
      <c r="H1070" t="s">
        <v>2332</v>
      </c>
      <c r="I1070" t="s">
        <v>483</v>
      </c>
      <c r="J1070" t="s">
        <v>2333</v>
      </c>
      <c r="K1070">
        <v>30482</v>
      </c>
      <c r="M1070">
        <v>0</v>
      </c>
      <c r="N1070" t="s">
        <v>4001</v>
      </c>
      <c r="O1070" t="s">
        <v>235</v>
      </c>
      <c r="P1070" t="str">
        <f>TRIM(Table13_1[[#This Row],[Genre]])</f>
        <v>Drama</v>
      </c>
    </row>
    <row r="1071" spans="1:16" x14ac:dyDescent="0.3">
      <c r="A1071" t="s">
        <v>2329</v>
      </c>
      <c r="B1071" t="s">
        <v>2330</v>
      </c>
      <c r="C1071">
        <v>1997</v>
      </c>
      <c r="D1071">
        <v>1990</v>
      </c>
      <c r="E1071" t="s">
        <v>17</v>
      </c>
      <c r="F1071">
        <v>120</v>
      </c>
      <c r="G1071" t="s">
        <v>3997</v>
      </c>
      <c r="H1071" t="s">
        <v>2332</v>
      </c>
      <c r="I1071" t="s">
        <v>483</v>
      </c>
      <c r="J1071" t="s">
        <v>2333</v>
      </c>
      <c r="K1071">
        <v>30482</v>
      </c>
      <c r="M1071">
        <v>0</v>
      </c>
      <c r="N1071" t="s">
        <v>4001</v>
      </c>
      <c r="O1071" t="s">
        <v>3984</v>
      </c>
      <c r="P1071" t="str">
        <f>TRIM(Table13_1[[#This Row],[Genre]])</f>
        <v>Adventure</v>
      </c>
    </row>
    <row r="1072" spans="1:16" x14ac:dyDescent="0.3">
      <c r="A1072" t="s">
        <v>2334</v>
      </c>
      <c r="B1072" t="s">
        <v>2335</v>
      </c>
      <c r="C1072">
        <v>1988</v>
      </c>
      <c r="D1072">
        <v>1980</v>
      </c>
      <c r="E1072" t="s">
        <v>54</v>
      </c>
      <c r="F1072">
        <v>106</v>
      </c>
      <c r="G1072" t="s">
        <v>3997</v>
      </c>
      <c r="H1072" t="s">
        <v>158</v>
      </c>
      <c r="I1072" t="s">
        <v>191</v>
      </c>
      <c r="J1072" t="s">
        <v>2337</v>
      </c>
      <c r="K1072">
        <v>9882</v>
      </c>
      <c r="L1072">
        <v>289.10000000000002</v>
      </c>
      <c r="M1072">
        <v>289.10000000000002</v>
      </c>
      <c r="N1072" t="s">
        <v>3998</v>
      </c>
      <c r="O1072" t="s">
        <v>157</v>
      </c>
      <c r="P1072" t="str">
        <f>TRIM(Table13_1[[#This Row],[Genre]])</f>
        <v>Animation</v>
      </c>
    </row>
    <row r="1073" spans="1:16" x14ac:dyDescent="0.3">
      <c r="A1073" t="s">
        <v>2334</v>
      </c>
      <c r="B1073" t="s">
        <v>2335</v>
      </c>
      <c r="C1073">
        <v>1988</v>
      </c>
      <c r="D1073">
        <v>1980</v>
      </c>
      <c r="E1073" t="s">
        <v>54</v>
      </c>
      <c r="F1073">
        <v>106</v>
      </c>
      <c r="G1073" t="s">
        <v>3997</v>
      </c>
      <c r="H1073" t="s">
        <v>158</v>
      </c>
      <c r="I1073" t="s">
        <v>191</v>
      </c>
      <c r="J1073" t="s">
        <v>2337</v>
      </c>
      <c r="K1073">
        <v>9882</v>
      </c>
      <c r="L1073">
        <v>289.10000000000002</v>
      </c>
      <c r="M1073">
        <v>289.10000000000002</v>
      </c>
      <c r="N1073" t="s">
        <v>3998</v>
      </c>
      <c r="O1073" t="s">
        <v>3988</v>
      </c>
      <c r="P1073" t="str">
        <f>TRIM(Table13_1[[#This Row],[Genre]])</f>
        <v>Drama</v>
      </c>
    </row>
    <row r="1074" spans="1:16" x14ac:dyDescent="0.3">
      <c r="A1074" t="s">
        <v>2338</v>
      </c>
      <c r="B1074" t="s">
        <v>2339</v>
      </c>
      <c r="C1074">
        <v>2012</v>
      </c>
      <c r="D1074">
        <v>2010</v>
      </c>
      <c r="E1074" t="s">
        <v>24</v>
      </c>
      <c r="F1074">
        <v>119</v>
      </c>
      <c r="G1074" t="s">
        <v>3997</v>
      </c>
      <c r="H1074" t="s">
        <v>2340</v>
      </c>
      <c r="I1074" t="s">
        <v>68</v>
      </c>
      <c r="J1074" t="s">
        <v>2341</v>
      </c>
      <c r="K1074">
        <v>3362</v>
      </c>
      <c r="L1074">
        <v>149.84</v>
      </c>
      <c r="M1074">
        <v>149.84</v>
      </c>
      <c r="N1074" t="s">
        <v>4002</v>
      </c>
      <c r="O1074" t="s">
        <v>230</v>
      </c>
      <c r="P1074" t="str">
        <f>TRIM(Table13_1[[#This Row],[Genre]])</f>
        <v>Documentary</v>
      </c>
    </row>
    <row r="1075" spans="1:16" x14ac:dyDescent="0.3">
      <c r="A1075" t="s">
        <v>2342</v>
      </c>
      <c r="B1075" t="s">
        <v>2343</v>
      </c>
      <c r="C1075">
        <v>2013</v>
      </c>
      <c r="D1075">
        <v>2010</v>
      </c>
      <c r="E1075" t="s">
        <v>54</v>
      </c>
      <c r="F1075">
        <v>95</v>
      </c>
      <c r="G1075" t="s">
        <v>3997</v>
      </c>
      <c r="H1075" t="s">
        <v>2344</v>
      </c>
      <c r="I1075" t="s">
        <v>153</v>
      </c>
      <c r="J1075" t="s">
        <v>2345</v>
      </c>
      <c r="K1075">
        <v>18864</v>
      </c>
      <c r="L1075">
        <v>329.34</v>
      </c>
      <c r="M1075">
        <v>329.34</v>
      </c>
      <c r="N1075" t="s">
        <v>3998</v>
      </c>
      <c r="O1075" t="s">
        <v>375</v>
      </c>
      <c r="P1075" t="str">
        <f>TRIM(Table13_1[[#This Row],[Genre]])</f>
        <v>Family</v>
      </c>
    </row>
    <row r="1076" spans="1:16" x14ac:dyDescent="0.3">
      <c r="A1076" t="s">
        <v>2342</v>
      </c>
      <c r="B1076" t="s">
        <v>2343</v>
      </c>
      <c r="C1076">
        <v>2013</v>
      </c>
      <c r="D1076">
        <v>2010</v>
      </c>
      <c r="E1076" t="s">
        <v>54</v>
      </c>
      <c r="F1076">
        <v>95</v>
      </c>
      <c r="G1076" t="s">
        <v>3997</v>
      </c>
      <c r="H1076" t="s">
        <v>2344</v>
      </c>
      <c r="I1076" t="s">
        <v>153</v>
      </c>
      <c r="J1076" t="s">
        <v>2345</v>
      </c>
      <c r="K1076">
        <v>18864</v>
      </c>
      <c r="L1076">
        <v>329.34</v>
      </c>
      <c r="M1076">
        <v>329.34</v>
      </c>
      <c r="N1076" t="s">
        <v>3998</v>
      </c>
      <c r="O1076" t="s">
        <v>3989</v>
      </c>
      <c r="P1076" t="str">
        <f>TRIM(Table13_1[[#This Row],[Genre]])</f>
        <v>Sci-Fi</v>
      </c>
    </row>
    <row r="1077" spans="1:16" x14ac:dyDescent="0.3">
      <c r="A1077" t="s">
        <v>2346</v>
      </c>
      <c r="B1077" t="s">
        <v>2347</v>
      </c>
      <c r="C1077">
        <v>2000</v>
      </c>
      <c r="D1077">
        <v>2000</v>
      </c>
      <c r="E1077" t="s">
        <v>24</v>
      </c>
      <c r="F1077">
        <v>159</v>
      </c>
      <c r="G1077" t="s">
        <v>3999</v>
      </c>
      <c r="H1077" t="s">
        <v>305</v>
      </c>
      <c r="I1077" t="s">
        <v>191</v>
      </c>
      <c r="J1077" t="s">
        <v>2349</v>
      </c>
      <c r="K1077">
        <v>272991</v>
      </c>
      <c r="L1077">
        <v>279.67</v>
      </c>
      <c r="M1077">
        <v>279.67</v>
      </c>
      <c r="N1077" t="s">
        <v>3998</v>
      </c>
      <c r="O1077" t="s">
        <v>78</v>
      </c>
      <c r="P1077" t="str">
        <f>TRIM(Table13_1[[#This Row],[Genre]])</f>
        <v>Adventure</v>
      </c>
    </row>
    <row r="1078" spans="1:16" x14ac:dyDescent="0.3">
      <c r="A1078" t="s">
        <v>2346</v>
      </c>
      <c r="B1078" t="s">
        <v>2347</v>
      </c>
      <c r="C1078">
        <v>2000</v>
      </c>
      <c r="D1078">
        <v>2000</v>
      </c>
      <c r="E1078" t="s">
        <v>24</v>
      </c>
      <c r="F1078">
        <v>159</v>
      </c>
      <c r="G1078" t="s">
        <v>3999</v>
      </c>
      <c r="H1078" t="s">
        <v>305</v>
      </c>
      <c r="I1078" t="s">
        <v>191</v>
      </c>
      <c r="J1078" t="s">
        <v>2349</v>
      </c>
      <c r="K1078">
        <v>272991</v>
      </c>
      <c r="L1078">
        <v>279.67</v>
      </c>
      <c r="M1078">
        <v>279.67</v>
      </c>
      <c r="N1078" t="s">
        <v>3998</v>
      </c>
      <c r="O1078" t="s">
        <v>3981</v>
      </c>
      <c r="P1078" t="str">
        <f>TRIM(Table13_1[[#This Row],[Genre]])</f>
        <v>Romance</v>
      </c>
    </row>
    <row r="1079" spans="1:16" x14ac:dyDescent="0.3">
      <c r="A1079" t="s">
        <v>2350</v>
      </c>
      <c r="B1079" t="s">
        <v>2351</v>
      </c>
      <c r="C1079">
        <v>2000</v>
      </c>
      <c r="D1079">
        <v>2000</v>
      </c>
      <c r="E1079" t="s">
        <v>17</v>
      </c>
      <c r="F1079">
        <v>104</v>
      </c>
      <c r="G1079" t="s">
        <v>3997</v>
      </c>
      <c r="H1079" t="s">
        <v>38</v>
      </c>
      <c r="I1079" t="s">
        <v>251</v>
      </c>
      <c r="J1079" t="s">
        <v>2352</v>
      </c>
      <c r="K1079">
        <v>166873</v>
      </c>
      <c r="L1079">
        <v>260.98</v>
      </c>
      <c r="M1079">
        <v>260.98</v>
      </c>
      <c r="N1079" t="s">
        <v>3998</v>
      </c>
      <c r="O1079" t="s">
        <v>37</v>
      </c>
      <c r="P1079" t="str">
        <f>TRIM(Table13_1[[#This Row],[Genre]])</f>
        <v>Biography</v>
      </c>
    </row>
    <row r="1080" spans="1:16" x14ac:dyDescent="0.3">
      <c r="A1080" t="s">
        <v>2350</v>
      </c>
      <c r="B1080" t="s">
        <v>2351</v>
      </c>
      <c r="C1080">
        <v>2000</v>
      </c>
      <c r="D1080">
        <v>2000</v>
      </c>
      <c r="E1080" t="s">
        <v>17</v>
      </c>
      <c r="F1080">
        <v>104</v>
      </c>
      <c r="G1080" t="s">
        <v>3997</v>
      </c>
      <c r="H1080" t="s">
        <v>38</v>
      </c>
      <c r="I1080" t="s">
        <v>251</v>
      </c>
      <c r="J1080" t="s">
        <v>2352</v>
      </c>
      <c r="K1080">
        <v>166873</v>
      </c>
      <c r="L1080">
        <v>260.98</v>
      </c>
      <c r="M1080">
        <v>260.98</v>
      </c>
      <c r="N1080" t="s">
        <v>3998</v>
      </c>
      <c r="O1080" t="s">
        <v>3989</v>
      </c>
      <c r="P1080" t="str">
        <f>TRIM(Table13_1[[#This Row],[Genre]])</f>
        <v>Sci-Fi</v>
      </c>
    </row>
    <row r="1081" spans="1:16" x14ac:dyDescent="0.3">
      <c r="A1081" t="s">
        <v>2353</v>
      </c>
      <c r="B1081" t="s">
        <v>2354</v>
      </c>
      <c r="C1081">
        <v>2011</v>
      </c>
      <c r="D1081">
        <v>2010</v>
      </c>
      <c r="E1081" t="s">
        <v>24</v>
      </c>
      <c r="F1081">
        <v>115</v>
      </c>
      <c r="G1081" t="s">
        <v>3997</v>
      </c>
      <c r="H1081" t="s">
        <v>2356</v>
      </c>
      <c r="I1081" t="s">
        <v>57</v>
      </c>
      <c r="J1081" t="s">
        <v>2357</v>
      </c>
      <c r="K1081">
        <v>48935</v>
      </c>
      <c r="M1081">
        <v>0</v>
      </c>
      <c r="N1081" t="s">
        <v>4001</v>
      </c>
      <c r="O1081" t="s">
        <v>157</v>
      </c>
      <c r="P1081" t="str">
        <f>TRIM(Table13_1[[#This Row],[Genre]])</f>
        <v>Animation</v>
      </c>
    </row>
    <row r="1082" spans="1:16" x14ac:dyDescent="0.3">
      <c r="A1082" t="s">
        <v>2353</v>
      </c>
      <c r="B1082" t="s">
        <v>2354</v>
      </c>
      <c r="C1082">
        <v>2011</v>
      </c>
      <c r="D1082">
        <v>2010</v>
      </c>
      <c r="E1082" t="s">
        <v>24</v>
      </c>
      <c r="F1082">
        <v>115</v>
      </c>
      <c r="G1082" t="s">
        <v>3997</v>
      </c>
      <c r="H1082" t="s">
        <v>2356</v>
      </c>
      <c r="I1082" t="s">
        <v>57</v>
      </c>
      <c r="J1082" t="s">
        <v>2357</v>
      </c>
      <c r="K1082">
        <v>48935</v>
      </c>
      <c r="M1082">
        <v>0</v>
      </c>
      <c r="N1082" t="s">
        <v>4001</v>
      </c>
      <c r="O1082" t="s">
        <v>3979</v>
      </c>
      <c r="P1082" t="str">
        <f>TRIM(Table13_1[[#This Row],[Genre]])</f>
        <v>War</v>
      </c>
    </row>
    <row r="1083" spans="1:16" x14ac:dyDescent="0.3">
      <c r="A1083" t="s">
        <v>2358</v>
      </c>
      <c r="B1083" t="s">
        <v>2359</v>
      </c>
      <c r="C1083">
        <v>2013</v>
      </c>
      <c r="D1083">
        <v>2010</v>
      </c>
      <c r="E1083" t="s">
        <v>17</v>
      </c>
      <c r="F1083">
        <v>122</v>
      </c>
      <c r="G1083" t="s">
        <v>3999</v>
      </c>
      <c r="H1083" t="s">
        <v>1363</v>
      </c>
      <c r="I1083" t="s">
        <v>159</v>
      </c>
      <c r="J1083" t="s">
        <v>2360</v>
      </c>
      <c r="K1083">
        <v>35343</v>
      </c>
      <c r="L1083">
        <v>14.52</v>
      </c>
      <c r="M1083">
        <v>14.52</v>
      </c>
      <c r="N1083" t="s">
        <v>4001</v>
      </c>
      <c r="O1083" t="s">
        <v>43</v>
      </c>
      <c r="P1083" t="str">
        <f>TRIM(Table13_1[[#This Row],[Genre]])</f>
        <v>Mystery</v>
      </c>
    </row>
    <row r="1084" spans="1:16" x14ac:dyDescent="0.3">
      <c r="A1084" t="s">
        <v>2358</v>
      </c>
      <c r="B1084" t="s">
        <v>2359</v>
      </c>
      <c r="C1084">
        <v>2013</v>
      </c>
      <c r="D1084">
        <v>2010</v>
      </c>
      <c r="E1084" t="s">
        <v>17</v>
      </c>
      <c r="F1084">
        <v>122</v>
      </c>
      <c r="G1084" t="s">
        <v>3999</v>
      </c>
      <c r="H1084" t="s">
        <v>1363</v>
      </c>
      <c r="I1084" t="s">
        <v>159</v>
      </c>
      <c r="J1084" t="s">
        <v>2360</v>
      </c>
      <c r="K1084">
        <v>35343</v>
      </c>
      <c r="L1084">
        <v>14.52</v>
      </c>
      <c r="M1084">
        <v>14.52</v>
      </c>
      <c r="N1084" t="s">
        <v>4001</v>
      </c>
      <c r="O1084" t="s">
        <v>3992</v>
      </c>
      <c r="P1084" t="str">
        <f>TRIM(Table13_1[[#This Row],[Genre]])</f>
        <v>Biography</v>
      </c>
    </row>
    <row r="1085" spans="1:16" x14ac:dyDescent="0.3">
      <c r="A1085" t="s">
        <v>2361</v>
      </c>
      <c r="B1085" t="s">
        <v>2362</v>
      </c>
      <c r="C1085">
        <v>1991</v>
      </c>
      <c r="D1085">
        <v>1990</v>
      </c>
      <c r="E1085" t="s">
        <v>17</v>
      </c>
      <c r="F1085">
        <v>137</v>
      </c>
      <c r="G1085" t="s">
        <v>3999</v>
      </c>
      <c r="H1085" t="s">
        <v>38</v>
      </c>
      <c r="I1085" t="s">
        <v>20</v>
      </c>
      <c r="J1085" t="s">
        <v>2364</v>
      </c>
      <c r="K1085">
        <v>551234</v>
      </c>
      <c r="L1085">
        <v>202.23</v>
      </c>
      <c r="M1085">
        <v>202.23</v>
      </c>
      <c r="N1085" t="s">
        <v>3998</v>
      </c>
      <c r="O1085" t="s">
        <v>37</v>
      </c>
      <c r="P1085" t="str">
        <f>TRIM(Table13_1[[#This Row],[Genre]])</f>
        <v>Biography</v>
      </c>
    </row>
    <row r="1086" spans="1:16" x14ac:dyDescent="0.3">
      <c r="A1086" t="s">
        <v>2361</v>
      </c>
      <c r="B1086" t="s">
        <v>2362</v>
      </c>
      <c r="C1086">
        <v>1991</v>
      </c>
      <c r="D1086">
        <v>1990</v>
      </c>
      <c r="E1086" t="s">
        <v>17</v>
      </c>
      <c r="F1086">
        <v>137</v>
      </c>
      <c r="G1086" t="s">
        <v>3999</v>
      </c>
      <c r="H1086" t="s">
        <v>38</v>
      </c>
      <c r="I1086" t="s">
        <v>20</v>
      </c>
      <c r="J1086" t="s">
        <v>2364</v>
      </c>
      <c r="K1086">
        <v>551234</v>
      </c>
      <c r="L1086">
        <v>202.23</v>
      </c>
      <c r="M1086">
        <v>202.23</v>
      </c>
      <c r="N1086" t="s">
        <v>3998</v>
      </c>
      <c r="O1086" t="s">
        <v>3977</v>
      </c>
      <c r="P1086" t="str">
        <f>TRIM(Table13_1[[#This Row],[Genre]])</f>
        <v>Animation</v>
      </c>
    </row>
    <row r="1087" spans="1:16" x14ac:dyDescent="0.3">
      <c r="A1087" t="s">
        <v>2365</v>
      </c>
      <c r="B1087" t="s">
        <v>2366</v>
      </c>
      <c r="C1087">
        <v>2000</v>
      </c>
      <c r="D1087">
        <v>2000</v>
      </c>
      <c r="E1087" t="s">
        <v>293</v>
      </c>
      <c r="F1087">
        <v>125</v>
      </c>
      <c r="G1087" t="s">
        <v>3999</v>
      </c>
      <c r="H1087" t="s">
        <v>124</v>
      </c>
      <c r="I1087" t="s">
        <v>483</v>
      </c>
      <c r="J1087" t="s">
        <v>2368</v>
      </c>
      <c r="K1087">
        <v>41838</v>
      </c>
      <c r="L1087">
        <v>129.1</v>
      </c>
      <c r="M1087">
        <v>129.1</v>
      </c>
      <c r="N1087" t="s">
        <v>4002</v>
      </c>
      <c r="O1087" t="s">
        <v>230</v>
      </c>
      <c r="P1087" t="str">
        <f>TRIM(Table13_1[[#This Row],[Genre]])</f>
        <v>Documentary</v>
      </c>
    </row>
    <row r="1088" spans="1:16" x14ac:dyDescent="0.3">
      <c r="A1088" t="s">
        <v>2365</v>
      </c>
      <c r="B1088" t="s">
        <v>2366</v>
      </c>
      <c r="C1088">
        <v>2000</v>
      </c>
      <c r="D1088">
        <v>2000</v>
      </c>
      <c r="E1088" t="s">
        <v>293</v>
      </c>
      <c r="F1088">
        <v>125</v>
      </c>
      <c r="G1088" t="s">
        <v>3999</v>
      </c>
      <c r="H1088" t="s">
        <v>124</v>
      </c>
      <c r="I1088" t="s">
        <v>483</v>
      </c>
      <c r="J1088" t="s">
        <v>2368</v>
      </c>
      <c r="K1088">
        <v>41838</v>
      </c>
      <c r="L1088">
        <v>129.1</v>
      </c>
      <c r="M1088">
        <v>129.1</v>
      </c>
      <c r="N1088" t="s">
        <v>4002</v>
      </c>
      <c r="O1088" t="s">
        <v>3979</v>
      </c>
      <c r="P1088" t="str">
        <f>TRIM(Table13_1[[#This Row],[Genre]])</f>
        <v>War</v>
      </c>
    </row>
    <row r="1089" spans="1:16" x14ac:dyDescent="0.3">
      <c r="A1089" t="s">
        <v>2365</v>
      </c>
      <c r="B1089" t="s">
        <v>2366</v>
      </c>
      <c r="C1089">
        <v>2000</v>
      </c>
      <c r="D1089">
        <v>2000</v>
      </c>
      <c r="E1089" t="s">
        <v>293</v>
      </c>
      <c r="F1089">
        <v>125</v>
      </c>
      <c r="G1089" t="s">
        <v>3999</v>
      </c>
      <c r="H1089" t="s">
        <v>124</v>
      </c>
      <c r="I1089" t="s">
        <v>483</v>
      </c>
      <c r="J1089" t="s">
        <v>2368</v>
      </c>
      <c r="K1089">
        <v>41838</v>
      </c>
      <c r="L1089">
        <v>129.1</v>
      </c>
      <c r="M1089">
        <v>129.1</v>
      </c>
      <c r="N1089" t="s">
        <v>4002</v>
      </c>
      <c r="O1089" t="s">
        <v>3987</v>
      </c>
      <c r="P1089" t="str">
        <f>TRIM(Table13_1[[#This Row],[Genre]])</f>
        <v>Fantasy</v>
      </c>
    </row>
    <row r="1090" spans="1:16" x14ac:dyDescent="0.3">
      <c r="A1090" t="s">
        <v>2369</v>
      </c>
      <c r="B1090" t="s">
        <v>2370</v>
      </c>
      <c r="C1090">
        <v>2003</v>
      </c>
      <c r="D1090">
        <v>2000</v>
      </c>
      <c r="E1090" t="s">
        <v>54</v>
      </c>
      <c r="F1090">
        <v>130</v>
      </c>
      <c r="G1090" t="s">
        <v>3999</v>
      </c>
      <c r="H1090" t="s">
        <v>395</v>
      </c>
      <c r="I1090" t="s">
        <v>518</v>
      </c>
      <c r="J1090" t="s">
        <v>2371</v>
      </c>
      <c r="K1090">
        <v>31114</v>
      </c>
      <c r="L1090">
        <v>414.11</v>
      </c>
      <c r="M1090">
        <v>414.11</v>
      </c>
      <c r="N1090" t="s">
        <v>3998</v>
      </c>
      <c r="O1090" t="s">
        <v>277</v>
      </c>
      <c r="P1090" t="str">
        <f>TRIM(Table13_1[[#This Row],[Genre]])</f>
        <v>Thriller</v>
      </c>
    </row>
    <row r="1091" spans="1:16" x14ac:dyDescent="0.3">
      <c r="A1091" t="s">
        <v>2369</v>
      </c>
      <c r="B1091" t="s">
        <v>2370</v>
      </c>
      <c r="C1091">
        <v>2003</v>
      </c>
      <c r="D1091">
        <v>2000</v>
      </c>
      <c r="E1091" t="s">
        <v>54</v>
      </c>
      <c r="F1091">
        <v>130</v>
      </c>
      <c r="G1091" t="s">
        <v>3999</v>
      </c>
      <c r="H1091" t="s">
        <v>395</v>
      </c>
      <c r="I1091" t="s">
        <v>518</v>
      </c>
      <c r="J1091" t="s">
        <v>2371</v>
      </c>
      <c r="K1091">
        <v>31114</v>
      </c>
      <c r="L1091">
        <v>414.11</v>
      </c>
      <c r="M1091">
        <v>414.11</v>
      </c>
      <c r="N1091" t="s">
        <v>3998</v>
      </c>
      <c r="O1091" t="s">
        <v>3980</v>
      </c>
      <c r="P1091" t="str">
        <f>TRIM(Table13_1[[#This Row],[Genre]])</f>
        <v>Action</v>
      </c>
    </row>
    <row r="1092" spans="1:16" x14ac:dyDescent="0.3">
      <c r="A1092" t="s">
        <v>2372</v>
      </c>
      <c r="B1092" t="s">
        <v>2373</v>
      </c>
      <c r="C1092">
        <v>2022</v>
      </c>
      <c r="D1092">
        <v>2020</v>
      </c>
      <c r="E1092" t="s">
        <v>17</v>
      </c>
      <c r="F1092">
        <v>102</v>
      </c>
      <c r="G1092" t="s">
        <v>3997</v>
      </c>
      <c r="H1092" t="s">
        <v>2375</v>
      </c>
      <c r="I1092" t="s">
        <v>20</v>
      </c>
      <c r="J1092" t="s">
        <v>2376</v>
      </c>
      <c r="K1092">
        <v>59060</v>
      </c>
      <c r="L1092">
        <v>87.8</v>
      </c>
      <c r="M1092">
        <v>87.8</v>
      </c>
      <c r="N1092" t="s">
        <v>4001</v>
      </c>
      <c r="O1092" t="s">
        <v>55</v>
      </c>
      <c r="P1092" t="str">
        <f>TRIM(Table13_1[[#This Row],[Genre]])</f>
        <v>Romance</v>
      </c>
    </row>
    <row r="1093" spans="1:16" x14ac:dyDescent="0.3">
      <c r="A1093" t="s">
        <v>2372</v>
      </c>
      <c r="B1093" t="s">
        <v>2373</v>
      </c>
      <c r="C1093">
        <v>2022</v>
      </c>
      <c r="D1093">
        <v>2020</v>
      </c>
      <c r="E1093" t="s">
        <v>17</v>
      </c>
      <c r="F1093">
        <v>102</v>
      </c>
      <c r="G1093" t="s">
        <v>3997</v>
      </c>
      <c r="H1093" t="s">
        <v>2375</v>
      </c>
      <c r="I1093" t="s">
        <v>20</v>
      </c>
      <c r="J1093" t="s">
        <v>2376</v>
      </c>
      <c r="K1093">
        <v>59060</v>
      </c>
      <c r="L1093">
        <v>87.8</v>
      </c>
      <c r="M1093">
        <v>87.8</v>
      </c>
      <c r="N1093" t="s">
        <v>4001</v>
      </c>
      <c r="O1093" t="s">
        <v>3983</v>
      </c>
      <c r="P1093" t="str">
        <f>TRIM(Table13_1[[#This Row],[Genre]])</f>
        <v>Crime</v>
      </c>
    </row>
    <row r="1094" spans="1:16" x14ac:dyDescent="0.3">
      <c r="A1094" t="s">
        <v>2377</v>
      </c>
      <c r="B1094" t="s">
        <v>2378</v>
      </c>
      <c r="C1094">
        <v>1992</v>
      </c>
      <c r="D1094">
        <v>1990</v>
      </c>
      <c r="E1094" t="s">
        <v>169</v>
      </c>
      <c r="F1094">
        <v>132</v>
      </c>
      <c r="G1094" t="s">
        <v>3999</v>
      </c>
      <c r="H1094" t="s">
        <v>2379</v>
      </c>
      <c r="I1094" t="s">
        <v>86</v>
      </c>
      <c r="J1094" t="s">
        <v>2380</v>
      </c>
      <c r="K1094">
        <v>71395</v>
      </c>
      <c r="L1094">
        <v>252.76</v>
      </c>
      <c r="M1094">
        <v>252.76</v>
      </c>
      <c r="N1094" t="s">
        <v>3998</v>
      </c>
      <c r="O1094" t="s">
        <v>37</v>
      </c>
      <c r="P1094" t="str">
        <f>TRIM(Table13_1[[#This Row],[Genre]])</f>
        <v>Biography</v>
      </c>
    </row>
    <row r="1095" spans="1:16" x14ac:dyDescent="0.3">
      <c r="A1095" t="s">
        <v>2381</v>
      </c>
      <c r="B1095" t="s">
        <v>2382</v>
      </c>
      <c r="C1095">
        <v>2010</v>
      </c>
      <c r="D1095">
        <v>2010</v>
      </c>
      <c r="E1095" t="s">
        <v>17</v>
      </c>
      <c r="F1095">
        <v>128</v>
      </c>
      <c r="G1095" t="s">
        <v>3999</v>
      </c>
      <c r="H1095" t="s">
        <v>231</v>
      </c>
      <c r="I1095" t="s">
        <v>221</v>
      </c>
      <c r="J1095" t="s">
        <v>2383</v>
      </c>
      <c r="K1095">
        <v>22874</v>
      </c>
      <c r="L1095">
        <v>113.06</v>
      </c>
      <c r="M1095">
        <v>113.06</v>
      </c>
      <c r="N1095" t="s">
        <v>4002</v>
      </c>
      <c r="O1095" t="s">
        <v>230</v>
      </c>
      <c r="P1095" t="str">
        <f>TRIM(Table13_1[[#This Row],[Genre]])</f>
        <v>Documentary</v>
      </c>
    </row>
    <row r="1096" spans="1:16" x14ac:dyDescent="0.3">
      <c r="A1096" t="s">
        <v>2384</v>
      </c>
      <c r="B1096" t="s">
        <v>2385</v>
      </c>
      <c r="C1096">
        <v>2010</v>
      </c>
      <c r="D1096">
        <v>2010</v>
      </c>
      <c r="E1096" t="s">
        <v>17</v>
      </c>
      <c r="F1096">
        <v>128</v>
      </c>
      <c r="G1096" t="s">
        <v>3999</v>
      </c>
      <c r="H1096" t="s">
        <v>2387</v>
      </c>
      <c r="I1096" t="s">
        <v>718</v>
      </c>
      <c r="J1096" t="s">
        <v>2388</v>
      </c>
      <c r="K1096">
        <v>164274</v>
      </c>
      <c r="L1096">
        <v>143.02000000000001</v>
      </c>
      <c r="M1096">
        <v>143.02000000000001</v>
      </c>
      <c r="N1096" t="s">
        <v>4002</v>
      </c>
      <c r="O1096" t="s">
        <v>375</v>
      </c>
      <c r="P1096" t="str">
        <f>TRIM(Table13_1[[#This Row],[Genre]])</f>
        <v>Family</v>
      </c>
    </row>
    <row r="1097" spans="1:16" x14ac:dyDescent="0.3">
      <c r="A1097" t="s">
        <v>2384</v>
      </c>
      <c r="B1097" t="s">
        <v>2385</v>
      </c>
      <c r="C1097">
        <v>2010</v>
      </c>
      <c r="D1097">
        <v>2010</v>
      </c>
      <c r="E1097" t="s">
        <v>17</v>
      </c>
      <c r="F1097">
        <v>128</v>
      </c>
      <c r="G1097" t="s">
        <v>3999</v>
      </c>
      <c r="H1097" t="s">
        <v>2387</v>
      </c>
      <c r="I1097" t="s">
        <v>718</v>
      </c>
      <c r="J1097" t="s">
        <v>2388</v>
      </c>
      <c r="K1097">
        <v>164274</v>
      </c>
      <c r="L1097">
        <v>143.02000000000001</v>
      </c>
      <c r="M1097">
        <v>143.02000000000001</v>
      </c>
      <c r="N1097" t="s">
        <v>4002</v>
      </c>
      <c r="O1097" t="s">
        <v>3993</v>
      </c>
      <c r="P1097" t="str">
        <f>TRIM(Table13_1[[#This Row],[Genre]])</f>
        <v>Comedy</v>
      </c>
    </row>
    <row r="1098" spans="1:16" x14ac:dyDescent="0.3">
      <c r="A1098" t="s">
        <v>2384</v>
      </c>
      <c r="B1098" t="s">
        <v>2385</v>
      </c>
      <c r="C1098">
        <v>2010</v>
      </c>
      <c r="D1098">
        <v>2010</v>
      </c>
      <c r="E1098" t="s">
        <v>17</v>
      </c>
      <c r="F1098">
        <v>128</v>
      </c>
      <c r="G1098" t="s">
        <v>3999</v>
      </c>
      <c r="H1098" t="s">
        <v>2387</v>
      </c>
      <c r="I1098" t="s">
        <v>718</v>
      </c>
      <c r="J1098" t="s">
        <v>2388</v>
      </c>
      <c r="K1098">
        <v>164274</v>
      </c>
      <c r="L1098">
        <v>143.02000000000001</v>
      </c>
      <c r="M1098">
        <v>143.02000000000001</v>
      </c>
      <c r="N1098" t="s">
        <v>4002</v>
      </c>
      <c r="O1098" t="s">
        <v>3980</v>
      </c>
      <c r="P1098" t="str">
        <f>TRIM(Table13_1[[#This Row],[Genre]])</f>
        <v>Action</v>
      </c>
    </row>
    <row r="1099" spans="1:16" x14ac:dyDescent="0.3">
      <c r="A1099" t="s">
        <v>2389</v>
      </c>
      <c r="B1099" t="s">
        <v>2390</v>
      </c>
      <c r="C1099">
        <v>1992</v>
      </c>
      <c r="D1099">
        <v>1990</v>
      </c>
      <c r="E1099" t="s">
        <v>24</v>
      </c>
      <c r="F1099">
        <v>124</v>
      </c>
      <c r="G1099" t="s">
        <v>3999</v>
      </c>
      <c r="H1099" t="s">
        <v>2391</v>
      </c>
      <c r="I1099" t="s">
        <v>718</v>
      </c>
      <c r="J1099" t="s">
        <v>2392</v>
      </c>
      <c r="K1099">
        <v>69321</v>
      </c>
      <c r="L1099">
        <v>162.47</v>
      </c>
      <c r="M1099">
        <v>162.47</v>
      </c>
      <c r="N1099" t="s">
        <v>4002</v>
      </c>
      <c r="O1099" t="s">
        <v>235</v>
      </c>
      <c r="P1099" t="str">
        <f>TRIM(Table13_1[[#This Row],[Genre]])</f>
        <v>Drama</v>
      </c>
    </row>
    <row r="1100" spans="1:16" x14ac:dyDescent="0.3">
      <c r="A1100" t="s">
        <v>2389</v>
      </c>
      <c r="B1100" t="s">
        <v>2390</v>
      </c>
      <c r="C1100">
        <v>1992</v>
      </c>
      <c r="D1100">
        <v>1990</v>
      </c>
      <c r="E1100" t="s">
        <v>24</v>
      </c>
      <c r="F1100">
        <v>124</v>
      </c>
      <c r="G1100" t="s">
        <v>3999</v>
      </c>
      <c r="H1100" t="s">
        <v>2391</v>
      </c>
      <c r="I1100" t="s">
        <v>718</v>
      </c>
      <c r="J1100" t="s">
        <v>2392</v>
      </c>
      <c r="K1100">
        <v>69321</v>
      </c>
      <c r="L1100">
        <v>162.47</v>
      </c>
      <c r="M1100">
        <v>162.47</v>
      </c>
      <c r="N1100" t="s">
        <v>4002</v>
      </c>
      <c r="O1100" t="s">
        <v>3978</v>
      </c>
      <c r="P1100" t="str">
        <f>TRIM(Table13_1[[#This Row],[Genre]])</f>
        <v>Mystery</v>
      </c>
    </row>
    <row r="1101" spans="1:16" x14ac:dyDescent="0.3">
      <c r="A1101" t="s">
        <v>2393</v>
      </c>
      <c r="B1101" t="s">
        <v>2394</v>
      </c>
      <c r="C1101">
        <v>2017</v>
      </c>
      <c r="D1101">
        <v>2010</v>
      </c>
      <c r="E1101" t="s">
        <v>24</v>
      </c>
      <c r="F1101">
        <v>70</v>
      </c>
      <c r="G1101" t="s">
        <v>4000</v>
      </c>
      <c r="H1101" t="s">
        <v>278</v>
      </c>
      <c r="I1101" t="s">
        <v>92</v>
      </c>
      <c r="J1101" t="s">
        <v>2396</v>
      </c>
      <c r="K1101">
        <v>854590</v>
      </c>
      <c r="L1101">
        <v>435.31</v>
      </c>
      <c r="M1101">
        <v>435.31</v>
      </c>
      <c r="N1101" t="s">
        <v>3998</v>
      </c>
      <c r="O1101" t="s">
        <v>277</v>
      </c>
      <c r="P1101" t="str">
        <f>TRIM(Table13_1[[#This Row],[Genre]])</f>
        <v>Thriller</v>
      </c>
    </row>
    <row r="1102" spans="1:16" x14ac:dyDescent="0.3">
      <c r="A1102" t="s">
        <v>2393</v>
      </c>
      <c r="B1102" t="s">
        <v>2394</v>
      </c>
      <c r="C1102">
        <v>2017</v>
      </c>
      <c r="D1102">
        <v>2010</v>
      </c>
      <c r="E1102" t="s">
        <v>24</v>
      </c>
      <c r="F1102">
        <v>70</v>
      </c>
      <c r="G1102" t="s">
        <v>4000</v>
      </c>
      <c r="H1102" t="s">
        <v>278</v>
      </c>
      <c r="I1102" t="s">
        <v>92</v>
      </c>
      <c r="J1102" t="s">
        <v>2396</v>
      </c>
      <c r="K1102">
        <v>854590</v>
      </c>
      <c r="L1102">
        <v>435.31</v>
      </c>
      <c r="M1102">
        <v>435.31</v>
      </c>
      <c r="N1102" t="s">
        <v>3998</v>
      </c>
      <c r="O1102" t="s">
        <v>3977</v>
      </c>
      <c r="P1102" t="str">
        <f>TRIM(Table13_1[[#This Row],[Genre]])</f>
        <v>Animation</v>
      </c>
    </row>
    <row r="1103" spans="1:16" x14ac:dyDescent="0.3">
      <c r="A1103" t="s">
        <v>2393</v>
      </c>
      <c r="B1103" t="s">
        <v>2394</v>
      </c>
      <c r="C1103">
        <v>2017</v>
      </c>
      <c r="D1103">
        <v>2010</v>
      </c>
      <c r="E1103" t="s">
        <v>24</v>
      </c>
      <c r="F1103">
        <v>70</v>
      </c>
      <c r="G1103" t="s">
        <v>4000</v>
      </c>
      <c r="H1103" t="s">
        <v>278</v>
      </c>
      <c r="I1103" t="s">
        <v>92</v>
      </c>
      <c r="J1103" t="s">
        <v>2396</v>
      </c>
      <c r="K1103">
        <v>854590</v>
      </c>
      <c r="L1103">
        <v>435.31</v>
      </c>
      <c r="M1103">
        <v>435.31</v>
      </c>
      <c r="N1103" t="s">
        <v>3998</v>
      </c>
      <c r="O1103" t="s">
        <v>3985</v>
      </c>
      <c r="P1103" t="str">
        <f>TRIM(Table13_1[[#This Row],[Genre]])</f>
        <v>Horror</v>
      </c>
    </row>
    <row r="1104" spans="1:16" x14ac:dyDescent="0.3">
      <c r="A1104" t="s">
        <v>2397</v>
      </c>
      <c r="B1104" t="s">
        <v>2398</v>
      </c>
      <c r="C1104">
        <v>2011</v>
      </c>
      <c r="D1104">
        <v>2010</v>
      </c>
      <c r="E1104" t="s">
        <v>169</v>
      </c>
      <c r="F1104">
        <v>134</v>
      </c>
      <c r="G1104" t="s">
        <v>3999</v>
      </c>
      <c r="H1104" t="s">
        <v>124</v>
      </c>
      <c r="I1104" t="s">
        <v>119</v>
      </c>
      <c r="J1104" t="s">
        <v>2399</v>
      </c>
      <c r="K1104">
        <v>14315</v>
      </c>
      <c r="L1104">
        <v>392.17</v>
      </c>
      <c r="M1104">
        <v>392.17</v>
      </c>
      <c r="N1104" t="s">
        <v>3998</v>
      </c>
      <c r="O1104" t="s">
        <v>230</v>
      </c>
      <c r="P1104" t="str">
        <f>TRIM(Table13_1[[#This Row],[Genre]])</f>
        <v>Documentary</v>
      </c>
    </row>
    <row r="1105" spans="1:16" x14ac:dyDescent="0.3">
      <c r="A1105" t="s">
        <v>2397</v>
      </c>
      <c r="B1105" t="s">
        <v>2398</v>
      </c>
      <c r="C1105">
        <v>2011</v>
      </c>
      <c r="D1105">
        <v>2010</v>
      </c>
      <c r="E1105" t="s">
        <v>169</v>
      </c>
      <c r="F1105">
        <v>134</v>
      </c>
      <c r="G1105" t="s">
        <v>3999</v>
      </c>
      <c r="H1105" t="s">
        <v>124</v>
      </c>
      <c r="I1105" t="s">
        <v>119</v>
      </c>
      <c r="J1105" t="s">
        <v>2399</v>
      </c>
      <c r="K1105">
        <v>14315</v>
      </c>
      <c r="L1105">
        <v>392.17</v>
      </c>
      <c r="M1105">
        <v>392.17</v>
      </c>
      <c r="N1105" t="s">
        <v>3998</v>
      </c>
      <c r="O1105" t="s">
        <v>3982</v>
      </c>
      <c r="P1105" t="str">
        <f>TRIM(Table13_1[[#This Row],[Genre]])</f>
        <v>Family</v>
      </c>
    </row>
    <row r="1106" spans="1:16" x14ac:dyDescent="0.3">
      <c r="A1106" t="s">
        <v>2400</v>
      </c>
      <c r="B1106" t="s">
        <v>2401</v>
      </c>
      <c r="C1106">
        <v>2002</v>
      </c>
      <c r="D1106">
        <v>2000</v>
      </c>
      <c r="E1106" t="s">
        <v>24</v>
      </c>
      <c r="F1106">
        <v>160</v>
      </c>
      <c r="G1106" t="s">
        <v>3999</v>
      </c>
      <c r="H1106" t="s">
        <v>2403</v>
      </c>
      <c r="I1106" t="s">
        <v>63</v>
      </c>
      <c r="J1106" t="s">
        <v>2404</v>
      </c>
      <c r="K1106">
        <v>45023</v>
      </c>
      <c r="L1106">
        <v>239.54</v>
      </c>
      <c r="M1106">
        <v>239.54</v>
      </c>
      <c r="N1106" t="s">
        <v>3998</v>
      </c>
      <c r="O1106" t="s">
        <v>48</v>
      </c>
      <c r="P1106" t="str">
        <f>TRIM(Table13_1[[#This Row],[Genre]])</f>
        <v>Crime</v>
      </c>
    </row>
    <row r="1107" spans="1:16" x14ac:dyDescent="0.3">
      <c r="A1107" t="s">
        <v>2400</v>
      </c>
      <c r="B1107" t="s">
        <v>2401</v>
      </c>
      <c r="C1107">
        <v>2002</v>
      </c>
      <c r="D1107">
        <v>2000</v>
      </c>
      <c r="E1107" t="s">
        <v>24</v>
      </c>
      <c r="F1107">
        <v>160</v>
      </c>
      <c r="G1107" t="s">
        <v>3999</v>
      </c>
      <c r="H1107" t="s">
        <v>2403</v>
      </c>
      <c r="I1107" t="s">
        <v>63</v>
      </c>
      <c r="J1107" t="s">
        <v>2404</v>
      </c>
      <c r="K1107">
        <v>45023</v>
      </c>
      <c r="L1107">
        <v>239.54</v>
      </c>
      <c r="M1107">
        <v>239.54</v>
      </c>
      <c r="N1107" t="s">
        <v>3998</v>
      </c>
      <c r="O1107" t="s">
        <v>3993</v>
      </c>
      <c r="P1107" t="str">
        <f>TRIM(Table13_1[[#This Row],[Genre]])</f>
        <v>Comedy</v>
      </c>
    </row>
    <row r="1108" spans="1:16" x14ac:dyDescent="0.3">
      <c r="A1108" t="s">
        <v>2405</v>
      </c>
      <c r="B1108" t="s">
        <v>2406</v>
      </c>
      <c r="C1108">
        <v>1991</v>
      </c>
      <c r="D1108">
        <v>1990</v>
      </c>
      <c r="E1108" t="s">
        <v>24</v>
      </c>
      <c r="F1108">
        <v>86</v>
      </c>
      <c r="G1108" t="s">
        <v>4000</v>
      </c>
      <c r="H1108" t="s">
        <v>673</v>
      </c>
      <c r="I1108" t="s">
        <v>80</v>
      </c>
      <c r="J1108" t="s">
        <v>2407</v>
      </c>
      <c r="K1108">
        <v>9734</v>
      </c>
      <c r="L1108">
        <v>124.61</v>
      </c>
      <c r="M1108">
        <v>124.61</v>
      </c>
      <c r="N1108" t="s">
        <v>4002</v>
      </c>
      <c r="O1108" t="s">
        <v>235</v>
      </c>
      <c r="P1108" t="str">
        <f>TRIM(Table13_1[[#This Row],[Genre]])</f>
        <v>Drama</v>
      </c>
    </row>
    <row r="1109" spans="1:16" x14ac:dyDescent="0.3">
      <c r="A1109" t="s">
        <v>2408</v>
      </c>
      <c r="B1109" t="s">
        <v>2409</v>
      </c>
      <c r="C1109">
        <v>2019</v>
      </c>
      <c r="D1109">
        <v>2010</v>
      </c>
      <c r="E1109" t="s">
        <v>17</v>
      </c>
      <c r="F1109">
        <v>103</v>
      </c>
      <c r="G1109" t="s">
        <v>3997</v>
      </c>
      <c r="H1109" t="s">
        <v>269</v>
      </c>
      <c r="I1109" t="s">
        <v>159</v>
      </c>
      <c r="J1109" t="s">
        <v>2410</v>
      </c>
      <c r="K1109">
        <v>20462</v>
      </c>
      <c r="L1109">
        <v>411.63</v>
      </c>
      <c r="M1109">
        <v>411.63</v>
      </c>
      <c r="N1109" t="s">
        <v>3998</v>
      </c>
      <c r="O1109" t="s">
        <v>453</v>
      </c>
      <c r="P1109" t="str">
        <f>TRIM(Table13_1[[#This Row],[Genre]])</f>
        <v>Musical</v>
      </c>
    </row>
    <row r="1110" spans="1:16" x14ac:dyDescent="0.3">
      <c r="A1110" t="s">
        <v>2408</v>
      </c>
      <c r="B1110" t="s">
        <v>2409</v>
      </c>
      <c r="C1110">
        <v>2019</v>
      </c>
      <c r="D1110">
        <v>2010</v>
      </c>
      <c r="E1110" t="s">
        <v>17</v>
      </c>
      <c r="F1110">
        <v>103</v>
      </c>
      <c r="G1110" t="s">
        <v>3997</v>
      </c>
      <c r="H1110" t="s">
        <v>269</v>
      </c>
      <c r="I1110" t="s">
        <v>159</v>
      </c>
      <c r="J1110" t="s">
        <v>2410</v>
      </c>
      <c r="K1110">
        <v>20462</v>
      </c>
      <c r="L1110">
        <v>411.63</v>
      </c>
      <c r="M1110">
        <v>411.63</v>
      </c>
      <c r="N1110" t="s">
        <v>3998</v>
      </c>
      <c r="O1110" t="s">
        <v>3988</v>
      </c>
      <c r="P1110" t="str">
        <f>TRIM(Table13_1[[#This Row],[Genre]])</f>
        <v>Drama</v>
      </c>
    </row>
    <row r="1111" spans="1:16" x14ac:dyDescent="0.3">
      <c r="A1111" t="s">
        <v>2411</v>
      </c>
      <c r="B1111" t="s">
        <v>2412</v>
      </c>
      <c r="C1111">
        <v>2016</v>
      </c>
      <c r="D1111">
        <v>2010</v>
      </c>
      <c r="E1111" t="s">
        <v>17</v>
      </c>
      <c r="F1111">
        <v>164</v>
      </c>
      <c r="G1111" t="s">
        <v>3999</v>
      </c>
      <c r="H1111" t="s">
        <v>613</v>
      </c>
      <c r="I1111" t="s">
        <v>74</v>
      </c>
      <c r="J1111" t="s">
        <v>2413</v>
      </c>
      <c r="K1111">
        <v>93287</v>
      </c>
      <c r="L1111">
        <v>378.74</v>
      </c>
      <c r="M1111">
        <v>378.74</v>
      </c>
      <c r="N1111" t="s">
        <v>3998</v>
      </c>
      <c r="O1111" t="s">
        <v>1044</v>
      </c>
      <c r="P1111" t="str">
        <f>TRIM(Table13_1[[#This Row],[Genre]])</f>
        <v>Comedy</v>
      </c>
    </row>
    <row r="1112" spans="1:16" x14ac:dyDescent="0.3">
      <c r="A1112" t="s">
        <v>2414</v>
      </c>
      <c r="B1112" t="s">
        <v>2415</v>
      </c>
      <c r="C1112">
        <v>2007</v>
      </c>
      <c r="D1112">
        <v>2000</v>
      </c>
      <c r="E1112" t="s">
        <v>54</v>
      </c>
      <c r="F1112">
        <v>100</v>
      </c>
      <c r="G1112" t="s">
        <v>3997</v>
      </c>
      <c r="H1112" t="s">
        <v>748</v>
      </c>
      <c r="I1112" t="s">
        <v>368</v>
      </c>
      <c r="J1112" t="s">
        <v>2417</v>
      </c>
      <c r="K1112">
        <v>68875</v>
      </c>
      <c r="M1112">
        <v>0</v>
      </c>
      <c r="N1112" t="s">
        <v>4001</v>
      </c>
      <c r="O1112" t="s">
        <v>157</v>
      </c>
      <c r="P1112" t="str">
        <f>TRIM(Table13_1[[#This Row],[Genre]])</f>
        <v>Animation</v>
      </c>
    </row>
    <row r="1113" spans="1:16" x14ac:dyDescent="0.3">
      <c r="A1113" t="s">
        <v>2414</v>
      </c>
      <c r="B1113" t="s">
        <v>2415</v>
      </c>
      <c r="C1113">
        <v>2007</v>
      </c>
      <c r="D1113">
        <v>2000</v>
      </c>
      <c r="E1113" t="s">
        <v>54</v>
      </c>
      <c r="F1113">
        <v>100</v>
      </c>
      <c r="G1113" t="s">
        <v>3997</v>
      </c>
      <c r="H1113" t="s">
        <v>748</v>
      </c>
      <c r="I1113" t="s">
        <v>368</v>
      </c>
      <c r="J1113" t="s">
        <v>2417</v>
      </c>
      <c r="K1113">
        <v>68875</v>
      </c>
      <c r="M1113">
        <v>0</v>
      </c>
      <c r="N1113" t="s">
        <v>4001</v>
      </c>
      <c r="O1113" t="s">
        <v>3976</v>
      </c>
      <c r="P1113" t="str">
        <f>TRIM(Table13_1[[#This Row],[Genre]])</f>
        <v>Musical</v>
      </c>
    </row>
    <row r="1114" spans="1:16" x14ac:dyDescent="0.3">
      <c r="A1114" t="s">
        <v>2418</v>
      </c>
      <c r="B1114" t="s">
        <v>2419</v>
      </c>
      <c r="C1114">
        <v>2017</v>
      </c>
      <c r="D1114">
        <v>2010</v>
      </c>
      <c r="E1114" t="s">
        <v>17</v>
      </c>
      <c r="F1114">
        <v>144</v>
      </c>
      <c r="G1114" t="s">
        <v>3999</v>
      </c>
      <c r="H1114" t="s">
        <v>2420</v>
      </c>
      <c r="I1114" t="s">
        <v>119</v>
      </c>
      <c r="J1114" t="s">
        <v>2421</v>
      </c>
      <c r="K1114">
        <v>249489</v>
      </c>
      <c r="M1114">
        <v>0</v>
      </c>
      <c r="N1114" t="s">
        <v>4001</v>
      </c>
      <c r="O1114" t="s">
        <v>767</v>
      </c>
      <c r="P1114" t="str">
        <f>TRIM(Table13_1[[#This Row],[Genre]])</f>
        <v>Fantasy</v>
      </c>
    </row>
    <row r="1115" spans="1:16" x14ac:dyDescent="0.3">
      <c r="A1115" t="s">
        <v>2418</v>
      </c>
      <c r="B1115" t="s">
        <v>2419</v>
      </c>
      <c r="C1115">
        <v>2017</v>
      </c>
      <c r="D1115">
        <v>2010</v>
      </c>
      <c r="E1115" t="s">
        <v>17</v>
      </c>
      <c r="F1115">
        <v>144</v>
      </c>
      <c r="G1115" t="s">
        <v>3999</v>
      </c>
      <c r="H1115" t="s">
        <v>2420</v>
      </c>
      <c r="I1115" t="s">
        <v>119</v>
      </c>
      <c r="J1115" t="s">
        <v>2421</v>
      </c>
      <c r="K1115">
        <v>249489</v>
      </c>
      <c r="M1115">
        <v>0</v>
      </c>
      <c r="N1115" t="s">
        <v>4001</v>
      </c>
      <c r="O1115" t="s">
        <v>3980</v>
      </c>
      <c r="P1115" t="str">
        <f>TRIM(Table13_1[[#This Row],[Genre]])</f>
        <v>Action</v>
      </c>
    </row>
    <row r="1116" spans="1:16" x14ac:dyDescent="0.3">
      <c r="A1116" t="s">
        <v>2422</v>
      </c>
      <c r="B1116" t="s">
        <v>2423</v>
      </c>
      <c r="C1116">
        <v>2002</v>
      </c>
      <c r="D1116">
        <v>2000</v>
      </c>
      <c r="E1116" t="s">
        <v>17</v>
      </c>
      <c r="F1116">
        <v>133</v>
      </c>
      <c r="G1116" t="s">
        <v>3999</v>
      </c>
      <c r="H1116" t="s">
        <v>278</v>
      </c>
      <c r="I1116" t="s">
        <v>236</v>
      </c>
      <c r="J1116" t="s">
        <v>2424</v>
      </c>
      <c r="K1116">
        <v>955466</v>
      </c>
      <c r="L1116">
        <v>385.56</v>
      </c>
      <c r="M1116">
        <v>385.56</v>
      </c>
      <c r="N1116" t="s">
        <v>3998</v>
      </c>
      <c r="O1116" t="s">
        <v>277</v>
      </c>
      <c r="P1116" t="str">
        <f>TRIM(Table13_1[[#This Row],[Genre]])</f>
        <v>Thriller</v>
      </c>
    </row>
    <row r="1117" spans="1:16" x14ac:dyDescent="0.3">
      <c r="A1117" t="s">
        <v>2425</v>
      </c>
      <c r="B1117" t="s">
        <v>2426</v>
      </c>
      <c r="C1117">
        <v>2023</v>
      </c>
      <c r="D1117">
        <v>2020</v>
      </c>
      <c r="E1117" t="s">
        <v>24</v>
      </c>
      <c r="F1117">
        <v>117</v>
      </c>
      <c r="G1117" t="s">
        <v>3997</v>
      </c>
      <c r="H1117" t="s">
        <v>124</v>
      </c>
      <c r="I1117" t="s">
        <v>608</v>
      </c>
      <c r="J1117" t="s">
        <v>2428</v>
      </c>
      <c r="K1117">
        <v>34371</v>
      </c>
      <c r="L1117">
        <v>385.32</v>
      </c>
      <c r="M1117">
        <v>385.32</v>
      </c>
      <c r="N1117" t="s">
        <v>3998</v>
      </c>
      <c r="O1117" t="s">
        <v>230</v>
      </c>
      <c r="P1117" t="str">
        <f>TRIM(Table13_1[[#This Row],[Genre]])</f>
        <v>Documentary</v>
      </c>
    </row>
    <row r="1118" spans="1:16" x14ac:dyDescent="0.3">
      <c r="A1118" t="s">
        <v>2425</v>
      </c>
      <c r="B1118" t="s">
        <v>2426</v>
      </c>
      <c r="C1118">
        <v>2023</v>
      </c>
      <c r="D1118">
        <v>2020</v>
      </c>
      <c r="E1118" t="s">
        <v>24</v>
      </c>
      <c r="F1118">
        <v>117</v>
      </c>
      <c r="G1118" t="s">
        <v>3997</v>
      </c>
      <c r="H1118" t="s">
        <v>124</v>
      </c>
      <c r="I1118" t="s">
        <v>608</v>
      </c>
      <c r="J1118" t="s">
        <v>2428</v>
      </c>
      <c r="K1118">
        <v>34371</v>
      </c>
      <c r="L1118">
        <v>385.32</v>
      </c>
      <c r="M1118">
        <v>385.32</v>
      </c>
      <c r="N1118" t="s">
        <v>3998</v>
      </c>
      <c r="O1118" t="s">
        <v>3993</v>
      </c>
      <c r="P1118" t="str">
        <f>TRIM(Table13_1[[#This Row],[Genre]])</f>
        <v>Comedy</v>
      </c>
    </row>
    <row r="1119" spans="1:16" x14ac:dyDescent="0.3">
      <c r="A1119" t="s">
        <v>2425</v>
      </c>
      <c r="B1119" t="s">
        <v>2426</v>
      </c>
      <c r="C1119">
        <v>2023</v>
      </c>
      <c r="D1119">
        <v>2020</v>
      </c>
      <c r="E1119" t="s">
        <v>24</v>
      </c>
      <c r="F1119">
        <v>117</v>
      </c>
      <c r="G1119" t="s">
        <v>3997</v>
      </c>
      <c r="H1119" t="s">
        <v>124</v>
      </c>
      <c r="I1119" t="s">
        <v>608</v>
      </c>
      <c r="J1119" t="s">
        <v>2428</v>
      </c>
      <c r="K1119">
        <v>34371</v>
      </c>
      <c r="L1119">
        <v>385.32</v>
      </c>
      <c r="M1119">
        <v>385.32</v>
      </c>
      <c r="N1119" t="s">
        <v>3998</v>
      </c>
      <c r="O1119" t="s">
        <v>3989</v>
      </c>
      <c r="P1119" t="str">
        <f>TRIM(Table13_1[[#This Row],[Genre]])</f>
        <v>Sci-Fi</v>
      </c>
    </row>
    <row r="1120" spans="1:16" x14ac:dyDescent="0.3">
      <c r="A1120" t="s">
        <v>2429</v>
      </c>
      <c r="B1120" t="s">
        <v>2430</v>
      </c>
      <c r="C1120">
        <v>2011</v>
      </c>
      <c r="D1120">
        <v>2010</v>
      </c>
      <c r="E1120" t="s">
        <v>17</v>
      </c>
      <c r="F1120">
        <v>125</v>
      </c>
      <c r="G1120" t="s">
        <v>3999</v>
      </c>
      <c r="H1120" t="s">
        <v>226</v>
      </c>
      <c r="I1120" t="s">
        <v>518</v>
      </c>
      <c r="J1120" t="s">
        <v>2431</v>
      </c>
      <c r="K1120">
        <v>82625</v>
      </c>
      <c r="L1120">
        <v>81.84</v>
      </c>
      <c r="M1120">
        <v>81.84</v>
      </c>
      <c r="N1120" t="s">
        <v>4001</v>
      </c>
      <c r="O1120" t="s">
        <v>1044</v>
      </c>
      <c r="P1120" t="str">
        <f>TRIM(Table13_1[[#This Row],[Genre]])</f>
        <v>Comedy</v>
      </c>
    </row>
    <row r="1121" spans="1:16" x14ac:dyDescent="0.3">
      <c r="A1121" t="s">
        <v>2429</v>
      </c>
      <c r="B1121" t="s">
        <v>2430</v>
      </c>
      <c r="C1121">
        <v>2011</v>
      </c>
      <c r="D1121">
        <v>2010</v>
      </c>
      <c r="E1121" t="s">
        <v>17</v>
      </c>
      <c r="F1121">
        <v>125</v>
      </c>
      <c r="G1121" t="s">
        <v>3999</v>
      </c>
      <c r="H1121" t="s">
        <v>226</v>
      </c>
      <c r="I1121" t="s">
        <v>518</v>
      </c>
      <c r="J1121" t="s">
        <v>2431</v>
      </c>
      <c r="K1121">
        <v>82625</v>
      </c>
      <c r="L1121">
        <v>81.84</v>
      </c>
      <c r="M1121">
        <v>81.84</v>
      </c>
      <c r="N1121" t="s">
        <v>4001</v>
      </c>
      <c r="O1121" t="s">
        <v>3977</v>
      </c>
      <c r="P1121" t="str">
        <f>TRIM(Table13_1[[#This Row],[Genre]])</f>
        <v>Animation</v>
      </c>
    </row>
    <row r="1122" spans="1:16" x14ac:dyDescent="0.3">
      <c r="A1122" t="s">
        <v>2432</v>
      </c>
      <c r="B1122" t="s">
        <v>2433</v>
      </c>
      <c r="C1122">
        <v>2017</v>
      </c>
      <c r="D1122">
        <v>2010</v>
      </c>
      <c r="E1122" t="s">
        <v>285</v>
      </c>
      <c r="F1122">
        <v>116</v>
      </c>
      <c r="G1122" t="s">
        <v>3997</v>
      </c>
      <c r="H1122" t="s">
        <v>1056</v>
      </c>
      <c r="I1122" t="s">
        <v>524</v>
      </c>
      <c r="J1122" t="s">
        <v>2435</v>
      </c>
      <c r="K1122">
        <v>68708</v>
      </c>
      <c r="M1122">
        <v>0</v>
      </c>
      <c r="N1122" t="s">
        <v>4001</v>
      </c>
      <c r="O1122" t="s">
        <v>55</v>
      </c>
      <c r="P1122" t="str">
        <f>TRIM(Table13_1[[#This Row],[Genre]])</f>
        <v>Romance</v>
      </c>
    </row>
    <row r="1123" spans="1:16" x14ac:dyDescent="0.3">
      <c r="A1123" t="s">
        <v>2432</v>
      </c>
      <c r="B1123" t="s">
        <v>2433</v>
      </c>
      <c r="C1123">
        <v>2017</v>
      </c>
      <c r="D1123">
        <v>2010</v>
      </c>
      <c r="E1123" t="s">
        <v>285</v>
      </c>
      <c r="F1123">
        <v>116</v>
      </c>
      <c r="G1123" t="s">
        <v>3997</v>
      </c>
      <c r="H1123" t="s">
        <v>1056</v>
      </c>
      <c r="I1123" t="s">
        <v>524</v>
      </c>
      <c r="J1123" t="s">
        <v>2435</v>
      </c>
      <c r="K1123">
        <v>68708</v>
      </c>
      <c r="M1123">
        <v>0</v>
      </c>
      <c r="N1123" t="s">
        <v>4001</v>
      </c>
      <c r="O1123" t="s">
        <v>3988</v>
      </c>
      <c r="P1123" t="str">
        <f>TRIM(Table13_1[[#This Row],[Genre]])</f>
        <v>Drama</v>
      </c>
    </row>
    <row r="1124" spans="1:16" x14ac:dyDescent="0.3">
      <c r="A1124" t="s">
        <v>2432</v>
      </c>
      <c r="B1124" t="s">
        <v>2433</v>
      </c>
      <c r="C1124">
        <v>2017</v>
      </c>
      <c r="D1124">
        <v>2010</v>
      </c>
      <c r="E1124" t="s">
        <v>285</v>
      </c>
      <c r="F1124">
        <v>116</v>
      </c>
      <c r="G1124" t="s">
        <v>3997</v>
      </c>
      <c r="H1124" t="s">
        <v>1056</v>
      </c>
      <c r="I1124" t="s">
        <v>524</v>
      </c>
      <c r="J1124" t="s">
        <v>2435</v>
      </c>
      <c r="K1124">
        <v>68708</v>
      </c>
      <c r="M1124">
        <v>0</v>
      </c>
      <c r="N1124" t="s">
        <v>4001</v>
      </c>
      <c r="O1124" t="s">
        <v>3992</v>
      </c>
      <c r="P1124" t="str">
        <f>TRIM(Table13_1[[#This Row],[Genre]])</f>
        <v>Biography</v>
      </c>
    </row>
    <row r="1125" spans="1:16" x14ac:dyDescent="0.3">
      <c r="A1125" t="s">
        <v>2436</v>
      </c>
      <c r="B1125" t="s">
        <v>2437</v>
      </c>
      <c r="C1125">
        <v>2012</v>
      </c>
      <c r="D1125">
        <v>2010</v>
      </c>
      <c r="E1125" t="s">
        <v>17</v>
      </c>
      <c r="F1125">
        <v>158</v>
      </c>
      <c r="G1125" t="s">
        <v>3999</v>
      </c>
      <c r="H1125" t="s">
        <v>2438</v>
      </c>
      <c r="I1125" t="s">
        <v>524</v>
      </c>
      <c r="J1125" t="s">
        <v>2439</v>
      </c>
      <c r="K1125">
        <v>20689</v>
      </c>
      <c r="M1125">
        <v>0</v>
      </c>
      <c r="N1125" t="s">
        <v>4001</v>
      </c>
      <c r="O1125" t="s">
        <v>1044</v>
      </c>
      <c r="P1125" t="str">
        <f>TRIM(Table13_1[[#This Row],[Genre]])</f>
        <v>Comedy</v>
      </c>
    </row>
    <row r="1126" spans="1:16" x14ac:dyDescent="0.3">
      <c r="A1126" t="s">
        <v>2436</v>
      </c>
      <c r="B1126" t="s">
        <v>2437</v>
      </c>
      <c r="C1126">
        <v>2012</v>
      </c>
      <c r="D1126">
        <v>2010</v>
      </c>
      <c r="E1126" t="s">
        <v>17</v>
      </c>
      <c r="F1126">
        <v>158</v>
      </c>
      <c r="G1126" t="s">
        <v>3999</v>
      </c>
      <c r="H1126" t="s">
        <v>2438</v>
      </c>
      <c r="I1126" t="s">
        <v>524</v>
      </c>
      <c r="J1126" t="s">
        <v>2439</v>
      </c>
      <c r="K1126">
        <v>20689</v>
      </c>
      <c r="M1126">
        <v>0</v>
      </c>
      <c r="N1126" t="s">
        <v>4001</v>
      </c>
      <c r="O1126" t="s">
        <v>3980</v>
      </c>
      <c r="P1126" t="str">
        <f>TRIM(Table13_1[[#This Row],[Genre]])</f>
        <v>Action</v>
      </c>
    </row>
    <row r="1127" spans="1:16" x14ac:dyDescent="0.3">
      <c r="A1127" t="s">
        <v>2440</v>
      </c>
      <c r="B1127" t="s">
        <v>2441</v>
      </c>
      <c r="C1127">
        <v>2002</v>
      </c>
      <c r="D1127">
        <v>2000</v>
      </c>
      <c r="E1127" t="s">
        <v>54</v>
      </c>
      <c r="F1127">
        <v>147</v>
      </c>
      <c r="G1127" t="s">
        <v>3999</v>
      </c>
      <c r="H1127" t="s">
        <v>431</v>
      </c>
      <c r="I1127" t="s">
        <v>524</v>
      </c>
      <c r="J1127" t="s">
        <v>2442</v>
      </c>
      <c r="K1127">
        <v>250023</v>
      </c>
      <c r="M1127">
        <v>0</v>
      </c>
      <c r="N1127" t="s">
        <v>4001</v>
      </c>
      <c r="O1127" t="s">
        <v>210</v>
      </c>
      <c r="P1127" t="str">
        <f>TRIM(Table13_1[[#This Row],[Genre]])</f>
        <v>Action</v>
      </c>
    </row>
    <row r="1128" spans="1:16" x14ac:dyDescent="0.3">
      <c r="A1128" t="s">
        <v>2443</v>
      </c>
      <c r="B1128" t="s">
        <v>2444</v>
      </c>
      <c r="C1128">
        <v>2015</v>
      </c>
      <c r="D1128">
        <v>2010</v>
      </c>
      <c r="E1128" t="s">
        <v>17</v>
      </c>
      <c r="F1128">
        <v>171</v>
      </c>
      <c r="G1128" t="s">
        <v>3999</v>
      </c>
      <c r="H1128" t="s">
        <v>852</v>
      </c>
      <c r="I1128" t="s">
        <v>50</v>
      </c>
      <c r="J1128" t="s">
        <v>2446</v>
      </c>
      <c r="K1128">
        <v>335678</v>
      </c>
      <c r="L1128">
        <v>244.54</v>
      </c>
      <c r="M1128">
        <v>244.54</v>
      </c>
      <c r="N1128" t="s">
        <v>3998</v>
      </c>
      <c r="O1128" t="s">
        <v>55</v>
      </c>
      <c r="P1128" t="str">
        <f>TRIM(Table13_1[[#This Row],[Genre]])</f>
        <v>Romance</v>
      </c>
    </row>
    <row r="1129" spans="1:16" x14ac:dyDescent="0.3">
      <c r="A1129" t="s">
        <v>2443</v>
      </c>
      <c r="B1129" t="s">
        <v>2444</v>
      </c>
      <c r="C1129">
        <v>2015</v>
      </c>
      <c r="D1129">
        <v>2010</v>
      </c>
      <c r="E1129" t="s">
        <v>17</v>
      </c>
      <c r="F1129">
        <v>171</v>
      </c>
      <c r="G1129" t="s">
        <v>3999</v>
      </c>
      <c r="H1129" t="s">
        <v>852</v>
      </c>
      <c r="I1129" t="s">
        <v>50</v>
      </c>
      <c r="J1129" t="s">
        <v>2446</v>
      </c>
      <c r="K1129">
        <v>335678</v>
      </c>
      <c r="L1129">
        <v>244.54</v>
      </c>
      <c r="M1129">
        <v>244.54</v>
      </c>
      <c r="N1129" t="s">
        <v>3998</v>
      </c>
      <c r="O1129" t="s">
        <v>3992</v>
      </c>
      <c r="P1129" t="str">
        <f>TRIM(Table13_1[[#This Row],[Genre]])</f>
        <v>Biography</v>
      </c>
    </row>
    <row r="1130" spans="1:16" x14ac:dyDescent="0.3">
      <c r="A1130" t="s">
        <v>2443</v>
      </c>
      <c r="B1130" t="s">
        <v>2444</v>
      </c>
      <c r="C1130">
        <v>2015</v>
      </c>
      <c r="D1130">
        <v>2010</v>
      </c>
      <c r="E1130" t="s">
        <v>17</v>
      </c>
      <c r="F1130">
        <v>171</v>
      </c>
      <c r="G1130" t="s">
        <v>3999</v>
      </c>
      <c r="H1130" t="s">
        <v>852</v>
      </c>
      <c r="I1130" t="s">
        <v>50</v>
      </c>
      <c r="J1130" t="s">
        <v>2446</v>
      </c>
      <c r="K1130">
        <v>335678</v>
      </c>
      <c r="L1130">
        <v>244.54</v>
      </c>
      <c r="M1130">
        <v>244.54</v>
      </c>
      <c r="N1130" t="s">
        <v>3998</v>
      </c>
      <c r="O1130" t="s">
        <v>3989</v>
      </c>
      <c r="P1130" t="str">
        <f>TRIM(Table13_1[[#This Row],[Genre]])</f>
        <v>Sci-Fi</v>
      </c>
    </row>
    <row r="1131" spans="1:16" x14ac:dyDescent="0.3">
      <c r="A1131" t="s">
        <v>2447</v>
      </c>
      <c r="B1131" t="s">
        <v>2448</v>
      </c>
      <c r="C1131">
        <v>2003</v>
      </c>
      <c r="D1131">
        <v>2000</v>
      </c>
      <c r="E1131" t="s">
        <v>17</v>
      </c>
      <c r="F1131">
        <v>142</v>
      </c>
      <c r="G1131" t="s">
        <v>3999</v>
      </c>
      <c r="H1131" t="s">
        <v>557</v>
      </c>
      <c r="I1131" t="s">
        <v>483</v>
      </c>
      <c r="J1131" t="s">
        <v>2449</v>
      </c>
      <c r="K1131">
        <v>2300</v>
      </c>
      <c r="L1131">
        <v>127.86</v>
      </c>
      <c r="M1131">
        <v>127.86</v>
      </c>
      <c r="N1131" t="s">
        <v>4002</v>
      </c>
      <c r="O1131" t="s">
        <v>453</v>
      </c>
      <c r="P1131" t="str">
        <f>TRIM(Table13_1[[#This Row],[Genre]])</f>
        <v>Musical</v>
      </c>
    </row>
    <row r="1132" spans="1:16" x14ac:dyDescent="0.3">
      <c r="A1132" t="s">
        <v>2447</v>
      </c>
      <c r="B1132" t="s">
        <v>2448</v>
      </c>
      <c r="C1132">
        <v>2003</v>
      </c>
      <c r="D1132">
        <v>2000</v>
      </c>
      <c r="E1132" t="s">
        <v>17</v>
      </c>
      <c r="F1132">
        <v>142</v>
      </c>
      <c r="G1132" t="s">
        <v>3999</v>
      </c>
      <c r="H1132" t="s">
        <v>557</v>
      </c>
      <c r="I1132" t="s">
        <v>483</v>
      </c>
      <c r="J1132" t="s">
        <v>2449</v>
      </c>
      <c r="K1132">
        <v>2300</v>
      </c>
      <c r="L1132">
        <v>127.86</v>
      </c>
      <c r="M1132">
        <v>127.86</v>
      </c>
      <c r="N1132" t="s">
        <v>4002</v>
      </c>
      <c r="O1132" t="s">
        <v>3985</v>
      </c>
      <c r="P1132" t="str">
        <f>TRIM(Table13_1[[#This Row],[Genre]])</f>
        <v>Horror</v>
      </c>
    </row>
    <row r="1133" spans="1:16" x14ac:dyDescent="0.3">
      <c r="A1133" t="s">
        <v>2450</v>
      </c>
      <c r="B1133" t="s">
        <v>2451</v>
      </c>
      <c r="C1133">
        <v>2006</v>
      </c>
      <c r="D1133">
        <v>2000</v>
      </c>
      <c r="E1133" t="s">
        <v>54</v>
      </c>
      <c r="F1133">
        <v>148</v>
      </c>
      <c r="G1133" t="s">
        <v>3999</v>
      </c>
      <c r="H1133" t="s">
        <v>1314</v>
      </c>
      <c r="I1133" t="s">
        <v>251</v>
      </c>
      <c r="J1133" t="s">
        <v>2453</v>
      </c>
      <c r="K1133">
        <v>61591</v>
      </c>
      <c r="L1133">
        <v>431.54</v>
      </c>
      <c r="M1133">
        <v>431.54</v>
      </c>
      <c r="N1133" t="s">
        <v>3998</v>
      </c>
      <c r="O1133" t="s">
        <v>235</v>
      </c>
      <c r="P1133" t="str">
        <f>TRIM(Table13_1[[#This Row],[Genre]])</f>
        <v>Drama</v>
      </c>
    </row>
    <row r="1134" spans="1:16" x14ac:dyDescent="0.3">
      <c r="A1134" t="s">
        <v>2450</v>
      </c>
      <c r="B1134" t="s">
        <v>2451</v>
      </c>
      <c r="C1134">
        <v>2006</v>
      </c>
      <c r="D1134">
        <v>2000</v>
      </c>
      <c r="E1134" t="s">
        <v>54</v>
      </c>
      <c r="F1134">
        <v>148</v>
      </c>
      <c r="G1134" t="s">
        <v>3999</v>
      </c>
      <c r="H1134" t="s">
        <v>1314</v>
      </c>
      <c r="I1134" t="s">
        <v>251</v>
      </c>
      <c r="J1134" t="s">
        <v>2453</v>
      </c>
      <c r="K1134">
        <v>61591</v>
      </c>
      <c r="L1134">
        <v>431.54</v>
      </c>
      <c r="M1134">
        <v>431.54</v>
      </c>
      <c r="N1134" t="s">
        <v>3998</v>
      </c>
      <c r="O1134" t="s">
        <v>3976</v>
      </c>
      <c r="P1134" t="str">
        <f>TRIM(Table13_1[[#This Row],[Genre]])</f>
        <v>Musical</v>
      </c>
    </row>
    <row r="1135" spans="1:16" x14ac:dyDescent="0.3">
      <c r="A1135" t="s">
        <v>2454</v>
      </c>
      <c r="B1135" t="s">
        <v>2455</v>
      </c>
      <c r="C1135">
        <v>2017</v>
      </c>
      <c r="D1135">
        <v>2010</v>
      </c>
      <c r="E1135" t="s">
        <v>24</v>
      </c>
      <c r="F1135">
        <v>84</v>
      </c>
      <c r="G1135" t="s">
        <v>4000</v>
      </c>
      <c r="H1135" t="s">
        <v>435</v>
      </c>
      <c r="I1135" t="s">
        <v>113</v>
      </c>
      <c r="J1135" t="s">
        <v>2457</v>
      </c>
      <c r="K1135">
        <v>17161</v>
      </c>
      <c r="L1135">
        <v>381.09</v>
      </c>
      <c r="M1135">
        <v>381.09</v>
      </c>
      <c r="N1135" t="s">
        <v>3998</v>
      </c>
      <c r="O1135" t="s">
        <v>453</v>
      </c>
      <c r="P1135" t="str">
        <f>TRIM(Table13_1[[#This Row],[Genre]])</f>
        <v>Musical</v>
      </c>
    </row>
    <row r="1136" spans="1:16" x14ac:dyDescent="0.3">
      <c r="A1136" t="s">
        <v>2454</v>
      </c>
      <c r="B1136" t="s">
        <v>2455</v>
      </c>
      <c r="C1136">
        <v>2017</v>
      </c>
      <c r="D1136">
        <v>2010</v>
      </c>
      <c r="E1136" t="s">
        <v>24</v>
      </c>
      <c r="F1136">
        <v>84</v>
      </c>
      <c r="G1136" t="s">
        <v>4000</v>
      </c>
      <c r="H1136" t="s">
        <v>435</v>
      </c>
      <c r="I1136" t="s">
        <v>113</v>
      </c>
      <c r="J1136" t="s">
        <v>2457</v>
      </c>
      <c r="K1136">
        <v>17161</v>
      </c>
      <c r="L1136">
        <v>381.09</v>
      </c>
      <c r="M1136">
        <v>381.09</v>
      </c>
      <c r="N1136" t="s">
        <v>3998</v>
      </c>
      <c r="O1136" t="s">
        <v>3983</v>
      </c>
      <c r="P1136" t="str">
        <f>TRIM(Table13_1[[#This Row],[Genre]])</f>
        <v>Crime</v>
      </c>
    </row>
    <row r="1137" spans="1:16" x14ac:dyDescent="0.3">
      <c r="A1137" t="s">
        <v>2458</v>
      </c>
      <c r="B1137" t="s">
        <v>2459</v>
      </c>
      <c r="C1137">
        <v>2001</v>
      </c>
      <c r="D1137">
        <v>2000</v>
      </c>
      <c r="E1137" t="s">
        <v>17</v>
      </c>
      <c r="F1137">
        <v>81</v>
      </c>
      <c r="G1137" t="s">
        <v>4000</v>
      </c>
      <c r="H1137" t="s">
        <v>2460</v>
      </c>
      <c r="I1137" t="s">
        <v>74</v>
      </c>
      <c r="J1137" t="s">
        <v>2461</v>
      </c>
      <c r="K1137">
        <v>7688</v>
      </c>
      <c r="L1137">
        <v>469.72</v>
      </c>
      <c r="M1137">
        <v>469.72</v>
      </c>
      <c r="N1137" t="s">
        <v>3998</v>
      </c>
      <c r="O1137" t="s">
        <v>157</v>
      </c>
      <c r="P1137" t="str">
        <f>TRIM(Table13_1[[#This Row],[Genre]])</f>
        <v>Animation</v>
      </c>
    </row>
    <row r="1138" spans="1:16" x14ac:dyDescent="0.3">
      <c r="A1138" t="s">
        <v>2462</v>
      </c>
      <c r="B1138" t="s">
        <v>2463</v>
      </c>
      <c r="C1138">
        <v>2013</v>
      </c>
      <c r="D1138">
        <v>2010</v>
      </c>
      <c r="E1138" t="s">
        <v>54</v>
      </c>
      <c r="F1138">
        <v>115</v>
      </c>
      <c r="G1138" t="s">
        <v>3997</v>
      </c>
      <c r="H1138" t="s">
        <v>634</v>
      </c>
      <c r="I1138" t="s">
        <v>27</v>
      </c>
      <c r="J1138" t="s">
        <v>2464</v>
      </c>
      <c r="K1138">
        <v>3558</v>
      </c>
      <c r="M1138">
        <v>0</v>
      </c>
      <c r="N1138" t="s">
        <v>4001</v>
      </c>
      <c r="O1138" t="s">
        <v>129</v>
      </c>
      <c r="P1138" t="str">
        <f>TRIM(Table13_1[[#This Row],[Genre]])</f>
        <v>Horror</v>
      </c>
    </row>
    <row r="1139" spans="1:16" x14ac:dyDescent="0.3">
      <c r="A1139" t="s">
        <v>2462</v>
      </c>
      <c r="B1139" t="s">
        <v>2463</v>
      </c>
      <c r="C1139">
        <v>2013</v>
      </c>
      <c r="D1139">
        <v>2010</v>
      </c>
      <c r="E1139" t="s">
        <v>54</v>
      </c>
      <c r="F1139">
        <v>115</v>
      </c>
      <c r="G1139" t="s">
        <v>3997</v>
      </c>
      <c r="H1139" t="s">
        <v>634</v>
      </c>
      <c r="I1139" t="s">
        <v>27</v>
      </c>
      <c r="J1139" t="s">
        <v>2464</v>
      </c>
      <c r="K1139">
        <v>3558</v>
      </c>
      <c r="M1139">
        <v>0</v>
      </c>
      <c r="N1139" t="s">
        <v>4001</v>
      </c>
      <c r="O1139" t="s">
        <v>3993</v>
      </c>
      <c r="P1139" t="str">
        <f>TRIM(Table13_1[[#This Row],[Genre]])</f>
        <v>Comedy</v>
      </c>
    </row>
    <row r="1140" spans="1:16" x14ac:dyDescent="0.3">
      <c r="A1140" t="s">
        <v>2465</v>
      </c>
      <c r="B1140" t="s">
        <v>2466</v>
      </c>
      <c r="C1140">
        <v>2014</v>
      </c>
      <c r="D1140">
        <v>2010</v>
      </c>
      <c r="E1140" t="s">
        <v>24</v>
      </c>
      <c r="F1140">
        <v>140</v>
      </c>
      <c r="G1140" t="s">
        <v>3999</v>
      </c>
      <c r="H1140" t="s">
        <v>2467</v>
      </c>
      <c r="I1140" t="s">
        <v>368</v>
      </c>
      <c r="J1140" t="s">
        <v>2468</v>
      </c>
      <c r="K1140">
        <v>163688</v>
      </c>
      <c r="L1140">
        <v>437.94</v>
      </c>
      <c r="M1140">
        <v>437.94</v>
      </c>
      <c r="N1140" t="s">
        <v>3998</v>
      </c>
      <c r="O1140" t="s">
        <v>235</v>
      </c>
      <c r="P1140" t="str">
        <f>TRIM(Table13_1[[#This Row],[Genre]])</f>
        <v>Drama</v>
      </c>
    </row>
    <row r="1141" spans="1:16" x14ac:dyDescent="0.3">
      <c r="A1141" t="s">
        <v>2465</v>
      </c>
      <c r="B1141" t="s">
        <v>2466</v>
      </c>
      <c r="C1141">
        <v>2014</v>
      </c>
      <c r="D1141">
        <v>2010</v>
      </c>
      <c r="E1141" t="s">
        <v>24</v>
      </c>
      <c r="F1141">
        <v>140</v>
      </c>
      <c r="G1141" t="s">
        <v>3999</v>
      </c>
      <c r="H1141" t="s">
        <v>2467</v>
      </c>
      <c r="I1141" t="s">
        <v>368</v>
      </c>
      <c r="J1141" t="s">
        <v>2468</v>
      </c>
      <c r="K1141">
        <v>163688</v>
      </c>
      <c r="L1141">
        <v>437.94</v>
      </c>
      <c r="M1141">
        <v>437.94</v>
      </c>
      <c r="N1141" t="s">
        <v>3998</v>
      </c>
      <c r="O1141" t="s">
        <v>3978</v>
      </c>
      <c r="P1141" t="str">
        <f>TRIM(Table13_1[[#This Row],[Genre]])</f>
        <v>Mystery</v>
      </c>
    </row>
    <row r="1142" spans="1:16" x14ac:dyDescent="0.3">
      <c r="A1142" t="s">
        <v>2469</v>
      </c>
      <c r="B1142" t="s">
        <v>2470</v>
      </c>
      <c r="C1142">
        <v>2016</v>
      </c>
      <c r="D1142">
        <v>2010</v>
      </c>
      <c r="E1142" t="s">
        <v>54</v>
      </c>
      <c r="F1142">
        <v>122</v>
      </c>
      <c r="G1142" t="s">
        <v>3999</v>
      </c>
      <c r="H1142" t="s">
        <v>124</v>
      </c>
      <c r="I1142" t="s">
        <v>74</v>
      </c>
      <c r="J1142" t="s">
        <v>2471</v>
      </c>
      <c r="K1142">
        <v>163899</v>
      </c>
      <c r="L1142">
        <v>452.25</v>
      </c>
      <c r="M1142">
        <v>452.25</v>
      </c>
      <c r="N1142" t="s">
        <v>3998</v>
      </c>
      <c r="O1142" t="s">
        <v>230</v>
      </c>
      <c r="P1142" t="str">
        <f>TRIM(Table13_1[[#This Row],[Genre]])</f>
        <v>Documentary</v>
      </c>
    </row>
    <row r="1143" spans="1:16" x14ac:dyDescent="0.3">
      <c r="A1143" t="s">
        <v>2469</v>
      </c>
      <c r="B1143" t="s">
        <v>2470</v>
      </c>
      <c r="C1143">
        <v>2016</v>
      </c>
      <c r="D1143">
        <v>2010</v>
      </c>
      <c r="E1143" t="s">
        <v>54</v>
      </c>
      <c r="F1143">
        <v>122</v>
      </c>
      <c r="G1143" t="s">
        <v>3999</v>
      </c>
      <c r="H1143" t="s">
        <v>124</v>
      </c>
      <c r="I1143" t="s">
        <v>74</v>
      </c>
      <c r="J1143" t="s">
        <v>2471</v>
      </c>
      <c r="K1143">
        <v>163899</v>
      </c>
      <c r="L1143">
        <v>452.25</v>
      </c>
      <c r="M1143">
        <v>452.25</v>
      </c>
      <c r="N1143" t="s">
        <v>3998</v>
      </c>
      <c r="O1143" t="s">
        <v>3993</v>
      </c>
      <c r="P1143" t="str">
        <f>TRIM(Table13_1[[#This Row],[Genre]])</f>
        <v>Comedy</v>
      </c>
    </row>
    <row r="1144" spans="1:16" x14ac:dyDescent="0.3">
      <c r="A1144" t="s">
        <v>2472</v>
      </c>
      <c r="B1144" t="s">
        <v>2473</v>
      </c>
      <c r="C1144">
        <v>2010</v>
      </c>
      <c r="D1144">
        <v>2010</v>
      </c>
      <c r="E1144" t="s">
        <v>293</v>
      </c>
      <c r="F1144">
        <v>86</v>
      </c>
      <c r="G1144" t="s">
        <v>4000</v>
      </c>
      <c r="H1144" t="s">
        <v>2474</v>
      </c>
      <c r="I1144" t="s">
        <v>113</v>
      </c>
      <c r="J1144" t="s">
        <v>2475</v>
      </c>
      <c r="K1144">
        <v>13590</v>
      </c>
      <c r="L1144">
        <v>316.14</v>
      </c>
      <c r="M1144">
        <v>316.14</v>
      </c>
      <c r="N1144" t="s">
        <v>3998</v>
      </c>
      <c r="O1144" t="s">
        <v>157</v>
      </c>
      <c r="P1144" t="str">
        <f>TRIM(Table13_1[[#This Row],[Genre]])</f>
        <v>Animation</v>
      </c>
    </row>
    <row r="1145" spans="1:16" x14ac:dyDescent="0.3">
      <c r="A1145" t="s">
        <v>2472</v>
      </c>
      <c r="B1145" t="s">
        <v>2473</v>
      </c>
      <c r="C1145">
        <v>2010</v>
      </c>
      <c r="D1145">
        <v>2010</v>
      </c>
      <c r="E1145" t="s">
        <v>293</v>
      </c>
      <c r="F1145">
        <v>86</v>
      </c>
      <c r="G1145" t="s">
        <v>4000</v>
      </c>
      <c r="H1145" t="s">
        <v>2474</v>
      </c>
      <c r="I1145" t="s">
        <v>113</v>
      </c>
      <c r="J1145" t="s">
        <v>2475</v>
      </c>
      <c r="K1145">
        <v>13590</v>
      </c>
      <c r="L1145">
        <v>316.14</v>
      </c>
      <c r="M1145">
        <v>316.14</v>
      </c>
      <c r="N1145" t="s">
        <v>3998</v>
      </c>
      <c r="O1145" t="s">
        <v>3987</v>
      </c>
      <c r="P1145" t="str">
        <f>TRIM(Table13_1[[#This Row],[Genre]])</f>
        <v>Fantasy</v>
      </c>
    </row>
    <row r="1146" spans="1:16" x14ac:dyDescent="0.3">
      <c r="A1146" t="s">
        <v>2476</v>
      </c>
      <c r="B1146" t="s">
        <v>2477</v>
      </c>
      <c r="C1146">
        <v>2001</v>
      </c>
      <c r="D1146">
        <v>2000</v>
      </c>
      <c r="E1146" t="s">
        <v>24</v>
      </c>
      <c r="F1146">
        <v>115</v>
      </c>
      <c r="G1146" t="s">
        <v>3997</v>
      </c>
      <c r="H1146" t="s">
        <v>422</v>
      </c>
      <c r="I1146" t="s">
        <v>518</v>
      </c>
      <c r="J1146" t="s">
        <v>2478</v>
      </c>
      <c r="K1146">
        <v>151904</v>
      </c>
      <c r="L1146">
        <v>278.95</v>
      </c>
      <c r="M1146">
        <v>278.95</v>
      </c>
      <c r="N1146" t="s">
        <v>3998</v>
      </c>
      <c r="O1146" t="s">
        <v>375</v>
      </c>
      <c r="P1146" t="str">
        <f>TRIM(Table13_1[[#This Row],[Genre]])</f>
        <v>Family</v>
      </c>
    </row>
    <row r="1147" spans="1:16" x14ac:dyDescent="0.3">
      <c r="A1147" t="s">
        <v>2479</v>
      </c>
      <c r="B1147" t="s">
        <v>2480</v>
      </c>
      <c r="C1147">
        <v>2002</v>
      </c>
      <c r="D1147">
        <v>2000</v>
      </c>
      <c r="E1147" t="s">
        <v>24</v>
      </c>
      <c r="F1147">
        <v>157</v>
      </c>
      <c r="G1147" t="s">
        <v>3999</v>
      </c>
      <c r="H1147" t="s">
        <v>629</v>
      </c>
      <c r="I1147" t="s">
        <v>27</v>
      </c>
      <c r="J1147" t="s">
        <v>2481</v>
      </c>
      <c r="K1147">
        <v>13880</v>
      </c>
      <c r="L1147">
        <v>347.08</v>
      </c>
      <c r="M1147">
        <v>347.08</v>
      </c>
      <c r="N1147" t="s">
        <v>3998</v>
      </c>
      <c r="O1147" t="s">
        <v>157</v>
      </c>
      <c r="P1147" t="str">
        <f>TRIM(Table13_1[[#This Row],[Genre]])</f>
        <v>Animation</v>
      </c>
    </row>
    <row r="1148" spans="1:16" x14ac:dyDescent="0.3">
      <c r="A1148" t="s">
        <v>2479</v>
      </c>
      <c r="B1148" t="s">
        <v>2480</v>
      </c>
      <c r="C1148">
        <v>2002</v>
      </c>
      <c r="D1148">
        <v>2000</v>
      </c>
      <c r="E1148" t="s">
        <v>24</v>
      </c>
      <c r="F1148">
        <v>157</v>
      </c>
      <c r="G1148" t="s">
        <v>3999</v>
      </c>
      <c r="H1148" t="s">
        <v>629</v>
      </c>
      <c r="I1148" t="s">
        <v>27</v>
      </c>
      <c r="J1148" t="s">
        <v>2481</v>
      </c>
      <c r="K1148">
        <v>13880</v>
      </c>
      <c r="L1148">
        <v>347.08</v>
      </c>
      <c r="M1148">
        <v>347.08</v>
      </c>
      <c r="N1148" t="s">
        <v>3998</v>
      </c>
      <c r="O1148" t="s">
        <v>3985</v>
      </c>
      <c r="P1148" t="str">
        <f>TRIM(Table13_1[[#This Row],[Genre]])</f>
        <v>Horror</v>
      </c>
    </row>
    <row r="1149" spans="1:16" x14ac:dyDescent="0.3">
      <c r="A1149" t="s">
        <v>2482</v>
      </c>
      <c r="B1149" t="s">
        <v>2483</v>
      </c>
      <c r="C1149">
        <v>2021</v>
      </c>
      <c r="D1149">
        <v>2020</v>
      </c>
      <c r="E1149" t="s">
        <v>17</v>
      </c>
      <c r="F1149">
        <v>148</v>
      </c>
      <c r="G1149" t="s">
        <v>3999</v>
      </c>
      <c r="H1149" t="s">
        <v>201</v>
      </c>
      <c r="I1149" t="s">
        <v>524</v>
      </c>
      <c r="J1149" t="s">
        <v>2485</v>
      </c>
      <c r="K1149">
        <v>118013</v>
      </c>
      <c r="L1149">
        <v>17.04</v>
      </c>
      <c r="M1149">
        <v>17.04</v>
      </c>
      <c r="N1149" t="s">
        <v>4001</v>
      </c>
      <c r="O1149" t="s">
        <v>235</v>
      </c>
      <c r="P1149" t="str">
        <f>TRIM(Table13_1[[#This Row],[Genre]])</f>
        <v>Drama</v>
      </c>
    </row>
    <row r="1150" spans="1:16" x14ac:dyDescent="0.3">
      <c r="A1150" t="s">
        <v>2482</v>
      </c>
      <c r="B1150" t="s">
        <v>2483</v>
      </c>
      <c r="C1150">
        <v>2021</v>
      </c>
      <c r="D1150">
        <v>2020</v>
      </c>
      <c r="E1150" t="s">
        <v>17</v>
      </c>
      <c r="F1150">
        <v>148</v>
      </c>
      <c r="G1150" t="s">
        <v>3999</v>
      </c>
      <c r="H1150" t="s">
        <v>201</v>
      </c>
      <c r="I1150" t="s">
        <v>524</v>
      </c>
      <c r="J1150" t="s">
        <v>2485</v>
      </c>
      <c r="K1150">
        <v>118013</v>
      </c>
      <c r="L1150">
        <v>17.04</v>
      </c>
      <c r="M1150">
        <v>17.04</v>
      </c>
      <c r="N1150" t="s">
        <v>4001</v>
      </c>
      <c r="O1150" t="s">
        <v>3981</v>
      </c>
      <c r="P1150" t="str">
        <f>TRIM(Table13_1[[#This Row],[Genre]])</f>
        <v>Romance</v>
      </c>
    </row>
    <row r="1151" spans="1:16" x14ac:dyDescent="0.3">
      <c r="A1151" t="s">
        <v>2482</v>
      </c>
      <c r="B1151" t="s">
        <v>2483</v>
      </c>
      <c r="C1151">
        <v>2021</v>
      </c>
      <c r="D1151">
        <v>2020</v>
      </c>
      <c r="E1151" t="s">
        <v>17</v>
      </c>
      <c r="F1151">
        <v>148</v>
      </c>
      <c r="G1151" t="s">
        <v>3999</v>
      </c>
      <c r="H1151" t="s">
        <v>201</v>
      </c>
      <c r="I1151" t="s">
        <v>524</v>
      </c>
      <c r="J1151" t="s">
        <v>2485</v>
      </c>
      <c r="K1151">
        <v>118013</v>
      </c>
      <c r="L1151">
        <v>17.04</v>
      </c>
      <c r="M1151">
        <v>17.04</v>
      </c>
      <c r="N1151" t="s">
        <v>4001</v>
      </c>
      <c r="O1151" t="s">
        <v>3986</v>
      </c>
      <c r="P1151" t="str">
        <f>TRIM(Table13_1[[#This Row],[Genre]])</f>
        <v>Documentary</v>
      </c>
    </row>
    <row r="1152" spans="1:16" x14ac:dyDescent="0.3">
      <c r="A1152" t="s">
        <v>2486</v>
      </c>
      <c r="B1152" t="s">
        <v>2487</v>
      </c>
      <c r="C1152">
        <v>2024</v>
      </c>
      <c r="D1152">
        <v>2020</v>
      </c>
      <c r="E1152" t="s">
        <v>17</v>
      </c>
      <c r="F1152">
        <v>116</v>
      </c>
      <c r="G1152" t="s">
        <v>3997</v>
      </c>
      <c r="H1152" t="s">
        <v>1431</v>
      </c>
      <c r="I1152" t="s">
        <v>39</v>
      </c>
      <c r="J1152" t="s">
        <v>2488</v>
      </c>
      <c r="K1152">
        <v>63941</v>
      </c>
      <c r="L1152">
        <v>363.4</v>
      </c>
      <c r="M1152">
        <v>363.4</v>
      </c>
      <c r="N1152" t="s">
        <v>3998</v>
      </c>
      <c r="O1152" t="s">
        <v>72</v>
      </c>
      <c r="P1152" t="str">
        <f>TRIM(Table13_1[[#This Row],[Genre]])</f>
        <v>War</v>
      </c>
    </row>
    <row r="1153" spans="1:16" x14ac:dyDescent="0.3">
      <c r="A1153" t="s">
        <v>2489</v>
      </c>
      <c r="B1153" t="s">
        <v>2490</v>
      </c>
      <c r="C1153">
        <v>2020</v>
      </c>
      <c r="D1153">
        <v>2020</v>
      </c>
      <c r="E1153" t="s">
        <v>17</v>
      </c>
      <c r="F1153">
        <v>109</v>
      </c>
      <c r="G1153" t="s">
        <v>3997</v>
      </c>
      <c r="H1153" t="s">
        <v>381</v>
      </c>
      <c r="I1153" t="s">
        <v>50</v>
      </c>
      <c r="J1153" t="s">
        <v>2491</v>
      </c>
      <c r="K1153">
        <v>100862</v>
      </c>
      <c r="L1153">
        <v>398.88</v>
      </c>
      <c r="M1153">
        <v>398.88</v>
      </c>
      <c r="N1153" t="s">
        <v>3998</v>
      </c>
      <c r="O1153" t="s">
        <v>375</v>
      </c>
      <c r="P1153" t="str">
        <f>TRIM(Table13_1[[#This Row],[Genre]])</f>
        <v>Family</v>
      </c>
    </row>
    <row r="1154" spans="1:16" x14ac:dyDescent="0.3">
      <c r="A1154" t="s">
        <v>2492</v>
      </c>
      <c r="B1154" t="s">
        <v>2493</v>
      </c>
      <c r="C1154">
        <v>2017</v>
      </c>
      <c r="D1154">
        <v>2010</v>
      </c>
      <c r="E1154" t="s">
        <v>17</v>
      </c>
      <c r="F1154">
        <v>168</v>
      </c>
      <c r="G1154" t="s">
        <v>3999</v>
      </c>
      <c r="H1154" t="s">
        <v>697</v>
      </c>
      <c r="I1154" t="s">
        <v>518</v>
      </c>
      <c r="J1154" t="s">
        <v>2494</v>
      </c>
      <c r="K1154">
        <v>80954</v>
      </c>
      <c r="L1154">
        <v>447.51</v>
      </c>
      <c r="M1154">
        <v>447.51</v>
      </c>
      <c r="N1154" t="s">
        <v>3998</v>
      </c>
      <c r="O1154" t="s">
        <v>453</v>
      </c>
      <c r="P1154" t="str">
        <f>TRIM(Table13_1[[#This Row],[Genre]])</f>
        <v>Musical</v>
      </c>
    </row>
    <row r="1155" spans="1:16" x14ac:dyDescent="0.3">
      <c r="A1155" t="s">
        <v>2492</v>
      </c>
      <c r="B1155" t="s">
        <v>2493</v>
      </c>
      <c r="C1155">
        <v>2017</v>
      </c>
      <c r="D1155">
        <v>2010</v>
      </c>
      <c r="E1155" t="s">
        <v>17</v>
      </c>
      <c r="F1155">
        <v>168</v>
      </c>
      <c r="G1155" t="s">
        <v>3999</v>
      </c>
      <c r="H1155" t="s">
        <v>697</v>
      </c>
      <c r="I1155" t="s">
        <v>518</v>
      </c>
      <c r="J1155" t="s">
        <v>2494</v>
      </c>
      <c r="K1155">
        <v>80954</v>
      </c>
      <c r="L1155">
        <v>447.51</v>
      </c>
      <c r="M1155">
        <v>447.51</v>
      </c>
      <c r="N1155" t="s">
        <v>3998</v>
      </c>
      <c r="O1155" t="s">
        <v>3991</v>
      </c>
      <c r="P1155" t="str">
        <f>TRIM(Table13_1[[#This Row],[Genre]])</f>
        <v>Thriller</v>
      </c>
    </row>
    <row r="1156" spans="1:16" x14ac:dyDescent="0.3">
      <c r="A1156" t="s">
        <v>2495</v>
      </c>
      <c r="B1156" t="s">
        <v>2496</v>
      </c>
      <c r="C1156">
        <v>1993</v>
      </c>
      <c r="D1156">
        <v>1990</v>
      </c>
      <c r="E1156" t="s">
        <v>17</v>
      </c>
      <c r="F1156">
        <v>126</v>
      </c>
      <c r="G1156" t="s">
        <v>3999</v>
      </c>
      <c r="H1156" t="s">
        <v>634</v>
      </c>
      <c r="I1156" t="s">
        <v>80</v>
      </c>
      <c r="J1156" t="s">
        <v>2497</v>
      </c>
      <c r="K1156">
        <v>69251</v>
      </c>
      <c r="L1156">
        <v>247.66</v>
      </c>
      <c r="M1156">
        <v>247.66</v>
      </c>
      <c r="N1156" t="s">
        <v>3998</v>
      </c>
      <c r="O1156" t="s">
        <v>129</v>
      </c>
      <c r="P1156" t="str">
        <f>TRIM(Table13_1[[#This Row],[Genre]])</f>
        <v>Horror</v>
      </c>
    </row>
    <row r="1157" spans="1:16" x14ac:dyDescent="0.3">
      <c r="A1157" t="s">
        <v>2498</v>
      </c>
      <c r="B1157" t="s">
        <v>2499</v>
      </c>
      <c r="C1157">
        <v>2021</v>
      </c>
      <c r="D1157">
        <v>2020</v>
      </c>
      <c r="E1157" t="s">
        <v>17</v>
      </c>
      <c r="F1157">
        <v>101</v>
      </c>
      <c r="G1157" t="s">
        <v>3997</v>
      </c>
      <c r="H1157" t="s">
        <v>2500</v>
      </c>
      <c r="I1157" t="s">
        <v>159</v>
      </c>
      <c r="J1157" t="s">
        <v>2501</v>
      </c>
      <c r="K1157">
        <v>9754</v>
      </c>
      <c r="L1157">
        <v>226.61</v>
      </c>
      <c r="M1157">
        <v>226.61</v>
      </c>
      <c r="N1157" t="s">
        <v>3998</v>
      </c>
      <c r="O1157" t="s">
        <v>230</v>
      </c>
      <c r="P1157" t="str">
        <f>TRIM(Table13_1[[#This Row],[Genre]])</f>
        <v>Documentary</v>
      </c>
    </row>
    <row r="1158" spans="1:16" x14ac:dyDescent="0.3">
      <c r="A1158" t="s">
        <v>2502</v>
      </c>
      <c r="B1158" t="s">
        <v>2503</v>
      </c>
      <c r="C1158">
        <v>2005</v>
      </c>
      <c r="D1158">
        <v>2000</v>
      </c>
      <c r="E1158" t="s">
        <v>293</v>
      </c>
      <c r="F1158">
        <v>134</v>
      </c>
      <c r="G1158" t="s">
        <v>3999</v>
      </c>
      <c r="H1158" t="s">
        <v>395</v>
      </c>
      <c r="I1158" t="s">
        <v>483</v>
      </c>
      <c r="J1158" t="s">
        <v>2505</v>
      </c>
      <c r="K1158">
        <v>519268</v>
      </c>
      <c r="M1158">
        <v>0</v>
      </c>
      <c r="N1158" t="s">
        <v>4001</v>
      </c>
      <c r="O1158" t="s">
        <v>277</v>
      </c>
      <c r="P1158" t="str">
        <f>TRIM(Table13_1[[#This Row],[Genre]])</f>
        <v>Thriller</v>
      </c>
    </row>
    <row r="1159" spans="1:16" x14ac:dyDescent="0.3">
      <c r="A1159" t="s">
        <v>2502</v>
      </c>
      <c r="B1159" t="s">
        <v>2503</v>
      </c>
      <c r="C1159">
        <v>2005</v>
      </c>
      <c r="D1159">
        <v>2000</v>
      </c>
      <c r="E1159" t="s">
        <v>293</v>
      </c>
      <c r="F1159">
        <v>134</v>
      </c>
      <c r="G1159" t="s">
        <v>3999</v>
      </c>
      <c r="H1159" t="s">
        <v>395</v>
      </c>
      <c r="I1159" t="s">
        <v>483</v>
      </c>
      <c r="J1159" t="s">
        <v>2505</v>
      </c>
      <c r="K1159">
        <v>519268</v>
      </c>
      <c r="M1159">
        <v>0</v>
      </c>
      <c r="N1159" t="s">
        <v>4001</v>
      </c>
      <c r="O1159" t="s">
        <v>3983</v>
      </c>
      <c r="P1159" t="str">
        <f>TRIM(Table13_1[[#This Row],[Genre]])</f>
        <v>Crime</v>
      </c>
    </row>
    <row r="1160" spans="1:16" x14ac:dyDescent="0.3">
      <c r="A1160" t="s">
        <v>2506</v>
      </c>
      <c r="B1160" t="s">
        <v>2507</v>
      </c>
      <c r="C1160">
        <v>2013</v>
      </c>
      <c r="D1160">
        <v>2010</v>
      </c>
      <c r="E1160" t="s">
        <v>17</v>
      </c>
      <c r="F1160">
        <v>116</v>
      </c>
      <c r="G1160" t="s">
        <v>3997</v>
      </c>
      <c r="H1160" t="s">
        <v>2509</v>
      </c>
      <c r="I1160" t="s">
        <v>86</v>
      </c>
      <c r="J1160" t="s">
        <v>2510</v>
      </c>
      <c r="K1160">
        <v>56622</v>
      </c>
      <c r="L1160">
        <v>217.04</v>
      </c>
      <c r="M1160">
        <v>217.04</v>
      </c>
      <c r="N1160" t="s">
        <v>3998</v>
      </c>
      <c r="O1160" t="s">
        <v>78</v>
      </c>
      <c r="P1160" t="str">
        <f>TRIM(Table13_1[[#This Row],[Genre]])</f>
        <v>Adventure</v>
      </c>
    </row>
    <row r="1161" spans="1:16" x14ac:dyDescent="0.3">
      <c r="A1161" t="s">
        <v>2506</v>
      </c>
      <c r="B1161" t="s">
        <v>2507</v>
      </c>
      <c r="C1161">
        <v>2013</v>
      </c>
      <c r="D1161">
        <v>2010</v>
      </c>
      <c r="E1161" t="s">
        <v>17</v>
      </c>
      <c r="F1161">
        <v>116</v>
      </c>
      <c r="G1161" t="s">
        <v>3997</v>
      </c>
      <c r="H1161" t="s">
        <v>2509</v>
      </c>
      <c r="I1161" t="s">
        <v>86</v>
      </c>
      <c r="J1161" t="s">
        <v>2510</v>
      </c>
      <c r="K1161">
        <v>56622</v>
      </c>
      <c r="L1161">
        <v>217.04</v>
      </c>
      <c r="M1161">
        <v>217.04</v>
      </c>
      <c r="N1161" t="s">
        <v>3998</v>
      </c>
      <c r="O1161" t="s">
        <v>3979</v>
      </c>
      <c r="P1161" t="str">
        <f>TRIM(Table13_1[[#This Row],[Genre]])</f>
        <v>War</v>
      </c>
    </row>
    <row r="1162" spans="1:16" x14ac:dyDescent="0.3">
      <c r="A1162" t="s">
        <v>2511</v>
      </c>
      <c r="B1162" t="s">
        <v>2512</v>
      </c>
      <c r="C1162">
        <v>2017</v>
      </c>
      <c r="D1162">
        <v>2010</v>
      </c>
      <c r="E1162" t="s">
        <v>285</v>
      </c>
      <c r="F1162">
        <v>110</v>
      </c>
      <c r="G1162" t="s">
        <v>3997</v>
      </c>
      <c r="H1162" t="s">
        <v>2514</v>
      </c>
      <c r="I1162" t="s">
        <v>315</v>
      </c>
      <c r="J1162" t="s">
        <v>2515</v>
      </c>
      <c r="K1162">
        <v>2500000</v>
      </c>
      <c r="L1162">
        <v>316.39</v>
      </c>
      <c r="M1162">
        <v>316.39</v>
      </c>
      <c r="N1162" t="s">
        <v>3998</v>
      </c>
      <c r="O1162" t="s">
        <v>43</v>
      </c>
      <c r="P1162" t="str">
        <f>TRIM(Table13_1[[#This Row],[Genre]])</f>
        <v>Mystery</v>
      </c>
    </row>
    <row r="1163" spans="1:16" x14ac:dyDescent="0.3">
      <c r="A1163" t="s">
        <v>2511</v>
      </c>
      <c r="B1163" t="s">
        <v>2512</v>
      </c>
      <c r="C1163">
        <v>2017</v>
      </c>
      <c r="D1163">
        <v>2010</v>
      </c>
      <c r="E1163" t="s">
        <v>285</v>
      </c>
      <c r="F1163">
        <v>110</v>
      </c>
      <c r="G1163" t="s">
        <v>3997</v>
      </c>
      <c r="H1163" t="s">
        <v>2514</v>
      </c>
      <c r="I1163" t="s">
        <v>315</v>
      </c>
      <c r="J1163" t="s">
        <v>2515</v>
      </c>
      <c r="K1163">
        <v>2500000</v>
      </c>
      <c r="L1163">
        <v>316.39</v>
      </c>
      <c r="M1163">
        <v>316.39</v>
      </c>
      <c r="N1163" t="s">
        <v>3998</v>
      </c>
      <c r="O1163" t="s">
        <v>3989</v>
      </c>
      <c r="P1163" t="str">
        <f>TRIM(Table13_1[[#This Row],[Genre]])</f>
        <v>Sci-Fi</v>
      </c>
    </row>
    <row r="1164" spans="1:16" x14ac:dyDescent="0.3">
      <c r="A1164" t="s">
        <v>2511</v>
      </c>
      <c r="B1164" t="s">
        <v>2512</v>
      </c>
      <c r="C1164">
        <v>2017</v>
      </c>
      <c r="D1164">
        <v>2010</v>
      </c>
      <c r="E1164" t="s">
        <v>285</v>
      </c>
      <c r="F1164">
        <v>110</v>
      </c>
      <c r="G1164" t="s">
        <v>3997</v>
      </c>
      <c r="H1164" t="s">
        <v>2514</v>
      </c>
      <c r="I1164" t="s">
        <v>315</v>
      </c>
      <c r="J1164" t="s">
        <v>2515</v>
      </c>
      <c r="K1164">
        <v>2500000</v>
      </c>
      <c r="L1164">
        <v>316.39</v>
      </c>
      <c r="M1164">
        <v>316.39</v>
      </c>
      <c r="N1164" t="s">
        <v>3998</v>
      </c>
      <c r="O1164" t="s">
        <v>3988</v>
      </c>
      <c r="P1164" t="str">
        <f>TRIM(Table13_1[[#This Row],[Genre]])</f>
        <v>Drama</v>
      </c>
    </row>
    <row r="1165" spans="1:16" x14ac:dyDescent="0.3">
      <c r="A1165" t="s">
        <v>2516</v>
      </c>
      <c r="B1165" t="s">
        <v>2517</v>
      </c>
      <c r="C1165">
        <v>2023</v>
      </c>
      <c r="D1165">
        <v>2020</v>
      </c>
      <c r="E1165" t="s">
        <v>24</v>
      </c>
      <c r="F1165">
        <v>107</v>
      </c>
      <c r="G1165" t="s">
        <v>3997</v>
      </c>
      <c r="H1165" t="s">
        <v>2518</v>
      </c>
      <c r="I1165" t="s">
        <v>68</v>
      </c>
      <c r="J1165" t="s">
        <v>2519</v>
      </c>
      <c r="K1165">
        <v>29491</v>
      </c>
      <c r="L1165">
        <v>74.58</v>
      </c>
      <c r="M1165">
        <v>74.58</v>
      </c>
      <c r="N1165" t="s">
        <v>4001</v>
      </c>
      <c r="O1165" t="s">
        <v>1044</v>
      </c>
      <c r="P1165" t="str">
        <f>TRIM(Table13_1[[#This Row],[Genre]])</f>
        <v>Comedy</v>
      </c>
    </row>
    <row r="1166" spans="1:16" x14ac:dyDescent="0.3">
      <c r="A1166" t="s">
        <v>2516</v>
      </c>
      <c r="B1166" t="s">
        <v>2517</v>
      </c>
      <c r="C1166">
        <v>2023</v>
      </c>
      <c r="D1166">
        <v>2020</v>
      </c>
      <c r="E1166" t="s">
        <v>24</v>
      </c>
      <c r="F1166">
        <v>107</v>
      </c>
      <c r="G1166" t="s">
        <v>3997</v>
      </c>
      <c r="H1166" t="s">
        <v>2518</v>
      </c>
      <c r="I1166" t="s">
        <v>68</v>
      </c>
      <c r="J1166" t="s">
        <v>2519</v>
      </c>
      <c r="K1166">
        <v>29491</v>
      </c>
      <c r="L1166">
        <v>74.58</v>
      </c>
      <c r="M1166">
        <v>74.58</v>
      </c>
      <c r="N1166" t="s">
        <v>4001</v>
      </c>
      <c r="O1166" t="s">
        <v>3986</v>
      </c>
      <c r="P1166" t="str">
        <f>TRIM(Table13_1[[#This Row],[Genre]])</f>
        <v>Documentary</v>
      </c>
    </row>
    <row r="1167" spans="1:16" x14ac:dyDescent="0.3">
      <c r="A1167" t="s">
        <v>2520</v>
      </c>
      <c r="B1167" t="s">
        <v>2521</v>
      </c>
      <c r="C1167">
        <v>2007</v>
      </c>
      <c r="D1167">
        <v>2000</v>
      </c>
      <c r="E1167" t="s">
        <v>17</v>
      </c>
      <c r="F1167">
        <v>105</v>
      </c>
      <c r="G1167" t="s">
        <v>3997</v>
      </c>
      <c r="H1167" t="s">
        <v>124</v>
      </c>
      <c r="I1167" t="s">
        <v>57</v>
      </c>
      <c r="J1167" t="s">
        <v>2522</v>
      </c>
      <c r="K1167">
        <v>351367</v>
      </c>
      <c r="L1167">
        <v>195.26</v>
      </c>
      <c r="M1167">
        <v>195.26</v>
      </c>
      <c r="N1167" t="s">
        <v>4002</v>
      </c>
      <c r="O1167" t="s">
        <v>230</v>
      </c>
      <c r="P1167" t="str">
        <f>TRIM(Table13_1[[#This Row],[Genre]])</f>
        <v>Documentary</v>
      </c>
    </row>
    <row r="1168" spans="1:16" x14ac:dyDescent="0.3">
      <c r="A1168" t="s">
        <v>2520</v>
      </c>
      <c r="B1168" t="s">
        <v>2521</v>
      </c>
      <c r="C1168">
        <v>2007</v>
      </c>
      <c r="D1168">
        <v>2000</v>
      </c>
      <c r="E1168" t="s">
        <v>17</v>
      </c>
      <c r="F1168">
        <v>105</v>
      </c>
      <c r="G1168" t="s">
        <v>3997</v>
      </c>
      <c r="H1168" t="s">
        <v>124</v>
      </c>
      <c r="I1168" t="s">
        <v>57</v>
      </c>
      <c r="J1168" t="s">
        <v>2522</v>
      </c>
      <c r="K1168">
        <v>351367</v>
      </c>
      <c r="L1168">
        <v>195.26</v>
      </c>
      <c r="M1168">
        <v>195.26</v>
      </c>
      <c r="N1168" t="s">
        <v>4002</v>
      </c>
      <c r="O1168" t="s">
        <v>3993</v>
      </c>
      <c r="P1168" t="str">
        <f>TRIM(Table13_1[[#This Row],[Genre]])</f>
        <v>Comedy</v>
      </c>
    </row>
    <row r="1169" spans="1:16" x14ac:dyDescent="0.3">
      <c r="A1169" t="s">
        <v>2523</v>
      </c>
      <c r="B1169" t="s">
        <v>2524</v>
      </c>
      <c r="C1169">
        <v>2010</v>
      </c>
      <c r="D1169">
        <v>2010</v>
      </c>
      <c r="E1169" t="s">
        <v>17</v>
      </c>
      <c r="F1169">
        <v>121</v>
      </c>
      <c r="G1169" t="s">
        <v>3999</v>
      </c>
      <c r="H1169" t="s">
        <v>431</v>
      </c>
      <c r="I1169" t="s">
        <v>547</v>
      </c>
      <c r="J1169" t="s">
        <v>2525</v>
      </c>
      <c r="K1169">
        <v>22583</v>
      </c>
      <c r="M1169">
        <v>0</v>
      </c>
      <c r="N1169" t="s">
        <v>4001</v>
      </c>
      <c r="O1169" t="s">
        <v>210</v>
      </c>
      <c r="P1169" t="str">
        <f>TRIM(Table13_1[[#This Row],[Genre]])</f>
        <v>Action</v>
      </c>
    </row>
    <row r="1170" spans="1:16" x14ac:dyDescent="0.3">
      <c r="A1170" t="s">
        <v>2523</v>
      </c>
      <c r="B1170" t="s">
        <v>2524</v>
      </c>
      <c r="C1170">
        <v>2010</v>
      </c>
      <c r="D1170">
        <v>2010</v>
      </c>
      <c r="E1170" t="s">
        <v>17</v>
      </c>
      <c r="F1170">
        <v>121</v>
      </c>
      <c r="G1170" t="s">
        <v>3999</v>
      </c>
      <c r="H1170" t="s">
        <v>431</v>
      </c>
      <c r="I1170" t="s">
        <v>547</v>
      </c>
      <c r="J1170" t="s">
        <v>2525</v>
      </c>
      <c r="K1170">
        <v>22583</v>
      </c>
      <c r="M1170">
        <v>0</v>
      </c>
      <c r="N1170" t="s">
        <v>4001</v>
      </c>
      <c r="O1170" t="s">
        <v>3987</v>
      </c>
      <c r="P1170" t="str">
        <f>TRIM(Table13_1[[#This Row],[Genre]])</f>
        <v>Fantasy</v>
      </c>
    </row>
    <row r="1171" spans="1:16" x14ac:dyDescent="0.3">
      <c r="A1171" t="s">
        <v>2526</v>
      </c>
      <c r="B1171" t="s">
        <v>2527</v>
      </c>
      <c r="C1171">
        <v>2013</v>
      </c>
      <c r="D1171">
        <v>2010</v>
      </c>
      <c r="E1171" t="s">
        <v>54</v>
      </c>
      <c r="F1171">
        <v>151</v>
      </c>
      <c r="G1171" t="s">
        <v>3999</v>
      </c>
      <c r="H1171" t="s">
        <v>1363</v>
      </c>
      <c r="I1171" t="s">
        <v>33</v>
      </c>
      <c r="J1171" t="s">
        <v>2528</v>
      </c>
      <c r="K1171">
        <v>41561</v>
      </c>
      <c r="M1171">
        <v>0</v>
      </c>
      <c r="N1171" t="s">
        <v>4001</v>
      </c>
      <c r="O1171" t="s">
        <v>43</v>
      </c>
      <c r="P1171" t="str">
        <f>TRIM(Table13_1[[#This Row],[Genre]])</f>
        <v>Mystery</v>
      </c>
    </row>
    <row r="1172" spans="1:16" x14ac:dyDescent="0.3">
      <c r="A1172" t="s">
        <v>2526</v>
      </c>
      <c r="B1172" t="s">
        <v>2527</v>
      </c>
      <c r="C1172">
        <v>2013</v>
      </c>
      <c r="D1172">
        <v>2010</v>
      </c>
      <c r="E1172" t="s">
        <v>54</v>
      </c>
      <c r="F1172">
        <v>151</v>
      </c>
      <c r="G1172" t="s">
        <v>3999</v>
      </c>
      <c r="H1172" t="s">
        <v>1363</v>
      </c>
      <c r="I1172" t="s">
        <v>33</v>
      </c>
      <c r="J1172" t="s">
        <v>2528</v>
      </c>
      <c r="K1172">
        <v>41561</v>
      </c>
      <c r="M1172">
        <v>0</v>
      </c>
      <c r="N1172" t="s">
        <v>4001</v>
      </c>
      <c r="O1172" t="s">
        <v>3990</v>
      </c>
      <c r="P1172" t="str">
        <f>TRIM(Table13_1[[#This Row],[Genre]])</f>
        <v>Western</v>
      </c>
    </row>
    <row r="1173" spans="1:16" x14ac:dyDescent="0.3">
      <c r="A1173" t="s">
        <v>2529</v>
      </c>
      <c r="B1173" t="s">
        <v>2530</v>
      </c>
      <c r="C1173">
        <v>2005</v>
      </c>
      <c r="D1173">
        <v>2000</v>
      </c>
      <c r="E1173" t="s">
        <v>54</v>
      </c>
      <c r="F1173">
        <v>107</v>
      </c>
      <c r="G1173" t="s">
        <v>3997</v>
      </c>
      <c r="H1173" t="s">
        <v>2532</v>
      </c>
      <c r="I1173" t="s">
        <v>153</v>
      </c>
      <c r="J1173" t="s">
        <v>2533</v>
      </c>
      <c r="K1173">
        <v>24170</v>
      </c>
      <c r="M1173">
        <v>0</v>
      </c>
      <c r="N1173" t="s">
        <v>4001</v>
      </c>
      <c r="O1173" t="s">
        <v>129</v>
      </c>
      <c r="P1173" t="str">
        <f>TRIM(Table13_1[[#This Row],[Genre]])</f>
        <v>Horror</v>
      </c>
    </row>
    <row r="1174" spans="1:16" x14ac:dyDescent="0.3">
      <c r="A1174" t="s">
        <v>2529</v>
      </c>
      <c r="B1174" t="s">
        <v>2530</v>
      </c>
      <c r="C1174">
        <v>2005</v>
      </c>
      <c r="D1174">
        <v>2000</v>
      </c>
      <c r="E1174" t="s">
        <v>54</v>
      </c>
      <c r="F1174">
        <v>107</v>
      </c>
      <c r="G1174" t="s">
        <v>3997</v>
      </c>
      <c r="H1174" t="s">
        <v>2532</v>
      </c>
      <c r="I1174" t="s">
        <v>153</v>
      </c>
      <c r="J1174" t="s">
        <v>2533</v>
      </c>
      <c r="K1174">
        <v>24170</v>
      </c>
      <c r="M1174">
        <v>0</v>
      </c>
      <c r="N1174" t="s">
        <v>4001</v>
      </c>
      <c r="O1174" t="s">
        <v>3991</v>
      </c>
      <c r="P1174" t="str">
        <f>TRIM(Table13_1[[#This Row],[Genre]])</f>
        <v>Thriller</v>
      </c>
    </row>
    <row r="1175" spans="1:16" x14ac:dyDescent="0.3">
      <c r="A1175" t="s">
        <v>2529</v>
      </c>
      <c r="B1175" t="s">
        <v>2530</v>
      </c>
      <c r="C1175">
        <v>2005</v>
      </c>
      <c r="D1175">
        <v>2000</v>
      </c>
      <c r="E1175" t="s">
        <v>54</v>
      </c>
      <c r="F1175">
        <v>107</v>
      </c>
      <c r="G1175" t="s">
        <v>3997</v>
      </c>
      <c r="H1175" t="s">
        <v>2532</v>
      </c>
      <c r="I1175" t="s">
        <v>153</v>
      </c>
      <c r="J1175" t="s">
        <v>2533</v>
      </c>
      <c r="K1175">
        <v>24170</v>
      </c>
      <c r="M1175">
        <v>0</v>
      </c>
      <c r="N1175" t="s">
        <v>4001</v>
      </c>
      <c r="O1175" t="s">
        <v>3988</v>
      </c>
      <c r="P1175" t="str">
        <f>TRIM(Table13_1[[#This Row],[Genre]])</f>
        <v>Drama</v>
      </c>
    </row>
    <row r="1176" spans="1:16" x14ac:dyDescent="0.3">
      <c r="A1176" t="s">
        <v>2534</v>
      </c>
      <c r="B1176" t="s">
        <v>2535</v>
      </c>
      <c r="C1176">
        <v>1999</v>
      </c>
      <c r="D1176">
        <v>1990</v>
      </c>
      <c r="E1176" t="s">
        <v>24</v>
      </c>
      <c r="F1176">
        <v>131</v>
      </c>
      <c r="G1176" t="s">
        <v>3999</v>
      </c>
      <c r="H1176" t="s">
        <v>164</v>
      </c>
      <c r="I1176" t="s">
        <v>103</v>
      </c>
      <c r="J1176" t="s">
        <v>2536</v>
      </c>
      <c r="K1176">
        <v>104476</v>
      </c>
      <c r="L1176">
        <v>234.79</v>
      </c>
      <c r="M1176">
        <v>234.79</v>
      </c>
      <c r="N1176" t="s">
        <v>3998</v>
      </c>
      <c r="O1176" t="s">
        <v>1044</v>
      </c>
      <c r="P1176" t="str">
        <f>TRIM(Table13_1[[#This Row],[Genre]])</f>
        <v>Comedy</v>
      </c>
    </row>
    <row r="1177" spans="1:16" x14ac:dyDescent="0.3">
      <c r="A1177" t="s">
        <v>2537</v>
      </c>
      <c r="B1177" t="s">
        <v>2538</v>
      </c>
      <c r="C1177">
        <v>2018</v>
      </c>
      <c r="D1177">
        <v>2010</v>
      </c>
      <c r="E1177" t="s">
        <v>17</v>
      </c>
      <c r="F1177">
        <v>99</v>
      </c>
      <c r="G1177" t="s">
        <v>3997</v>
      </c>
      <c r="H1177" t="s">
        <v>278</v>
      </c>
      <c r="I1177" t="s">
        <v>483</v>
      </c>
      <c r="J1177" t="s">
        <v>2540</v>
      </c>
      <c r="K1177">
        <v>4900</v>
      </c>
      <c r="L1177">
        <v>271.39999999999998</v>
      </c>
      <c r="M1177">
        <v>271.39999999999998</v>
      </c>
      <c r="N1177" t="s">
        <v>3998</v>
      </c>
      <c r="O1177" t="s">
        <v>277</v>
      </c>
      <c r="P1177" t="str">
        <f>TRIM(Table13_1[[#This Row],[Genre]])</f>
        <v>Thriller</v>
      </c>
    </row>
    <row r="1178" spans="1:16" x14ac:dyDescent="0.3">
      <c r="A1178" t="s">
        <v>2537</v>
      </c>
      <c r="B1178" t="s">
        <v>2538</v>
      </c>
      <c r="C1178">
        <v>2018</v>
      </c>
      <c r="D1178">
        <v>2010</v>
      </c>
      <c r="E1178" t="s">
        <v>17</v>
      </c>
      <c r="F1178">
        <v>99</v>
      </c>
      <c r="G1178" t="s">
        <v>3997</v>
      </c>
      <c r="H1178" t="s">
        <v>278</v>
      </c>
      <c r="I1178" t="s">
        <v>483</v>
      </c>
      <c r="J1178" t="s">
        <v>2540</v>
      </c>
      <c r="K1178">
        <v>4900</v>
      </c>
      <c r="L1178">
        <v>271.39999999999998</v>
      </c>
      <c r="M1178">
        <v>271.39999999999998</v>
      </c>
      <c r="N1178" t="s">
        <v>3998</v>
      </c>
      <c r="O1178" t="s">
        <v>3978</v>
      </c>
      <c r="P1178" t="str">
        <f>TRIM(Table13_1[[#This Row],[Genre]])</f>
        <v>Mystery</v>
      </c>
    </row>
    <row r="1179" spans="1:16" x14ac:dyDescent="0.3">
      <c r="A1179" t="s">
        <v>2541</v>
      </c>
      <c r="B1179" t="s">
        <v>2542</v>
      </c>
      <c r="C1179">
        <v>2020</v>
      </c>
      <c r="D1179">
        <v>2020</v>
      </c>
      <c r="E1179" t="s">
        <v>24</v>
      </c>
      <c r="F1179">
        <v>137</v>
      </c>
      <c r="G1179" t="s">
        <v>3999</v>
      </c>
      <c r="H1179" t="s">
        <v>431</v>
      </c>
      <c r="I1179" t="s">
        <v>131</v>
      </c>
      <c r="J1179" t="s">
        <v>2543</v>
      </c>
      <c r="K1179">
        <v>63408</v>
      </c>
      <c r="L1179">
        <v>120.42</v>
      </c>
      <c r="M1179">
        <v>120.42</v>
      </c>
      <c r="N1179" t="s">
        <v>4002</v>
      </c>
      <c r="O1179" t="s">
        <v>210</v>
      </c>
      <c r="P1179" t="str">
        <f>TRIM(Table13_1[[#This Row],[Genre]])</f>
        <v>Action</v>
      </c>
    </row>
    <row r="1180" spans="1:16" x14ac:dyDescent="0.3">
      <c r="A1180" t="s">
        <v>2544</v>
      </c>
      <c r="B1180" t="s">
        <v>2545</v>
      </c>
      <c r="C1180">
        <v>2003</v>
      </c>
      <c r="D1180">
        <v>2000</v>
      </c>
      <c r="E1180" t="s">
        <v>293</v>
      </c>
      <c r="F1180">
        <v>95</v>
      </c>
      <c r="G1180" t="s">
        <v>3997</v>
      </c>
      <c r="H1180" t="s">
        <v>2547</v>
      </c>
      <c r="I1180" t="s">
        <v>33</v>
      </c>
      <c r="J1180" t="s">
        <v>2548</v>
      </c>
      <c r="K1180">
        <v>16717</v>
      </c>
      <c r="L1180">
        <v>209.32</v>
      </c>
      <c r="M1180">
        <v>209.32</v>
      </c>
      <c r="N1180" t="s">
        <v>3998</v>
      </c>
      <c r="O1180" t="s">
        <v>1044</v>
      </c>
      <c r="P1180" t="str">
        <f>TRIM(Table13_1[[#This Row],[Genre]])</f>
        <v>Comedy</v>
      </c>
    </row>
    <row r="1181" spans="1:16" x14ac:dyDescent="0.3">
      <c r="A1181" t="s">
        <v>2544</v>
      </c>
      <c r="B1181" t="s">
        <v>2545</v>
      </c>
      <c r="C1181">
        <v>2003</v>
      </c>
      <c r="D1181">
        <v>2000</v>
      </c>
      <c r="E1181" t="s">
        <v>293</v>
      </c>
      <c r="F1181">
        <v>95</v>
      </c>
      <c r="G1181" t="s">
        <v>3997</v>
      </c>
      <c r="H1181" t="s">
        <v>2547</v>
      </c>
      <c r="I1181" t="s">
        <v>33</v>
      </c>
      <c r="J1181" t="s">
        <v>2548</v>
      </c>
      <c r="K1181">
        <v>16717</v>
      </c>
      <c r="L1181">
        <v>209.32</v>
      </c>
      <c r="M1181">
        <v>209.32</v>
      </c>
      <c r="N1181" t="s">
        <v>3998</v>
      </c>
      <c r="O1181" t="s">
        <v>3992</v>
      </c>
      <c r="P1181" t="str">
        <f>TRIM(Table13_1[[#This Row],[Genre]])</f>
        <v>Biography</v>
      </c>
    </row>
    <row r="1182" spans="1:16" x14ac:dyDescent="0.3">
      <c r="A1182" t="s">
        <v>2549</v>
      </c>
      <c r="B1182" t="s">
        <v>2550</v>
      </c>
      <c r="C1182">
        <v>2021</v>
      </c>
      <c r="D1182">
        <v>2020</v>
      </c>
      <c r="E1182" t="s">
        <v>17</v>
      </c>
      <c r="F1182">
        <v>137</v>
      </c>
      <c r="G1182" t="s">
        <v>3999</v>
      </c>
      <c r="H1182" t="s">
        <v>412</v>
      </c>
      <c r="I1182" t="s">
        <v>153</v>
      </c>
      <c r="J1182" t="s">
        <v>2551</v>
      </c>
      <c r="K1182">
        <v>62338</v>
      </c>
      <c r="M1182">
        <v>0</v>
      </c>
      <c r="N1182" t="s">
        <v>4001</v>
      </c>
      <c r="O1182" t="s">
        <v>78</v>
      </c>
      <c r="P1182" t="str">
        <f>TRIM(Table13_1[[#This Row],[Genre]])</f>
        <v>Adventure</v>
      </c>
    </row>
    <row r="1183" spans="1:16" x14ac:dyDescent="0.3">
      <c r="A1183" t="s">
        <v>2549</v>
      </c>
      <c r="B1183" t="s">
        <v>2550</v>
      </c>
      <c r="C1183">
        <v>2021</v>
      </c>
      <c r="D1183">
        <v>2020</v>
      </c>
      <c r="E1183" t="s">
        <v>17</v>
      </c>
      <c r="F1183">
        <v>137</v>
      </c>
      <c r="G1183" t="s">
        <v>3999</v>
      </c>
      <c r="H1183" t="s">
        <v>412</v>
      </c>
      <c r="I1183" t="s">
        <v>153</v>
      </c>
      <c r="J1183" t="s">
        <v>2551</v>
      </c>
      <c r="K1183">
        <v>62338</v>
      </c>
      <c r="M1183">
        <v>0</v>
      </c>
      <c r="N1183" t="s">
        <v>4001</v>
      </c>
      <c r="O1183" t="s">
        <v>3976</v>
      </c>
      <c r="P1183" t="str">
        <f>TRIM(Table13_1[[#This Row],[Genre]])</f>
        <v>Musical</v>
      </c>
    </row>
    <row r="1184" spans="1:16" x14ac:dyDescent="0.3">
      <c r="A1184" t="s">
        <v>2552</v>
      </c>
      <c r="B1184" t="s">
        <v>2553</v>
      </c>
      <c r="C1184">
        <v>2010</v>
      </c>
      <c r="D1184">
        <v>2010</v>
      </c>
      <c r="E1184" t="s">
        <v>285</v>
      </c>
      <c r="F1184">
        <v>142</v>
      </c>
      <c r="G1184" t="s">
        <v>3999</v>
      </c>
      <c r="H1184" t="s">
        <v>2554</v>
      </c>
      <c r="I1184" t="s">
        <v>547</v>
      </c>
      <c r="J1184" t="s">
        <v>2555</v>
      </c>
      <c r="K1184">
        <v>11386</v>
      </c>
      <c r="L1184">
        <v>118.19</v>
      </c>
      <c r="M1184">
        <v>118.19</v>
      </c>
      <c r="N1184" t="s">
        <v>4002</v>
      </c>
      <c r="O1184" t="s">
        <v>157</v>
      </c>
      <c r="P1184" t="str">
        <f>TRIM(Table13_1[[#This Row],[Genre]])</f>
        <v>Animation</v>
      </c>
    </row>
    <row r="1185" spans="1:16" x14ac:dyDescent="0.3">
      <c r="A1185" t="s">
        <v>2556</v>
      </c>
      <c r="B1185" t="s">
        <v>2557</v>
      </c>
      <c r="C1185">
        <v>2022</v>
      </c>
      <c r="D1185">
        <v>2020</v>
      </c>
      <c r="E1185" t="s">
        <v>24</v>
      </c>
      <c r="F1185">
        <v>134</v>
      </c>
      <c r="G1185" t="s">
        <v>3999</v>
      </c>
      <c r="H1185" t="s">
        <v>350</v>
      </c>
      <c r="I1185" t="s">
        <v>221</v>
      </c>
      <c r="J1185" t="s">
        <v>2559</v>
      </c>
      <c r="K1185">
        <v>529607</v>
      </c>
      <c r="L1185">
        <v>413.19</v>
      </c>
      <c r="M1185">
        <v>413.19</v>
      </c>
      <c r="N1185" t="s">
        <v>3998</v>
      </c>
      <c r="O1185" t="s">
        <v>868</v>
      </c>
      <c r="P1185" t="str">
        <f>TRIM(Table13_1[[#This Row],[Genre]])</f>
        <v>Western</v>
      </c>
    </row>
    <row r="1186" spans="1:16" x14ac:dyDescent="0.3">
      <c r="A1186" t="s">
        <v>2556</v>
      </c>
      <c r="B1186" t="s">
        <v>2557</v>
      </c>
      <c r="C1186">
        <v>2022</v>
      </c>
      <c r="D1186">
        <v>2020</v>
      </c>
      <c r="E1186" t="s">
        <v>24</v>
      </c>
      <c r="F1186">
        <v>134</v>
      </c>
      <c r="G1186" t="s">
        <v>3999</v>
      </c>
      <c r="H1186" t="s">
        <v>350</v>
      </c>
      <c r="I1186" t="s">
        <v>221</v>
      </c>
      <c r="J1186" t="s">
        <v>2559</v>
      </c>
      <c r="K1186">
        <v>529607</v>
      </c>
      <c r="L1186">
        <v>413.19</v>
      </c>
      <c r="M1186">
        <v>413.19</v>
      </c>
      <c r="N1186" t="s">
        <v>3998</v>
      </c>
      <c r="O1186" t="s">
        <v>3984</v>
      </c>
      <c r="P1186" t="str">
        <f>TRIM(Table13_1[[#This Row],[Genre]])</f>
        <v>Adventure</v>
      </c>
    </row>
    <row r="1187" spans="1:16" x14ac:dyDescent="0.3">
      <c r="A1187" t="s">
        <v>2556</v>
      </c>
      <c r="B1187" t="s">
        <v>2557</v>
      </c>
      <c r="C1187">
        <v>2022</v>
      </c>
      <c r="D1187">
        <v>2020</v>
      </c>
      <c r="E1187" t="s">
        <v>24</v>
      </c>
      <c r="F1187">
        <v>134</v>
      </c>
      <c r="G1187" t="s">
        <v>3999</v>
      </c>
      <c r="H1187" t="s">
        <v>350</v>
      </c>
      <c r="I1187" t="s">
        <v>221</v>
      </c>
      <c r="J1187" t="s">
        <v>2559</v>
      </c>
      <c r="K1187">
        <v>529607</v>
      </c>
      <c r="L1187">
        <v>413.19</v>
      </c>
      <c r="M1187">
        <v>413.19</v>
      </c>
      <c r="N1187" t="s">
        <v>3998</v>
      </c>
      <c r="O1187" t="s">
        <v>3991</v>
      </c>
      <c r="P1187" t="str">
        <f>TRIM(Table13_1[[#This Row],[Genre]])</f>
        <v>Thriller</v>
      </c>
    </row>
    <row r="1188" spans="1:16" x14ac:dyDescent="0.3">
      <c r="A1188" t="s">
        <v>2560</v>
      </c>
      <c r="B1188" t="s">
        <v>2561</v>
      </c>
      <c r="C1188">
        <v>2022</v>
      </c>
      <c r="D1188">
        <v>2020</v>
      </c>
      <c r="E1188" t="s">
        <v>54</v>
      </c>
      <c r="F1188">
        <v>115</v>
      </c>
      <c r="G1188" t="s">
        <v>3997</v>
      </c>
      <c r="H1188" t="s">
        <v>355</v>
      </c>
      <c r="I1188" t="s">
        <v>74</v>
      </c>
      <c r="J1188" t="s">
        <v>2562</v>
      </c>
      <c r="K1188">
        <v>94950</v>
      </c>
      <c r="L1188">
        <v>330.77</v>
      </c>
      <c r="M1188">
        <v>330.77</v>
      </c>
      <c r="N1188" t="s">
        <v>3998</v>
      </c>
      <c r="O1188" t="s">
        <v>868</v>
      </c>
      <c r="P1188" t="str">
        <f>TRIM(Table13_1[[#This Row],[Genre]])</f>
        <v>Western</v>
      </c>
    </row>
    <row r="1189" spans="1:16" x14ac:dyDescent="0.3">
      <c r="A1189" t="s">
        <v>2560</v>
      </c>
      <c r="B1189" t="s">
        <v>2561</v>
      </c>
      <c r="C1189">
        <v>2022</v>
      </c>
      <c r="D1189">
        <v>2020</v>
      </c>
      <c r="E1189" t="s">
        <v>54</v>
      </c>
      <c r="F1189">
        <v>115</v>
      </c>
      <c r="G1189" t="s">
        <v>3997</v>
      </c>
      <c r="H1189" t="s">
        <v>355</v>
      </c>
      <c r="I1189" t="s">
        <v>74</v>
      </c>
      <c r="J1189" t="s">
        <v>2562</v>
      </c>
      <c r="K1189">
        <v>94950</v>
      </c>
      <c r="L1189">
        <v>330.77</v>
      </c>
      <c r="M1189">
        <v>330.77</v>
      </c>
      <c r="N1189" t="s">
        <v>3998</v>
      </c>
      <c r="O1189" t="s">
        <v>3976</v>
      </c>
      <c r="P1189" t="str">
        <f>TRIM(Table13_1[[#This Row],[Genre]])</f>
        <v>Musical</v>
      </c>
    </row>
    <row r="1190" spans="1:16" x14ac:dyDescent="0.3">
      <c r="A1190" t="s">
        <v>2563</v>
      </c>
      <c r="B1190" t="s">
        <v>2564</v>
      </c>
      <c r="C1190">
        <v>2008</v>
      </c>
      <c r="D1190">
        <v>2000</v>
      </c>
      <c r="E1190" t="s">
        <v>54</v>
      </c>
      <c r="F1190">
        <v>143</v>
      </c>
      <c r="G1190" t="s">
        <v>3999</v>
      </c>
      <c r="H1190" t="s">
        <v>395</v>
      </c>
      <c r="I1190" t="s">
        <v>39</v>
      </c>
      <c r="J1190" t="s">
        <v>2566</v>
      </c>
      <c r="K1190">
        <v>56094</v>
      </c>
      <c r="L1190">
        <v>275.58</v>
      </c>
      <c r="M1190">
        <v>275.58</v>
      </c>
      <c r="N1190" t="s">
        <v>3998</v>
      </c>
      <c r="O1190" t="s">
        <v>277</v>
      </c>
      <c r="P1190" t="str">
        <f>TRIM(Table13_1[[#This Row],[Genre]])</f>
        <v>Thriller</v>
      </c>
    </row>
    <row r="1191" spans="1:16" x14ac:dyDescent="0.3">
      <c r="A1191" t="s">
        <v>2563</v>
      </c>
      <c r="B1191" t="s">
        <v>2564</v>
      </c>
      <c r="C1191">
        <v>2008</v>
      </c>
      <c r="D1191">
        <v>2000</v>
      </c>
      <c r="E1191" t="s">
        <v>54</v>
      </c>
      <c r="F1191">
        <v>143</v>
      </c>
      <c r="G1191" t="s">
        <v>3999</v>
      </c>
      <c r="H1191" t="s">
        <v>395</v>
      </c>
      <c r="I1191" t="s">
        <v>39</v>
      </c>
      <c r="J1191" t="s">
        <v>2566</v>
      </c>
      <c r="K1191">
        <v>56094</v>
      </c>
      <c r="L1191">
        <v>275.58</v>
      </c>
      <c r="M1191">
        <v>275.58</v>
      </c>
      <c r="N1191" t="s">
        <v>3998</v>
      </c>
      <c r="O1191" t="s">
        <v>3993</v>
      </c>
      <c r="P1191" t="str">
        <f>TRIM(Table13_1[[#This Row],[Genre]])</f>
        <v>Comedy</v>
      </c>
    </row>
    <row r="1192" spans="1:16" x14ac:dyDescent="0.3">
      <c r="A1192" t="s">
        <v>2563</v>
      </c>
      <c r="B1192" t="s">
        <v>2564</v>
      </c>
      <c r="C1192">
        <v>2008</v>
      </c>
      <c r="D1192">
        <v>2000</v>
      </c>
      <c r="E1192" t="s">
        <v>54</v>
      </c>
      <c r="F1192">
        <v>143</v>
      </c>
      <c r="G1192" t="s">
        <v>3999</v>
      </c>
      <c r="H1192" t="s">
        <v>395</v>
      </c>
      <c r="I1192" t="s">
        <v>39</v>
      </c>
      <c r="J1192" t="s">
        <v>2566</v>
      </c>
      <c r="K1192">
        <v>56094</v>
      </c>
      <c r="L1192">
        <v>275.58</v>
      </c>
      <c r="M1192">
        <v>275.58</v>
      </c>
      <c r="N1192" t="s">
        <v>3998</v>
      </c>
      <c r="O1192" t="s">
        <v>3983</v>
      </c>
      <c r="P1192" t="str">
        <f>TRIM(Table13_1[[#This Row],[Genre]])</f>
        <v>Crime</v>
      </c>
    </row>
    <row r="1193" spans="1:16" x14ac:dyDescent="0.3">
      <c r="A1193" t="s">
        <v>2567</v>
      </c>
      <c r="B1193" t="s">
        <v>2568</v>
      </c>
      <c r="C1193">
        <v>2010</v>
      </c>
      <c r="D1193">
        <v>2010</v>
      </c>
      <c r="E1193" t="s">
        <v>17</v>
      </c>
      <c r="F1193">
        <v>104</v>
      </c>
      <c r="G1193" t="s">
        <v>3997</v>
      </c>
      <c r="H1193" t="s">
        <v>1718</v>
      </c>
      <c r="I1193" t="s">
        <v>80</v>
      </c>
      <c r="J1193" t="s">
        <v>2569</v>
      </c>
      <c r="K1193">
        <v>14967</v>
      </c>
      <c r="M1193">
        <v>0</v>
      </c>
      <c r="N1193" t="s">
        <v>4001</v>
      </c>
      <c r="O1193" t="s">
        <v>606</v>
      </c>
      <c r="P1193" t="str">
        <f>TRIM(Table13_1[[#This Row],[Genre]])</f>
        <v>Sci-Fi</v>
      </c>
    </row>
    <row r="1194" spans="1:16" x14ac:dyDescent="0.3">
      <c r="A1194" t="s">
        <v>2567</v>
      </c>
      <c r="B1194" t="s">
        <v>2568</v>
      </c>
      <c r="C1194">
        <v>2010</v>
      </c>
      <c r="D1194">
        <v>2010</v>
      </c>
      <c r="E1194" t="s">
        <v>17</v>
      </c>
      <c r="F1194">
        <v>104</v>
      </c>
      <c r="G1194" t="s">
        <v>3997</v>
      </c>
      <c r="H1194" t="s">
        <v>1718</v>
      </c>
      <c r="I1194" t="s">
        <v>80</v>
      </c>
      <c r="J1194" t="s">
        <v>2569</v>
      </c>
      <c r="K1194">
        <v>14967</v>
      </c>
      <c r="M1194">
        <v>0</v>
      </c>
      <c r="N1194" t="s">
        <v>4001</v>
      </c>
      <c r="O1194" t="s">
        <v>3983</v>
      </c>
      <c r="P1194" t="str">
        <f>TRIM(Table13_1[[#This Row],[Genre]])</f>
        <v>Crime</v>
      </c>
    </row>
    <row r="1195" spans="1:16" x14ac:dyDescent="0.3">
      <c r="A1195" t="s">
        <v>2570</v>
      </c>
      <c r="B1195" t="s">
        <v>2571</v>
      </c>
      <c r="C1195">
        <v>2009</v>
      </c>
      <c r="D1195">
        <v>2000</v>
      </c>
      <c r="E1195" t="s">
        <v>24</v>
      </c>
      <c r="F1195">
        <v>93</v>
      </c>
      <c r="G1195" t="s">
        <v>3997</v>
      </c>
      <c r="H1195" t="s">
        <v>136</v>
      </c>
      <c r="I1195" t="s">
        <v>103</v>
      </c>
      <c r="J1195" t="s">
        <v>2572</v>
      </c>
      <c r="K1195">
        <v>18032</v>
      </c>
      <c r="L1195">
        <v>110.81</v>
      </c>
      <c r="M1195">
        <v>110.81</v>
      </c>
      <c r="N1195" t="s">
        <v>4002</v>
      </c>
      <c r="O1195" t="s">
        <v>43</v>
      </c>
      <c r="P1195" t="str">
        <f>TRIM(Table13_1[[#This Row],[Genre]])</f>
        <v>Mystery</v>
      </c>
    </row>
    <row r="1196" spans="1:16" x14ac:dyDescent="0.3">
      <c r="A1196" t="s">
        <v>2570</v>
      </c>
      <c r="B1196" t="s">
        <v>2571</v>
      </c>
      <c r="C1196">
        <v>2009</v>
      </c>
      <c r="D1196">
        <v>2000</v>
      </c>
      <c r="E1196" t="s">
        <v>24</v>
      </c>
      <c r="F1196">
        <v>93</v>
      </c>
      <c r="G1196" t="s">
        <v>3997</v>
      </c>
      <c r="H1196" t="s">
        <v>136</v>
      </c>
      <c r="I1196" t="s">
        <v>103</v>
      </c>
      <c r="J1196" t="s">
        <v>2572</v>
      </c>
      <c r="K1196">
        <v>18032</v>
      </c>
      <c r="L1196">
        <v>110.81</v>
      </c>
      <c r="M1196">
        <v>110.81</v>
      </c>
      <c r="N1196" t="s">
        <v>4002</v>
      </c>
      <c r="O1196" t="s">
        <v>3984</v>
      </c>
      <c r="P1196" t="str">
        <f>TRIM(Table13_1[[#This Row],[Genre]])</f>
        <v>Adventure</v>
      </c>
    </row>
    <row r="1197" spans="1:16" x14ac:dyDescent="0.3">
      <c r="A1197" t="s">
        <v>2573</v>
      </c>
      <c r="B1197" t="s">
        <v>2574</v>
      </c>
      <c r="C1197">
        <v>2003</v>
      </c>
      <c r="D1197">
        <v>2000</v>
      </c>
      <c r="E1197" t="s">
        <v>17</v>
      </c>
      <c r="F1197">
        <v>156</v>
      </c>
      <c r="G1197" t="s">
        <v>3999</v>
      </c>
      <c r="H1197" t="s">
        <v>561</v>
      </c>
      <c r="I1197" t="s">
        <v>147</v>
      </c>
      <c r="J1197" t="s">
        <v>2575</v>
      </c>
      <c r="K1197">
        <v>16790</v>
      </c>
      <c r="L1197">
        <v>212.08</v>
      </c>
      <c r="M1197">
        <v>212.08</v>
      </c>
      <c r="N1197" t="s">
        <v>3998</v>
      </c>
      <c r="O1197" t="s">
        <v>37</v>
      </c>
      <c r="P1197" t="str">
        <f>TRIM(Table13_1[[#This Row],[Genre]])</f>
        <v>Biography</v>
      </c>
    </row>
    <row r="1198" spans="1:16" x14ac:dyDescent="0.3">
      <c r="A1198" t="s">
        <v>2573</v>
      </c>
      <c r="B1198" t="s">
        <v>2574</v>
      </c>
      <c r="C1198">
        <v>2003</v>
      </c>
      <c r="D1198">
        <v>2000</v>
      </c>
      <c r="E1198" t="s">
        <v>17</v>
      </c>
      <c r="F1198">
        <v>156</v>
      </c>
      <c r="G1198" t="s">
        <v>3999</v>
      </c>
      <c r="H1198" t="s">
        <v>561</v>
      </c>
      <c r="I1198" t="s">
        <v>147</v>
      </c>
      <c r="J1198" t="s">
        <v>2575</v>
      </c>
      <c r="K1198">
        <v>16790</v>
      </c>
      <c r="L1198">
        <v>212.08</v>
      </c>
      <c r="M1198">
        <v>212.08</v>
      </c>
      <c r="N1198" t="s">
        <v>3998</v>
      </c>
      <c r="O1198" t="s">
        <v>3988</v>
      </c>
      <c r="P1198" t="str">
        <f>TRIM(Table13_1[[#This Row],[Genre]])</f>
        <v>Drama</v>
      </c>
    </row>
    <row r="1199" spans="1:16" x14ac:dyDescent="0.3">
      <c r="A1199" t="s">
        <v>2576</v>
      </c>
      <c r="B1199" t="s">
        <v>2577</v>
      </c>
      <c r="C1199">
        <v>2012</v>
      </c>
      <c r="D1199">
        <v>2010</v>
      </c>
      <c r="E1199" t="s">
        <v>54</v>
      </c>
      <c r="F1199">
        <v>149</v>
      </c>
      <c r="G1199" t="s">
        <v>3999</v>
      </c>
      <c r="H1199" t="s">
        <v>124</v>
      </c>
      <c r="I1199" t="s">
        <v>63</v>
      </c>
      <c r="J1199" t="s">
        <v>2579</v>
      </c>
      <c r="K1199">
        <v>21947</v>
      </c>
      <c r="L1199">
        <v>297.22000000000003</v>
      </c>
      <c r="M1199">
        <v>297.22000000000003</v>
      </c>
      <c r="N1199" t="s">
        <v>3998</v>
      </c>
      <c r="O1199" t="s">
        <v>230</v>
      </c>
      <c r="P1199" t="str">
        <f>TRIM(Table13_1[[#This Row],[Genre]])</f>
        <v>Documentary</v>
      </c>
    </row>
    <row r="1200" spans="1:16" x14ac:dyDescent="0.3">
      <c r="A1200" t="s">
        <v>2576</v>
      </c>
      <c r="B1200" t="s">
        <v>2577</v>
      </c>
      <c r="C1200">
        <v>2012</v>
      </c>
      <c r="D1200">
        <v>2010</v>
      </c>
      <c r="E1200" t="s">
        <v>54</v>
      </c>
      <c r="F1200">
        <v>149</v>
      </c>
      <c r="G1200" t="s">
        <v>3999</v>
      </c>
      <c r="H1200" t="s">
        <v>124</v>
      </c>
      <c r="I1200" t="s">
        <v>63</v>
      </c>
      <c r="J1200" t="s">
        <v>2579</v>
      </c>
      <c r="K1200">
        <v>21947</v>
      </c>
      <c r="L1200">
        <v>297.22000000000003</v>
      </c>
      <c r="M1200">
        <v>297.22000000000003</v>
      </c>
      <c r="N1200" t="s">
        <v>3998</v>
      </c>
      <c r="O1200" t="s">
        <v>3983</v>
      </c>
      <c r="P1200" t="str">
        <f>TRIM(Table13_1[[#This Row],[Genre]])</f>
        <v>Crime</v>
      </c>
    </row>
    <row r="1201" spans="1:16" x14ac:dyDescent="0.3">
      <c r="A1201" t="s">
        <v>2576</v>
      </c>
      <c r="B1201" t="s">
        <v>2577</v>
      </c>
      <c r="C1201">
        <v>2012</v>
      </c>
      <c r="D1201">
        <v>2010</v>
      </c>
      <c r="E1201" t="s">
        <v>54</v>
      </c>
      <c r="F1201">
        <v>149</v>
      </c>
      <c r="G1201" t="s">
        <v>3999</v>
      </c>
      <c r="H1201" t="s">
        <v>124</v>
      </c>
      <c r="I1201" t="s">
        <v>63</v>
      </c>
      <c r="J1201" t="s">
        <v>2579</v>
      </c>
      <c r="K1201">
        <v>21947</v>
      </c>
      <c r="L1201">
        <v>297.22000000000003</v>
      </c>
      <c r="M1201">
        <v>297.22000000000003</v>
      </c>
      <c r="N1201" t="s">
        <v>3998</v>
      </c>
      <c r="O1201" t="s">
        <v>3979</v>
      </c>
      <c r="P1201" t="str">
        <f>TRIM(Table13_1[[#This Row],[Genre]])</f>
        <v>War</v>
      </c>
    </row>
    <row r="1202" spans="1:16" x14ac:dyDescent="0.3">
      <c r="A1202" t="s">
        <v>2580</v>
      </c>
      <c r="B1202" t="s">
        <v>2581</v>
      </c>
      <c r="C1202">
        <v>2024</v>
      </c>
      <c r="D1202">
        <v>2020</v>
      </c>
      <c r="E1202" t="s">
        <v>169</v>
      </c>
      <c r="F1202">
        <v>94</v>
      </c>
      <c r="G1202" t="s">
        <v>3997</v>
      </c>
      <c r="H1202" t="s">
        <v>1155</v>
      </c>
      <c r="I1202" t="s">
        <v>27</v>
      </c>
      <c r="J1202" t="s">
        <v>2583</v>
      </c>
      <c r="K1202">
        <v>37694</v>
      </c>
      <c r="M1202">
        <v>0</v>
      </c>
      <c r="N1202" t="s">
        <v>4001</v>
      </c>
      <c r="O1202" t="s">
        <v>72</v>
      </c>
      <c r="P1202" t="str">
        <f>TRIM(Table13_1[[#This Row],[Genre]])</f>
        <v>War</v>
      </c>
    </row>
    <row r="1203" spans="1:16" x14ac:dyDescent="0.3">
      <c r="A1203" t="s">
        <v>2580</v>
      </c>
      <c r="B1203" t="s">
        <v>2581</v>
      </c>
      <c r="C1203">
        <v>2024</v>
      </c>
      <c r="D1203">
        <v>2020</v>
      </c>
      <c r="E1203" t="s">
        <v>169</v>
      </c>
      <c r="F1203">
        <v>94</v>
      </c>
      <c r="G1203" t="s">
        <v>3997</v>
      </c>
      <c r="H1203" t="s">
        <v>1155</v>
      </c>
      <c r="I1203" t="s">
        <v>27</v>
      </c>
      <c r="J1203" t="s">
        <v>2583</v>
      </c>
      <c r="K1203">
        <v>37694</v>
      </c>
      <c r="M1203">
        <v>0</v>
      </c>
      <c r="N1203" t="s">
        <v>4001</v>
      </c>
      <c r="O1203" t="s">
        <v>3991</v>
      </c>
      <c r="P1203" t="str">
        <f>TRIM(Table13_1[[#This Row],[Genre]])</f>
        <v>Thriller</v>
      </c>
    </row>
    <row r="1204" spans="1:16" x14ac:dyDescent="0.3">
      <c r="A1204" t="s">
        <v>2584</v>
      </c>
      <c r="B1204" t="s">
        <v>2585</v>
      </c>
      <c r="C1204">
        <v>2002</v>
      </c>
      <c r="D1204">
        <v>2000</v>
      </c>
      <c r="E1204" t="s">
        <v>17</v>
      </c>
      <c r="F1204">
        <v>75</v>
      </c>
      <c r="G1204" t="s">
        <v>4000</v>
      </c>
      <c r="H1204" t="s">
        <v>38</v>
      </c>
      <c r="I1204" t="s">
        <v>119</v>
      </c>
      <c r="J1204" t="s">
        <v>2586</v>
      </c>
      <c r="K1204">
        <v>16695</v>
      </c>
      <c r="L1204">
        <v>443.54</v>
      </c>
      <c r="M1204">
        <v>443.54</v>
      </c>
      <c r="N1204" t="s">
        <v>3998</v>
      </c>
      <c r="O1204" t="s">
        <v>37</v>
      </c>
      <c r="P1204" t="str">
        <f>TRIM(Table13_1[[#This Row],[Genre]])</f>
        <v>Biography</v>
      </c>
    </row>
    <row r="1205" spans="1:16" x14ac:dyDescent="0.3">
      <c r="A1205" t="s">
        <v>2584</v>
      </c>
      <c r="B1205" t="s">
        <v>2585</v>
      </c>
      <c r="C1205">
        <v>2002</v>
      </c>
      <c r="D1205">
        <v>2000</v>
      </c>
      <c r="E1205" t="s">
        <v>17</v>
      </c>
      <c r="F1205">
        <v>75</v>
      </c>
      <c r="G1205" t="s">
        <v>4000</v>
      </c>
      <c r="H1205" t="s">
        <v>38</v>
      </c>
      <c r="I1205" t="s">
        <v>119</v>
      </c>
      <c r="J1205" t="s">
        <v>2586</v>
      </c>
      <c r="K1205">
        <v>16695</v>
      </c>
      <c r="L1205">
        <v>443.54</v>
      </c>
      <c r="M1205">
        <v>443.54</v>
      </c>
      <c r="N1205" t="s">
        <v>3998</v>
      </c>
      <c r="O1205" t="s">
        <v>3990</v>
      </c>
      <c r="P1205" t="str">
        <f>TRIM(Table13_1[[#This Row],[Genre]])</f>
        <v>Western</v>
      </c>
    </row>
    <row r="1206" spans="1:16" x14ac:dyDescent="0.3">
      <c r="A1206" t="s">
        <v>2587</v>
      </c>
      <c r="B1206" t="s">
        <v>2588</v>
      </c>
      <c r="C1206">
        <v>2010</v>
      </c>
      <c r="D1206">
        <v>2010</v>
      </c>
      <c r="E1206" t="s">
        <v>17</v>
      </c>
      <c r="F1206">
        <v>112</v>
      </c>
      <c r="G1206" t="s">
        <v>3997</v>
      </c>
      <c r="H1206" t="s">
        <v>2590</v>
      </c>
      <c r="I1206" t="s">
        <v>196</v>
      </c>
      <c r="J1206" t="s">
        <v>2591</v>
      </c>
      <c r="K1206">
        <v>469429</v>
      </c>
      <c r="L1206">
        <v>392.75</v>
      </c>
      <c r="M1206">
        <v>392.75</v>
      </c>
      <c r="N1206" t="s">
        <v>3998</v>
      </c>
      <c r="O1206" t="s">
        <v>72</v>
      </c>
      <c r="P1206" t="str">
        <f>TRIM(Table13_1[[#This Row],[Genre]])</f>
        <v>War</v>
      </c>
    </row>
    <row r="1207" spans="1:16" x14ac:dyDescent="0.3">
      <c r="A1207" t="s">
        <v>2587</v>
      </c>
      <c r="B1207" t="s">
        <v>2588</v>
      </c>
      <c r="C1207">
        <v>2010</v>
      </c>
      <c r="D1207">
        <v>2010</v>
      </c>
      <c r="E1207" t="s">
        <v>17</v>
      </c>
      <c r="F1207">
        <v>112</v>
      </c>
      <c r="G1207" t="s">
        <v>3997</v>
      </c>
      <c r="H1207" t="s">
        <v>2590</v>
      </c>
      <c r="I1207" t="s">
        <v>196</v>
      </c>
      <c r="J1207" t="s">
        <v>2591</v>
      </c>
      <c r="K1207">
        <v>469429</v>
      </c>
      <c r="L1207">
        <v>392.75</v>
      </c>
      <c r="M1207">
        <v>392.75</v>
      </c>
      <c r="N1207" t="s">
        <v>3998</v>
      </c>
      <c r="O1207" t="s">
        <v>3988</v>
      </c>
      <c r="P1207" t="str">
        <f>TRIM(Table13_1[[#This Row],[Genre]])</f>
        <v>Drama</v>
      </c>
    </row>
    <row r="1208" spans="1:16" x14ac:dyDescent="0.3">
      <c r="A1208" t="s">
        <v>2592</v>
      </c>
      <c r="B1208" t="s">
        <v>2593</v>
      </c>
      <c r="C1208">
        <v>2000</v>
      </c>
      <c r="D1208">
        <v>2000</v>
      </c>
      <c r="E1208" t="s">
        <v>54</v>
      </c>
      <c r="F1208">
        <v>105</v>
      </c>
      <c r="G1208" t="s">
        <v>3997</v>
      </c>
      <c r="H1208" t="s">
        <v>2594</v>
      </c>
      <c r="I1208" t="s">
        <v>57</v>
      </c>
      <c r="J1208" t="s">
        <v>2595</v>
      </c>
      <c r="K1208">
        <v>95450</v>
      </c>
      <c r="L1208">
        <v>86.68</v>
      </c>
      <c r="M1208">
        <v>86.68</v>
      </c>
      <c r="N1208" t="s">
        <v>4001</v>
      </c>
      <c r="O1208" t="s">
        <v>55</v>
      </c>
      <c r="P1208" t="str">
        <f>TRIM(Table13_1[[#This Row],[Genre]])</f>
        <v>Romance</v>
      </c>
    </row>
    <row r="1209" spans="1:16" x14ac:dyDescent="0.3">
      <c r="A1209" t="s">
        <v>2592</v>
      </c>
      <c r="B1209" t="s">
        <v>2593</v>
      </c>
      <c r="C1209">
        <v>2000</v>
      </c>
      <c r="D1209">
        <v>2000</v>
      </c>
      <c r="E1209" t="s">
        <v>54</v>
      </c>
      <c r="F1209">
        <v>105</v>
      </c>
      <c r="G1209" t="s">
        <v>3997</v>
      </c>
      <c r="H1209" t="s">
        <v>2594</v>
      </c>
      <c r="I1209" t="s">
        <v>57</v>
      </c>
      <c r="J1209" t="s">
        <v>2595</v>
      </c>
      <c r="K1209">
        <v>95450</v>
      </c>
      <c r="L1209">
        <v>86.68</v>
      </c>
      <c r="M1209">
        <v>86.68</v>
      </c>
      <c r="N1209" t="s">
        <v>4001</v>
      </c>
      <c r="O1209" t="s">
        <v>3983</v>
      </c>
      <c r="P1209" t="str">
        <f>TRIM(Table13_1[[#This Row],[Genre]])</f>
        <v>Crime</v>
      </c>
    </row>
    <row r="1210" spans="1:16" x14ac:dyDescent="0.3">
      <c r="A1210" t="s">
        <v>2596</v>
      </c>
      <c r="B1210" t="s">
        <v>2597</v>
      </c>
      <c r="C1210">
        <v>2013</v>
      </c>
      <c r="D1210">
        <v>2010</v>
      </c>
      <c r="E1210" t="s">
        <v>24</v>
      </c>
      <c r="F1210">
        <v>119</v>
      </c>
      <c r="G1210" t="s">
        <v>3997</v>
      </c>
      <c r="H1210" t="s">
        <v>2598</v>
      </c>
      <c r="I1210" t="s">
        <v>221</v>
      </c>
      <c r="J1210" t="s">
        <v>2599</v>
      </c>
      <c r="K1210">
        <v>30338</v>
      </c>
      <c r="L1210">
        <v>84.72</v>
      </c>
      <c r="M1210">
        <v>84.72</v>
      </c>
      <c r="N1210" t="s">
        <v>4001</v>
      </c>
      <c r="O1210" t="s">
        <v>767</v>
      </c>
      <c r="P1210" t="str">
        <f>TRIM(Table13_1[[#This Row],[Genre]])</f>
        <v>Fantasy</v>
      </c>
    </row>
    <row r="1211" spans="1:16" x14ac:dyDescent="0.3">
      <c r="A1211" t="s">
        <v>2596</v>
      </c>
      <c r="B1211" t="s">
        <v>2597</v>
      </c>
      <c r="C1211">
        <v>2013</v>
      </c>
      <c r="D1211">
        <v>2010</v>
      </c>
      <c r="E1211" t="s">
        <v>24</v>
      </c>
      <c r="F1211">
        <v>119</v>
      </c>
      <c r="G1211" t="s">
        <v>3997</v>
      </c>
      <c r="H1211" t="s">
        <v>2598</v>
      </c>
      <c r="I1211" t="s">
        <v>221</v>
      </c>
      <c r="J1211" t="s">
        <v>2599</v>
      </c>
      <c r="K1211">
        <v>30338</v>
      </c>
      <c r="L1211">
        <v>84.72</v>
      </c>
      <c r="M1211">
        <v>84.72</v>
      </c>
      <c r="N1211" t="s">
        <v>4001</v>
      </c>
      <c r="O1211" t="s">
        <v>3985</v>
      </c>
      <c r="P1211" t="str">
        <f>TRIM(Table13_1[[#This Row],[Genre]])</f>
        <v>Horror</v>
      </c>
    </row>
    <row r="1212" spans="1:16" x14ac:dyDescent="0.3">
      <c r="A1212" t="s">
        <v>2600</v>
      </c>
      <c r="B1212" t="s">
        <v>2601</v>
      </c>
      <c r="C1212">
        <v>2024</v>
      </c>
      <c r="D1212">
        <v>2020</v>
      </c>
      <c r="E1212" t="s">
        <v>17</v>
      </c>
      <c r="F1212">
        <v>131</v>
      </c>
      <c r="G1212" t="s">
        <v>3999</v>
      </c>
      <c r="H1212" t="s">
        <v>2602</v>
      </c>
      <c r="I1212" t="s">
        <v>221</v>
      </c>
      <c r="J1212" t="s">
        <v>2603</v>
      </c>
      <c r="K1212">
        <v>14197</v>
      </c>
      <c r="L1212">
        <v>363.18</v>
      </c>
      <c r="M1212">
        <v>363.18</v>
      </c>
      <c r="N1212" t="s">
        <v>3998</v>
      </c>
      <c r="O1212" t="s">
        <v>48</v>
      </c>
      <c r="P1212" t="str">
        <f>TRIM(Table13_1[[#This Row],[Genre]])</f>
        <v>Crime</v>
      </c>
    </row>
    <row r="1213" spans="1:16" x14ac:dyDescent="0.3">
      <c r="A1213" t="s">
        <v>2604</v>
      </c>
      <c r="B1213" t="s">
        <v>2605</v>
      </c>
      <c r="C1213">
        <v>2022</v>
      </c>
      <c r="D1213">
        <v>2020</v>
      </c>
      <c r="E1213" t="s">
        <v>54</v>
      </c>
      <c r="F1213">
        <v>128</v>
      </c>
      <c r="G1213" t="s">
        <v>3999</v>
      </c>
      <c r="H1213" t="s">
        <v>2606</v>
      </c>
      <c r="I1213" t="s">
        <v>608</v>
      </c>
      <c r="J1213" t="s">
        <v>2607</v>
      </c>
      <c r="K1213">
        <v>164203</v>
      </c>
      <c r="M1213">
        <v>0</v>
      </c>
      <c r="N1213" t="s">
        <v>4001</v>
      </c>
      <c r="O1213" t="s">
        <v>1044</v>
      </c>
      <c r="P1213" t="str">
        <f>TRIM(Table13_1[[#This Row],[Genre]])</f>
        <v>Comedy</v>
      </c>
    </row>
    <row r="1214" spans="1:16" x14ac:dyDescent="0.3">
      <c r="A1214" t="s">
        <v>2608</v>
      </c>
      <c r="B1214" t="s">
        <v>2609</v>
      </c>
      <c r="C1214">
        <v>2022</v>
      </c>
      <c r="D1214">
        <v>2020</v>
      </c>
      <c r="E1214" t="s">
        <v>17</v>
      </c>
      <c r="F1214">
        <v>109</v>
      </c>
      <c r="G1214" t="s">
        <v>3997</v>
      </c>
      <c r="H1214" t="s">
        <v>2610</v>
      </c>
      <c r="I1214" t="s">
        <v>137</v>
      </c>
      <c r="J1214" t="s">
        <v>2611</v>
      </c>
      <c r="K1214">
        <v>13473</v>
      </c>
      <c r="L1214">
        <v>450.61</v>
      </c>
      <c r="M1214">
        <v>450.61</v>
      </c>
      <c r="N1214" t="s">
        <v>3998</v>
      </c>
      <c r="O1214" t="s">
        <v>767</v>
      </c>
      <c r="P1214" t="str">
        <f>TRIM(Table13_1[[#This Row],[Genre]])</f>
        <v>Fantasy</v>
      </c>
    </row>
    <row r="1215" spans="1:16" x14ac:dyDescent="0.3">
      <c r="A1215" t="s">
        <v>2608</v>
      </c>
      <c r="B1215" t="s">
        <v>2609</v>
      </c>
      <c r="C1215">
        <v>2022</v>
      </c>
      <c r="D1215">
        <v>2020</v>
      </c>
      <c r="E1215" t="s">
        <v>17</v>
      </c>
      <c r="F1215">
        <v>109</v>
      </c>
      <c r="G1215" t="s">
        <v>3997</v>
      </c>
      <c r="H1215" t="s">
        <v>2610</v>
      </c>
      <c r="I1215" t="s">
        <v>137</v>
      </c>
      <c r="J1215" t="s">
        <v>2611</v>
      </c>
      <c r="K1215">
        <v>13473</v>
      </c>
      <c r="L1215">
        <v>450.61</v>
      </c>
      <c r="M1215">
        <v>450.61</v>
      </c>
      <c r="N1215" t="s">
        <v>3998</v>
      </c>
      <c r="O1215" t="s">
        <v>3985</v>
      </c>
      <c r="P1215" t="str">
        <f>TRIM(Table13_1[[#This Row],[Genre]])</f>
        <v>Horror</v>
      </c>
    </row>
    <row r="1216" spans="1:16" x14ac:dyDescent="0.3">
      <c r="A1216" t="s">
        <v>2612</v>
      </c>
      <c r="B1216" t="s">
        <v>2613</v>
      </c>
      <c r="C1216">
        <v>2000</v>
      </c>
      <c r="D1216">
        <v>2000</v>
      </c>
      <c r="E1216" t="s">
        <v>293</v>
      </c>
      <c r="F1216">
        <v>70</v>
      </c>
      <c r="G1216" t="s">
        <v>4000</v>
      </c>
      <c r="H1216" t="s">
        <v>2615</v>
      </c>
      <c r="I1216" t="s">
        <v>236</v>
      </c>
      <c r="J1216" t="s">
        <v>2616</v>
      </c>
      <c r="K1216">
        <v>2233148</v>
      </c>
      <c r="L1216">
        <v>114.4</v>
      </c>
      <c r="M1216">
        <v>114.4</v>
      </c>
      <c r="N1216" t="s">
        <v>4002</v>
      </c>
      <c r="O1216" t="s">
        <v>55</v>
      </c>
      <c r="P1216" t="str">
        <f>TRIM(Table13_1[[#This Row],[Genre]])</f>
        <v>Romance</v>
      </c>
    </row>
    <row r="1217" spans="1:16" x14ac:dyDescent="0.3">
      <c r="A1217" t="s">
        <v>2612</v>
      </c>
      <c r="B1217" t="s">
        <v>2613</v>
      </c>
      <c r="C1217">
        <v>2000</v>
      </c>
      <c r="D1217">
        <v>2000</v>
      </c>
      <c r="E1217" t="s">
        <v>293</v>
      </c>
      <c r="F1217">
        <v>70</v>
      </c>
      <c r="G1217" t="s">
        <v>4000</v>
      </c>
      <c r="H1217" t="s">
        <v>2615</v>
      </c>
      <c r="I1217" t="s">
        <v>236</v>
      </c>
      <c r="J1217" t="s">
        <v>2616</v>
      </c>
      <c r="K1217">
        <v>2233148</v>
      </c>
      <c r="L1217">
        <v>114.4</v>
      </c>
      <c r="M1217">
        <v>114.4</v>
      </c>
      <c r="N1217" t="s">
        <v>4002</v>
      </c>
      <c r="O1217" t="s">
        <v>3982</v>
      </c>
      <c r="P1217" t="str">
        <f>TRIM(Table13_1[[#This Row],[Genre]])</f>
        <v>Family</v>
      </c>
    </row>
    <row r="1218" spans="1:16" x14ac:dyDescent="0.3">
      <c r="A1218" t="s">
        <v>2617</v>
      </c>
      <c r="B1218" t="s">
        <v>2618</v>
      </c>
      <c r="C1218">
        <v>2009</v>
      </c>
      <c r="D1218">
        <v>2000</v>
      </c>
      <c r="E1218" t="s">
        <v>24</v>
      </c>
      <c r="F1218">
        <v>127</v>
      </c>
      <c r="G1218" t="s">
        <v>3999</v>
      </c>
      <c r="H1218" t="s">
        <v>305</v>
      </c>
      <c r="I1218" t="s">
        <v>27</v>
      </c>
      <c r="J1218" t="s">
        <v>2619</v>
      </c>
      <c r="K1218">
        <v>833353</v>
      </c>
      <c r="L1218">
        <v>22.81</v>
      </c>
      <c r="M1218">
        <v>22.81</v>
      </c>
      <c r="N1218" t="s">
        <v>4001</v>
      </c>
      <c r="O1218" t="s">
        <v>78</v>
      </c>
      <c r="P1218" t="str">
        <f>TRIM(Table13_1[[#This Row],[Genre]])</f>
        <v>Adventure</v>
      </c>
    </row>
    <row r="1219" spans="1:16" x14ac:dyDescent="0.3">
      <c r="A1219" t="s">
        <v>2620</v>
      </c>
      <c r="B1219" t="s">
        <v>2621</v>
      </c>
      <c r="C1219">
        <v>2009</v>
      </c>
      <c r="D1219">
        <v>2000</v>
      </c>
      <c r="E1219" t="s">
        <v>54</v>
      </c>
      <c r="F1219">
        <v>126</v>
      </c>
      <c r="G1219" t="s">
        <v>3999</v>
      </c>
      <c r="H1219" t="s">
        <v>164</v>
      </c>
      <c r="I1219" t="s">
        <v>39</v>
      </c>
      <c r="J1219" t="s">
        <v>2623</v>
      </c>
      <c r="K1219">
        <v>38649</v>
      </c>
      <c r="L1219">
        <v>484.78</v>
      </c>
      <c r="M1219">
        <v>484.78</v>
      </c>
      <c r="N1219" t="s">
        <v>3998</v>
      </c>
      <c r="O1219" t="s">
        <v>1044</v>
      </c>
      <c r="P1219" t="str">
        <f>TRIM(Table13_1[[#This Row],[Genre]])</f>
        <v>Comedy</v>
      </c>
    </row>
    <row r="1220" spans="1:16" x14ac:dyDescent="0.3">
      <c r="A1220" t="s">
        <v>2620</v>
      </c>
      <c r="B1220" t="s">
        <v>2621</v>
      </c>
      <c r="C1220">
        <v>2009</v>
      </c>
      <c r="D1220">
        <v>2000</v>
      </c>
      <c r="E1220" t="s">
        <v>54</v>
      </c>
      <c r="F1220">
        <v>126</v>
      </c>
      <c r="G1220" t="s">
        <v>3999</v>
      </c>
      <c r="H1220" t="s">
        <v>164</v>
      </c>
      <c r="I1220" t="s">
        <v>39</v>
      </c>
      <c r="J1220" t="s">
        <v>2623</v>
      </c>
      <c r="K1220">
        <v>38649</v>
      </c>
      <c r="L1220">
        <v>484.78</v>
      </c>
      <c r="M1220">
        <v>484.78</v>
      </c>
      <c r="N1220" t="s">
        <v>3998</v>
      </c>
      <c r="O1220" t="s">
        <v>3976</v>
      </c>
      <c r="P1220" t="str">
        <f>TRIM(Table13_1[[#This Row],[Genre]])</f>
        <v>Musical</v>
      </c>
    </row>
    <row r="1221" spans="1:16" x14ac:dyDescent="0.3">
      <c r="A1221" t="s">
        <v>2624</v>
      </c>
      <c r="B1221" t="s">
        <v>2625</v>
      </c>
      <c r="C1221">
        <v>2023</v>
      </c>
      <c r="D1221">
        <v>2020</v>
      </c>
      <c r="E1221" t="s">
        <v>24</v>
      </c>
      <c r="F1221">
        <v>105</v>
      </c>
      <c r="G1221" t="s">
        <v>3997</v>
      </c>
      <c r="H1221" t="s">
        <v>136</v>
      </c>
      <c r="I1221" t="s">
        <v>326</v>
      </c>
      <c r="J1221" t="s">
        <v>2627</v>
      </c>
      <c r="K1221">
        <v>470859</v>
      </c>
      <c r="L1221">
        <v>73.459999999999994</v>
      </c>
      <c r="M1221">
        <v>73.459999999999994</v>
      </c>
      <c r="N1221" t="s">
        <v>4001</v>
      </c>
      <c r="O1221" t="s">
        <v>43</v>
      </c>
      <c r="P1221" t="str">
        <f>TRIM(Table13_1[[#This Row],[Genre]])</f>
        <v>Mystery</v>
      </c>
    </row>
    <row r="1222" spans="1:16" x14ac:dyDescent="0.3">
      <c r="A1222" t="s">
        <v>2624</v>
      </c>
      <c r="B1222" t="s">
        <v>2625</v>
      </c>
      <c r="C1222">
        <v>2023</v>
      </c>
      <c r="D1222">
        <v>2020</v>
      </c>
      <c r="E1222" t="s">
        <v>24</v>
      </c>
      <c r="F1222">
        <v>105</v>
      </c>
      <c r="G1222" t="s">
        <v>3997</v>
      </c>
      <c r="H1222" t="s">
        <v>136</v>
      </c>
      <c r="I1222" t="s">
        <v>326</v>
      </c>
      <c r="J1222" t="s">
        <v>2627</v>
      </c>
      <c r="K1222">
        <v>470859</v>
      </c>
      <c r="L1222">
        <v>73.459999999999994</v>
      </c>
      <c r="M1222">
        <v>73.459999999999994</v>
      </c>
      <c r="N1222" t="s">
        <v>4001</v>
      </c>
      <c r="O1222" t="s">
        <v>3979</v>
      </c>
      <c r="P1222" t="str">
        <f>TRIM(Table13_1[[#This Row],[Genre]])</f>
        <v>War</v>
      </c>
    </row>
    <row r="1223" spans="1:16" x14ac:dyDescent="0.3">
      <c r="A1223" t="s">
        <v>2628</v>
      </c>
      <c r="B1223" t="s">
        <v>2629</v>
      </c>
      <c r="C1223">
        <v>1999</v>
      </c>
      <c r="D1223">
        <v>1990</v>
      </c>
      <c r="E1223" t="s">
        <v>24</v>
      </c>
      <c r="F1223">
        <v>152</v>
      </c>
      <c r="G1223" t="s">
        <v>3999</v>
      </c>
      <c r="H1223" t="s">
        <v>2630</v>
      </c>
      <c r="I1223" t="s">
        <v>63</v>
      </c>
      <c r="J1223" t="s">
        <v>2631</v>
      </c>
      <c r="K1223">
        <v>142178</v>
      </c>
      <c r="L1223">
        <v>209.57</v>
      </c>
      <c r="M1223">
        <v>209.57</v>
      </c>
      <c r="N1223" t="s">
        <v>3998</v>
      </c>
      <c r="O1223" t="s">
        <v>37</v>
      </c>
      <c r="P1223" t="str">
        <f>TRIM(Table13_1[[#This Row],[Genre]])</f>
        <v>Biography</v>
      </c>
    </row>
    <row r="1224" spans="1:16" x14ac:dyDescent="0.3">
      <c r="A1224" t="s">
        <v>2632</v>
      </c>
      <c r="B1224" t="s">
        <v>2633</v>
      </c>
      <c r="C1224">
        <v>1991</v>
      </c>
      <c r="D1224">
        <v>1990</v>
      </c>
      <c r="E1224" t="s">
        <v>24</v>
      </c>
      <c r="F1224">
        <v>115</v>
      </c>
      <c r="G1224" t="s">
        <v>3997</v>
      </c>
      <c r="H1224" t="s">
        <v>634</v>
      </c>
      <c r="I1224" t="s">
        <v>547</v>
      </c>
      <c r="J1224" t="s">
        <v>2634</v>
      </c>
      <c r="K1224">
        <v>311191</v>
      </c>
      <c r="L1224">
        <v>18.16</v>
      </c>
      <c r="M1224">
        <v>18.16</v>
      </c>
      <c r="N1224" t="s">
        <v>4001</v>
      </c>
      <c r="O1224" t="s">
        <v>129</v>
      </c>
      <c r="P1224" t="str">
        <f>TRIM(Table13_1[[#This Row],[Genre]])</f>
        <v>Horror</v>
      </c>
    </row>
    <row r="1225" spans="1:16" x14ac:dyDescent="0.3">
      <c r="A1225" t="s">
        <v>2632</v>
      </c>
      <c r="B1225" t="s">
        <v>2633</v>
      </c>
      <c r="C1225">
        <v>1991</v>
      </c>
      <c r="D1225">
        <v>1990</v>
      </c>
      <c r="E1225" t="s">
        <v>24</v>
      </c>
      <c r="F1225">
        <v>115</v>
      </c>
      <c r="G1225" t="s">
        <v>3997</v>
      </c>
      <c r="H1225" t="s">
        <v>634</v>
      </c>
      <c r="I1225" t="s">
        <v>547</v>
      </c>
      <c r="J1225" t="s">
        <v>2634</v>
      </c>
      <c r="K1225">
        <v>311191</v>
      </c>
      <c r="L1225">
        <v>18.16</v>
      </c>
      <c r="M1225">
        <v>18.16</v>
      </c>
      <c r="N1225" t="s">
        <v>4001</v>
      </c>
      <c r="O1225" t="s">
        <v>3987</v>
      </c>
      <c r="P1225" t="str">
        <f>TRIM(Table13_1[[#This Row],[Genre]])</f>
        <v>Fantasy</v>
      </c>
    </row>
    <row r="1226" spans="1:16" x14ac:dyDescent="0.3">
      <c r="A1226" t="s">
        <v>2635</v>
      </c>
      <c r="B1226" t="s">
        <v>2636</v>
      </c>
      <c r="C1226">
        <v>2003</v>
      </c>
      <c r="D1226">
        <v>2000</v>
      </c>
      <c r="E1226" t="s">
        <v>17</v>
      </c>
      <c r="F1226">
        <v>93</v>
      </c>
      <c r="G1226" t="s">
        <v>3997</v>
      </c>
      <c r="H1226" t="s">
        <v>1176</v>
      </c>
      <c r="I1226" t="s">
        <v>33</v>
      </c>
      <c r="J1226" t="s">
        <v>2637</v>
      </c>
      <c r="K1226">
        <v>238583</v>
      </c>
      <c r="M1226">
        <v>0</v>
      </c>
      <c r="N1226" t="s">
        <v>4001</v>
      </c>
      <c r="O1226" t="s">
        <v>606</v>
      </c>
      <c r="P1226" t="str">
        <f>TRIM(Table13_1[[#This Row],[Genre]])</f>
        <v>Sci-Fi</v>
      </c>
    </row>
    <row r="1227" spans="1:16" x14ac:dyDescent="0.3">
      <c r="A1227" t="s">
        <v>2635</v>
      </c>
      <c r="B1227" t="s">
        <v>2636</v>
      </c>
      <c r="C1227">
        <v>2003</v>
      </c>
      <c r="D1227">
        <v>2000</v>
      </c>
      <c r="E1227" t="s">
        <v>17</v>
      </c>
      <c r="F1227">
        <v>93</v>
      </c>
      <c r="G1227" t="s">
        <v>3997</v>
      </c>
      <c r="H1227" t="s">
        <v>1176</v>
      </c>
      <c r="I1227" t="s">
        <v>33</v>
      </c>
      <c r="J1227" t="s">
        <v>2637</v>
      </c>
      <c r="K1227">
        <v>238583</v>
      </c>
      <c r="M1227">
        <v>0</v>
      </c>
      <c r="N1227" t="s">
        <v>4001</v>
      </c>
      <c r="O1227" t="s">
        <v>3983</v>
      </c>
      <c r="P1227" t="str">
        <f>TRIM(Table13_1[[#This Row],[Genre]])</f>
        <v>Crime</v>
      </c>
    </row>
    <row r="1228" spans="1:16" x14ac:dyDescent="0.3">
      <c r="A1228" t="s">
        <v>2638</v>
      </c>
      <c r="B1228" t="s">
        <v>2639</v>
      </c>
      <c r="C1228">
        <v>2012</v>
      </c>
      <c r="D1228">
        <v>2010</v>
      </c>
      <c r="E1228" t="s">
        <v>17</v>
      </c>
      <c r="F1228">
        <v>135</v>
      </c>
      <c r="G1228" t="s">
        <v>3999</v>
      </c>
      <c r="H1228" t="s">
        <v>2640</v>
      </c>
      <c r="I1228" t="s">
        <v>608</v>
      </c>
      <c r="J1228" t="s">
        <v>2641</v>
      </c>
      <c r="K1228">
        <v>24434</v>
      </c>
      <c r="M1228">
        <v>0</v>
      </c>
      <c r="N1228" t="s">
        <v>4001</v>
      </c>
      <c r="O1228" t="s">
        <v>37</v>
      </c>
      <c r="P1228" t="str">
        <f>TRIM(Table13_1[[#This Row],[Genre]])</f>
        <v>Biography</v>
      </c>
    </row>
    <row r="1229" spans="1:16" x14ac:dyDescent="0.3">
      <c r="A1229" t="s">
        <v>2638</v>
      </c>
      <c r="B1229" t="s">
        <v>2639</v>
      </c>
      <c r="C1229">
        <v>2012</v>
      </c>
      <c r="D1229">
        <v>2010</v>
      </c>
      <c r="E1229" t="s">
        <v>17</v>
      </c>
      <c r="F1229">
        <v>135</v>
      </c>
      <c r="G1229" t="s">
        <v>3999</v>
      </c>
      <c r="H1229" t="s">
        <v>2640</v>
      </c>
      <c r="I1229" t="s">
        <v>608</v>
      </c>
      <c r="J1229" t="s">
        <v>2641</v>
      </c>
      <c r="K1229">
        <v>24434</v>
      </c>
      <c r="M1229">
        <v>0</v>
      </c>
      <c r="N1229" t="s">
        <v>4001</v>
      </c>
      <c r="O1229" t="s">
        <v>3985</v>
      </c>
      <c r="P1229" t="str">
        <f>TRIM(Table13_1[[#This Row],[Genre]])</f>
        <v>Horror</v>
      </c>
    </row>
    <row r="1230" spans="1:16" x14ac:dyDescent="0.3">
      <c r="A1230" t="s">
        <v>2642</v>
      </c>
      <c r="B1230" t="s">
        <v>2643</v>
      </c>
      <c r="C1230">
        <v>2023</v>
      </c>
      <c r="D1230">
        <v>2020</v>
      </c>
      <c r="E1230" t="s">
        <v>17</v>
      </c>
      <c r="F1230">
        <v>121</v>
      </c>
      <c r="G1230" t="s">
        <v>3999</v>
      </c>
      <c r="H1230" t="s">
        <v>124</v>
      </c>
      <c r="I1230" t="s">
        <v>608</v>
      </c>
      <c r="J1230" t="s">
        <v>2644</v>
      </c>
      <c r="K1230">
        <v>47719</v>
      </c>
      <c r="M1230">
        <v>0</v>
      </c>
      <c r="N1230" t="s">
        <v>4001</v>
      </c>
      <c r="O1230" t="s">
        <v>230</v>
      </c>
      <c r="P1230" t="str">
        <f>TRIM(Table13_1[[#This Row],[Genre]])</f>
        <v>Documentary</v>
      </c>
    </row>
    <row r="1231" spans="1:16" x14ac:dyDescent="0.3">
      <c r="A1231" t="s">
        <v>2642</v>
      </c>
      <c r="B1231" t="s">
        <v>2643</v>
      </c>
      <c r="C1231">
        <v>2023</v>
      </c>
      <c r="D1231">
        <v>2020</v>
      </c>
      <c r="E1231" t="s">
        <v>17</v>
      </c>
      <c r="F1231">
        <v>121</v>
      </c>
      <c r="G1231" t="s">
        <v>3999</v>
      </c>
      <c r="H1231" t="s">
        <v>124</v>
      </c>
      <c r="I1231" t="s">
        <v>608</v>
      </c>
      <c r="J1231" t="s">
        <v>2644</v>
      </c>
      <c r="K1231">
        <v>47719</v>
      </c>
      <c r="M1231">
        <v>0</v>
      </c>
      <c r="N1231" t="s">
        <v>4001</v>
      </c>
      <c r="O1231" t="s">
        <v>3978</v>
      </c>
      <c r="P1231" t="str">
        <f>TRIM(Table13_1[[#This Row],[Genre]])</f>
        <v>Mystery</v>
      </c>
    </row>
    <row r="1232" spans="1:16" x14ac:dyDescent="0.3">
      <c r="A1232" t="s">
        <v>2645</v>
      </c>
      <c r="B1232" t="s">
        <v>2646</v>
      </c>
      <c r="C1232">
        <v>2000</v>
      </c>
      <c r="D1232">
        <v>2000</v>
      </c>
      <c r="E1232" t="s">
        <v>24</v>
      </c>
      <c r="F1232">
        <v>117</v>
      </c>
      <c r="G1232" t="s">
        <v>3997</v>
      </c>
      <c r="H1232" t="s">
        <v>231</v>
      </c>
      <c r="I1232" t="s">
        <v>159</v>
      </c>
      <c r="J1232" t="s">
        <v>2648</v>
      </c>
      <c r="K1232">
        <v>66508</v>
      </c>
      <c r="L1232">
        <v>297.17</v>
      </c>
      <c r="M1232">
        <v>297.17</v>
      </c>
      <c r="N1232" t="s">
        <v>3998</v>
      </c>
      <c r="O1232" t="s">
        <v>230</v>
      </c>
      <c r="P1232" t="str">
        <f>TRIM(Table13_1[[#This Row],[Genre]])</f>
        <v>Documentary</v>
      </c>
    </row>
    <row r="1233" spans="1:16" x14ac:dyDescent="0.3">
      <c r="A1233" t="s">
        <v>2645</v>
      </c>
      <c r="B1233" t="s">
        <v>2646</v>
      </c>
      <c r="C1233">
        <v>2000</v>
      </c>
      <c r="D1233">
        <v>2000</v>
      </c>
      <c r="E1233" t="s">
        <v>24</v>
      </c>
      <c r="F1233">
        <v>117</v>
      </c>
      <c r="G1233" t="s">
        <v>3997</v>
      </c>
      <c r="H1233" t="s">
        <v>231</v>
      </c>
      <c r="I1233" t="s">
        <v>159</v>
      </c>
      <c r="J1233" t="s">
        <v>2648</v>
      </c>
      <c r="K1233">
        <v>66508</v>
      </c>
      <c r="L1233">
        <v>297.17</v>
      </c>
      <c r="M1233">
        <v>297.17</v>
      </c>
      <c r="N1233" t="s">
        <v>3998</v>
      </c>
      <c r="O1233" t="s">
        <v>3982</v>
      </c>
      <c r="P1233" t="str">
        <f>TRIM(Table13_1[[#This Row],[Genre]])</f>
        <v>Family</v>
      </c>
    </row>
    <row r="1234" spans="1:16" x14ac:dyDescent="0.3">
      <c r="A1234" t="s">
        <v>2645</v>
      </c>
      <c r="B1234" t="s">
        <v>2646</v>
      </c>
      <c r="C1234">
        <v>2000</v>
      </c>
      <c r="D1234">
        <v>2000</v>
      </c>
      <c r="E1234" t="s">
        <v>24</v>
      </c>
      <c r="F1234">
        <v>117</v>
      </c>
      <c r="G1234" t="s">
        <v>3997</v>
      </c>
      <c r="H1234" t="s">
        <v>231</v>
      </c>
      <c r="I1234" t="s">
        <v>159</v>
      </c>
      <c r="J1234" t="s">
        <v>2648</v>
      </c>
      <c r="K1234">
        <v>66508</v>
      </c>
      <c r="L1234">
        <v>297.17</v>
      </c>
      <c r="M1234">
        <v>297.17</v>
      </c>
      <c r="N1234" t="s">
        <v>3998</v>
      </c>
      <c r="O1234" t="s">
        <v>3984</v>
      </c>
      <c r="P1234" t="str">
        <f>TRIM(Table13_1[[#This Row],[Genre]])</f>
        <v>Adventure</v>
      </c>
    </row>
    <row r="1235" spans="1:16" x14ac:dyDescent="0.3">
      <c r="A1235" t="s">
        <v>2649</v>
      </c>
      <c r="B1235" t="s">
        <v>2650</v>
      </c>
      <c r="C1235">
        <v>2005</v>
      </c>
      <c r="D1235">
        <v>2000</v>
      </c>
      <c r="E1235" t="s">
        <v>293</v>
      </c>
      <c r="F1235">
        <v>122</v>
      </c>
      <c r="G1235" t="s">
        <v>3999</v>
      </c>
      <c r="H1235" t="s">
        <v>250</v>
      </c>
      <c r="I1235" t="s">
        <v>125</v>
      </c>
      <c r="J1235" t="s">
        <v>2651</v>
      </c>
      <c r="K1235">
        <v>61289</v>
      </c>
      <c r="L1235">
        <v>202.7</v>
      </c>
      <c r="M1235">
        <v>202.7</v>
      </c>
      <c r="N1235" t="s">
        <v>3998</v>
      </c>
      <c r="O1235" t="s">
        <v>606</v>
      </c>
      <c r="P1235" t="str">
        <f>TRIM(Table13_1[[#This Row],[Genre]])</f>
        <v>Sci-Fi</v>
      </c>
    </row>
    <row r="1236" spans="1:16" x14ac:dyDescent="0.3">
      <c r="A1236" t="s">
        <v>2652</v>
      </c>
      <c r="B1236" t="s">
        <v>2653</v>
      </c>
      <c r="C1236">
        <v>2008</v>
      </c>
      <c r="D1236">
        <v>2000</v>
      </c>
      <c r="E1236" t="s">
        <v>24</v>
      </c>
      <c r="F1236">
        <v>116</v>
      </c>
      <c r="G1236" t="s">
        <v>3997</v>
      </c>
      <c r="H1236" t="s">
        <v>2655</v>
      </c>
      <c r="I1236" t="s">
        <v>593</v>
      </c>
      <c r="J1236" t="s">
        <v>2656</v>
      </c>
      <c r="K1236">
        <v>19538</v>
      </c>
      <c r="L1236">
        <v>292.54000000000002</v>
      </c>
      <c r="M1236">
        <v>292.54000000000002</v>
      </c>
      <c r="N1236" t="s">
        <v>3998</v>
      </c>
      <c r="O1236" t="s">
        <v>277</v>
      </c>
      <c r="P1236" t="str">
        <f>TRIM(Table13_1[[#This Row],[Genre]])</f>
        <v>Thriller</v>
      </c>
    </row>
    <row r="1237" spans="1:16" x14ac:dyDescent="0.3">
      <c r="A1237" t="s">
        <v>2652</v>
      </c>
      <c r="B1237" t="s">
        <v>2653</v>
      </c>
      <c r="C1237">
        <v>2008</v>
      </c>
      <c r="D1237">
        <v>2000</v>
      </c>
      <c r="E1237" t="s">
        <v>24</v>
      </c>
      <c r="F1237">
        <v>116</v>
      </c>
      <c r="G1237" t="s">
        <v>3997</v>
      </c>
      <c r="H1237" t="s">
        <v>2655</v>
      </c>
      <c r="I1237" t="s">
        <v>593</v>
      </c>
      <c r="J1237" t="s">
        <v>2656</v>
      </c>
      <c r="K1237">
        <v>19538</v>
      </c>
      <c r="L1237">
        <v>292.54000000000002</v>
      </c>
      <c r="M1237">
        <v>292.54000000000002</v>
      </c>
      <c r="N1237" t="s">
        <v>3998</v>
      </c>
      <c r="O1237" t="s">
        <v>3987</v>
      </c>
      <c r="P1237" t="str">
        <f>TRIM(Table13_1[[#This Row],[Genre]])</f>
        <v>Fantasy</v>
      </c>
    </row>
    <row r="1238" spans="1:16" x14ac:dyDescent="0.3">
      <c r="A1238" t="s">
        <v>2652</v>
      </c>
      <c r="B1238" t="s">
        <v>2653</v>
      </c>
      <c r="C1238">
        <v>2008</v>
      </c>
      <c r="D1238">
        <v>2000</v>
      </c>
      <c r="E1238" t="s">
        <v>24</v>
      </c>
      <c r="F1238">
        <v>116</v>
      </c>
      <c r="G1238" t="s">
        <v>3997</v>
      </c>
      <c r="H1238" t="s">
        <v>2655</v>
      </c>
      <c r="I1238" t="s">
        <v>593</v>
      </c>
      <c r="J1238" t="s">
        <v>2656</v>
      </c>
      <c r="K1238">
        <v>19538</v>
      </c>
      <c r="L1238">
        <v>292.54000000000002</v>
      </c>
      <c r="M1238">
        <v>292.54000000000002</v>
      </c>
      <c r="N1238" t="s">
        <v>3998</v>
      </c>
      <c r="O1238" t="s">
        <v>3989</v>
      </c>
      <c r="P1238" t="str">
        <f>TRIM(Table13_1[[#This Row],[Genre]])</f>
        <v>Sci-Fi</v>
      </c>
    </row>
    <row r="1239" spans="1:16" x14ac:dyDescent="0.3">
      <c r="A1239" t="s">
        <v>2657</v>
      </c>
      <c r="B1239" t="s">
        <v>2658</v>
      </c>
      <c r="C1239">
        <v>2003</v>
      </c>
      <c r="D1239">
        <v>2000</v>
      </c>
      <c r="E1239" t="s">
        <v>24</v>
      </c>
      <c r="F1239">
        <v>114</v>
      </c>
      <c r="G1239" t="s">
        <v>3997</v>
      </c>
      <c r="H1239" t="s">
        <v>491</v>
      </c>
      <c r="I1239" t="s">
        <v>33</v>
      </c>
      <c r="J1239" t="s">
        <v>2659</v>
      </c>
      <c r="K1239">
        <v>41679</v>
      </c>
      <c r="M1239">
        <v>0</v>
      </c>
      <c r="N1239" t="s">
        <v>4001</v>
      </c>
      <c r="O1239" t="s">
        <v>72</v>
      </c>
      <c r="P1239" t="str">
        <f>TRIM(Table13_1[[#This Row],[Genre]])</f>
        <v>War</v>
      </c>
    </row>
    <row r="1240" spans="1:16" x14ac:dyDescent="0.3">
      <c r="A1240" t="s">
        <v>2657</v>
      </c>
      <c r="B1240" t="s">
        <v>2658</v>
      </c>
      <c r="C1240">
        <v>2003</v>
      </c>
      <c r="D1240">
        <v>2000</v>
      </c>
      <c r="E1240" t="s">
        <v>24</v>
      </c>
      <c r="F1240">
        <v>114</v>
      </c>
      <c r="G1240" t="s">
        <v>3997</v>
      </c>
      <c r="H1240" t="s">
        <v>491</v>
      </c>
      <c r="I1240" t="s">
        <v>33</v>
      </c>
      <c r="J1240" t="s">
        <v>2659</v>
      </c>
      <c r="K1240">
        <v>41679</v>
      </c>
      <c r="M1240">
        <v>0</v>
      </c>
      <c r="N1240" t="s">
        <v>4001</v>
      </c>
      <c r="O1240" t="s">
        <v>3977</v>
      </c>
      <c r="P1240" t="str">
        <f>TRIM(Table13_1[[#This Row],[Genre]])</f>
        <v>Animation</v>
      </c>
    </row>
    <row r="1241" spans="1:16" x14ac:dyDescent="0.3">
      <c r="A1241" t="s">
        <v>2660</v>
      </c>
      <c r="B1241" t="s">
        <v>2661</v>
      </c>
      <c r="C1241">
        <v>2008</v>
      </c>
      <c r="D1241">
        <v>2000</v>
      </c>
      <c r="E1241" t="s">
        <v>17</v>
      </c>
      <c r="F1241">
        <v>144</v>
      </c>
      <c r="G1241" t="s">
        <v>3999</v>
      </c>
      <c r="H1241" t="s">
        <v>2662</v>
      </c>
      <c r="I1241" t="s">
        <v>103</v>
      </c>
      <c r="J1241" t="s">
        <v>2663</v>
      </c>
      <c r="K1241">
        <v>101595</v>
      </c>
      <c r="L1241">
        <v>487.1</v>
      </c>
      <c r="M1241">
        <v>487.1</v>
      </c>
      <c r="N1241" t="s">
        <v>3998</v>
      </c>
      <c r="O1241" t="s">
        <v>375</v>
      </c>
      <c r="P1241" t="str">
        <f>TRIM(Table13_1[[#This Row],[Genre]])</f>
        <v>Family</v>
      </c>
    </row>
    <row r="1242" spans="1:16" x14ac:dyDescent="0.3">
      <c r="A1242" t="s">
        <v>2664</v>
      </c>
      <c r="B1242" t="s">
        <v>2665</v>
      </c>
      <c r="C1242">
        <v>2001</v>
      </c>
      <c r="D1242">
        <v>2000</v>
      </c>
      <c r="E1242" t="s">
        <v>24</v>
      </c>
      <c r="F1242">
        <v>111</v>
      </c>
      <c r="G1242" t="s">
        <v>3997</v>
      </c>
      <c r="H1242" t="s">
        <v>250</v>
      </c>
      <c r="I1242" t="s">
        <v>191</v>
      </c>
      <c r="J1242" t="s">
        <v>2666</v>
      </c>
      <c r="K1242">
        <v>83550</v>
      </c>
      <c r="L1242">
        <v>51.36</v>
      </c>
      <c r="M1242">
        <v>51.36</v>
      </c>
      <c r="N1242" t="s">
        <v>4001</v>
      </c>
      <c r="O1242" t="s">
        <v>606</v>
      </c>
      <c r="P1242" t="str">
        <f>TRIM(Table13_1[[#This Row],[Genre]])</f>
        <v>Sci-Fi</v>
      </c>
    </row>
    <row r="1243" spans="1:16" x14ac:dyDescent="0.3">
      <c r="A1243" t="s">
        <v>2667</v>
      </c>
      <c r="B1243" t="s">
        <v>2668</v>
      </c>
      <c r="C1243">
        <v>2000</v>
      </c>
      <c r="D1243">
        <v>2000</v>
      </c>
      <c r="E1243" t="s">
        <v>285</v>
      </c>
      <c r="F1243">
        <v>94</v>
      </c>
      <c r="G1243" t="s">
        <v>3997</v>
      </c>
      <c r="H1243" t="s">
        <v>673</v>
      </c>
      <c r="I1243" t="s">
        <v>153</v>
      </c>
      <c r="J1243" t="s">
        <v>2670</v>
      </c>
      <c r="K1243">
        <v>731997</v>
      </c>
      <c r="M1243">
        <v>0</v>
      </c>
      <c r="N1243" t="s">
        <v>4001</v>
      </c>
      <c r="O1243" t="s">
        <v>235</v>
      </c>
      <c r="P1243" t="str">
        <f>TRIM(Table13_1[[#This Row],[Genre]])</f>
        <v>Drama</v>
      </c>
    </row>
    <row r="1244" spans="1:16" x14ac:dyDescent="0.3">
      <c r="A1244" t="s">
        <v>2667</v>
      </c>
      <c r="B1244" t="s">
        <v>2668</v>
      </c>
      <c r="C1244">
        <v>2000</v>
      </c>
      <c r="D1244">
        <v>2000</v>
      </c>
      <c r="E1244" t="s">
        <v>285</v>
      </c>
      <c r="F1244">
        <v>94</v>
      </c>
      <c r="G1244" t="s">
        <v>3997</v>
      </c>
      <c r="H1244" t="s">
        <v>673</v>
      </c>
      <c r="I1244" t="s">
        <v>153</v>
      </c>
      <c r="J1244" t="s">
        <v>2670</v>
      </c>
      <c r="K1244">
        <v>731997</v>
      </c>
      <c r="M1244">
        <v>0</v>
      </c>
      <c r="N1244" t="s">
        <v>4001</v>
      </c>
      <c r="O1244" t="s">
        <v>3986</v>
      </c>
      <c r="P1244" t="str">
        <f>TRIM(Table13_1[[#This Row],[Genre]])</f>
        <v>Documentary</v>
      </c>
    </row>
    <row r="1245" spans="1:16" x14ac:dyDescent="0.3">
      <c r="A1245" t="s">
        <v>2667</v>
      </c>
      <c r="B1245" t="s">
        <v>2668</v>
      </c>
      <c r="C1245">
        <v>2000</v>
      </c>
      <c r="D1245">
        <v>2000</v>
      </c>
      <c r="E1245" t="s">
        <v>285</v>
      </c>
      <c r="F1245">
        <v>94</v>
      </c>
      <c r="G1245" t="s">
        <v>3997</v>
      </c>
      <c r="H1245" t="s">
        <v>673</v>
      </c>
      <c r="I1245" t="s">
        <v>153</v>
      </c>
      <c r="J1245" t="s">
        <v>2670</v>
      </c>
      <c r="K1245">
        <v>731997</v>
      </c>
      <c r="M1245">
        <v>0</v>
      </c>
      <c r="N1245" t="s">
        <v>4001</v>
      </c>
      <c r="O1245" t="s">
        <v>3989</v>
      </c>
      <c r="P1245" t="str">
        <f>TRIM(Table13_1[[#This Row],[Genre]])</f>
        <v>Sci-Fi</v>
      </c>
    </row>
    <row r="1246" spans="1:16" x14ac:dyDescent="0.3">
      <c r="A1246" t="s">
        <v>2671</v>
      </c>
      <c r="B1246" t="s">
        <v>2672</v>
      </c>
      <c r="C1246">
        <v>2013</v>
      </c>
      <c r="D1246">
        <v>2010</v>
      </c>
      <c r="E1246" t="s">
        <v>17</v>
      </c>
      <c r="F1246">
        <v>119</v>
      </c>
      <c r="G1246" t="s">
        <v>3997</v>
      </c>
      <c r="H1246" t="s">
        <v>158</v>
      </c>
      <c r="I1246" t="s">
        <v>147</v>
      </c>
      <c r="J1246" t="s">
        <v>2673</v>
      </c>
      <c r="K1246">
        <v>323246</v>
      </c>
      <c r="L1246">
        <v>159.82</v>
      </c>
      <c r="M1246">
        <v>159.82</v>
      </c>
      <c r="N1246" t="s">
        <v>4002</v>
      </c>
      <c r="O1246" t="s">
        <v>157</v>
      </c>
      <c r="P1246" t="str">
        <f>TRIM(Table13_1[[#This Row],[Genre]])</f>
        <v>Animation</v>
      </c>
    </row>
    <row r="1247" spans="1:16" x14ac:dyDescent="0.3">
      <c r="A1247" t="s">
        <v>2671</v>
      </c>
      <c r="B1247" t="s">
        <v>2672</v>
      </c>
      <c r="C1247">
        <v>2013</v>
      </c>
      <c r="D1247">
        <v>2010</v>
      </c>
      <c r="E1247" t="s">
        <v>17</v>
      </c>
      <c r="F1247">
        <v>119</v>
      </c>
      <c r="G1247" t="s">
        <v>3997</v>
      </c>
      <c r="H1247" t="s">
        <v>158</v>
      </c>
      <c r="I1247" t="s">
        <v>147</v>
      </c>
      <c r="J1247" t="s">
        <v>2673</v>
      </c>
      <c r="K1247">
        <v>323246</v>
      </c>
      <c r="L1247">
        <v>159.82</v>
      </c>
      <c r="M1247">
        <v>159.82</v>
      </c>
      <c r="N1247" t="s">
        <v>4002</v>
      </c>
      <c r="O1247" t="s">
        <v>3985</v>
      </c>
      <c r="P1247" t="str">
        <f>TRIM(Table13_1[[#This Row],[Genre]])</f>
        <v>Horror</v>
      </c>
    </row>
    <row r="1248" spans="1:16" x14ac:dyDescent="0.3">
      <c r="A1248" t="s">
        <v>2674</v>
      </c>
      <c r="B1248" t="s">
        <v>2675</v>
      </c>
      <c r="C1248">
        <v>2021</v>
      </c>
      <c r="D1248">
        <v>2020</v>
      </c>
      <c r="E1248" t="s">
        <v>24</v>
      </c>
      <c r="F1248">
        <v>114</v>
      </c>
      <c r="G1248" t="s">
        <v>3997</v>
      </c>
      <c r="H1248" t="s">
        <v>395</v>
      </c>
      <c r="I1248" t="s">
        <v>315</v>
      </c>
      <c r="J1248" t="s">
        <v>2676</v>
      </c>
      <c r="K1248">
        <v>195938</v>
      </c>
      <c r="M1248">
        <v>0</v>
      </c>
      <c r="N1248" t="s">
        <v>4001</v>
      </c>
      <c r="O1248" t="s">
        <v>277</v>
      </c>
      <c r="P1248" t="str">
        <f>TRIM(Table13_1[[#This Row],[Genre]])</f>
        <v>Thriller</v>
      </c>
    </row>
    <row r="1249" spans="1:16" x14ac:dyDescent="0.3">
      <c r="A1249" t="s">
        <v>2677</v>
      </c>
      <c r="B1249" t="s">
        <v>2678</v>
      </c>
      <c r="C1249">
        <v>2010</v>
      </c>
      <c r="D1249">
        <v>2010</v>
      </c>
      <c r="E1249" t="s">
        <v>17</v>
      </c>
      <c r="F1249">
        <v>98</v>
      </c>
      <c r="G1249" t="s">
        <v>3997</v>
      </c>
      <c r="H1249" t="s">
        <v>2679</v>
      </c>
      <c r="I1249" t="s">
        <v>50</v>
      </c>
      <c r="J1249" t="s">
        <v>2680</v>
      </c>
      <c r="K1249">
        <v>369404</v>
      </c>
      <c r="M1249">
        <v>0</v>
      </c>
      <c r="N1249" t="s">
        <v>4001</v>
      </c>
      <c r="O1249" t="s">
        <v>453</v>
      </c>
      <c r="P1249" t="str">
        <f>TRIM(Table13_1[[#This Row],[Genre]])</f>
        <v>Musical</v>
      </c>
    </row>
    <row r="1250" spans="1:16" x14ac:dyDescent="0.3">
      <c r="A1250" t="s">
        <v>2677</v>
      </c>
      <c r="B1250" t="s">
        <v>2678</v>
      </c>
      <c r="C1250">
        <v>2010</v>
      </c>
      <c r="D1250">
        <v>2010</v>
      </c>
      <c r="E1250" t="s">
        <v>17</v>
      </c>
      <c r="F1250">
        <v>98</v>
      </c>
      <c r="G1250" t="s">
        <v>3997</v>
      </c>
      <c r="H1250" t="s">
        <v>2679</v>
      </c>
      <c r="I1250" t="s">
        <v>50</v>
      </c>
      <c r="J1250" t="s">
        <v>2680</v>
      </c>
      <c r="K1250">
        <v>369404</v>
      </c>
      <c r="M1250">
        <v>0</v>
      </c>
      <c r="N1250" t="s">
        <v>4001</v>
      </c>
      <c r="O1250" t="s">
        <v>3982</v>
      </c>
      <c r="P1250" t="str">
        <f>TRIM(Table13_1[[#This Row],[Genre]])</f>
        <v>Family</v>
      </c>
    </row>
    <row r="1251" spans="1:16" x14ac:dyDescent="0.3">
      <c r="A1251" t="s">
        <v>2681</v>
      </c>
      <c r="B1251" t="s">
        <v>2682</v>
      </c>
      <c r="C1251">
        <v>2014</v>
      </c>
      <c r="D1251">
        <v>2010</v>
      </c>
      <c r="E1251" t="s">
        <v>17</v>
      </c>
      <c r="F1251">
        <v>123</v>
      </c>
      <c r="G1251" t="s">
        <v>3999</v>
      </c>
      <c r="H1251" t="s">
        <v>1155</v>
      </c>
      <c r="I1251" t="s">
        <v>103</v>
      </c>
      <c r="J1251" t="s">
        <v>2683</v>
      </c>
      <c r="K1251">
        <v>73153</v>
      </c>
      <c r="L1251">
        <v>174.82</v>
      </c>
      <c r="M1251">
        <v>174.82</v>
      </c>
      <c r="N1251" t="s">
        <v>4002</v>
      </c>
      <c r="O1251" t="s">
        <v>72</v>
      </c>
      <c r="P1251" t="str">
        <f>TRIM(Table13_1[[#This Row],[Genre]])</f>
        <v>War</v>
      </c>
    </row>
    <row r="1252" spans="1:16" x14ac:dyDescent="0.3">
      <c r="A1252" t="s">
        <v>2681</v>
      </c>
      <c r="B1252" t="s">
        <v>2682</v>
      </c>
      <c r="C1252">
        <v>2014</v>
      </c>
      <c r="D1252">
        <v>2010</v>
      </c>
      <c r="E1252" t="s">
        <v>17</v>
      </c>
      <c r="F1252">
        <v>123</v>
      </c>
      <c r="G1252" t="s">
        <v>3999</v>
      </c>
      <c r="H1252" t="s">
        <v>1155</v>
      </c>
      <c r="I1252" t="s">
        <v>103</v>
      </c>
      <c r="J1252" t="s">
        <v>2683</v>
      </c>
      <c r="K1252">
        <v>73153</v>
      </c>
      <c r="L1252">
        <v>174.82</v>
      </c>
      <c r="M1252">
        <v>174.82</v>
      </c>
      <c r="N1252" t="s">
        <v>4002</v>
      </c>
      <c r="O1252" t="s">
        <v>3982</v>
      </c>
      <c r="P1252" t="str">
        <f>TRIM(Table13_1[[#This Row],[Genre]])</f>
        <v>Family</v>
      </c>
    </row>
    <row r="1253" spans="1:16" x14ac:dyDescent="0.3">
      <c r="A1253" t="s">
        <v>2684</v>
      </c>
      <c r="B1253" t="s">
        <v>2685</v>
      </c>
      <c r="C1253">
        <v>2002</v>
      </c>
      <c r="D1253">
        <v>2000</v>
      </c>
      <c r="E1253" t="s">
        <v>17</v>
      </c>
      <c r="F1253">
        <v>138</v>
      </c>
      <c r="G1253" t="s">
        <v>3999</v>
      </c>
      <c r="H1253" t="s">
        <v>2686</v>
      </c>
      <c r="I1253" t="s">
        <v>153</v>
      </c>
      <c r="J1253" t="s">
        <v>2687</v>
      </c>
      <c r="K1253">
        <v>89419</v>
      </c>
      <c r="L1253">
        <v>102.29</v>
      </c>
      <c r="M1253">
        <v>102.29</v>
      </c>
      <c r="N1253" t="s">
        <v>4002</v>
      </c>
      <c r="O1253" t="s">
        <v>868</v>
      </c>
      <c r="P1253" t="str">
        <f>TRIM(Table13_1[[#This Row],[Genre]])</f>
        <v>Western</v>
      </c>
    </row>
    <row r="1254" spans="1:16" x14ac:dyDescent="0.3">
      <c r="A1254" t="s">
        <v>2688</v>
      </c>
      <c r="B1254" t="s">
        <v>2689</v>
      </c>
      <c r="C1254">
        <v>2009</v>
      </c>
      <c r="D1254">
        <v>2000</v>
      </c>
      <c r="E1254" t="s">
        <v>17</v>
      </c>
      <c r="F1254">
        <v>90</v>
      </c>
      <c r="G1254" t="s">
        <v>3997</v>
      </c>
      <c r="H1254" t="s">
        <v>634</v>
      </c>
      <c r="I1254" t="s">
        <v>159</v>
      </c>
      <c r="J1254" t="s">
        <v>2690</v>
      </c>
      <c r="K1254">
        <v>19375</v>
      </c>
      <c r="L1254">
        <v>479.95</v>
      </c>
      <c r="M1254">
        <v>479.95</v>
      </c>
      <c r="N1254" t="s">
        <v>3998</v>
      </c>
      <c r="O1254" t="s">
        <v>129</v>
      </c>
      <c r="P1254" t="str">
        <f>TRIM(Table13_1[[#This Row],[Genre]])</f>
        <v>Horror</v>
      </c>
    </row>
    <row r="1255" spans="1:16" x14ac:dyDescent="0.3">
      <c r="A1255" t="s">
        <v>2688</v>
      </c>
      <c r="B1255" t="s">
        <v>2689</v>
      </c>
      <c r="C1255">
        <v>2009</v>
      </c>
      <c r="D1255">
        <v>2000</v>
      </c>
      <c r="E1255" t="s">
        <v>17</v>
      </c>
      <c r="F1255">
        <v>90</v>
      </c>
      <c r="G1255" t="s">
        <v>3997</v>
      </c>
      <c r="H1255" t="s">
        <v>634</v>
      </c>
      <c r="I1255" t="s">
        <v>159</v>
      </c>
      <c r="J1255" t="s">
        <v>2690</v>
      </c>
      <c r="K1255">
        <v>19375</v>
      </c>
      <c r="L1255">
        <v>479.95</v>
      </c>
      <c r="M1255">
        <v>479.95</v>
      </c>
      <c r="N1255" t="s">
        <v>3998</v>
      </c>
      <c r="O1255" t="s">
        <v>3977</v>
      </c>
      <c r="P1255" t="str">
        <f>TRIM(Table13_1[[#This Row],[Genre]])</f>
        <v>Animation</v>
      </c>
    </row>
    <row r="1256" spans="1:16" x14ac:dyDescent="0.3">
      <c r="A1256" t="s">
        <v>2691</v>
      </c>
      <c r="B1256" t="s">
        <v>2692</v>
      </c>
      <c r="C1256">
        <v>2007</v>
      </c>
      <c r="D1256">
        <v>2000</v>
      </c>
      <c r="E1256" t="s">
        <v>24</v>
      </c>
      <c r="F1256">
        <v>91</v>
      </c>
      <c r="G1256" t="s">
        <v>3997</v>
      </c>
      <c r="H1256" t="s">
        <v>2693</v>
      </c>
      <c r="I1256" t="s">
        <v>236</v>
      </c>
      <c r="J1256" t="s">
        <v>2694</v>
      </c>
      <c r="K1256">
        <v>55530</v>
      </c>
      <c r="M1256">
        <v>0</v>
      </c>
      <c r="N1256" t="s">
        <v>4001</v>
      </c>
      <c r="O1256" t="s">
        <v>230</v>
      </c>
      <c r="P1256" t="str">
        <f>TRIM(Table13_1[[#This Row],[Genre]])</f>
        <v>Documentary</v>
      </c>
    </row>
    <row r="1257" spans="1:16" x14ac:dyDescent="0.3">
      <c r="A1257" t="s">
        <v>2695</v>
      </c>
      <c r="B1257" t="s">
        <v>2696</v>
      </c>
      <c r="C1257">
        <v>2004</v>
      </c>
      <c r="D1257">
        <v>2000</v>
      </c>
      <c r="E1257" t="s">
        <v>54</v>
      </c>
      <c r="F1257">
        <v>111</v>
      </c>
      <c r="G1257" t="s">
        <v>3997</v>
      </c>
      <c r="H1257" t="s">
        <v>629</v>
      </c>
      <c r="I1257" t="s">
        <v>113</v>
      </c>
      <c r="J1257" t="s">
        <v>2697</v>
      </c>
      <c r="K1257">
        <v>7969</v>
      </c>
      <c r="L1257">
        <v>10.43</v>
      </c>
      <c r="M1257">
        <v>10.43</v>
      </c>
      <c r="N1257" t="s">
        <v>4001</v>
      </c>
      <c r="O1257" t="s">
        <v>157</v>
      </c>
      <c r="P1257" t="str">
        <f>TRIM(Table13_1[[#This Row],[Genre]])</f>
        <v>Animation</v>
      </c>
    </row>
    <row r="1258" spans="1:16" x14ac:dyDescent="0.3">
      <c r="A1258" t="s">
        <v>2698</v>
      </c>
      <c r="B1258" t="s">
        <v>2699</v>
      </c>
      <c r="C1258">
        <v>2008</v>
      </c>
      <c r="D1258">
        <v>2000</v>
      </c>
      <c r="E1258" t="s">
        <v>54</v>
      </c>
      <c r="F1258">
        <v>165</v>
      </c>
      <c r="G1258" t="s">
        <v>3999</v>
      </c>
      <c r="H1258" t="s">
        <v>391</v>
      </c>
      <c r="I1258" t="s">
        <v>221</v>
      </c>
      <c r="J1258" t="s">
        <v>2700</v>
      </c>
      <c r="K1258">
        <v>30691</v>
      </c>
      <c r="M1258">
        <v>0</v>
      </c>
      <c r="N1258" t="s">
        <v>4001</v>
      </c>
      <c r="O1258" t="s">
        <v>43</v>
      </c>
      <c r="P1258" t="str">
        <f>TRIM(Table13_1[[#This Row],[Genre]])</f>
        <v>Mystery</v>
      </c>
    </row>
    <row r="1259" spans="1:16" x14ac:dyDescent="0.3">
      <c r="A1259" t="s">
        <v>2698</v>
      </c>
      <c r="B1259" t="s">
        <v>2699</v>
      </c>
      <c r="C1259">
        <v>2008</v>
      </c>
      <c r="D1259">
        <v>2000</v>
      </c>
      <c r="E1259" t="s">
        <v>54</v>
      </c>
      <c r="F1259">
        <v>165</v>
      </c>
      <c r="G1259" t="s">
        <v>3999</v>
      </c>
      <c r="H1259" t="s">
        <v>391</v>
      </c>
      <c r="I1259" t="s">
        <v>221</v>
      </c>
      <c r="J1259" t="s">
        <v>2700</v>
      </c>
      <c r="K1259">
        <v>30691</v>
      </c>
      <c r="M1259">
        <v>0</v>
      </c>
      <c r="N1259" t="s">
        <v>4001</v>
      </c>
      <c r="O1259" t="s">
        <v>3980</v>
      </c>
      <c r="P1259" t="str">
        <f>TRIM(Table13_1[[#This Row],[Genre]])</f>
        <v>Action</v>
      </c>
    </row>
    <row r="1260" spans="1:16" x14ac:dyDescent="0.3">
      <c r="A1260" t="s">
        <v>2701</v>
      </c>
      <c r="B1260" t="s">
        <v>2702</v>
      </c>
      <c r="C1260">
        <v>2016</v>
      </c>
      <c r="D1260">
        <v>2010</v>
      </c>
      <c r="E1260" t="s">
        <v>17</v>
      </c>
      <c r="F1260">
        <v>113</v>
      </c>
      <c r="G1260" t="s">
        <v>3997</v>
      </c>
      <c r="H1260" t="s">
        <v>136</v>
      </c>
      <c r="I1260" t="s">
        <v>119</v>
      </c>
      <c r="J1260" t="s">
        <v>2703</v>
      </c>
      <c r="K1260">
        <v>7249</v>
      </c>
      <c r="M1260">
        <v>0</v>
      </c>
      <c r="N1260" t="s">
        <v>4001</v>
      </c>
      <c r="O1260" t="s">
        <v>43</v>
      </c>
      <c r="P1260" t="str">
        <f>TRIM(Table13_1[[#This Row],[Genre]])</f>
        <v>Mystery</v>
      </c>
    </row>
    <row r="1261" spans="1:16" x14ac:dyDescent="0.3">
      <c r="A1261" t="s">
        <v>2704</v>
      </c>
      <c r="B1261" t="s">
        <v>2705</v>
      </c>
      <c r="C1261">
        <v>2024</v>
      </c>
      <c r="D1261">
        <v>2020</v>
      </c>
      <c r="E1261" t="s">
        <v>17</v>
      </c>
      <c r="F1261">
        <v>150</v>
      </c>
      <c r="G1261" t="s">
        <v>3999</v>
      </c>
      <c r="H1261" t="s">
        <v>1363</v>
      </c>
      <c r="I1261" t="s">
        <v>251</v>
      </c>
      <c r="J1261" t="s">
        <v>2706</v>
      </c>
      <c r="K1261">
        <v>41099</v>
      </c>
      <c r="M1261">
        <v>0</v>
      </c>
      <c r="N1261" t="s">
        <v>4001</v>
      </c>
      <c r="O1261" t="s">
        <v>43</v>
      </c>
      <c r="P1261" t="str">
        <f>TRIM(Table13_1[[#This Row],[Genre]])</f>
        <v>Mystery</v>
      </c>
    </row>
    <row r="1262" spans="1:16" x14ac:dyDescent="0.3">
      <c r="A1262" t="s">
        <v>2707</v>
      </c>
      <c r="B1262" t="s">
        <v>2708</v>
      </c>
      <c r="C1262">
        <v>2017</v>
      </c>
      <c r="D1262">
        <v>2010</v>
      </c>
      <c r="E1262" t="s">
        <v>24</v>
      </c>
      <c r="F1262">
        <v>132</v>
      </c>
      <c r="G1262" t="s">
        <v>3999</v>
      </c>
      <c r="H1262" t="s">
        <v>158</v>
      </c>
      <c r="I1262" t="s">
        <v>153</v>
      </c>
      <c r="J1262" t="s">
        <v>2710</v>
      </c>
      <c r="K1262">
        <v>105413</v>
      </c>
      <c r="L1262">
        <v>84.41</v>
      </c>
      <c r="M1262">
        <v>84.41</v>
      </c>
      <c r="N1262" t="s">
        <v>4001</v>
      </c>
      <c r="O1262" t="s">
        <v>157</v>
      </c>
      <c r="P1262" t="str">
        <f>TRIM(Table13_1[[#This Row],[Genre]])</f>
        <v>Animation</v>
      </c>
    </row>
    <row r="1263" spans="1:16" x14ac:dyDescent="0.3">
      <c r="A1263" t="s">
        <v>2707</v>
      </c>
      <c r="B1263" t="s">
        <v>2708</v>
      </c>
      <c r="C1263">
        <v>2017</v>
      </c>
      <c r="D1263">
        <v>2010</v>
      </c>
      <c r="E1263" t="s">
        <v>24</v>
      </c>
      <c r="F1263">
        <v>132</v>
      </c>
      <c r="G1263" t="s">
        <v>3999</v>
      </c>
      <c r="H1263" t="s">
        <v>158</v>
      </c>
      <c r="I1263" t="s">
        <v>153</v>
      </c>
      <c r="J1263" t="s">
        <v>2710</v>
      </c>
      <c r="K1263">
        <v>105413</v>
      </c>
      <c r="L1263">
        <v>84.41</v>
      </c>
      <c r="M1263">
        <v>84.41</v>
      </c>
      <c r="N1263" t="s">
        <v>4001</v>
      </c>
      <c r="O1263" t="s">
        <v>3983</v>
      </c>
      <c r="P1263" t="str">
        <f>TRIM(Table13_1[[#This Row],[Genre]])</f>
        <v>Crime</v>
      </c>
    </row>
    <row r="1264" spans="1:16" x14ac:dyDescent="0.3">
      <c r="A1264" t="s">
        <v>2711</v>
      </c>
      <c r="B1264" t="s">
        <v>2712</v>
      </c>
      <c r="C1264">
        <v>2000</v>
      </c>
      <c r="D1264">
        <v>2000</v>
      </c>
      <c r="E1264" t="s">
        <v>17</v>
      </c>
      <c r="F1264">
        <v>106</v>
      </c>
      <c r="G1264" t="s">
        <v>3997</v>
      </c>
      <c r="H1264" t="s">
        <v>19</v>
      </c>
      <c r="I1264" t="s">
        <v>524</v>
      </c>
      <c r="J1264" t="s">
        <v>2713</v>
      </c>
      <c r="K1264">
        <v>7952</v>
      </c>
      <c r="L1264">
        <v>288.18</v>
      </c>
      <c r="M1264">
        <v>288.18</v>
      </c>
      <c r="N1264" t="s">
        <v>3998</v>
      </c>
      <c r="O1264" t="s">
        <v>210</v>
      </c>
      <c r="P1264" t="str">
        <f>TRIM(Table13_1[[#This Row],[Genre]])</f>
        <v>Action</v>
      </c>
    </row>
    <row r="1265" spans="1:16" x14ac:dyDescent="0.3">
      <c r="A1265" t="s">
        <v>2711</v>
      </c>
      <c r="B1265" t="s">
        <v>2712</v>
      </c>
      <c r="C1265">
        <v>2000</v>
      </c>
      <c r="D1265">
        <v>2000</v>
      </c>
      <c r="E1265" t="s">
        <v>17</v>
      </c>
      <c r="F1265">
        <v>106</v>
      </c>
      <c r="G1265" t="s">
        <v>3997</v>
      </c>
      <c r="H1265" t="s">
        <v>19</v>
      </c>
      <c r="I1265" t="s">
        <v>524</v>
      </c>
      <c r="J1265" t="s">
        <v>2713</v>
      </c>
      <c r="K1265">
        <v>7952</v>
      </c>
      <c r="L1265">
        <v>288.18</v>
      </c>
      <c r="M1265">
        <v>288.18</v>
      </c>
      <c r="N1265" t="s">
        <v>3998</v>
      </c>
      <c r="O1265" t="s">
        <v>3981</v>
      </c>
      <c r="P1265" t="str">
        <f>TRIM(Table13_1[[#This Row],[Genre]])</f>
        <v>Romance</v>
      </c>
    </row>
    <row r="1266" spans="1:16" x14ac:dyDescent="0.3">
      <c r="A1266" t="s">
        <v>2714</v>
      </c>
      <c r="B1266" t="s">
        <v>2715</v>
      </c>
      <c r="C1266">
        <v>2022</v>
      </c>
      <c r="D1266">
        <v>2020</v>
      </c>
      <c r="E1266" t="s">
        <v>169</v>
      </c>
      <c r="F1266">
        <v>70</v>
      </c>
      <c r="G1266" t="s">
        <v>4000</v>
      </c>
      <c r="H1266" t="s">
        <v>435</v>
      </c>
      <c r="I1266" t="s">
        <v>33</v>
      </c>
      <c r="J1266" t="s">
        <v>2717</v>
      </c>
      <c r="K1266">
        <v>312212</v>
      </c>
      <c r="L1266">
        <v>442.26</v>
      </c>
      <c r="M1266">
        <v>442.26</v>
      </c>
      <c r="N1266" t="s">
        <v>3998</v>
      </c>
      <c r="O1266" t="s">
        <v>453</v>
      </c>
      <c r="P1266" t="str">
        <f>TRIM(Table13_1[[#This Row],[Genre]])</f>
        <v>Musical</v>
      </c>
    </row>
    <row r="1267" spans="1:16" x14ac:dyDescent="0.3">
      <c r="A1267" t="s">
        <v>2714</v>
      </c>
      <c r="B1267" t="s">
        <v>2715</v>
      </c>
      <c r="C1267">
        <v>2022</v>
      </c>
      <c r="D1267">
        <v>2020</v>
      </c>
      <c r="E1267" t="s">
        <v>169</v>
      </c>
      <c r="F1267">
        <v>70</v>
      </c>
      <c r="G1267" t="s">
        <v>4000</v>
      </c>
      <c r="H1267" t="s">
        <v>435</v>
      </c>
      <c r="I1267" t="s">
        <v>33</v>
      </c>
      <c r="J1267" t="s">
        <v>2717</v>
      </c>
      <c r="K1267">
        <v>312212</v>
      </c>
      <c r="L1267">
        <v>442.26</v>
      </c>
      <c r="M1267">
        <v>442.26</v>
      </c>
      <c r="N1267" t="s">
        <v>3998</v>
      </c>
      <c r="O1267" t="s">
        <v>3979</v>
      </c>
      <c r="P1267" t="str">
        <f>TRIM(Table13_1[[#This Row],[Genre]])</f>
        <v>War</v>
      </c>
    </row>
    <row r="1268" spans="1:16" x14ac:dyDescent="0.3">
      <c r="A1268" t="s">
        <v>2714</v>
      </c>
      <c r="B1268" t="s">
        <v>2715</v>
      </c>
      <c r="C1268">
        <v>2022</v>
      </c>
      <c r="D1268">
        <v>2020</v>
      </c>
      <c r="E1268" t="s">
        <v>169</v>
      </c>
      <c r="F1268">
        <v>70</v>
      </c>
      <c r="G1268" t="s">
        <v>4000</v>
      </c>
      <c r="H1268" t="s">
        <v>435</v>
      </c>
      <c r="I1268" t="s">
        <v>33</v>
      </c>
      <c r="J1268" t="s">
        <v>2717</v>
      </c>
      <c r="K1268">
        <v>312212</v>
      </c>
      <c r="L1268">
        <v>442.26</v>
      </c>
      <c r="M1268">
        <v>442.26</v>
      </c>
      <c r="N1268" t="s">
        <v>3998</v>
      </c>
      <c r="O1268" t="s">
        <v>3987</v>
      </c>
      <c r="P1268" t="str">
        <f>TRIM(Table13_1[[#This Row],[Genre]])</f>
        <v>Fantasy</v>
      </c>
    </row>
    <row r="1269" spans="1:16" x14ac:dyDescent="0.3">
      <c r="A1269" t="s">
        <v>2718</v>
      </c>
      <c r="B1269" t="s">
        <v>2719</v>
      </c>
      <c r="C1269">
        <v>2022</v>
      </c>
      <c r="D1269">
        <v>2020</v>
      </c>
      <c r="E1269" t="s">
        <v>17</v>
      </c>
      <c r="F1269">
        <v>139</v>
      </c>
      <c r="G1269" t="s">
        <v>3999</v>
      </c>
      <c r="H1269" t="s">
        <v>85</v>
      </c>
      <c r="I1269" t="s">
        <v>147</v>
      </c>
      <c r="J1269" t="s">
        <v>2720</v>
      </c>
      <c r="K1269">
        <v>1409</v>
      </c>
      <c r="L1269">
        <v>78.59</v>
      </c>
      <c r="M1269">
        <v>78.59</v>
      </c>
      <c r="N1269" t="s">
        <v>4001</v>
      </c>
      <c r="O1269" t="s">
        <v>767</v>
      </c>
      <c r="P1269" t="str">
        <f>TRIM(Table13_1[[#This Row],[Genre]])</f>
        <v>Fantasy</v>
      </c>
    </row>
    <row r="1270" spans="1:16" x14ac:dyDescent="0.3">
      <c r="A1270" t="s">
        <v>2718</v>
      </c>
      <c r="B1270" t="s">
        <v>2719</v>
      </c>
      <c r="C1270">
        <v>2022</v>
      </c>
      <c r="D1270">
        <v>2020</v>
      </c>
      <c r="E1270" t="s">
        <v>17</v>
      </c>
      <c r="F1270">
        <v>139</v>
      </c>
      <c r="G1270" t="s">
        <v>3999</v>
      </c>
      <c r="H1270" t="s">
        <v>85</v>
      </c>
      <c r="I1270" t="s">
        <v>147</v>
      </c>
      <c r="J1270" t="s">
        <v>2720</v>
      </c>
      <c r="K1270">
        <v>1409</v>
      </c>
      <c r="L1270">
        <v>78.59</v>
      </c>
      <c r="M1270">
        <v>78.59</v>
      </c>
      <c r="N1270" t="s">
        <v>4001</v>
      </c>
      <c r="O1270" t="s">
        <v>3991</v>
      </c>
      <c r="P1270" t="str">
        <f>TRIM(Table13_1[[#This Row],[Genre]])</f>
        <v>Thriller</v>
      </c>
    </row>
    <row r="1271" spans="1:16" x14ac:dyDescent="0.3">
      <c r="A1271" t="s">
        <v>2721</v>
      </c>
      <c r="B1271" t="s">
        <v>2722</v>
      </c>
      <c r="C1271">
        <v>2008</v>
      </c>
      <c r="D1271">
        <v>2000</v>
      </c>
      <c r="E1271" t="s">
        <v>54</v>
      </c>
      <c r="F1271">
        <v>110</v>
      </c>
      <c r="G1271" t="s">
        <v>3997</v>
      </c>
      <c r="H1271" t="s">
        <v>2724</v>
      </c>
      <c r="I1271" t="s">
        <v>27</v>
      </c>
      <c r="J1271" t="s">
        <v>2725</v>
      </c>
      <c r="K1271">
        <v>18863</v>
      </c>
      <c r="M1271">
        <v>0</v>
      </c>
      <c r="N1271" t="s">
        <v>4001</v>
      </c>
      <c r="O1271" t="s">
        <v>129</v>
      </c>
      <c r="P1271" t="str">
        <f>TRIM(Table13_1[[#This Row],[Genre]])</f>
        <v>Horror</v>
      </c>
    </row>
    <row r="1272" spans="1:16" x14ac:dyDescent="0.3">
      <c r="A1272" t="s">
        <v>2721</v>
      </c>
      <c r="B1272" t="s">
        <v>2722</v>
      </c>
      <c r="C1272">
        <v>2008</v>
      </c>
      <c r="D1272">
        <v>2000</v>
      </c>
      <c r="E1272" t="s">
        <v>54</v>
      </c>
      <c r="F1272">
        <v>110</v>
      </c>
      <c r="G1272" t="s">
        <v>3997</v>
      </c>
      <c r="H1272" t="s">
        <v>2724</v>
      </c>
      <c r="I1272" t="s">
        <v>27</v>
      </c>
      <c r="J1272" t="s">
        <v>2725</v>
      </c>
      <c r="K1272">
        <v>18863</v>
      </c>
      <c r="M1272">
        <v>0</v>
      </c>
      <c r="N1272" t="s">
        <v>4001</v>
      </c>
      <c r="O1272" t="s">
        <v>3984</v>
      </c>
      <c r="P1272" t="str">
        <f>TRIM(Table13_1[[#This Row],[Genre]])</f>
        <v>Adventure</v>
      </c>
    </row>
    <row r="1273" spans="1:16" x14ac:dyDescent="0.3">
      <c r="A1273" t="s">
        <v>2721</v>
      </c>
      <c r="B1273" t="s">
        <v>2722</v>
      </c>
      <c r="C1273">
        <v>2008</v>
      </c>
      <c r="D1273">
        <v>2000</v>
      </c>
      <c r="E1273" t="s">
        <v>54</v>
      </c>
      <c r="F1273">
        <v>110</v>
      </c>
      <c r="G1273" t="s">
        <v>3997</v>
      </c>
      <c r="H1273" t="s">
        <v>2724</v>
      </c>
      <c r="I1273" t="s">
        <v>27</v>
      </c>
      <c r="J1273" t="s">
        <v>2725</v>
      </c>
      <c r="K1273">
        <v>18863</v>
      </c>
      <c r="M1273">
        <v>0</v>
      </c>
      <c r="N1273" t="s">
        <v>4001</v>
      </c>
      <c r="O1273" t="s">
        <v>3976</v>
      </c>
      <c r="P1273" t="str">
        <f>TRIM(Table13_1[[#This Row],[Genre]])</f>
        <v>Musical</v>
      </c>
    </row>
    <row r="1274" spans="1:16" x14ac:dyDescent="0.3">
      <c r="A1274" t="s">
        <v>2726</v>
      </c>
      <c r="B1274" t="s">
        <v>2727</v>
      </c>
      <c r="C1274">
        <v>2008</v>
      </c>
      <c r="D1274">
        <v>2000</v>
      </c>
      <c r="E1274" t="s">
        <v>54</v>
      </c>
      <c r="F1274">
        <v>113</v>
      </c>
      <c r="G1274" t="s">
        <v>3997</v>
      </c>
      <c r="H1274" t="s">
        <v>102</v>
      </c>
      <c r="I1274" t="s">
        <v>125</v>
      </c>
      <c r="J1274" t="s">
        <v>2729</v>
      </c>
      <c r="K1274">
        <v>36958</v>
      </c>
      <c r="L1274">
        <v>12.84</v>
      </c>
      <c r="M1274">
        <v>12.84</v>
      </c>
      <c r="N1274" t="s">
        <v>4001</v>
      </c>
      <c r="O1274" t="s">
        <v>868</v>
      </c>
      <c r="P1274" t="str">
        <f>TRIM(Table13_1[[#This Row],[Genre]])</f>
        <v>Western</v>
      </c>
    </row>
    <row r="1275" spans="1:16" x14ac:dyDescent="0.3">
      <c r="A1275" t="s">
        <v>2726</v>
      </c>
      <c r="B1275" t="s">
        <v>2727</v>
      </c>
      <c r="C1275">
        <v>2008</v>
      </c>
      <c r="D1275">
        <v>2000</v>
      </c>
      <c r="E1275" t="s">
        <v>54</v>
      </c>
      <c r="F1275">
        <v>113</v>
      </c>
      <c r="G1275" t="s">
        <v>3997</v>
      </c>
      <c r="H1275" t="s">
        <v>102</v>
      </c>
      <c r="I1275" t="s">
        <v>125</v>
      </c>
      <c r="J1275" t="s">
        <v>2729</v>
      </c>
      <c r="K1275">
        <v>36958</v>
      </c>
      <c r="L1275">
        <v>12.84</v>
      </c>
      <c r="M1275">
        <v>12.84</v>
      </c>
      <c r="N1275" t="s">
        <v>4001</v>
      </c>
      <c r="O1275" t="s">
        <v>3978</v>
      </c>
      <c r="P1275" t="str">
        <f>TRIM(Table13_1[[#This Row],[Genre]])</f>
        <v>Mystery</v>
      </c>
    </row>
    <row r="1276" spans="1:16" x14ac:dyDescent="0.3">
      <c r="A1276" t="s">
        <v>2726</v>
      </c>
      <c r="B1276" t="s">
        <v>2727</v>
      </c>
      <c r="C1276">
        <v>2008</v>
      </c>
      <c r="D1276">
        <v>2000</v>
      </c>
      <c r="E1276" t="s">
        <v>54</v>
      </c>
      <c r="F1276">
        <v>113</v>
      </c>
      <c r="G1276" t="s">
        <v>3997</v>
      </c>
      <c r="H1276" t="s">
        <v>102</v>
      </c>
      <c r="I1276" t="s">
        <v>125</v>
      </c>
      <c r="J1276" t="s">
        <v>2729</v>
      </c>
      <c r="K1276">
        <v>36958</v>
      </c>
      <c r="L1276">
        <v>12.84</v>
      </c>
      <c r="M1276">
        <v>12.84</v>
      </c>
      <c r="N1276" t="s">
        <v>4001</v>
      </c>
      <c r="O1276" t="s">
        <v>3989</v>
      </c>
      <c r="P1276" t="str">
        <f>TRIM(Table13_1[[#This Row],[Genre]])</f>
        <v>Sci-Fi</v>
      </c>
    </row>
    <row r="1277" spans="1:16" x14ac:dyDescent="0.3">
      <c r="A1277" t="s">
        <v>2730</v>
      </c>
      <c r="B1277" t="s">
        <v>2731</v>
      </c>
      <c r="C1277">
        <v>2008</v>
      </c>
      <c r="D1277">
        <v>2000</v>
      </c>
      <c r="E1277" t="s">
        <v>17</v>
      </c>
      <c r="F1277">
        <v>152</v>
      </c>
      <c r="G1277" t="s">
        <v>3999</v>
      </c>
      <c r="H1277" t="s">
        <v>673</v>
      </c>
      <c r="I1277" t="s">
        <v>718</v>
      </c>
      <c r="J1277" t="s">
        <v>2732</v>
      </c>
      <c r="K1277">
        <v>371661</v>
      </c>
      <c r="M1277">
        <v>0</v>
      </c>
      <c r="N1277" t="s">
        <v>4001</v>
      </c>
      <c r="O1277" t="s">
        <v>235</v>
      </c>
      <c r="P1277" t="str">
        <f>TRIM(Table13_1[[#This Row],[Genre]])</f>
        <v>Drama</v>
      </c>
    </row>
    <row r="1278" spans="1:16" x14ac:dyDescent="0.3">
      <c r="A1278" t="s">
        <v>2733</v>
      </c>
      <c r="B1278" t="s">
        <v>2734</v>
      </c>
      <c r="C1278">
        <v>2021</v>
      </c>
      <c r="D1278">
        <v>2020</v>
      </c>
      <c r="E1278" t="s">
        <v>54</v>
      </c>
      <c r="F1278">
        <v>107</v>
      </c>
      <c r="G1278" t="s">
        <v>3997</v>
      </c>
      <c r="H1278" t="s">
        <v>2735</v>
      </c>
      <c r="I1278" t="s">
        <v>63</v>
      </c>
      <c r="J1278" t="s">
        <v>2736</v>
      </c>
      <c r="K1278">
        <v>91931</v>
      </c>
      <c r="M1278">
        <v>0</v>
      </c>
      <c r="N1278" t="s">
        <v>4001</v>
      </c>
      <c r="O1278" t="s">
        <v>37</v>
      </c>
      <c r="P1278" t="str">
        <f>TRIM(Table13_1[[#This Row],[Genre]])</f>
        <v>Biography</v>
      </c>
    </row>
    <row r="1279" spans="1:16" x14ac:dyDescent="0.3">
      <c r="A1279" t="s">
        <v>2737</v>
      </c>
      <c r="B1279" t="s">
        <v>2738</v>
      </c>
      <c r="C1279">
        <v>1986</v>
      </c>
      <c r="D1279">
        <v>1980</v>
      </c>
      <c r="E1279" t="s">
        <v>54</v>
      </c>
      <c r="F1279">
        <v>103</v>
      </c>
      <c r="G1279" t="s">
        <v>3997</v>
      </c>
      <c r="H1279" t="s">
        <v>278</v>
      </c>
      <c r="I1279" t="s">
        <v>103</v>
      </c>
      <c r="J1279" t="s">
        <v>2740</v>
      </c>
      <c r="K1279">
        <v>66740</v>
      </c>
      <c r="L1279">
        <v>247.93</v>
      </c>
      <c r="M1279">
        <v>247.93</v>
      </c>
      <c r="N1279" t="s">
        <v>3998</v>
      </c>
      <c r="O1279" t="s">
        <v>277</v>
      </c>
      <c r="P1279" t="str">
        <f>TRIM(Table13_1[[#This Row],[Genre]])</f>
        <v>Thriller</v>
      </c>
    </row>
    <row r="1280" spans="1:16" x14ac:dyDescent="0.3">
      <c r="A1280" t="s">
        <v>2737</v>
      </c>
      <c r="B1280" t="s">
        <v>2738</v>
      </c>
      <c r="C1280">
        <v>1986</v>
      </c>
      <c r="D1280">
        <v>1980</v>
      </c>
      <c r="E1280" t="s">
        <v>54</v>
      </c>
      <c r="F1280">
        <v>103</v>
      </c>
      <c r="G1280" t="s">
        <v>3997</v>
      </c>
      <c r="H1280" t="s">
        <v>278</v>
      </c>
      <c r="I1280" t="s">
        <v>103</v>
      </c>
      <c r="J1280" t="s">
        <v>2740</v>
      </c>
      <c r="K1280">
        <v>66740</v>
      </c>
      <c r="L1280">
        <v>247.93</v>
      </c>
      <c r="M1280">
        <v>247.93</v>
      </c>
      <c r="N1280" t="s">
        <v>3998</v>
      </c>
      <c r="O1280" t="s">
        <v>3988</v>
      </c>
      <c r="P1280" t="str">
        <f>TRIM(Table13_1[[#This Row],[Genre]])</f>
        <v>Drama</v>
      </c>
    </row>
    <row r="1281" spans="1:16" x14ac:dyDescent="0.3">
      <c r="A1281" t="s">
        <v>2741</v>
      </c>
      <c r="B1281" t="s">
        <v>2742</v>
      </c>
      <c r="C1281">
        <v>2011</v>
      </c>
      <c r="D1281">
        <v>2010</v>
      </c>
      <c r="E1281" t="s">
        <v>17</v>
      </c>
      <c r="F1281">
        <v>100</v>
      </c>
      <c r="G1281" t="s">
        <v>3997</v>
      </c>
      <c r="H1281" t="s">
        <v>1203</v>
      </c>
      <c r="I1281" t="s">
        <v>236</v>
      </c>
      <c r="J1281" t="s">
        <v>2743</v>
      </c>
      <c r="K1281">
        <v>87142</v>
      </c>
      <c r="L1281">
        <v>389.56</v>
      </c>
      <c r="M1281">
        <v>389.56</v>
      </c>
      <c r="N1281" t="s">
        <v>3998</v>
      </c>
      <c r="O1281" t="s">
        <v>1044</v>
      </c>
      <c r="P1281" t="str">
        <f>TRIM(Table13_1[[#This Row],[Genre]])</f>
        <v>Comedy</v>
      </c>
    </row>
    <row r="1282" spans="1:16" x14ac:dyDescent="0.3">
      <c r="A1282" t="s">
        <v>2744</v>
      </c>
      <c r="B1282" t="s">
        <v>2745</v>
      </c>
      <c r="C1282">
        <v>2019</v>
      </c>
      <c r="D1282">
        <v>2010</v>
      </c>
      <c r="E1282" t="s">
        <v>285</v>
      </c>
      <c r="F1282">
        <v>163</v>
      </c>
      <c r="G1282" t="s">
        <v>3999</v>
      </c>
      <c r="H1282" t="s">
        <v>898</v>
      </c>
      <c r="I1282" t="s">
        <v>74</v>
      </c>
      <c r="J1282" t="s">
        <v>2746</v>
      </c>
      <c r="K1282">
        <v>83176</v>
      </c>
      <c r="M1282">
        <v>0</v>
      </c>
      <c r="N1282" t="s">
        <v>4001</v>
      </c>
      <c r="O1282" t="s">
        <v>55</v>
      </c>
      <c r="P1282" t="str">
        <f>TRIM(Table13_1[[#This Row],[Genre]])</f>
        <v>Romance</v>
      </c>
    </row>
    <row r="1283" spans="1:16" x14ac:dyDescent="0.3">
      <c r="A1283" t="s">
        <v>2744</v>
      </c>
      <c r="B1283" t="s">
        <v>2745</v>
      </c>
      <c r="C1283">
        <v>2019</v>
      </c>
      <c r="D1283">
        <v>2010</v>
      </c>
      <c r="E1283" t="s">
        <v>285</v>
      </c>
      <c r="F1283">
        <v>163</v>
      </c>
      <c r="G1283" t="s">
        <v>3999</v>
      </c>
      <c r="H1283" t="s">
        <v>898</v>
      </c>
      <c r="I1283" t="s">
        <v>74</v>
      </c>
      <c r="J1283" t="s">
        <v>2746</v>
      </c>
      <c r="K1283">
        <v>83176</v>
      </c>
      <c r="M1283">
        <v>0</v>
      </c>
      <c r="N1283" t="s">
        <v>4001</v>
      </c>
      <c r="O1283" t="s">
        <v>3984</v>
      </c>
      <c r="P1283" t="str">
        <f>TRIM(Table13_1[[#This Row],[Genre]])</f>
        <v>Adventure</v>
      </c>
    </row>
    <row r="1284" spans="1:16" x14ac:dyDescent="0.3">
      <c r="A1284" t="s">
        <v>2747</v>
      </c>
      <c r="B1284" t="s">
        <v>2748</v>
      </c>
      <c r="C1284">
        <v>2005</v>
      </c>
      <c r="D1284">
        <v>2000</v>
      </c>
      <c r="E1284" t="s">
        <v>285</v>
      </c>
      <c r="F1284">
        <v>123</v>
      </c>
      <c r="G1284" t="s">
        <v>3999</v>
      </c>
      <c r="H1284" t="s">
        <v>381</v>
      </c>
      <c r="I1284" t="s">
        <v>608</v>
      </c>
      <c r="J1284" t="s">
        <v>2750</v>
      </c>
      <c r="K1284">
        <v>54972</v>
      </c>
      <c r="L1284">
        <v>149.35</v>
      </c>
      <c r="M1284">
        <v>149.35</v>
      </c>
      <c r="N1284" t="s">
        <v>4002</v>
      </c>
      <c r="O1284" t="s">
        <v>375</v>
      </c>
      <c r="P1284" t="str">
        <f>TRIM(Table13_1[[#This Row],[Genre]])</f>
        <v>Family</v>
      </c>
    </row>
    <row r="1285" spans="1:16" x14ac:dyDescent="0.3">
      <c r="A1285" t="s">
        <v>2747</v>
      </c>
      <c r="B1285" t="s">
        <v>2748</v>
      </c>
      <c r="C1285">
        <v>2005</v>
      </c>
      <c r="D1285">
        <v>2000</v>
      </c>
      <c r="E1285" t="s">
        <v>285</v>
      </c>
      <c r="F1285">
        <v>123</v>
      </c>
      <c r="G1285" t="s">
        <v>3999</v>
      </c>
      <c r="H1285" t="s">
        <v>381</v>
      </c>
      <c r="I1285" t="s">
        <v>608</v>
      </c>
      <c r="J1285" t="s">
        <v>2750</v>
      </c>
      <c r="K1285">
        <v>54972</v>
      </c>
      <c r="L1285">
        <v>149.35</v>
      </c>
      <c r="M1285">
        <v>149.35</v>
      </c>
      <c r="N1285" t="s">
        <v>4002</v>
      </c>
      <c r="O1285" t="s">
        <v>3984</v>
      </c>
      <c r="P1285" t="str">
        <f>TRIM(Table13_1[[#This Row],[Genre]])</f>
        <v>Adventure</v>
      </c>
    </row>
    <row r="1286" spans="1:16" x14ac:dyDescent="0.3">
      <c r="A1286" t="s">
        <v>2751</v>
      </c>
      <c r="B1286" t="s">
        <v>2752</v>
      </c>
      <c r="C1286">
        <v>2021</v>
      </c>
      <c r="D1286">
        <v>2020</v>
      </c>
      <c r="E1286" t="s">
        <v>17</v>
      </c>
      <c r="F1286">
        <v>152</v>
      </c>
      <c r="G1286" t="s">
        <v>3999</v>
      </c>
      <c r="H1286" t="s">
        <v>2753</v>
      </c>
      <c r="I1286" t="s">
        <v>315</v>
      </c>
      <c r="J1286" t="s">
        <v>2754</v>
      </c>
      <c r="K1286">
        <v>44118</v>
      </c>
      <c r="L1286">
        <v>232.17</v>
      </c>
      <c r="M1286">
        <v>232.17</v>
      </c>
      <c r="N1286" t="s">
        <v>3998</v>
      </c>
      <c r="O1286" t="s">
        <v>72</v>
      </c>
      <c r="P1286" t="str">
        <f>TRIM(Table13_1[[#This Row],[Genre]])</f>
        <v>War</v>
      </c>
    </row>
    <row r="1287" spans="1:16" x14ac:dyDescent="0.3">
      <c r="A1287" t="s">
        <v>2751</v>
      </c>
      <c r="B1287" t="s">
        <v>2752</v>
      </c>
      <c r="C1287">
        <v>2021</v>
      </c>
      <c r="D1287">
        <v>2020</v>
      </c>
      <c r="E1287" t="s">
        <v>17</v>
      </c>
      <c r="F1287">
        <v>152</v>
      </c>
      <c r="G1287" t="s">
        <v>3999</v>
      </c>
      <c r="H1287" t="s">
        <v>2753</v>
      </c>
      <c r="I1287" t="s">
        <v>315</v>
      </c>
      <c r="J1287" t="s">
        <v>2754</v>
      </c>
      <c r="K1287">
        <v>44118</v>
      </c>
      <c r="L1287">
        <v>232.17</v>
      </c>
      <c r="M1287">
        <v>232.17</v>
      </c>
      <c r="N1287" t="s">
        <v>3998</v>
      </c>
      <c r="O1287" t="s">
        <v>3991</v>
      </c>
      <c r="P1287" t="str">
        <f>TRIM(Table13_1[[#This Row],[Genre]])</f>
        <v>Thriller</v>
      </c>
    </row>
    <row r="1288" spans="1:16" x14ac:dyDescent="0.3">
      <c r="A1288" t="s">
        <v>2755</v>
      </c>
      <c r="B1288" t="s">
        <v>2756</v>
      </c>
      <c r="C1288">
        <v>2008</v>
      </c>
      <c r="D1288">
        <v>2000</v>
      </c>
      <c r="E1288" t="s">
        <v>17</v>
      </c>
      <c r="F1288">
        <v>125</v>
      </c>
      <c r="G1288" t="s">
        <v>3999</v>
      </c>
      <c r="H1288" t="s">
        <v>2758</v>
      </c>
      <c r="I1288" t="s">
        <v>74</v>
      </c>
      <c r="J1288" t="s">
        <v>2759</v>
      </c>
      <c r="K1288">
        <v>74241</v>
      </c>
      <c r="M1288">
        <v>0</v>
      </c>
      <c r="N1288" t="s">
        <v>4001</v>
      </c>
      <c r="O1288" t="s">
        <v>48</v>
      </c>
      <c r="P1288" t="str">
        <f>TRIM(Table13_1[[#This Row],[Genre]])</f>
        <v>Crime</v>
      </c>
    </row>
    <row r="1289" spans="1:16" x14ac:dyDescent="0.3">
      <c r="A1289" t="s">
        <v>2755</v>
      </c>
      <c r="B1289" t="s">
        <v>2756</v>
      </c>
      <c r="C1289">
        <v>2008</v>
      </c>
      <c r="D1289">
        <v>2000</v>
      </c>
      <c r="E1289" t="s">
        <v>17</v>
      </c>
      <c r="F1289">
        <v>125</v>
      </c>
      <c r="G1289" t="s">
        <v>3999</v>
      </c>
      <c r="H1289" t="s">
        <v>2758</v>
      </c>
      <c r="I1289" t="s">
        <v>74</v>
      </c>
      <c r="J1289" t="s">
        <v>2759</v>
      </c>
      <c r="K1289">
        <v>74241</v>
      </c>
      <c r="M1289">
        <v>0</v>
      </c>
      <c r="N1289" t="s">
        <v>4001</v>
      </c>
      <c r="O1289" t="s">
        <v>3980</v>
      </c>
      <c r="P1289" t="str">
        <f>TRIM(Table13_1[[#This Row],[Genre]])</f>
        <v>Action</v>
      </c>
    </row>
    <row r="1290" spans="1:16" x14ac:dyDescent="0.3">
      <c r="A1290" t="s">
        <v>2760</v>
      </c>
      <c r="B1290" t="s">
        <v>2761</v>
      </c>
      <c r="C1290">
        <v>2007</v>
      </c>
      <c r="D1290">
        <v>2000</v>
      </c>
      <c r="E1290" t="s">
        <v>24</v>
      </c>
      <c r="F1290">
        <v>110</v>
      </c>
      <c r="G1290" t="s">
        <v>3997</v>
      </c>
      <c r="H1290" t="s">
        <v>2762</v>
      </c>
      <c r="I1290" t="s">
        <v>153</v>
      </c>
      <c r="J1290" t="s">
        <v>2763</v>
      </c>
      <c r="K1290">
        <v>113125</v>
      </c>
      <c r="L1290">
        <v>65.64</v>
      </c>
      <c r="M1290">
        <v>65.64</v>
      </c>
      <c r="N1290" t="s">
        <v>4001</v>
      </c>
      <c r="O1290" t="s">
        <v>767</v>
      </c>
      <c r="P1290" t="str">
        <f>TRIM(Table13_1[[#This Row],[Genre]])</f>
        <v>Fantasy</v>
      </c>
    </row>
    <row r="1291" spans="1:16" x14ac:dyDescent="0.3">
      <c r="A1291" t="s">
        <v>2764</v>
      </c>
      <c r="B1291" t="s">
        <v>2765</v>
      </c>
      <c r="C1291">
        <v>2014</v>
      </c>
      <c r="D1291">
        <v>2010</v>
      </c>
      <c r="E1291" t="s">
        <v>54</v>
      </c>
      <c r="F1291">
        <v>131</v>
      </c>
      <c r="G1291" t="s">
        <v>3999</v>
      </c>
      <c r="H1291" t="s">
        <v>2766</v>
      </c>
      <c r="I1291" t="s">
        <v>147</v>
      </c>
      <c r="J1291" t="s">
        <v>2767</v>
      </c>
      <c r="K1291">
        <v>25326</v>
      </c>
      <c r="L1291">
        <v>489.89</v>
      </c>
      <c r="M1291">
        <v>489.89</v>
      </c>
      <c r="N1291" t="s">
        <v>3998</v>
      </c>
      <c r="O1291" t="s">
        <v>129</v>
      </c>
      <c r="P1291" t="str">
        <f>TRIM(Table13_1[[#This Row],[Genre]])</f>
        <v>Horror</v>
      </c>
    </row>
    <row r="1292" spans="1:16" x14ac:dyDescent="0.3">
      <c r="A1292" t="s">
        <v>2768</v>
      </c>
      <c r="B1292" t="s">
        <v>2769</v>
      </c>
      <c r="C1292">
        <v>2001</v>
      </c>
      <c r="D1292">
        <v>2000</v>
      </c>
      <c r="E1292" t="s">
        <v>293</v>
      </c>
      <c r="F1292">
        <v>154</v>
      </c>
      <c r="G1292" t="s">
        <v>3999</v>
      </c>
      <c r="H1292" t="s">
        <v>2770</v>
      </c>
      <c r="I1292" t="s">
        <v>57</v>
      </c>
      <c r="J1292" t="s">
        <v>2771</v>
      </c>
      <c r="K1292">
        <v>83870</v>
      </c>
      <c r="L1292">
        <v>195.76</v>
      </c>
      <c r="M1292">
        <v>195.76</v>
      </c>
      <c r="N1292" t="s">
        <v>4002</v>
      </c>
      <c r="O1292" t="s">
        <v>277</v>
      </c>
      <c r="P1292" t="str">
        <f>TRIM(Table13_1[[#This Row],[Genre]])</f>
        <v>Thriller</v>
      </c>
    </row>
    <row r="1293" spans="1:16" x14ac:dyDescent="0.3">
      <c r="A1293" t="s">
        <v>2768</v>
      </c>
      <c r="B1293" t="s">
        <v>2769</v>
      </c>
      <c r="C1293">
        <v>2001</v>
      </c>
      <c r="D1293">
        <v>2000</v>
      </c>
      <c r="E1293" t="s">
        <v>293</v>
      </c>
      <c r="F1293">
        <v>154</v>
      </c>
      <c r="G1293" t="s">
        <v>3999</v>
      </c>
      <c r="H1293" t="s">
        <v>2770</v>
      </c>
      <c r="I1293" t="s">
        <v>57</v>
      </c>
      <c r="J1293" t="s">
        <v>2771</v>
      </c>
      <c r="K1293">
        <v>83870</v>
      </c>
      <c r="L1293">
        <v>195.76</v>
      </c>
      <c r="M1293">
        <v>195.76</v>
      </c>
      <c r="N1293" t="s">
        <v>4002</v>
      </c>
      <c r="O1293" t="s">
        <v>3978</v>
      </c>
      <c r="P1293" t="str">
        <f>TRIM(Table13_1[[#This Row],[Genre]])</f>
        <v>Mystery</v>
      </c>
    </row>
    <row r="1294" spans="1:16" x14ac:dyDescent="0.3">
      <c r="A1294" t="s">
        <v>2772</v>
      </c>
      <c r="B1294" t="s">
        <v>2773</v>
      </c>
      <c r="C1294">
        <v>2020</v>
      </c>
      <c r="D1294">
        <v>2020</v>
      </c>
      <c r="E1294" t="s">
        <v>293</v>
      </c>
      <c r="F1294">
        <v>112</v>
      </c>
      <c r="G1294" t="s">
        <v>3997</v>
      </c>
      <c r="H1294" t="s">
        <v>2775</v>
      </c>
      <c r="I1294" t="s">
        <v>547</v>
      </c>
      <c r="J1294" t="s">
        <v>2776</v>
      </c>
      <c r="K1294">
        <v>15008</v>
      </c>
      <c r="M1294">
        <v>0</v>
      </c>
      <c r="N1294" t="s">
        <v>4001</v>
      </c>
      <c r="O1294" t="s">
        <v>78</v>
      </c>
      <c r="P1294" t="str">
        <f>TRIM(Table13_1[[#This Row],[Genre]])</f>
        <v>Adventure</v>
      </c>
    </row>
    <row r="1295" spans="1:16" x14ac:dyDescent="0.3">
      <c r="A1295" t="s">
        <v>2772</v>
      </c>
      <c r="B1295" t="s">
        <v>2773</v>
      </c>
      <c r="C1295">
        <v>2020</v>
      </c>
      <c r="D1295">
        <v>2020</v>
      </c>
      <c r="E1295" t="s">
        <v>293</v>
      </c>
      <c r="F1295">
        <v>112</v>
      </c>
      <c r="G1295" t="s">
        <v>3997</v>
      </c>
      <c r="H1295" t="s">
        <v>2775</v>
      </c>
      <c r="I1295" t="s">
        <v>547</v>
      </c>
      <c r="J1295" t="s">
        <v>2776</v>
      </c>
      <c r="K1295">
        <v>15008</v>
      </c>
      <c r="M1295">
        <v>0</v>
      </c>
      <c r="N1295" t="s">
        <v>4001</v>
      </c>
      <c r="O1295" t="s">
        <v>3981</v>
      </c>
      <c r="P1295" t="str">
        <f>TRIM(Table13_1[[#This Row],[Genre]])</f>
        <v>Romance</v>
      </c>
    </row>
    <row r="1296" spans="1:16" x14ac:dyDescent="0.3">
      <c r="A1296" t="s">
        <v>2772</v>
      </c>
      <c r="B1296" t="s">
        <v>2773</v>
      </c>
      <c r="C1296">
        <v>2020</v>
      </c>
      <c r="D1296">
        <v>2020</v>
      </c>
      <c r="E1296" t="s">
        <v>293</v>
      </c>
      <c r="F1296">
        <v>112</v>
      </c>
      <c r="G1296" t="s">
        <v>3997</v>
      </c>
      <c r="H1296" t="s">
        <v>2775</v>
      </c>
      <c r="I1296" t="s">
        <v>547</v>
      </c>
      <c r="J1296" t="s">
        <v>2776</v>
      </c>
      <c r="K1296">
        <v>15008</v>
      </c>
      <c r="M1296">
        <v>0</v>
      </c>
      <c r="N1296" t="s">
        <v>4001</v>
      </c>
      <c r="O1296" t="s">
        <v>3988</v>
      </c>
      <c r="P1296" t="str">
        <f>TRIM(Table13_1[[#This Row],[Genre]])</f>
        <v>Drama</v>
      </c>
    </row>
    <row r="1297" spans="1:16" x14ac:dyDescent="0.3">
      <c r="A1297" t="s">
        <v>2777</v>
      </c>
      <c r="B1297" t="s">
        <v>2778</v>
      </c>
      <c r="C1297">
        <v>2001</v>
      </c>
      <c r="D1297">
        <v>2000</v>
      </c>
      <c r="E1297" t="s">
        <v>54</v>
      </c>
      <c r="F1297">
        <v>118</v>
      </c>
      <c r="G1297" t="s">
        <v>3997</v>
      </c>
      <c r="H1297" t="s">
        <v>2779</v>
      </c>
      <c r="I1297" t="s">
        <v>125</v>
      </c>
      <c r="J1297" t="s">
        <v>2780</v>
      </c>
      <c r="K1297">
        <v>80220</v>
      </c>
      <c r="L1297">
        <v>440.2</v>
      </c>
      <c r="M1297">
        <v>440.2</v>
      </c>
      <c r="N1297" t="s">
        <v>3998</v>
      </c>
      <c r="O1297" t="s">
        <v>43</v>
      </c>
      <c r="P1297" t="str">
        <f>TRIM(Table13_1[[#This Row],[Genre]])</f>
        <v>Mystery</v>
      </c>
    </row>
    <row r="1298" spans="1:16" x14ac:dyDescent="0.3">
      <c r="A1298" t="s">
        <v>2781</v>
      </c>
      <c r="B1298" t="s">
        <v>2782</v>
      </c>
      <c r="C1298">
        <v>2013</v>
      </c>
      <c r="D1298">
        <v>2010</v>
      </c>
      <c r="E1298" t="s">
        <v>24</v>
      </c>
      <c r="F1298">
        <v>116</v>
      </c>
      <c r="G1298" t="s">
        <v>3997</v>
      </c>
      <c r="H1298" t="s">
        <v>1363</v>
      </c>
      <c r="I1298" t="s">
        <v>131</v>
      </c>
      <c r="J1298" t="s">
        <v>2784</v>
      </c>
      <c r="K1298">
        <v>524639</v>
      </c>
      <c r="L1298">
        <v>464.34</v>
      </c>
      <c r="M1298">
        <v>464.34</v>
      </c>
      <c r="N1298" t="s">
        <v>3998</v>
      </c>
      <c r="O1298" t="s">
        <v>43</v>
      </c>
      <c r="P1298" t="str">
        <f>TRIM(Table13_1[[#This Row],[Genre]])</f>
        <v>Mystery</v>
      </c>
    </row>
    <row r="1299" spans="1:16" x14ac:dyDescent="0.3">
      <c r="A1299" t="s">
        <v>2781</v>
      </c>
      <c r="B1299" t="s">
        <v>2782</v>
      </c>
      <c r="C1299">
        <v>2013</v>
      </c>
      <c r="D1299">
        <v>2010</v>
      </c>
      <c r="E1299" t="s">
        <v>24</v>
      </c>
      <c r="F1299">
        <v>116</v>
      </c>
      <c r="G1299" t="s">
        <v>3997</v>
      </c>
      <c r="H1299" t="s">
        <v>1363</v>
      </c>
      <c r="I1299" t="s">
        <v>131</v>
      </c>
      <c r="J1299" t="s">
        <v>2784</v>
      </c>
      <c r="K1299">
        <v>524639</v>
      </c>
      <c r="L1299">
        <v>464.34</v>
      </c>
      <c r="M1299">
        <v>464.34</v>
      </c>
      <c r="N1299" t="s">
        <v>3998</v>
      </c>
      <c r="O1299" t="s">
        <v>3986</v>
      </c>
      <c r="P1299" t="str">
        <f>TRIM(Table13_1[[#This Row],[Genre]])</f>
        <v>Documentary</v>
      </c>
    </row>
    <row r="1300" spans="1:16" x14ac:dyDescent="0.3">
      <c r="A1300" t="s">
        <v>2785</v>
      </c>
      <c r="B1300" t="s">
        <v>2786</v>
      </c>
      <c r="C1300">
        <v>2014</v>
      </c>
      <c r="D1300">
        <v>2010</v>
      </c>
      <c r="E1300" t="s">
        <v>54</v>
      </c>
      <c r="F1300">
        <v>139</v>
      </c>
      <c r="G1300" t="s">
        <v>3999</v>
      </c>
      <c r="H1300" t="s">
        <v>561</v>
      </c>
      <c r="I1300" t="s">
        <v>33</v>
      </c>
      <c r="J1300" t="s">
        <v>2787</v>
      </c>
      <c r="K1300">
        <v>156485</v>
      </c>
      <c r="L1300">
        <v>317.22000000000003</v>
      </c>
      <c r="M1300">
        <v>317.22000000000003</v>
      </c>
      <c r="N1300" t="s">
        <v>3998</v>
      </c>
      <c r="O1300" t="s">
        <v>37</v>
      </c>
      <c r="P1300" t="str">
        <f>TRIM(Table13_1[[#This Row],[Genre]])</f>
        <v>Biography</v>
      </c>
    </row>
    <row r="1301" spans="1:16" x14ac:dyDescent="0.3">
      <c r="A1301" t="s">
        <v>2788</v>
      </c>
      <c r="B1301" t="s">
        <v>2789</v>
      </c>
      <c r="C1301">
        <v>1995</v>
      </c>
      <c r="D1301">
        <v>1990</v>
      </c>
      <c r="E1301" t="s">
        <v>17</v>
      </c>
      <c r="F1301">
        <v>100</v>
      </c>
      <c r="G1301" t="s">
        <v>3997</v>
      </c>
      <c r="H1301" t="s">
        <v>269</v>
      </c>
      <c r="I1301" t="s">
        <v>131</v>
      </c>
      <c r="J1301" t="s">
        <v>2791</v>
      </c>
      <c r="K1301">
        <v>105445</v>
      </c>
      <c r="L1301">
        <v>128.97</v>
      </c>
      <c r="M1301">
        <v>128.97</v>
      </c>
      <c r="N1301" t="s">
        <v>4002</v>
      </c>
      <c r="O1301" t="s">
        <v>453</v>
      </c>
      <c r="P1301" t="str">
        <f>TRIM(Table13_1[[#This Row],[Genre]])</f>
        <v>Musical</v>
      </c>
    </row>
    <row r="1302" spans="1:16" x14ac:dyDescent="0.3">
      <c r="A1302" t="s">
        <v>2788</v>
      </c>
      <c r="B1302" t="s">
        <v>2789</v>
      </c>
      <c r="C1302">
        <v>1995</v>
      </c>
      <c r="D1302">
        <v>1990</v>
      </c>
      <c r="E1302" t="s">
        <v>17</v>
      </c>
      <c r="F1302">
        <v>100</v>
      </c>
      <c r="G1302" t="s">
        <v>3997</v>
      </c>
      <c r="H1302" t="s">
        <v>269</v>
      </c>
      <c r="I1302" t="s">
        <v>131</v>
      </c>
      <c r="J1302" t="s">
        <v>2791</v>
      </c>
      <c r="K1302">
        <v>105445</v>
      </c>
      <c r="L1302">
        <v>128.97</v>
      </c>
      <c r="M1302">
        <v>128.97</v>
      </c>
      <c r="N1302" t="s">
        <v>4002</v>
      </c>
      <c r="O1302" t="s">
        <v>3992</v>
      </c>
      <c r="P1302" t="str">
        <f>TRIM(Table13_1[[#This Row],[Genre]])</f>
        <v>Biography</v>
      </c>
    </row>
    <row r="1303" spans="1:16" x14ac:dyDescent="0.3">
      <c r="A1303" t="s">
        <v>2792</v>
      </c>
      <c r="B1303" t="s">
        <v>2793</v>
      </c>
      <c r="C1303">
        <v>2009</v>
      </c>
      <c r="D1303">
        <v>2000</v>
      </c>
      <c r="E1303" t="s">
        <v>17</v>
      </c>
      <c r="F1303">
        <v>139</v>
      </c>
      <c r="G1303" t="s">
        <v>3999</v>
      </c>
      <c r="H1303" t="s">
        <v>2126</v>
      </c>
      <c r="I1303" t="s">
        <v>165</v>
      </c>
      <c r="J1303" t="s">
        <v>2794</v>
      </c>
      <c r="K1303">
        <v>5797</v>
      </c>
      <c r="L1303">
        <v>92.46</v>
      </c>
      <c r="M1303">
        <v>92.46</v>
      </c>
      <c r="N1303" t="s">
        <v>4001</v>
      </c>
      <c r="O1303" t="s">
        <v>129</v>
      </c>
      <c r="P1303" t="str">
        <f>TRIM(Table13_1[[#This Row],[Genre]])</f>
        <v>Horror</v>
      </c>
    </row>
    <row r="1304" spans="1:16" x14ac:dyDescent="0.3">
      <c r="A1304" t="s">
        <v>2792</v>
      </c>
      <c r="B1304" t="s">
        <v>2793</v>
      </c>
      <c r="C1304">
        <v>2009</v>
      </c>
      <c r="D1304">
        <v>2000</v>
      </c>
      <c r="E1304" t="s">
        <v>17</v>
      </c>
      <c r="F1304">
        <v>139</v>
      </c>
      <c r="G1304" t="s">
        <v>3999</v>
      </c>
      <c r="H1304" t="s">
        <v>2126</v>
      </c>
      <c r="I1304" t="s">
        <v>165</v>
      </c>
      <c r="J1304" t="s">
        <v>2794</v>
      </c>
      <c r="K1304">
        <v>5797</v>
      </c>
      <c r="L1304">
        <v>92.46</v>
      </c>
      <c r="M1304">
        <v>92.46</v>
      </c>
      <c r="N1304" t="s">
        <v>4001</v>
      </c>
      <c r="O1304" t="s">
        <v>3983</v>
      </c>
      <c r="P1304" t="str">
        <f>TRIM(Table13_1[[#This Row],[Genre]])</f>
        <v>Crime</v>
      </c>
    </row>
    <row r="1305" spans="1:16" x14ac:dyDescent="0.3">
      <c r="A1305" t="s">
        <v>2795</v>
      </c>
      <c r="B1305" t="s">
        <v>2796</v>
      </c>
      <c r="C1305">
        <v>2002</v>
      </c>
      <c r="D1305">
        <v>2000</v>
      </c>
      <c r="E1305" t="s">
        <v>24</v>
      </c>
      <c r="F1305">
        <v>127</v>
      </c>
      <c r="G1305" t="s">
        <v>3999</v>
      </c>
      <c r="H1305" t="s">
        <v>269</v>
      </c>
      <c r="I1305" t="s">
        <v>718</v>
      </c>
      <c r="J1305" t="s">
        <v>2798</v>
      </c>
      <c r="K1305">
        <v>62512</v>
      </c>
      <c r="L1305">
        <v>145.21</v>
      </c>
      <c r="M1305">
        <v>145.21</v>
      </c>
      <c r="N1305" t="s">
        <v>4002</v>
      </c>
      <c r="O1305" t="s">
        <v>453</v>
      </c>
      <c r="P1305" t="str">
        <f>TRIM(Table13_1[[#This Row],[Genre]])</f>
        <v>Musical</v>
      </c>
    </row>
    <row r="1306" spans="1:16" x14ac:dyDescent="0.3">
      <c r="A1306" t="s">
        <v>2795</v>
      </c>
      <c r="B1306" t="s">
        <v>2796</v>
      </c>
      <c r="C1306">
        <v>2002</v>
      </c>
      <c r="D1306">
        <v>2000</v>
      </c>
      <c r="E1306" t="s">
        <v>24</v>
      </c>
      <c r="F1306">
        <v>127</v>
      </c>
      <c r="G1306" t="s">
        <v>3999</v>
      </c>
      <c r="H1306" t="s">
        <v>269</v>
      </c>
      <c r="I1306" t="s">
        <v>718</v>
      </c>
      <c r="J1306" t="s">
        <v>2798</v>
      </c>
      <c r="K1306">
        <v>62512</v>
      </c>
      <c r="L1306">
        <v>145.21</v>
      </c>
      <c r="M1306">
        <v>145.21</v>
      </c>
      <c r="N1306" t="s">
        <v>4002</v>
      </c>
      <c r="O1306" t="s">
        <v>3989</v>
      </c>
      <c r="P1306" t="str">
        <f>TRIM(Table13_1[[#This Row],[Genre]])</f>
        <v>Sci-Fi</v>
      </c>
    </row>
    <row r="1307" spans="1:16" x14ac:dyDescent="0.3">
      <c r="A1307" t="s">
        <v>2799</v>
      </c>
      <c r="B1307" t="s">
        <v>2800</v>
      </c>
      <c r="C1307">
        <v>2015</v>
      </c>
      <c r="D1307">
        <v>2010</v>
      </c>
      <c r="E1307" t="s">
        <v>24</v>
      </c>
      <c r="F1307">
        <v>133</v>
      </c>
      <c r="G1307" t="s">
        <v>3999</v>
      </c>
      <c r="H1307" t="s">
        <v>2316</v>
      </c>
      <c r="I1307" t="s">
        <v>63</v>
      </c>
      <c r="J1307" t="s">
        <v>2801</v>
      </c>
      <c r="K1307">
        <v>1522649</v>
      </c>
      <c r="L1307">
        <v>44.22</v>
      </c>
      <c r="M1307">
        <v>44.22</v>
      </c>
      <c r="N1307" t="s">
        <v>4001</v>
      </c>
      <c r="O1307" t="s">
        <v>230</v>
      </c>
      <c r="P1307" t="str">
        <f>TRIM(Table13_1[[#This Row],[Genre]])</f>
        <v>Documentary</v>
      </c>
    </row>
    <row r="1308" spans="1:16" x14ac:dyDescent="0.3">
      <c r="A1308" t="s">
        <v>2799</v>
      </c>
      <c r="B1308" t="s">
        <v>2800</v>
      </c>
      <c r="C1308">
        <v>2015</v>
      </c>
      <c r="D1308">
        <v>2010</v>
      </c>
      <c r="E1308" t="s">
        <v>24</v>
      </c>
      <c r="F1308">
        <v>133</v>
      </c>
      <c r="G1308" t="s">
        <v>3999</v>
      </c>
      <c r="H1308" t="s">
        <v>2316</v>
      </c>
      <c r="I1308" t="s">
        <v>63</v>
      </c>
      <c r="J1308" t="s">
        <v>2801</v>
      </c>
      <c r="K1308">
        <v>1522649</v>
      </c>
      <c r="L1308">
        <v>44.22</v>
      </c>
      <c r="M1308">
        <v>44.22</v>
      </c>
      <c r="N1308" t="s">
        <v>4001</v>
      </c>
      <c r="O1308" t="s">
        <v>3979</v>
      </c>
      <c r="P1308" t="str">
        <f>TRIM(Table13_1[[#This Row],[Genre]])</f>
        <v>War</v>
      </c>
    </row>
    <row r="1309" spans="1:16" x14ac:dyDescent="0.3">
      <c r="A1309" t="s">
        <v>2802</v>
      </c>
      <c r="B1309" t="s">
        <v>2803</v>
      </c>
      <c r="C1309">
        <v>2004</v>
      </c>
      <c r="D1309">
        <v>2000</v>
      </c>
      <c r="E1309" t="s">
        <v>17</v>
      </c>
      <c r="F1309">
        <v>106</v>
      </c>
      <c r="G1309" t="s">
        <v>3997</v>
      </c>
      <c r="H1309" t="s">
        <v>2804</v>
      </c>
      <c r="I1309" t="s">
        <v>119</v>
      </c>
      <c r="J1309" t="s">
        <v>2805</v>
      </c>
      <c r="K1309">
        <v>27278</v>
      </c>
      <c r="L1309">
        <v>170.28</v>
      </c>
      <c r="M1309">
        <v>170.28</v>
      </c>
      <c r="N1309" t="s">
        <v>4002</v>
      </c>
      <c r="O1309" t="s">
        <v>72</v>
      </c>
      <c r="P1309" t="str">
        <f>TRIM(Table13_1[[#This Row],[Genre]])</f>
        <v>War</v>
      </c>
    </row>
    <row r="1310" spans="1:16" x14ac:dyDescent="0.3">
      <c r="A1310" t="s">
        <v>2806</v>
      </c>
      <c r="B1310" t="s">
        <v>2807</v>
      </c>
      <c r="C1310">
        <v>2023</v>
      </c>
      <c r="D1310">
        <v>2020</v>
      </c>
      <c r="E1310" t="s">
        <v>293</v>
      </c>
      <c r="F1310">
        <v>144</v>
      </c>
      <c r="G1310" t="s">
        <v>3999</v>
      </c>
      <c r="H1310" t="s">
        <v>634</v>
      </c>
      <c r="I1310" t="s">
        <v>518</v>
      </c>
      <c r="J1310" t="s">
        <v>2808</v>
      </c>
      <c r="K1310">
        <v>3587</v>
      </c>
      <c r="L1310">
        <v>220.6</v>
      </c>
      <c r="M1310">
        <v>220.6</v>
      </c>
      <c r="N1310" t="s">
        <v>3998</v>
      </c>
      <c r="O1310" t="s">
        <v>129</v>
      </c>
      <c r="P1310" t="str">
        <f>TRIM(Table13_1[[#This Row],[Genre]])</f>
        <v>Horror</v>
      </c>
    </row>
    <row r="1311" spans="1:16" x14ac:dyDescent="0.3">
      <c r="A1311" t="s">
        <v>2809</v>
      </c>
      <c r="B1311" t="s">
        <v>2810</v>
      </c>
      <c r="C1311">
        <v>2013</v>
      </c>
      <c r="D1311">
        <v>2010</v>
      </c>
      <c r="E1311" t="s">
        <v>17</v>
      </c>
      <c r="F1311">
        <v>103</v>
      </c>
      <c r="G1311" t="s">
        <v>3997</v>
      </c>
      <c r="H1311" t="s">
        <v>2812</v>
      </c>
      <c r="I1311" t="s">
        <v>221</v>
      </c>
      <c r="J1311" t="s">
        <v>2813</v>
      </c>
      <c r="K1311">
        <v>222255</v>
      </c>
      <c r="L1311">
        <v>197.9</v>
      </c>
      <c r="M1311">
        <v>197.9</v>
      </c>
      <c r="N1311" t="s">
        <v>4002</v>
      </c>
      <c r="O1311" t="s">
        <v>606</v>
      </c>
      <c r="P1311" t="str">
        <f>TRIM(Table13_1[[#This Row],[Genre]])</f>
        <v>Sci-Fi</v>
      </c>
    </row>
    <row r="1312" spans="1:16" x14ac:dyDescent="0.3">
      <c r="A1312" t="s">
        <v>2809</v>
      </c>
      <c r="B1312" t="s">
        <v>2810</v>
      </c>
      <c r="C1312">
        <v>2013</v>
      </c>
      <c r="D1312">
        <v>2010</v>
      </c>
      <c r="E1312" t="s">
        <v>17</v>
      </c>
      <c r="F1312">
        <v>103</v>
      </c>
      <c r="G1312" t="s">
        <v>3997</v>
      </c>
      <c r="H1312" t="s">
        <v>2812</v>
      </c>
      <c r="I1312" t="s">
        <v>221</v>
      </c>
      <c r="J1312" t="s">
        <v>2813</v>
      </c>
      <c r="K1312">
        <v>222255</v>
      </c>
      <c r="L1312">
        <v>197.9</v>
      </c>
      <c r="M1312">
        <v>197.9</v>
      </c>
      <c r="N1312" t="s">
        <v>4002</v>
      </c>
      <c r="O1312" t="s">
        <v>3988</v>
      </c>
      <c r="P1312" t="str">
        <f>TRIM(Table13_1[[#This Row],[Genre]])</f>
        <v>Drama</v>
      </c>
    </row>
    <row r="1313" spans="1:16" x14ac:dyDescent="0.3">
      <c r="A1313" t="s">
        <v>2814</v>
      </c>
      <c r="B1313" t="s">
        <v>2815</v>
      </c>
      <c r="C1313">
        <v>2019</v>
      </c>
      <c r="D1313">
        <v>2010</v>
      </c>
      <c r="E1313" t="s">
        <v>54</v>
      </c>
      <c r="F1313">
        <v>124</v>
      </c>
      <c r="G1313" t="s">
        <v>3999</v>
      </c>
      <c r="H1313" t="s">
        <v>62</v>
      </c>
      <c r="I1313" t="s">
        <v>63</v>
      </c>
      <c r="J1313" t="s">
        <v>2817</v>
      </c>
      <c r="K1313">
        <v>200924</v>
      </c>
      <c r="L1313">
        <v>342.49</v>
      </c>
      <c r="M1313">
        <v>342.49</v>
      </c>
      <c r="N1313" t="s">
        <v>3998</v>
      </c>
      <c r="O1313" t="s">
        <v>767</v>
      </c>
      <c r="P1313" t="str">
        <f>TRIM(Table13_1[[#This Row],[Genre]])</f>
        <v>Fantasy</v>
      </c>
    </row>
    <row r="1314" spans="1:16" x14ac:dyDescent="0.3">
      <c r="A1314" t="s">
        <v>2814</v>
      </c>
      <c r="B1314" t="s">
        <v>2815</v>
      </c>
      <c r="C1314">
        <v>2019</v>
      </c>
      <c r="D1314">
        <v>2010</v>
      </c>
      <c r="E1314" t="s">
        <v>54</v>
      </c>
      <c r="F1314">
        <v>124</v>
      </c>
      <c r="G1314" t="s">
        <v>3999</v>
      </c>
      <c r="H1314" t="s">
        <v>62</v>
      </c>
      <c r="I1314" t="s">
        <v>63</v>
      </c>
      <c r="J1314" t="s">
        <v>2817</v>
      </c>
      <c r="K1314">
        <v>200924</v>
      </c>
      <c r="L1314">
        <v>342.49</v>
      </c>
      <c r="M1314">
        <v>342.49</v>
      </c>
      <c r="N1314" t="s">
        <v>3998</v>
      </c>
      <c r="O1314" t="s">
        <v>3986</v>
      </c>
      <c r="P1314" t="str">
        <f>TRIM(Table13_1[[#This Row],[Genre]])</f>
        <v>Documentary</v>
      </c>
    </row>
    <row r="1315" spans="1:16" x14ac:dyDescent="0.3">
      <c r="A1315" t="s">
        <v>2818</v>
      </c>
      <c r="B1315" t="s">
        <v>2819</v>
      </c>
      <c r="C1315">
        <v>2017</v>
      </c>
      <c r="D1315">
        <v>2010</v>
      </c>
      <c r="E1315" t="s">
        <v>54</v>
      </c>
      <c r="F1315">
        <v>111</v>
      </c>
      <c r="G1315" t="s">
        <v>3997</v>
      </c>
      <c r="H1315" t="s">
        <v>2821</v>
      </c>
      <c r="I1315" t="s">
        <v>165</v>
      </c>
      <c r="J1315" t="s">
        <v>2822</v>
      </c>
      <c r="K1315">
        <v>93420</v>
      </c>
      <c r="M1315">
        <v>0</v>
      </c>
      <c r="N1315" t="s">
        <v>4001</v>
      </c>
      <c r="O1315" t="s">
        <v>606</v>
      </c>
      <c r="P1315" t="str">
        <f>TRIM(Table13_1[[#This Row],[Genre]])</f>
        <v>Sci-Fi</v>
      </c>
    </row>
    <row r="1316" spans="1:16" x14ac:dyDescent="0.3">
      <c r="A1316" t="s">
        <v>2818</v>
      </c>
      <c r="B1316" t="s">
        <v>2819</v>
      </c>
      <c r="C1316">
        <v>2017</v>
      </c>
      <c r="D1316">
        <v>2010</v>
      </c>
      <c r="E1316" t="s">
        <v>54</v>
      </c>
      <c r="F1316">
        <v>111</v>
      </c>
      <c r="G1316" t="s">
        <v>3997</v>
      </c>
      <c r="H1316" t="s">
        <v>2821</v>
      </c>
      <c r="I1316" t="s">
        <v>165</v>
      </c>
      <c r="J1316" t="s">
        <v>2822</v>
      </c>
      <c r="K1316">
        <v>93420</v>
      </c>
      <c r="M1316">
        <v>0</v>
      </c>
      <c r="N1316" t="s">
        <v>4001</v>
      </c>
      <c r="O1316" t="s">
        <v>3984</v>
      </c>
      <c r="P1316" t="str">
        <f>TRIM(Table13_1[[#This Row],[Genre]])</f>
        <v>Adventure</v>
      </c>
    </row>
    <row r="1317" spans="1:16" x14ac:dyDescent="0.3">
      <c r="A1317" t="s">
        <v>2823</v>
      </c>
      <c r="B1317" t="s">
        <v>2824</v>
      </c>
      <c r="C1317">
        <v>1993</v>
      </c>
      <c r="D1317">
        <v>1990</v>
      </c>
      <c r="E1317" t="s">
        <v>17</v>
      </c>
      <c r="F1317">
        <v>124</v>
      </c>
      <c r="G1317" t="s">
        <v>3999</v>
      </c>
      <c r="H1317" t="s">
        <v>250</v>
      </c>
      <c r="I1317" t="s">
        <v>483</v>
      </c>
      <c r="J1317" t="s">
        <v>2825</v>
      </c>
      <c r="K1317">
        <v>16734</v>
      </c>
      <c r="L1317">
        <v>94.55</v>
      </c>
      <c r="M1317">
        <v>94.55</v>
      </c>
      <c r="N1317" t="s">
        <v>4001</v>
      </c>
      <c r="O1317" t="s">
        <v>606</v>
      </c>
      <c r="P1317" t="str">
        <f>TRIM(Table13_1[[#This Row],[Genre]])</f>
        <v>Sci-Fi</v>
      </c>
    </row>
    <row r="1318" spans="1:16" x14ac:dyDescent="0.3">
      <c r="A1318" t="s">
        <v>2826</v>
      </c>
      <c r="B1318" t="s">
        <v>2827</v>
      </c>
      <c r="C1318">
        <v>2019</v>
      </c>
      <c r="D1318">
        <v>2010</v>
      </c>
      <c r="E1318" t="s">
        <v>17</v>
      </c>
      <c r="F1318">
        <v>114</v>
      </c>
      <c r="G1318" t="s">
        <v>3997</v>
      </c>
      <c r="H1318" t="s">
        <v>250</v>
      </c>
      <c r="I1318" t="s">
        <v>80</v>
      </c>
      <c r="J1318" t="s">
        <v>2828</v>
      </c>
      <c r="K1318">
        <v>144759</v>
      </c>
      <c r="M1318">
        <v>0</v>
      </c>
      <c r="N1318" t="s">
        <v>4001</v>
      </c>
      <c r="O1318" t="s">
        <v>606</v>
      </c>
      <c r="P1318" t="str">
        <f>TRIM(Table13_1[[#This Row],[Genre]])</f>
        <v>Sci-Fi</v>
      </c>
    </row>
    <row r="1319" spans="1:16" x14ac:dyDescent="0.3">
      <c r="A1319" t="s">
        <v>2829</v>
      </c>
      <c r="B1319" t="s">
        <v>2830</v>
      </c>
      <c r="C1319">
        <v>2017</v>
      </c>
      <c r="D1319">
        <v>2010</v>
      </c>
      <c r="E1319" t="s">
        <v>17</v>
      </c>
      <c r="F1319">
        <v>94</v>
      </c>
      <c r="G1319" t="s">
        <v>3997</v>
      </c>
      <c r="H1319" t="s">
        <v>2831</v>
      </c>
      <c r="I1319" t="s">
        <v>159</v>
      </c>
      <c r="J1319" t="s">
        <v>2832</v>
      </c>
      <c r="K1319">
        <v>78601</v>
      </c>
      <c r="L1319">
        <v>467.65</v>
      </c>
      <c r="M1319">
        <v>467.65</v>
      </c>
      <c r="N1319" t="s">
        <v>3998</v>
      </c>
      <c r="O1319" t="s">
        <v>37</v>
      </c>
      <c r="P1319" t="str">
        <f>TRIM(Table13_1[[#This Row],[Genre]])</f>
        <v>Biography</v>
      </c>
    </row>
    <row r="1320" spans="1:16" x14ac:dyDescent="0.3">
      <c r="A1320" t="s">
        <v>2833</v>
      </c>
      <c r="B1320" t="s">
        <v>2834</v>
      </c>
      <c r="C1320">
        <v>2005</v>
      </c>
      <c r="D1320">
        <v>2000</v>
      </c>
      <c r="E1320" t="s">
        <v>54</v>
      </c>
      <c r="F1320">
        <v>151</v>
      </c>
      <c r="G1320" t="s">
        <v>3999</v>
      </c>
      <c r="H1320" t="s">
        <v>431</v>
      </c>
      <c r="I1320" t="s">
        <v>92</v>
      </c>
      <c r="J1320" t="s">
        <v>2835</v>
      </c>
      <c r="K1320">
        <v>47750</v>
      </c>
      <c r="L1320">
        <v>295.29000000000002</v>
      </c>
      <c r="M1320">
        <v>295.29000000000002</v>
      </c>
      <c r="N1320" t="s">
        <v>3998</v>
      </c>
      <c r="O1320" t="s">
        <v>210</v>
      </c>
      <c r="P1320" t="str">
        <f>TRIM(Table13_1[[#This Row],[Genre]])</f>
        <v>Action</v>
      </c>
    </row>
    <row r="1321" spans="1:16" x14ac:dyDescent="0.3">
      <c r="A1321" t="s">
        <v>2836</v>
      </c>
      <c r="B1321" t="s">
        <v>2837</v>
      </c>
      <c r="C1321">
        <v>2023</v>
      </c>
      <c r="D1321">
        <v>2020</v>
      </c>
      <c r="E1321" t="s">
        <v>17</v>
      </c>
      <c r="F1321">
        <v>137</v>
      </c>
      <c r="G1321" t="s">
        <v>3999</v>
      </c>
      <c r="H1321" t="s">
        <v>269</v>
      </c>
      <c r="I1321" t="s">
        <v>92</v>
      </c>
      <c r="J1321" t="s">
        <v>2839</v>
      </c>
      <c r="K1321">
        <v>74621</v>
      </c>
      <c r="L1321">
        <v>253.13</v>
      </c>
      <c r="M1321">
        <v>253.13</v>
      </c>
      <c r="N1321" t="s">
        <v>3998</v>
      </c>
      <c r="O1321" t="s">
        <v>453</v>
      </c>
      <c r="P1321" t="str">
        <f>TRIM(Table13_1[[#This Row],[Genre]])</f>
        <v>Musical</v>
      </c>
    </row>
    <row r="1322" spans="1:16" x14ac:dyDescent="0.3">
      <c r="A1322" t="s">
        <v>2836</v>
      </c>
      <c r="B1322" t="s">
        <v>2837</v>
      </c>
      <c r="C1322">
        <v>2023</v>
      </c>
      <c r="D1322">
        <v>2020</v>
      </c>
      <c r="E1322" t="s">
        <v>17</v>
      </c>
      <c r="F1322">
        <v>137</v>
      </c>
      <c r="G1322" t="s">
        <v>3999</v>
      </c>
      <c r="H1322" t="s">
        <v>269</v>
      </c>
      <c r="I1322" t="s">
        <v>92</v>
      </c>
      <c r="J1322" t="s">
        <v>2839</v>
      </c>
      <c r="K1322">
        <v>74621</v>
      </c>
      <c r="L1322">
        <v>253.13</v>
      </c>
      <c r="M1322">
        <v>253.13</v>
      </c>
      <c r="N1322" t="s">
        <v>3998</v>
      </c>
      <c r="O1322" t="s">
        <v>3986</v>
      </c>
      <c r="P1322" t="str">
        <f>TRIM(Table13_1[[#This Row],[Genre]])</f>
        <v>Documentary</v>
      </c>
    </row>
    <row r="1323" spans="1:16" x14ac:dyDescent="0.3">
      <c r="A1323" t="s">
        <v>2836</v>
      </c>
      <c r="B1323" t="s">
        <v>2837</v>
      </c>
      <c r="C1323">
        <v>2023</v>
      </c>
      <c r="D1323">
        <v>2020</v>
      </c>
      <c r="E1323" t="s">
        <v>17</v>
      </c>
      <c r="F1323">
        <v>137</v>
      </c>
      <c r="G1323" t="s">
        <v>3999</v>
      </c>
      <c r="H1323" t="s">
        <v>269</v>
      </c>
      <c r="I1323" t="s">
        <v>92</v>
      </c>
      <c r="J1323" t="s">
        <v>2839</v>
      </c>
      <c r="K1323">
        <v>74621</v>
      </c>
      <c r="L1323">
        <v>253.13</v>
      </c>
      <c r="M1323">
        <v>253.13</v>
      </c>
      <c r="N1323" t="s">
        <v>3998</v>
      </c>
      <c r="O1323" t="s">
        <v>3992</v>
      </c>
      <c r="P1323" t="str">
        <f>TRIM(Table13_1[[#This Row],[Genre]])</f>
        <v>Biography</v>
      </c>
    </row>
    <row r="1324" spans="1:16" x14ac:dyDescent="0.3">
      <c r="A1324" t="s">
        <v>2840</v>
      </c>
      <c r="B1324" t="s">
        <v>2841</v>
      </c>
      <c r="C1324">
        <v>2019</v>
      </c>
      <c r="D1324">
        <v>2010</v>
      </c>
      <c r="E1324" t="s">
        <v>17</v>
      </c>
      <c r="F1324">
        <v>97</v>
      </c>
      <c r="G1324" t="s">
        <v>3997</v>
      </c>
      <c r="H1324" t="s">
        <v>38</v>
      </c>
      <c r="I1324" t="s">
        <v>315</v>
      </c>
      <c r="J1324" t="s">
        <v>2842</v>
      </c>
      <c r="K1324">
        <v>394637</v>
      </c>
      <c r="M1324">
        <v>0</v>
      </c>
      <c r="N1324" t="s">
        <v>4001</v>
      </c>
      <c r="O1324" t="s">
        <v>37</v>
      </c>
      <c r="P1324" t="str">
        <f>TRIM(Table13_1[[#This Row],[Genre]])</f>
        <v>Biography</v>
      </c>
    </row>
    <row r="1325" spans="1:16" x14ac:dyDescent="0.3">
      <c r="A1325" t="s">
        <v>2843</v>
      </c>
      <c r="B1325" t="s">
        <v>2844</v>
      </c>
      <c r="C1325">
        <v>1995</v>
      </c>
      <c r="D1325">
        <v>1990</v>
      </c>
      <c r="E1325" t="s">
        <v>54</v>
      </c>
      <c r="F1325">
        <v>106</v>
      </c>
      <c r="G1325" t="s">
        <v>3997</v>
      </c>
      <c r="H1325" t="s">
        <v>2845</v>
      </c>
      <c r="I1325" t="s">
        <v>113</v>
      </c>
      <c r="J1325" t="s">
        <v>2846</v>
      </c>
      <c r="K1325">
        <v>24622</v>
      </c>
      <c r="L1325">
        <v>249.96</v>
      </c>
      <c r="M1325">
        <v>249.96</v>
      </c>
      <c r="N1325" t="s">
        <v>3998</v>
      </c>
      <c r="O1325" t="s">
        <v>78</v>
      </c>
      <c r="P1325" t="str">
        <f>TRIM(Table13_1[[#This Row],[Genre]])</f>
        <v>Adventure</v>
      </c>
    </row>
    <row r="1326" spans="1:16" x14ac:dyDescent="0.3">
      <c r="A1326" t="s">
        <v>2843</v>
      </c>
      <c r="B1326" t="s">
        <v>2844</v>
      </c>
      <c r="C1326">
        <v>1995</v>
      </c>
      <c r="D1326">
        <v>1990</v>
      </c>
      <c r="E1326" t="s">
        <v>54</v>
      </c>
      <c r="F1326">
        <v>106</v>
      </c>
      <c r="G1326" t="s">
        <v>3997</v>
      </c>
      <c r="H1326" t="s">
        <v>2845</v>
      </c>
      <c r="I1326" t="s">
        <v>113</v>
      </c>
      <c r="J1326" t="s">
        <v>2846</v>
      </c>
      <c r="K1326">
        <v>24622</v>
      </c>
      <c r="L1326">
        <v>249.96</v>
      </c>
      <c r="M1326">
        <v>249.96</v>
      </c>
      <c r="N1326" t="s">
        <v>3998</v>
      </c>
      <c r="O1326" t="s">
        <v>3986</v>
      </c>
      <c r="P1326" t="str">
        <f>TRIM(Table13_1[[#This Row],[Genre]])</f>
        <v>Documentary</v>
      </c>
    </row>
    <row r="1327" spans="1:16" x14ac:dyDescent="0.3">
      <c r="A1327" t="s">
        <v>2847</v>
      </c>
      <c r="B1327" t="s">
        <v>2848</v>
      </c>
      <c r="C1327">
        <v>2004</v>
      </c>
      <c r="D1327">
        <v>2000</v>
      </c>
      <c r="E1327" t="s">
        <v>54</v>
      </c>
      <c r="F1327">
        <v>128</v>
      </c>
      <c r="G1327" t="s">
        <v>3999</v>
      </c>
      <c r="H1327" t="s">
        <v>2391</v>
      </c>
      <c r="I1327" t="s">
        <v>718</v>
      </c>
      <c r="J1327" t="s">
        <v>2850</v>
      </c>
      <c r="K1327">
        <v>58590</v>
      </c>
      <c r="M1327">
        <v>0</v>
      </c>
      <c r="N1327" t="s">
        <v>4001</v>
      </c>
      <c r="O1327" t="s">
        <v>235</v>
      </c>
      <c r="P1327" t="str">
        <f>TRIM(Table13_1[[#This Row],[Genre]])</f>
        <v>Drama</v>
      </c>
    </row>
    <row r="1328" spans="1:16" x14ac:dyDescent="0.3">
      <c r="A1328" t="s">
        <v>2847</v>
      </c>
      <c r="B1328" t="s">
        <v>2848</v>
      </c>
      <c r="C1328">
        <v>2004</v>
      </c>
      <c r="D1328">
        <v>2000</v>
      </c>
      <c r="E1328" t="s">
        <v>54</v>
      </c>
      <c r="F1328">
        <v>128</v>
      </c>
      <c r="G1328" t="s">
        <v>3999</v>
      </c>
      <c r="H1328" t="s">
        <v>2391</v>
      </c>
      <c r="I1328" t="s">
        <v>718</v>
      </c>
      <c r="J1328" t="s">
        <v>2850</v>
      </c>
      <c r="K1328">
        <v>58590</v>
      </c>
      <c r="M1328">
        <v>0</v>
      </c>
      <c r="N1328" t="s">
        <v>4001</v>
      </c>
      <c r="O1328" t="s">
        <v>3984</v>
      </c>
      <c r="P1328" t="str">
        <f>TRIM(Table13_1[[#This Row],[Genre]])</f>
        <v>Adventure</v>
      </c>
    </row>
    <row r="1329" spans="1:16" x14ac:dyDescent="0.3">
      <c r="A1329" t="s">
        <v>2847</v>
      </c>
      <c r="B1329" t="s">
        <v>2848</v>
      </c>
      <c r="C1329">
        <v>2004</v>
      </c>
      <c r="D1329">
        <v>2000</v>
      </c>
      <c r="E1329" t="s">
        <v>54</v>
      </c>
      <c r="F1329">
        <v>128</v>
      </c>
      <c r="G1329" t="s">
        <v>3999</v>
      </c>
      <c r="H1329" t="s">
        <v>2391</v>
      </c>
      <c r="I1329" t="s">
        <v>718</v>
      </c>
      <c r="J1329" t="s">
        <v>2850</v>
      </c>
      <c r="K1329">
        <v>58590</v>
      </c>
      <c r="M1329">
        <v>0</v>
      </c>
      <c r="N1329" t="s">
        <v>4001</v>
      </c>
      <c r="O1329" t="s">
        <v>3993</v>
      </c>
      <c r="P1329" t="str">
        <f>TRIM(Table13_1[[#This Row],[Genre]])</f>
        <v>Comedy</v>
      </c>
    </row>
    <row r="1330" spans="1:16" x14ac:dyDescent="0.3">
      <c r="A1330" t="s">
        <v>2851</v>
      </c>
      <c r="B1330" t="s">
        <v>2852</v>
      </c>
      <c r="C1330">
        <v>2009</v>
      </c>
      <c r="D1330">
        <v>2000</v>
      </c>
      <c r="E1330" t="s">
        <v>17</v>
      </c>
      <c r="F1330">
        <v>117</v>
      </c>
      <c r="G1330" t="s">
        <v>3997</v>
      </c>
      <c r="H1330" t="s">
        <v>250</v>
      </c>
      <c r="I1330" t="s">
        <v>57</v>
      </c>
      <c r="J1330" t="s">
        <v>2854</v>
      </c>
      <c r="K1330">
        <v>5474</v>
      </c>
      <c r="L1330">
        <v>82.59</v>
      </c>
      <c r="M1330">
        <v>82.59</v>
      </c>
      <c r="N1330" t="s">
        <v>4001</v>
      </c>
      <c r="O1330" t="s">
        <v>606</v>
      </c>
      <c r="P1330" t="str">
        <f>TRIM(Table13_1[[#This Row],[Genre]])</f>
        <v>Sci-Fi</v>
      </c>
    </row>
    <row r="1331" spans="1:16" x14ac:dyDescent="0.3">
      <c r="A1331" t="s">
        <v>2851</v>
      </c>
      <c r="B1331" t="s">
        <v>2852</v>
      </c>
      <c r="C1331">
        <v>2009</v>
      </c>
      <c r="D1331">
        <v>2000</v>
      </c>
      <c r="E1331" t="s">
        <v>17</v>
      </c>
      <c r="F1331">
        <v>117</v>
      </c>
      <c r="G1331" t="s">
        <v>3997</v>
      </c>
      <c r="H1331" t="s">
        <v>250</v>
      </c>
      <c r="I1331" t="s">
        <v>57</v>
      </c>
      <c r="J1331" t="s">
        <v>2854</v>
      </c>
      <c r="K1331">
        <v>5474</v>
      </c>
      <c r="L1331">
        <v>82.59</v>
      </c>
      <c r="M1331">
        <v>82.59</v>
      </c>
      <c r="N1331" t="s">
        <v>4001</v>
      </c>
      <c r="O1331" t="s">
        <v>3985</v>
      </c>
      <c r="P1331" t="str">
        <f>TRIM(Table13_1[[#This Row],[Genre]])</f>
        <v>Horror</v>
      </c>
    </row>
    <row r="1332" spans="1:16" x14ac:dyDescent="0.3">
      <c r="A1332" t="s">
        <v>2851</v>
      </c>
      <c r="B1332" t="s">
        <v>2852</v>
      </c>
      <c r="C1332">
        <v>2009</v>
      </c>
      <c r="D1332">
        <v>2000</v>
      </c>
      <c r="E1332" t="s">
        <v>17</v>
      </c>
      <c r="F1332">
        <v>117</v>
      </c>
      <c r="G1332" t="s">
        <v>3997</v>
      </c>
      <c r="H1332" t="s">
        <v>250</v>
      </c>
      <c r="I1332" t="s">
        <v>57</v>
      </c>
      <c r="J1332" t="s">
        <v>2854</v>
      </c>
      <c r="K1332">
        <v>5474</v>
      </c>
      <c r="L1332">
        <v>82.59</v>
      </c>
      <c r="M1332">
        <v>82.59</v>
      </c>
      <c r="N1332" t="s">
        <v>4001</v>
      </c>
      <c r="O1332" t="s">
        <v>3980</v>
      </c>
      <c r="P1332" t="str">
        <f>TRIM(Table13_1[[#This Row],[Genre]])</f>
        <v>Action</v>
      </c>
    </row>
    <row r="1333" spans="1:16" x14ac:dyDescent="0.3">
      <c r="A1333" t="s">
        <v>2855</v>
      </c>
      <c r="B1333" t="s">
        <v>2856</v>
      </c>
      <c r="C1333">
        <v>2024</v>
      </c>
      <c r="D1333">
        <v>2020</v>
      </c>
      <c r="E1333" t="s">
        <v>54</v>
      </c>
      <c r="F1333">
        <v>153</v>
      </c>
      <c r="G1333" t="s">
        <v>3999</v>
      </c>
      <c r="H1333" t="s">
        <v>2857</v>
      </c>
      <c r="I1333" t="s">
        <v>483</v>
      </c>
      <c r="J1333" t="s">
        <v>2858</v>
      </c>
      <c r="K1333">
        <v>24262</v>
      </c>
      <c r="L1333">
        <v>228.57</v>
      </c>
      <c r="M1333">
        <v>228.57</v>
      </c>
      <c r="N1333" t="s">
        <v>3998</v>
      </c>
      <c r="O1333" t="s">
        <v>72</v>
      </c>
      <c r="P1333" t="str">
        <f>TRIM(Table13_1[[#This Row],[Genre]])</f>
        <v>War</v>
      </c>
    </row>
    <row r="1334" spans="1:16" x14ac:dyDescent="0.3">
      <c r="A1334" t="s">
        <v>2855</v>
      </c>
      <c r="B1334" t="s">
        <v>2856</v>
      </c>
      <c r="C1334">
        <v>2024</v>
      </c>
      <c r="D1334">
        <v>2020</v>
      </c>
      <c r="E1334" t="s">
        <v>54</v>
      </c>
      <c r="F1334">
        <v>153</v>
      </c>
      <c r="G1334" t="s">
        <v>3999</v>
      </c>
      <c r="H1334" t="s">
        <v>2857</v>
      </c>
      <c r="I1334" t="s">
        <v>483</v>
      </c>
      <c r="J1334" t="s">
        <v>2858</v>
      </c>
      <c r="K1334">
        <v>24262</v>
      </c>
      <c r="L1334">
        <v>228.57</v>
      </c>
      <c r="M1334">
        <v>228.57</v>
      </c>
      <c r="N1334" t="s">
        <v>3998</v>
      </c>
      <c r="O1334" t="s">
        <v>3992</v>
      </c>
      <c r="P1334" t="str">
        <f>TRIM(Table13_1[[#This Row],[Genre]])</f>
        <v>Biography</v>
      </c>
    </row>
    <row r="1335" spans="1:16" x14ac:dyDescent="0.3">
      <c r="A1335" t="s">
        <v>2859</v>
      </c>
      <c r="B1335" t="s">
        <v>2860</v>
      </c>
      <c r="C1335">
        <v>2006</v>
      </c>
      <c r="D1335">
        <v>2000</v>
      </c>
      <c r="E1335" t="s">
        <v>17</v>
      </c>
      <c r="F1335">
        <v>100</v>
      </c>
      <c r="G1335" t="s">
        <v>3997</v>
      </c>
      <c r="H1335" t="s">
        <v>269</v>
      </c>
      <c r="I1335" t="s">
        <v>547</v>
      </c>
      <c r="J1335" t="s">
        <v>2862</v>
      </c>
      <c r="K1335">
        <v>119741</v>
      </c>
      <c r="L1335">
        <v>155.43</v>
      </c>
      <c r="M1335">
        <v>155.43</v>
      </c>
      <c r="N1335" t="s">
        <v>4002</v>
      </c>
      <c r="O1335" t="s">
        <v>453</v>
      </c>
      <c r="P1335" t="str">
        <f>TRIM(Table13_1[[#This Row],[Genre]])</f>
        <v>Musical</v>
      </c>
    </row>
    <row r="1336" spans="1:16" x14ac:dyDescent="0.3">
      <c r="A1336" t="s">
        <v>2859</v>
      </c>
      <c r="B1336" t="s">
        <v>2860</v>
      </c>
      <c r="C1336">
        <v>2006</v>
      </c>
      <c r="D1336">
        <v>2000</v>
      </c>
      <c r="E1336" t="s">
        <v>17</v>
      </c>
      <c r="F1336">
        <v>100</v>
      </c>
      <c r="G1336" t="s">
        <v>3997</v>
      </c>
      <c r="H1336" t="s">
        <v>269</v>
      </c>
      <c r="I1336" t="s">
        <v>547</v>
      </c>
      <c r="J1336" t="s">
        <v>2862</v>
      </c>
      <c r="K1336">
        <v>119741</v>
      </c>
      <c r="L1336">
        <v>155.43</v>
      </c>
      <c r="M1336">
        <v>155.43</v>
      </c>
      <c r="N1336" t="s">
        <v>4002</v>
      </c>
      <c r="O1336" t="s">
        <v>3990</v>
      </c>
      <c r="P1336" t="str">
        <f>TRIM(Table13_1[[#This Row],[Genre]])</f>
        <v>Western</v>
      </c>
    </row>
    <row r="1337" spans="1:16" x14ac:dyDescent="0.3">
      <c r="A1337" t="s">
        <v>2859</v>
      </c>
      <c r="B1337" t="s">
        <v>2860</v>
      </c>
      <c r="C1337">
        <v>2006</v>
      </c>
      <c r="D1337">
        <v>2000</v>
      </c>
      <c r="E1337" t="s">
        <v>17</v>
      </c>
      <c r="F1337">
        <v>100</v>
      </c>
      <c r="G1337" t="s">
        <v>3997</v>
      </c>
      <c r="H1337" t="s">
        <v>269</v>
      </c>
      <c r="I1337" t="s">
        <v>547</v>
      </c>
      <c r="J1337" t="s">
        <v>2862</v>
      </c>
      <c r="K1337">
        <v>119741</v>
      </c>
      <c r="L1337">
        <v>155.43</v>
      </c>
      <c r="M1337">
        <v>155.43</v>
      </c>
      <c r="N1337" t="s">
        <v>4002</v>
      </c>
      <c r="O1337" t="s">
        <v>3979</v>
      </c>
      <c r="P1337" t="str">
        <f>TRIM(Table13_1[[#This Row],[Genre]])</f>
        <v>War</v>
      </c>
    </row>
    <row r="1338" spans="1:16" x14ac:dyDescent="0.3">
      <c r="A1338" t="s">
        <v>2863</v>
      </c>
      <c r="B1338" t="s">
        <v>2864</v>
      </c>
      <c r="C1338">
        <v>1988</v>
      </c>
      <c r="D1338">
        <v>1980</v>
      </c>
      <c r="E1338" t="s">
        <v>17</v>
      </c>
      <c r="F1338">
        <v>111</v>
      </c>
      <c r="G1338" t="s">
        <v>3997</v>
      </c>
      <c r="H1338" t="s">
        <v>1363</v>
      </c>
      <c r="I1338" t="s">
        <v>103</v>
      </c>
      <c r="J1338" t="s">
        <v>2865</v>
      </c>
      <c r="K1338">
        <v>18775</v>
      </c>
      <c r="L1338">
        <v>82.54</v>
      </c>
      <c r="M1338">
        <v>82.54</v>
      </c>
      <c r="N1338" t="s">
        <v>4001</v>
      </c>
      <c r="O1338" t="s">
        <v>43</v>
      </c>
      <c r="P1338" t="str">
        <f>TRIM(Table13_1[[#This Row],[Genre]])</f>
        <v>Mystery</v>
      </c>
    </row>
    <row r="1339" spans="1:16" x14ac:dyDescent="0.3">
      <c r="A1339" t="s">
        <v>2866</v>
      </c>
      <c r="B1339" t="s">
        <v>2867</v>
      </c>
      <c r="C1339">
        <v>1983</v>
      </c>
      <c r="D1339">
        <v>1980</v>
      </c>
      <c r="E1339" t="s">
        <v>17</v>
      </c>
      <c r="F1339">
        <v>144</v>
      </c>
      <c r="G1339" t="s">
        <v>3999</v>
      </c>
      <c r="H1339" t="s">
        <v>2868</v>
      </c>
      <c r="I1339" t="s">
        <v>191</v>
      </c>
      <c r="J1339" t="s">
        <v>2869</v>
      </c>
      <c r="K1339">
        <v>1689</v>
      </c>
      <c r="L1339">
        <v>103.72</v>
      </c>
      <c r="M1339">
        <v>103.72</v>
      </c>
      <c r="N1339" t="s">
        <v>4002</v>
      </c>
      <c r="O1339" t="s">
        <v>375</v>
      </c>
      <c r="P1339" t="str">
        <f>TRIM(Table13_1[[#This Row],[Genre]])</f>
        <v>Family</v>
      </c>
    </row>
    <row r="1340" spans="1:16" x14ac:dyDescent="0.3">
      <c r="A1340" t="s">
        <v>2866</v>
      </c>
      <c r="B1340" t="s">
        <v>2867</v>
      </c>
      <c r="C1340">
        <v>1983</v>
      </c>
      <c r="D1340">
        <v>1980</v>
      </c>
      <c r="E1340" t="s">
        <v>17</v>
      </c>
      <c r="F1340">
        <v>144</v>
      </c>
      <c r="G1340" t="s">
        <v>3999</v>
      </c>
      <c r="H1340" t="s">
        <v>2868</v>
      </c>
      <c r="I1340" t="s">
        <v>191</v>
      </c>
      <c r="J1340" t="s">
        <v>2869</v>
      </c>
      <c r="K1340">
        <v>1689</v>
      </c>
      <c r="L1340">
        <v>103.72</v>
      </c>
      <c r="M1340">
        <v>103.72</v>
      </c>
      <c r="N1340" t="s">
        <v>4002</v>
      </c>
      <c r="O1340" t="s">
        <v>3985</v>
      </c>
      <c r="P1340" t="str">
        <f>TRIM(Table13_1[[#This Row],[Genre]])</f>
        <v>Horror</v>
      </c>
    </row>
    <row r="1341" spans="1:16" x14ac:dyDescent="0.3">
      <c r="A1341" t="s">
        <v>2870</v>
      </c>
      <c r="B1341" t="s">
        <v>2871</v>
      </c>
      <c r="C1341">
        <v>1984</v>
      </c>
      <c r="D1341">
        <v>1980</v>
      </c>
      <c r="E1341" t="s">
        <v>24</v>
      </c>
      <c r="F1341">
        <v>127</v>
      </c>
      <c r="G1341" t="s">
        <v>3999</v>
      </c>
      <c r="H1341" t="s">
        <v>2873</v>
      </c>
      <c r="I1341" t="s">
        <v>92</v>
      </c>
      <c r="J1341" t="s">
        <v>2874</v>
      </c>
      <c r="K1341">
        <v>55483</v>
      </c>
      <c r="M1341">
        <v>0</v>
      </c>
      <c r="N1341" t="s">
        <v>4001</v>
      </c>
      <c r="O1341" t="s">
        <v>277</v>
      </c>
      <c r="P1341" t="str">
        <f>TRIM(Table13_1[[#This Row],[Genre]])</f>
        <v>Thriller</v>
      </c>
    </row>
    <row r="1342" spans="1:16" x14ac:dyDescent="0.3">
      <c r="A1342" t="s">
        <v>2870</v>
      </c>
      <c r="B1342" t="s">
        <v>2871</v>
      </c>
      <c r="C1342">
        <v>1984</v>
      </c>
      <c r="D1342">
        <v>1980</v>
      </c>
      <c r="E1342" t="s">
        <v>24</v>
      </c>
      <c r="F1342">
        <v>127</v>
      </c>
      <c r="G1342" t="s">
        <v>3999</v>
      </c>
      <c r="H1342" t="s">
        <v>2873</v>
      </c>
      <c r="I1342" t="s">
        <v>92</v>
      </c>
      <c r="J1342" t="s">
        <v>2874</v>
      </c>
      <c r="K1342">
        <v>55483</v>
      </c>
      <c r="M1342">
        <v>0</v>
      </c>
      <c r="N1342" t="s">
        <v>4001</v>
      </c>
      <c r="O1342" t="s">
        <v>3985</v>
      </c>
      <c r="P1342" t="str">
        <f>TRIM(Table13_1[[#This Row],[Genre]])</f>
        <v>Horror</v>
      </c>
    </row>
    <row r="1343" spans="1:16" x14ac:dyDescent="0.3">
      <c r="A1343" t="s">
        <v>2875</v>
      </c>
      <c r="B1343" t="s">
        <v>2876</v>
      </c>
      <c r="C1343">
        <v>2012</v>
      </c>
      <c r="D1343">
        <v>2010</v>
      </c>
      <c r="E1343" t="s">
        <v>24</v>
      </c>
      <c r="F1343">
        <v>82</v>
      </c>
      <c r="G1343" t="s">
        <v>4000</v>
      </c>
      <c r="H1343" t="s">
        <v>634</v>
      </c>
      <c r="I1343" t="s">
        <v>50</v>
      </c>
      <c r="J1343" t="s">
        <v>2878</v>
      </c>
      <c r="K1343">
        <v>1578</v>
      </c>
      <c r="L1343">
        <v>420.67</v>
      </c>
      <c r="M1343">
        <v>420.67</v>
      </c>
      <c r="N1343" t="s">
        <v>3998</v>
      </c>
      <c r="O1343" t="s">
        <v>129</v>
      </c>
      <c r="P1343" t="str">
        <f>TRIM(Table13_1[[#This Row],[Genre]])</f>
        <v>Horror</v>
      </c>
    </row>
    <row r="1344" spans="1:16" x14ac:dyDescent="0.3">
      <c r="A1344" t="s">
        <v>2875</v>
      </c>
      <c r="B1344" t="s">
        <v>2876</v>
      </c>
      <c r="C1344">
        <v>2012</v>
      </c>
      <c r="D1344">
        <v>2010</v>
      </c>
      <c r="E1344" t="s">
        <v>24</v>
      </c>
      <c r="F1344">
        <v>82</v>
      </c>
      <c r="G1344" t="s">
        <v>4000</v>
      </c>
      <c r="H1344" t="s">
        <v>634</v>
      </c>
      <c r="I1344" t="s">
        <v>50</v>
      </c>
      <c r="J1344" t="s">
        <v>2878</v>
      </c>
      <c r="K1344">
        <v>1578</v>
      </c>
      <c r="L1344">
        <v>420.67</v>
      </c>
      <c r="M1344">
        <v>420.67</v>
      </c>
      <c r="N1344" t="s">
        <v>3998</v>
      </c>
      <c r="O1344" t="s">
        <v>3982</v>
      </c>
      <c r="P1344" t="str">
        <f>TRIM(Table13_1[[#This Row],[Genre]])</f>
        <v>Family</v>
      </c>
    </row>
    <row r="1345" spans="1:16" x14ac:dyDescent="0.3">
      <c r="A1345" t="s">
        <v>2879</v>
      </c>
      <c r="B1345" t="s">
        <v>2880</v>
      </c>
      <c r="C1345">
        <v>2015</v>
      </c>
      <c r="D1345">
        <v>2010</v>
      </c>
      <c r="E1345" t="s">
        <v>17</v>
      </c>
      <c r="F1345">
        <v>122</v>
      </c>
      <c r="G1345" t="s">
        <v>3999</v>
      </c>
      <c r="H1345" t="s">
        <v>38</v>
      </c>
      <c r="I1345" t="s">
        <v>326</v>
      </c>
      <c r="J1345" t="s">
        <v>2881</v>
      </c>
      <c r="K1345">
        <v>71929</v>
      </c>
      <c r="L1345">
        <v>132.94</v>
      </c>
      <c r="M1345">
        <v>132.94</v>
      </c>
      <c r="N1345" t="s">
        <v>4002</v>
      </c>
      <c r="O1345" t="s">
        <v>37</v>
      </c>
      <c r="P1345" t="str">
        <f>TRIM(Table13_1[[#This Row],[Genre]])</f>
        <v>Biography</v>
      </c>
    </row>
    <row r="1346" spans="1:16" x14ac:dyDescent="0.3">
      <c r="A1346" t="s">
        <v>2879</v>
      </c>
      <c r="B1346" t="s">
        <v>2880</v>
      </c>
      <c r="C1346">
        <v>2015</v>
      </c>
      <c r="D1346">
        <v>2010</v>
      </c>
      <c r="E1346" t="s">
        <v>17</v>
      </c>
      <c r="F1346">
        <v>122</v>
      </c>
      <c r="G1346" t="s">
        <v>3999</v>
      </c>
      <c r="H1346" t="s">
        <v>38</v>
      </c>
      <c r="I1346" t="s">
        <v>326</v>
      </c>
      <c r="J1346" t="s">
        <v>2881</v>
      </c>
      <c r="K1346">
        <v>71929</v>
      </c>
      <c r="L1346">
        <v>132.94</v>
      </c>
      <c r="M1346">
        <v>132.94</v>
      </c>
      <c r="N1346" t="s">
        <v>4002</v>
      </c>
      <c r="O1346" t="s">
        <v>3983</v>
      </c>
      <c r="P1346" t="str">
        <f>TRIM(Table13_1[[#This Row],[Genre]])</f>
        <v>Crime</v>
      </c>
    </row>
    <row r="1347" spans="1:16" x14ac:dyDescent="0.3">
      <c r="A1347" t="s">
        <v>2882</v>
      </c>
      <c r="B1347" t="s">
        <v>2883</v>
      </c>
      <c r="C1347">
        <v>2021</v>
      </c>
      <c r="D1347">
        <v>2020</v>
      </c>
      <c r="E1347" t="s">
        <v>24</v>
      </c>
      <c r="F1347">
        <v>104</v>
      </c>
      <c r="G1347" t="s">
        <v>3997</v>
      </c>
      <c r="H1347" t="s">
        <v>85</v>
      </c>
      <c r="I1347" t="s">
        <v>92</v>
      </c>
      <c r="J1347" t="s">
        <v>2884</v>
      </c>
      <c r="K1347">
        <v>335262</v>
      </c>
      <c r="L1347">
        <v>488.94</v>
      </c>
      <c r="M1347">
        <v>488.94</v>
      </c>
      <c r="N1347" t="s">
        <v>3998</v>
      </c>
      <c r="O1347" t="s">
        <v>767</v>
      </c>
      <c r="P1347" t="str">
        <f>TRIM(Table13_1[[#This Row],[Genre]])</f>
        <v>Fantasy</v>
      </c>
    </row>
    <row r="1348" spans="1:16" x14ac:dyDescent="0.3">
      <c r="A1348" t="s">
        <v>2885</v>
      </c>
      <c r="B1348" t="s">
        <v>2886</v>
      </c>
      <c r="C1348">
        <v>2003</v>
      </c>
      <c r="D1348">
        <v>2000</v>
      </c>
      <c r="E1348" t="s">
        <v>293</v>
      </c>
      <c r="F1348">
        <v>137</v>
      </c>
      <c r="G1348" t="s">
        <v>3999</v>
      </c>
      <c r="H1348" t="s">
        <v>2887</v>
      </c>
      <c r="I1348" t="s">
        <v>326</v>
      </c>
      <c r="J1348" t="s">
        <v>2888</v>
      </c>
      <c r="K1348">
        <v>1204</v>
      </c>
      <c r="M1348">
        <v>0</v>
      </c>
      <c r="N1348" t="s">
        <v>4001</v>
      </c>
      <c r="O1348" t="s">
        <v>129</v>
      </c>
      <c r="P1348" t="str">
        <f>TRIM(Table13_1[[#This Row],[Genre]])</f>
        <v>Horror</v>
      </c>
    </row>
    <row r="1349" spans="1:16" x14ac:dyDescent="0.3">
      <c r="A1349" t="s">
        <v>2889</v>
      </c>
      <c r="B1349" t="s">
        <v>2890</v>
      </c>
      <c r="C1349">
        <v>2016</v>
      </c>
      <c r="D1349">
        <v>2010</v>
      </c>
      <c r="E1349" t="s">
        <v>17</v>
      </c>
      <c r="F1349">
        <v>150</v>
      </c>
      <c r="G1349" t="s">
        <v>3999</v>
      </c>
      <c r="H1349" t="s">
        <v>2891</v>
      </c>
      <c r="I1349" t="s">
        <v>251</v>
      </c>
      <c r="J1349" t="s">
        <v>2892</v>
      </c>
      <c r="K1349">
        <v>11165</v>
      </c>
      <c r="M1349">
        <v>0</v>
      </c>
      <c r="N1349" t="s">
        <v>4001</v>
      </c>
      <c r="O1349" t="s">
        <v>230</v>
      </c>
      <c r="P1349" t="str">
        <f>TRIM(Table13_1[[#This Row],[Genre]])</f>
        <v>Documentary</v>
      </c>
    </row>
    <row r="1350" spans="1:16" x14ac:dyDescent="0.3">
      <c r="A1350" t="s">
        <v>2893</v>
      </c>
      <c r="B1350" t="s">
        <v>2894</v>
      </c>
      <c r="C1350">
        <v>2013</v>
      </c>
      <c r="D1350">
        <v>2010</v>
      </c>
      <c r="E1350" t="s">
        <v>54</v>
      </c>
      <c r="F1350">
        <v>97</v>
      </c>
      <c r="G1350" t="s">
        <v>3997</v>
      </c>
      <c r="H1350" t="s">
        <v>2896</v>
      </c>
      <c r="I1350" t="s">
        <v>27</v>
      </c>
      <c r="J1350" t="s">
        <v>2897</v>
      </c>
      <c r="K1350">
        <v>124749</v>
      </c>
      <c r="M1350">
        <v>0</v>
      </c>
      <c r="N1350" t="s">
        <v>4001</v>
      </c>
      <c r="O1350" t="s">
        <v>43</v>
      </c>
      <c r="P1350" t="str">
        <f>TRIM(Table13_1[[#This Row],[Genre]])</f>
        <v>Mystery</v>
      </c>
    </row>
    <row r="1351" spans="1:16" x14ac:dyDescent="0.3">
      <c r="A1351" t="s">
        <v>2893</v>
      </c>
      <c r="B1351" t="s">
        <v>2894</v>
      </c>
      <c r="C1351">
        <v>2013</v>
      </c>
      <c r="D1351">
        <v>2010</v>
      </c>
      <c r="E1351" t="s">
        <v>54</v>
      </c>
      <c r="F1351">
        <v>97</v>
      </c>
      <c r="G1351" t="s">
        <v>3997</v>
      </c>
      <c r="H1351" t="s">
        <v>2896</v>
      </c>
      <c r="I1351" t="s">
        <v>27</v>
      </c>
      <c r="J1351" t="s">
        <v>2897</v>
      </c>
      <c r="K1351">
        <v>124749</v>
      </c>
      <c r="M1351">
        <v>0</v>
      </c>
      <c r="N1351" t="s">
        <v>4001</v>
      </c>
      <c r="O1351" t="s">
        <v>3990</v>
      </c>
      <c r="P1351" t="str">
        <f>TRIM(Table13_1[[#This Row],[Genre]])</f>
        <v>Western</v>
      </c>
    </row>
    <row r="1352" spans="1:16" x14ac:dyDescent="0.3">
      <c r="A1352" t="s">
        <v>2893</v>
      </c>
      <c r="B1352" t="s">
        <v>2894</v>
      </c>
      <c r="C1352">
        <v>2013</v>
      </c>
      <c r="D1352">
        <v>2010</v>
      </c>
      <c r="E1352" t="s">
        <v>54</v>
      </c>
      <c r="F1352">
        <v>97</v>
      </c>
      <c r="G1352" t="s">
        <v>3997</v>
      </c>
      <c r="H1352" t="s">
        <v>2896</v>
      </c>
      <c r="I1352" t="s">
        <v>27</v>
      </c>
      <c r="J1352" t="s">
        <v>2897</v>
      </c>
      <c r="K1352">
        <v>124749</v>
      </c>
      <c r="M1352">
        <v>0</v>
      </c>
      <c r="N1352" t="s">
        <v>4001</v>
      </c>
      <c r="O1352" t="s">
        <v>3989</v>
      </c>
      <c r="P1352" t="str">
        <f>TRIM(Table13_1[[#This Row],[Genre]])</f>
        <v>Sci-Fi</v>
      </c>
    </row>
    <row r="1353" spans="1:16" x14ac:dyDescent="0.3">
      <c r="A1353" t="s">
        <v>2898</v>
      </c>
      <c r="B1353" t="s">
        <v>2899</v>
      </c>
      <c r="C1353">
        <v>2020</v>
      </c>
      <c r="D1353">
        <v>2020</v>
      </c>
      <c r="E1353" t="s">
        <v>293</v>
      </c>
      <c r="F1353">
        <v>125</v>
      </c>
      <c r="G1353" t="s">
        <v>3999</v>
      </c>
      <c r="H1353" t="s">
        <v>2900</v>
      </c>
      <c r="I1353" t="s">
        <v>718</v>
      </c>
      <c r="J1353" t="s">
        <v>2901</v>
      </c>
      <c r="K1353">
        <v>1543</v>
      </c>
      <c r="L1353">
        <v>447.43</v>
      </c>
      <c r="M1353">
        <v>447.43</v>
      </c>
      <c r="N1353" t="s">
        <v>3998</v>
      </c>
      <c r="O1353" t="s">
        <v>868</v>
      </c>
      <c r="P1353" t="str">
        <f>TRIM(Table13_1[[#This Row],[Genre]])</f>
        <v>Western</v>
      </c>
    </row>
    <row r="1354" spans="1:16" x14ac:dyDescent="0.3">
      <c r="A1354" t="s">
        <v>2898</v>
      </c>
      <c r="B1354" t="s">
        <v>2899</v>
      </c>
      <c r="C1354">
        <v>2020</v>
      </c>
      <c r="D1354">
        <v>2020</v>
      </c>
      <c r="E1354" t="s">
        <v>293</v>
      </c>
      <c r="F1354">
        <v>125</v>
      </c>
      <c r="G1354" t="s">
        <v>3999</v>
      </c>
      <c r="H1354" t="s">
        <v>2900</v>
      </c>
      <c r="I1354" t="s">
        <v>718</v>
      </c>
      <c r="J1354" t="s">
        <v>2901</v>
      </c>
      <c r="K1354">
        <v>1543</v>
      </c>
      <c r="L1354">
        <v>447.43</v>
      </c>
      <c r="M1354">
        <v>447.43</v>
      </c>
      <c r="N1354" t="s">
        <v>3998</v>
      </c>
      <c r="O1354" t="s">
        <v>3987</v>
      </c>
      <c r="P1354" t="str">
        <f>TRIM(Table13_1[[#This Row],[Genre]])</f>
        <v>Fantasy</v>
      </c>
    </row>
    <row r="1355" spans="1:16" x14ac:dyDescent="0.3">
      <c r="A1355" t="s">
        <v>2902</v>
      </c>
      <c r="B1355" t="s">
        <v>2903</v>
      </c>
      <c r="C1355">
        <v>2001</v>
      </c>
      <c r="D1355">
        <v>2000</v>
      </c>
      <c r="E1355" t="s">
        <v>54</v>
      </c>
      <c r="F1355">
        <v>135</v>
      </c>
      <c r="G1355" t="s">
        <v>3999</v>
      </c>
      <c r="H1355" t="s">
        <v>226</v>
      </c>
      <c r="I1355" t="s">
        <v>92</v>
      </c>
      <c r="J1355" t="s">
        <v>2904</v>
      </c>
      <c r="K1355">
        <v>1228</v>
      </c>
      <c r="L1355">
        <v>79.349999999999994</v>
      </c>
      <c r="M1355">
        <v>79.349999999999994</v>
      </c>
      <c r="N1355" t="s">
        <v>4001</v>
      </c>
      <c r="O1355" t="s">
        <v>1044</v>
      </c>
      <c r="P1355" t="str">
        <f>TRIM(Table13_1[[#This Row],[Genre]])</f>
        <v>Comedy</v>
      </c>
    </row>
    <row r="1356" spans="1:16" x14ac:dyDescent="0.3">
      <c r="A1356" t="s">
        <v>2905</v>
      </c>
      <c r="B1356" t="s">
        <v>2906</v>
      </c>
      <c r="C1356">
        <v>2020</v>
      </c>
      <c r="D1356">
        <v>2020</v>
      </c>
      <c r="E1356" t="s">
        <v>17</v>
      </c>
      <c r="F1356">
        <v>141</v>
      </c>
      <c r="G1356" t="s">
        <v>3999</v>
      </c>
      <c r="H1356" t="s">
        <v>2908</v>
      </c>
      <c r="I1356" t="s">
        <v>80</v>
      </c>
      <c r="J1356" t="s">
        <v>2909</v>
      </c>
      <c r="K1356">
        <v>495846</v>
      </c>
      <c r="L1356">
        <v>483.91</v>
      </c>
      <c r="M1356">
        <v>483.91</v>
      </c>
      <c r="N1356" t="s">
        <v>3998</v>
      </c>
      <c r="O1356" t="s">
        <v>78</v>
      </c>
      <c r="P1356" t="str">
        <f>TRIM(Table13_1[[#This Row],[Genre]])</f>
        <v>Adventure</v>
      </c>
    </row>
    <row r="1357" spans="1:16" x14ac:dyDescent="0.3">
      <c r="A1357" t="s">
        <v>2905</v>
      </c>
      <c r="B1357" t="s">
        <v>2906</v>
      </c>
      <c r="C1357">
        <v>2020</v>
      </c>
      <c r="D1357">
        <v>2020</v>
      </c>
      <c r="E1357" t="s">
        <v>17</v>
      </c>
      <c r="F1357">
        <v>141</v>
      </c>
      <c r="G1357" t="s">
        <v>3999</v>
      </c>
      <c r="H1357" t="s">
        <v>2908</v>
      </c>
      <c r="I1357" t="s">
        <v>80</v>
      </c>
      <c r="J1357" t="s">
        <v>2909</v>
      </c>
      <c r="K1357">
        <v>495846</v>
      </c>
      <c r="L1357">
        <v>483.91</v>
      </c>
      <c r="M1357">
        <v>483.91</v>
      </c>
      <c r="N1357" t="s">
        <v>3998</v>
      </c>
      <c r="O1357" t="s">
        <v>3985</v>
      </c>
      <c r="P1357" t="str">
        <f>TRIM(Table13_1[[#This Row],[Genre]])</f>
        <v>Horror</v>
      </c>
    </row>
    <row r="1358" spans="1:16" x14ac:dyDescent="0.3">
      <c r="A1358" t="s">
        <v>2905</v>
      </c>
      <c r="B1358" t="s">
        <v>2906</v>
      </c>
      <c r="C1358">
        <v>2020</v>
      </c>
      <c r="D1358">
        <v>2020</v>
      </c>
      <c r="E1358" t="s">
        <v>17</v>
      </c>
      <c r="F1358">
        <v>141</v>
      </c>
      <c r="G1358" t="s">
        <v>3999</v>
      </c>
      <c r="H1358" t="s">
        <v>2908</v>
      </c>
      <c r="I1358" t="s">
        <v>80</v>
      </c>
      <c r="J1358" t="s">
        <v>2909</v>
      </c>
      <c r="K1358">
        <v>495846</v>
      </c>
      <c r="L1358">
        <v>483.91</v>
      </c>
      <c r="M1358">
        <v>483.91</v>
      </c>
      <c r="N1358" t="s">
        <v>3998</v>
      </c>
      <c r="O1358" t="s">
        <v>3981</v>
      </c>
      <c r="P1358" t="str">
        <f>TRIM(Table13_1[[#This Row],[Genre]])</f>
        <v>Romance</v>
      </c>
    </row>
    <row r="1359" spans="1:16" x14ac:dyDescent="0.3">
      <c r="A1359" t="s">
        <v>2910</v>
      </c>
      <c r="B1359" t="s">
        <v>2911</v>
      </c>
      <c r="C1359">
        <v>2024</v>
      </c>
      <c r="D1359">
        <v>2020</v>
      </c>
      <c r="E1359" t="s">
        <v>17</v>
      </c>
      <c r="F1359">
        <v>140</v>
      </c>
      <c r="G1359" t="s">
        <v>3999</v>
      </c>
      <c r="H1359" t="s">
        <v>164</v>
      </c>
      <c r="I1359" t="s">
        <v>518</v>
      </c>
      <c r="J1359" t="s">
        <v>2912</v>
      </c>
      <c r="K1359">
        <v>926356</v>
      </c>
      <c r="M1359">
        <v>0</v>
      </c>
      <c r="N1359" t="s">
        <v>4001</v>
      </c>
      <c r="O1359" t="s">
        <v>1044</v>
      </c>
      <c r="P1359" t="str">
        <f>TRIM(Table13_1[[#This Row],[Genre]])</f>
        <v>Comedy</v>
      </c>
    </row>
    <row r="1360" spans="1:16" x14ac:dyDescent="0.3">
      <c r="A1360" t="s">
        <v>2910</v>
      </c>
      <c r="B1360" t="s">
        <v>2911</v>
      </c>
      <c r="C1360">
        <v>2024</v>
      </c>
      <c r="D1360">
        <v>2020</v>
      </c>
      <c r="E1360" t="s">
        <v>17</v>
      </c>
      <c r="F1360">
        <v>140</v>
      </c>
      <c r="G1360" t="s">
        <v>3999</v>
      </c>
      <c r="H1360" t="s">
        <v>164</v>
      </c>
      <c r="I1360" t="s">
        <v>518</v>
      </c>
      <c r="J1360" t="s">
        <v>2912</v>
      </c>
      <c r="K1360">
        <v>926356</v>
      </c>
      <c r="M1360">
        <v>0</v>
      </c>
      <c r="N1360" t="s">
        <v>4001</v>
      </c>
      <c r="O1360" t="s">
        <v>3991</v>
      </c>
      <c r="P1360" t="str">
        <f>TRIM(Table13_1[[#This Row],[Genre]])</f>
        <v>Thriller</v>
      </c>
    </row>
    <row r="1361" spans="1:16" x14ac:dyDescent="0.3">
      <c r="A1361" t="s">
        <v>2913</v>
      </c>
      <c r="B1361" t="s">
        <v>2914</v>
      </c>
      <c r="C1361">
        <v>2008</v>
      </c>
      <c r="D1361">
        <v>2000</v>
      </c>
      <c r="E1361" t="s">
        <v>293</v>
      </c>
      <c r="F1361">
        <v>75</v>
      </c>
      <c r="G1361" t="s">
        <v>4000</v>
      </c>
      <c r="H1361" t="s">
        <v>2915</v>
      </c>
      <c r="I1361" t="s">
        <v>63</v>
      </c>
      <c r="J1361" t="s">
        <v>2916</v>
      </c>
      <c r="K1361">
        <v>82201</v>
      </c>
      <c r="L1361">
        <v>272.26</v>
      </c>
      <c r="M1361">
        <v>272.26</v>
      </c>
      <c r="N1361" t="s">
        <v>3998</v>
      </c>
      <c r="O1361" t="s">
        <v>277</v>
      </c>
      <c r="P1361" t="str">
        <f>TRIM(Table13_1[[#This Row],[Genre]])</f>
        <v>Thriller</v>
      </c>
    </row>
    <row r="1362" spans="1:16" x14ac:dyDescent="0.3">
      <c r="A1362" t="s">
        <v>2917</v>
      </c>
      <c r="B1362" t="s">
        <v>2918</v>
      </c>
      <c r="C1362">
        <v>2016</v>
      </c>
      <c r="D1362">
        <v>2010</v>
      </c>
      <c r="E1362" t="s">
        <v>17</v>
      </c>
      <c r="F1362">
        <v>147</v>
      </c>
      <c r="G1362" t="s">
        <v>3999</v>
      </c>
      <c r="H1362" t="s">
        <v>2919</v>
      </c>
      <c r="I1362" t="s">
        <v>33</v>
      </c>
      <c r="J1362" t="s">
        <v>2920</v>
      </c>
      <c r="K1362">
        <v>43746</v>
      </c>
      <c r="M1362">
        <v>0</v>
      </c>
      <c r="N1362" t="s">
        <v>4001</v>
      </c>
      <c r="O1362" t="s">
        <v>230</v>
      </c>
      <c r="P1362" t="str">
        <f>TRIM(Table13_1[[#This Row],[Genre]])</f>
        <v>Documentary</v>
      </c>
    </row>
    <row r="1363" spans="1:16" x14ac:dyDescent="0.3">
      <c r="A1363" t="s">
        <v>2917</v>
      </c>
      <c r="B1363" t="s">
        <v>2918</v>
      </c>
      <c r="C1363">
        <v>2016</v>
      </c>
      <c r="D1363">
        <v>2010</v>
      </c>
      <c r="E1363" t="s">
        <v>17</v>
      </c>
      <c r="F1363">
        <v>147</v>
      </c>
      <c r="G1363" t="s">
        <v>3999</v>
      </c>
      <c r="H1363" t="s">
        <v>2919</v>
      </c>
      <c r="I1363" t="s">
        <v>33</v>
      </c>
      <c r="J1363" t="s">
        <v>2920</v>
      </c>
      <c r="K1363">
        <v>43746</v>
      </c>
      <c r="M1363">
        <v>0</v>
      </c>
      <c r="N1363" t="s">
        <v>4001</v>
      </c>
      <c r="O1363" t="s">
        <v>3982</v>
      </c>
      <c r="P1363" t="str">
        <f>TRIM(Table13_1[[#This Row],[Genre]])</f>
        <v>Family</v>
      </c>
    </row>
    <row r="1364" spans="1:16" x14ac:dyDescent="0.3">
      <c r="A1364" t="s">
        <v>2921</v>
      </c>
      <c r="B1364" t="s">
        <v>2922</v>
      </c>
      <c r="C1364">
        <v>2004</v>
      </c>
      <c r="D1364">
        <v>2000</v>
      </c>
      <c r="E1364" t="s">
        <v>24</v>
      </c>
      <c r="F1364">
        <v>106</v>
      </c>
      <c r="G1364" t="s">
        <v>3997</v>
      </c>
      <c r="H1364" t="s">
        <v>2924</v>
      </c>
      <c r="I1364" t="s">
        <v>103</v>
      </c>
      <c r="J1364" t="s">
        <v>2925</v>
      </c>
      <c r="K1364">
        <v>470549</v>
      </c>
      <c r="M1364">
        <v>0</v>
      </c>
      <c r="N1364" t="s">
        <v>4001</v>
      </c>
      <c r="O1364" t="s">
        <v>277</v>
      </c>
      <c r="P1364" t="str">
        <f>TRIM(Table13_1[[#This Row],[Genre]])</f>
        <v>Thriller</v>
      </c>
    </row>
    <row r="1365" spans="1:16" x14ac:dyDescent="0.3">
      <c r="A1365" t="s">
        <v>2921</v>
      </c>
      <c r="B1365" t="s">
        <v>2922</v>
      </c>
      <c r="C1365">
        <v>2004</v>
      </c>
      <c r="D1365">
        <v>2000</v>
      </c>
      <c r="E1365" t="s">
        <v>24</v>
      </c>
      <c r="F1365">
        <v>106</v>
      </c>
      <c r="G1365" t="s">
        <v>3997</v>
      </c>
      <c r="H1365" t="s">
        <v>2924</v>
      </c>
      <c r="I1365" t="s">
        <v>103</v>
      </c>
      <c r="J1365" t="s">
        <v>2925</v>
      </c>
      <c r="K1365">
        <v>470549</v>
      </c>
      <c r="M1365">
        <v>0</v>
      </c>
      <c r="N1365" t="s">
        <v>4001</v>
      </c>
      <c r="O1365" t="s">
        <v>3984</v>
      </c>
      <c r="P1365" t="str">
        <f>TRIM(Table13_1[[#This Row],[Genre]])</f>
        <v>Adventure</v>
      </c>
    </row>
    <row r="1366" spans="1:16" x14ac:dyDescent="0.3">
      <c r="A1366" t="s">
        <v>2921</v>
      </c>
      <c r="B1366" t="s">
        <v>2922</v>
      </c>
      <c r="C1366">
        <v>2004</v>
      </c>
      <c r="D1366">
        <v>2000</v>
      </c>
      <c r="E1366" t="s">
        <v>24</v>
      </c>
      <c r="F1366">
        <v>106</v>
      </c>
      <c r="G1366" t="s">
        <v>3997</v>
      </c>
      <c r="H1366" t="s">
        <v>2924</v>
      </c>
      <c r="I1366" t="s">
        <v>103</v>
      </c>
      <c r="J1366" t="s">
        <v>2925</v>
      </c>
      <c r="K1366">
        <v>470549</v>
      </c>
      <c r="M1366">
        <v>0</v>
      </c>
      <c r="N1366" t="s">
        <v>4001</v>
      </c>
      <c r="O1366" t="s">
        <v>3983</v>
      </c>
      <c r="P1366" t="str">
        <f>TRIM(Table13_1[[#This Row],[Genre]])</f>
        <v>Crime</v>
      </c>
    </row>
    <row r="1367" spans="1:16" x14ac:dyDescent="0.3">
      <c r="A1367" t="s">
        <v>2926</v>
      </c>
      <c r="B1367" t="s">
        <v>2927</v>
      </c>
      <c r="C1367">
        <v>2013</v>
      </c>
      <c r="D1367">
        <v>2010</v>
      </c>
      <c r="E1367" t="s">
        <v>17</v>
      </c>
      <c r="F1367">
        <v>111</v>
      </c>
      <c r="G1367" t="s">
        <v>3997</v>
      </c>
      <c r="H1367" t="s">
        <v>999</v>
      </c>
      <c r="I1367" t="s">
        <v>92</v>
      </c>
      <c r="J1367" t="s">
        <v>2928</v>
      </c>
      <c r="K1367">
        <v>98151</v>
      </c>
      <c r="L1367">
        <v>99.87</v>
      </c>
      <c r="M1367">
        <v>99.87</v>
      </c>
      <c r="N1367" t="s">
        <v>4001</v>
      </c>
      <c r="O1367" t="s">
        <v>453</v>
      </c>
      <c r="P1367" t="str">
        <f>TRIM(Table13_1[[#This Row],[Genre]])</f>
        <v>Musical</v>
      </c>
    </row>
    <row r="1368" spans="1:16" x14ac:dyDescent="0.3">
      <c r="A1368" t="s">
        <v>2926</v>
      </c>
      <c r="B1368" t="s">
        <v>2927</v>
      </c>
      <c r="C1368">
        <v>2013</v>
      </c>
      <c r="D1368">
        <v>2010</v>
      </c>
      <c r="E1368" t="s">
        <v>17</v>
      </c>
      <c r="F1368">
        <v>111</v>
      </c>
      <c r="G1368" t="s">
        <v>3997</v>
      </c>
      <c r="H1368" t="s">
        <v>999</v>
      </c>
      <c r="I1368" t="s">
        <v>92</v>
      </c>
      <c r="J1368" t="s">
        <v>2928</v>
      </c>
      <c r="K1368">
        <v>98151</v>
      </c>
      <c r="L1368">
        <v>99.87</v>
      </c>
      <c r="M1368">
        <v>99.87</v>
      </c>
      <c r="N1368" t="s">
        <v>4001</v>
      </c>
      <c r="O1368" t="s">
        <v>3982</v>
      </c>
      <c r="P1368" t="str">
        <f>TRIM(Table13_1[[#This Row],[Genre]])</f>
        <v>Family</v>
      </c>
    </row>
    <row r="1369" spans="1:16" x14ac:dyDescent="0.3">
      <c r="A1369" t="s">
        <v>2929</v>
      </c>
      <c r="B1369" t="s">
        <v>2930</v>
      </c>
      <c r="C1369">
        <v>1999</v>
      </c>
      <c r="D1369">
        <v>1990</v>
      </c>
      <c r="E1369" t="s">
        <v>169</v>
      </c>
      <c r="F1369">
        <v>140</v>
      </c>
      <c r="G1369" t="s">
        <v>3999</v>
      </c>
      <c r="H1369" t="s">
        <v>2931</v>
      </c>
      <c r="I1369" t="s">
        <v>159</v>
      </c>
      <c r="J1369" t="s">
        <v>2932</v>
      </c>
      <c r="K1369">
        <v>39942</v>
      </c>
      <c r="L1369">
        <v>99.59</v>
      </c>
      <c r="M1369">
        <v>99.59</v>
      </c>
      <c r="N1369" t="s">
        <v>4001</v>
      </c>
      <c r="O1369" t="s">
        <v>375</v>
      </c>
      <c r="P1369" t="str">
        <f>TRIM(Table13_1[[#This Row],[Genre]])</f>
        <v>Family</v>
      </c>
    </row>
    <row r="1370" spans="1:16" x14ac:dyDescent="0.3">
      <c r="A1370" t="s">
        <v>2933</v>
      </c>
      <c r="B1370" t="s">
        <v>2934</v>
      </c>
      <c r="C1370">
        <v>2008</v>
      </c>
      <c r="D1370">
        <v>2000</v>
      </c>
      <c r="E1370" t="s">
        <v>17</v>
      </c>
      <c r="F1370">
        <v>113</v>
      </c>
      <c r="G1370" t="s">
        <v>3997</v>
      </c>
      <c r="H1370" t="s">
        <v>355</v>
      </c>
      <c r="I1370" t="s">
        <v>50</v>
      </c>
      <c r="J1370" t="s">
        <v>2935</v>
      </c>
      <c r="K1370">
        <v>45231</v>
      </c>
      <c r="L1370">
        <v>31.87</v>
      </c>
      <c r="M1370">
        <v>31.87</v>
      </c>
      <c r="N1370" t="s">
        <v>4001</v>
      </c>
      <c r="O1370" t="s">
        <v>868</v>
      </c>
      <c r="P1370" t="str">
        <f>TRIM(Table13_1[[#This Row],[Genre]])</f>
        <v>Western</v>
      </c>
    </row>
    <row r="1371" spans="1:16" x14ac:dyDescent="0.3">
      <c r="A1371" t="s">
        <v>2936</v>
      </c>
      <c r="B1371" t="s">
        <v>2937</v>
      </c>
      <c r="C1371">
        <v>2014</v>
      </c>
      <c r="D1371">
        <v>2010</v>
      </c>
      <c r="E1371" t="s">
        <v>293</v>
      </c>
      <c r="F1371">
        <v>107</v>
      </c>
      <c r="G1371" t="s">
        <v>3997</v>
      </c>
      <c r="H1371" t="s">
        <v>2938</v>
      </c>
      <c r="I1371" t="s">
        <v>80</v>
      </c>
      <c r="J1371" t="s">
        <v>2939</v>
      </c>
      <c r="K1371">
        <v>12273</v>
      </c>
      <c r="M1371">
        <v>0</v>
      </c>
      <c r="N1371" t="s">
        <v>4001</v>
      </c>
      <c r="O1371" t="s">
        <v>230</v>
      </c>
      <c r="P1371" t="str">
        <f>TRIM(Table13_1[[#This Row],[Genre]])</f>
        <v>Documentary</v>
      </c>
    </row>
    <row r="1372" spans="1:16" x14ac:dyDescent="0.3">
      <c r="A1372" t="s">
        <v>2936</v>
      </c>
      <c r="B1372" t="s">
        <v>2937</v>
      </c>
      <c r="C1372">
        <v>2014</v>
      </c>
      <c r="D1372">
        <v>2010</v>
      </c>
      <c r="E1372" t="s">
        <v>293</v>
      </c>
      <c r="F1372">
        <v>107</v>
      </c>
      <c r="G1372" t="s">
        <v>3997</v>
      </c>
      <c r="H1372" t="s">
        <v>2938</v>
      </c>
      <c r="I1372" t="s">
        <v>80</v>
      </c>
      <c r="J1372" t="s">
        <v>2939</v>
      </c>
      <c r="K1372">
        <v>12273</v>
      </c>
      <c r="M1372">
        <v>0</v>
      </c>
      <c r="N1372" t="s">
        <v>4001</v>
      </c>
      <c r="O1372" t="s">
        <v>3984</v>
      </c>
      <c r="P1372" t="str">
        <f>TRIM(Table13_1[[#This Row],[Genre]])</f>
        <v>Adventure</v>
      </c>
    </row>
    <row r="1373" spans="1:16" x14ac:dyDescent="0.3">
      <c r="A1373" t="s">
        <v>2940</v>
      </c>
      <c r="B1373" t="s">
        <v>2941</v>
      </c>
      <c r="C1373">
        <v>2003</v>
      </c>
      <c r="D1373">
        <v>2000</v>
      </c>
      <c r="E1373" t="s">
        <v>17</v>
      </c>
      <c r="F1373">
        <v>151</v>
      </c>
      <c r="G1373" t="s">
        <v>3999</v>
      </c>
      <c r="H1373" t="s">
        <v>557</v>
      </c>
      <c r="I1373" t="s">
        <v>221</v>
      </c>
      <c r="J1373" t="s">
        <v>2942</v>
      </c>
      <c r="K1373">
        <v>13569</v>
      </c>
      <c r="L1373">
        <v>324.45999999999998</v>
      </c>
      <c r="M1373">
        <v>324.45999999999998</v>
      </c>
      <c r="N1373" t="s">
        <v>3998</v>
      </c>
      <c r="O1373" t="s">
        <v>453</v>
      </c>
      <c r="P1373" t="str">
        <f>TRIM(Table13_1[[#This Row],[Genre]])</f>
        <v>Musical</v>
      </c>
    </row>
    <row r="1374" spans="1:16" x14ac:dyDescent="0.3">
      <c r="A1374" t="s">
        <v>2940</v>
      </c>
      <c r="B1374" t="s">
        <v>2941</v>
      </c>
      <c r="C1374">
        <v>2003</v>
      </c>
      <c r="D1374">
        <v>2000</v>
      </c>
      <c r="E1374" t="s">
        <v>17</v>
      </c>
      <c r="F1374">
        <v>151</v>
      </c>
      <c r="G1374" t="s">
        <v>3999</v>
      </c>
      <c r="H1374" t="s">
        <v>557</v>
      </c>
      <c r="I1374" t="s">
        <v>221</v>
      </c>
      <c r="J1374" t="s">
        <v>2942</v>
      </c>
      <c r="K1374">
        <v>13569</v>
      </c>
      <c r="L1374">
        <v>324.45999999999998</v>
      </c>
      <c r="M1374">
        <v>324.45999999999998</v>
      </c>
      <c r="N1374" t="s">
        <v>3998</v>
      </c>
      <c r="O1374" t="s">
        <v>3986</v>
      </c>
      <c r="P1374" t="str">
        <f>TRIM(Table13_1[[#This Row],[Genre]])</f>
        <v>Documentary</v>
      </c>
    </row>
    <row r="1375" spans="1:16" x14ac:dyDescent="0.3">
      <c r="A1375" t="s">
        <v>2943</v>
      </c>
      <c r="B1375" t="s">
        <v>2944</v>
      </c>
      <c r="C1375">
        <v>2003</v>
      </c>
      <c r="D1375">
        <v>2000</v>
      </c>
      <c r="E1375" t="s">
        <v>17</v>
      </c>
      <c r="F1375">
        <v>93</v>
      </c>
      <c r="G1375" t="s">
        <v>3997</v>
      </c>
      <c r="H1375" t="s">
        <v>85</v>
      </c>
      <c r="I1375" t="s">
        <v>326</v>
      </c>
      <c r="J1375" t="s">
        <v>2946</v>
      </c>
      <c r="K1375">
        <v>96729</v>
      </c>
      <c r="L1375">
        <v>127.42</v>
      </c>
      <c r="M1375">
        <v>127.42</v>
      </c>
      <c r="N1375" t="s">
        <v>4002</v>
      </c>
      <c r="O1375" t="s">
        <v>767</v>
      </c>
      <c r="P1375" t="str">
        <f>TRIM(Table13_1[[#This Row],[Genre]])</f>
        <v>Fantasy</v>
      </c>
    </row>
    <row r="1376" spans="1:16" x14ac:dyDescent="0.3">
      <c r="A1376" t="s">
        <v>2943</v>
      </c>
      <c r="B1376" t="s">
        <v>2944</v>
      </c>
      <c r="C1376">
        <v>2003</v>
      </c>
      <c r="D1376">
        <v>2000</v>
      </c>
      <c r="E1376" t="s">
        <v>17</v>
      </c>
      <c r="F1376">
        <v>93</v>
      </c>
      <c r="G1376" t="s">
        <v>3997</v>
      </c>
      <c r="H1376" t="s">
        <v>85</v>
      </c>
      <c r="I1376" t="s">
        <v>326</v>
      </c>
      <c r="J1376" t="s">
        <v>2946</v>
      </c>
      <c r="K1376">
        <v>96729</v>
      </c>
      <c r="L1376">
        <v>127.42</v>
      </c>
      <c r="M1376">
        <v>127.42</v>
      </c>
      <c r="N1376" t="s">
        <v>4002</v>
      </c>
      <c r="O1376" t="s">
        <v>3976</v>
      </c>
      <c r="P1376" t="str">
        <f>TRIM(Table13_1[[#This Row],[Genre]])</f>
        <v>Musical</v>
      </c>
    </row>
    <row r="1377" spans="1:16" x14ac:dyDescent="0.3">
      <c r="A1377" t="s">
        <v>2947</v>
      </c>
      <c r="B1377" t="s">
        <v>2948</v>
      </c>
      <c r="C1377">
        <v>2001</v>
      </c>
      <c r="D1377">
        <v>2000</v>
      </c>
      <c r="E1377" t="s">
        <v>24</v>
      </c>
      <c r="F1377">
        <v>132</v>
      </c>
      <c r="G1377" t="s">
        <v>3999</v>
      </c>
      <c r="H1377" t="s">
        <v>19</v>
      </c>
      <c r="I1377" t="s">
        <v>326</v>
      </c>
      <c r="J1377" t="s">
        <v>2950</v>
      </c>
      <c r="K1377">
        <v>46901</v>
      </c>
      <c r="L1377">
        <v>205.21</v>
      </c>
      <c r="M1377">
        <v>205.21</v>
      </c>
      <c r="N1377" t="s">
        <v>3998</v>
      </c>
      <c r="O1377" t="s">
        <v>210</v>
      </c>
      <c r="P1377" t="str">
        <f>TRIM(Table13_1[[#This Row],[Genre]])</f>
        <v>Action</v>
      </c>
    </row>
    <row r="1378" spans="1:16" x14ac:dyDescent="0.3">
      <c r="A1378" t="s">
        <v>2947</v>
      </c>
      <c r="B1378" t="s">
        <v>2948</v>
      </c>
      <c r="C1378">
        <v>2001</v>
      </c>
      <c r="D1378">
        <v>2000</v>
      </c>
      <c r="E1378" t="s">
        <v>24</v>
      </c>
      <c r="F1378">
        <v>132</v>
      </c>
      <c r="G1378" t="s">
        <v>3999</v>
      </c>
      <c r="H1378" t="s">
        <v>19</v>
      </c>
      <c r="I1378" t="s">
        <v>326</v>
      </c>
      <c r="J1378" t="s">
        <v>2950</v>
      </c>
      <c r="K1378">
        <v>46901</v>
      </c>
      <c r="L1378">
        <v>205.21</v>
      </c>
      <c r="M1378">
        <v>205.21</v>
      </c>
      <c r="N1378" t="s">
        <v>3998</v>
      </c>
      <c r="O1378" t="s">
        <v>3992</v>
      </c>
      <c r="P1378" t="str">
        <f>TRIM(Table13_1[[#This Row],[Genre]])</f>
        <v>Biography</v>
      </c>
    </row>
    <row r="1379" spans="1:16" x14ac:dyDescent="0.3">
      <c r="A1379" t="s">
        <v>2947</v>
      </c>
      <c r="B1379" t="s">
        <v>2948</v>
      </c>
      <c r="C1379">
        <v>2001</v>
      </c>
      <c r="D1379">
        <v>2000</v>
      </c>
      <c r="E1379" t="s">
        <v>24</v>
      </c>
      <c r="F1379">
        <v>132</v>
      </c>
      <c r="G1379" t="s">
        <v>3999</v>
      </c>
      <c r="H1379" t="s">
        <v>19</v>
      </c>
      <c r="I1379" t="s">
        <v>326</v>
      </c>
      <c r="J1379" t="s">
        <v>2950</v>
      </c>
      <c r="K1379">
        <v>46901</v>
      </c>
      <c r="L1379">
        <v>205.21</v>
      </c>
      <c r="M1379">
        <v>205.21</v>
      </c>
      <c r="N1379" t="s">
        <v>3998</v>
      </c>
      <c r="O1379" t="s">
        <v>3977</v>
      </c>
      <c r="P1379" t="str">
        <f>TRIM(Table13_1[[#This Row],[Genre]])</f>
        <v>Animation</v>
      </c>
    </row>
    <row r="1380" spans="1:16" x14ac:dyDescent="0.3">
      <c r="A1380" t="s">
        <v>2951</v>
      </c>
      <c r="B1380" t="s">
        <v>2952</v>
      </c>
      <c r="C1380">
        <v>2011</v>
      </c>
      <c r="D1380">
        <v>2010</v>
      </c>
      <c r="E1380" t="s">
        <v>17</v>
      </c>
      <c r="F1380">
        <v>108</v>
      </c>
      <c r="G1380" t="s">
        <v>3997</v>
      </c>
      <c r="H1380" t="s">
        <v>1709</v>
      </c>
      <c r="I1380" t="s">
        <v>137</v>
      </c>
      <c r="J1380" t="s">
        <v>2953</v>
      </c>
      <c r="K1380">
        <v>57003</v>
      </c>
      <c r="L1380">
        <v>21.86</v>
      </c>
      <c r="M1380">
        <v>21.86</v>
      </c>
      <c r="N1380" t="s">
        <v>4001</v>
      </c>
      <c r="O1380" t="s">
        <v>37</v>
      </c>
      <c r="P1380" t="str">
        <f>TRIM(Table13_1[[#This Row],[Genre]])</f>
        <v>Biography</v>
      </c>
    </row>
    <row r="1381" spans="1:16" x14ac:dyDescent="0.3">
      <c r="A1381" t="s">
        <v>2951</v>
      </c>
      <c r="B1381" t="s">
        <v>2952</v>
      </c>
      <c r="C1381">
        <v>2011</v>
      </c>
      <c r="D1381">
        <v>2010</v>
      </c>
      <c r="E1381" t="s">
        <v>17</v>
      </c>
      <c r="F1381">
        <v>108</v>
      </c>
      <c r="G1381" t="s">
        <v>3997</v>
      </c>
      <c r="H1381" t="s">
        <v>1709</v>
      </c>
      <c r="I1381" t="s">
        <v>137</v>
      </c>
      <c r="J1381" t="s">
        <v>2953</v>
      </c>
      <c r="K1381">
        <v>57003</v>
      </c>
      <c r="L1381">
        <v>21.86</v>
      </c>
      <c r="M1381">
        <v>21.86</v>
      </c>
      <c r="N1381" t="s">
        <v>4001</v>
      </c>
      <c r="O1381" t="s">
        <v>3990</v>
      </c>
      <c r="P1381" t="str">
        <f>TRIM(Table13_1[[#This Row],[Genre]])</f>
        <v>Western</v>
      </c>
    </row>
    <row r="1382" spans="1:16" x14ac:dyDescent="0.3">
      <c r="A1382" t="s">
        <v>2954</v>
      </c>
      <c r="B1382" t="s">
        <v>2955</v>
      </c>
      <c r="C1382">
        <v>1980</v>
      </c>
      <c r="D1382">
        <v>1980</v>
      </c>
      <c r="E1382" t="s">
        <v>54</v>
      </c>
      <c r="F1382">
        <v>124</v>
      </c>
      <c r="G1382" t="s">
        <v>3999</v>
      </c>
      <c r="H1382" t="s">
        <v>673</v>
      </c>
      <c r="I1382" t="s">
        <v>153</v>
      </c>
      <c r="J1382" t="s">
        <v>2956</v>
      </c>
      <c r="K1382">
        <v>17722</v>
      </c>
      <c r="L1382">
        <v>44.03</v>
      </c>
      <c r="M1382">
        <v>44.03</v>
      </c>
      <c r="N1382" t="s">
        <v>4001</v>
      </c>
      <c r="O1382" t="s">
        <v>235</v>
      </c>
      <c r="P1382" t="str">
        <f>TRIM(Table13_1[[#This Row],[Genre]])</f>
        <v>Drama</v>
      </c>
    </row>
    <row r="1383" spans="1:16" x14ac:dyDescent="0.3">
      <c r="A1383" t="s">
        <v>2957</v>
      </c>
      <c r="B1383" t="s">
        <v>2958</v>
      </c>
      <c r="C1383">
        <v>2007</v>
      </c>
      <c r="D1383">
        <v>2000</v>
      </c>
      <c r="E1383" t="s">
        <v>54</v>
      </c>
      <c r="F1383">
        <v>136</v>
      </c>
      <c r="G1383" t="s">
        <v>3999</v>
      </c>
      <c r="H1383" t="s">
        <v>226</v>
      </c>
      <c r="I1383" t="s">
        <v>103</v>
      </c>
      <c r="J1383" t="s">
        <v>2959</v>
      </c>
      <c r="K1383">
        <v>52271</v>
      </c>
      <c r="L1383">
        <v>370.28</v>
      </c>
      <c r="M1383">
        <v>370.28</v>
      </c>
      <c r="N1383" t="s">
        <v>3998</v>
      </c>
      <c r="O1383" t="s">
        <v>1044</v>
      </c>
      <c r="P1383" t="str">
        <f>TRIM(Table13_1[[#This Row],[Genre]])</f>
        <v>Comedy</v>
      </c>
    </row>
    <row r="1384" spans="1:16" x14ac:dyDescent="0.3">
      <c r="A1384" t="s">
        <v>2960</v>
      </c>
      <c r="B1384" t="s">
        <v>2961</v>
      </c>
      <c r="C1384">
        <v>2020</v>
      </c>
      <c r="D1384">
        <v>2020</v>
      </c>
      <c r="E1384" t="s">
        <v>17</v>
      </c>
      <c r="F1384">
        <v>148</v>
      </c>
      <c r="G1384" t="s">
        <v>3999</v>
      </c>
      <c r="H1384" t="s">
        <v>2963</v>
      </c>
      <c r="I1384" t="s">
        <v>103</v>
      </c>
      <c r="J1384" t="s">
        <v>2964</v>
      </c>
      <c r="K1384">
        <v>3641</v>
      </c>
      <c r="M1384">
        <v>0</v>
      </c>
      <c r="N1384" t="s">
        <v>4001</v>
      </c>
      <c r="O1384" t="s">
        <v>43</v>
      </c>
      <c r="P1384" t="str">
        <f>TRIM(Table13_1[[#This Row],[Genre]])</f>
        <v>Mystery</v>
      </c>
    </row>
    <row r="1385" spans="1:16" x14ac:dyDescent="0.3">
      <c r="A1385" t="s">
        <v>2960</v>
      </c>
      <c r="B1385" t="s">
        <v>2961</v>
      </c>
      <c r="C1385">
        <v>2020</v>
      </c>
      <c r="D1385">
        <v>2020</v>
      </c>
      <c r="E1385" t="s">
        <v>17</v>
      </c>
      <c r="F1385">
        <v>148</v>
      </c>
      <c r="G1385" t="s">
        <v>3999</v>
      </c>
      <c r="H1385" t="s">
        <v>2963</v>
      </c>
      <c r="I1385" t="s">
        <v>103</v>
      </c>
      <c r="J1385" t="s">
        <v>2964</v>
      </c>
      <c r="K1385">
        <v>3641</v>
      </c>
      <c r="M1385">
        <v>0</v>
      </c>
      <c r="N1385" t="s">
        <v>4001</v>
      </c>
      <c r="O1385" t="s">
        <v>3984</v>
      </c>
      <c r="P1385" t="str">
        <f>TRIM(Table13_1[[#This Row],[Genre]])</f>
        <v>Adventure</v>
      </c>
    </row>
    <row r="1386" spans="1:16" x14ac:dyDescent="0.3">
      <c r="A1386" t="s">
        <v>2960</v>
      </c>
      <c r="B1386" t="s">
        <v>2961</v>
      </c>
      <c r="C1386">
        <v>2020</v>
      </c>
      <c r="D1386">
        <v>2020</v>
      </c>
      <c r="E1386" t="s">
        <v>17</v>
      </c>
      <c r="F1386">
        <v>148</v>
      </c>
      <c r="G1386" t="s">
        <v>3999</v>
      </c>
      <c r="H1386" t="s">
        <v>2963</v>
      </c>
      <c r="I1386" t="s">
        <v>103</v>
      </c>
      <c r="J1386" t="s">
        <v>2964</v>
      </c>
      <c r="K1386">
        <v>3641</v>
      </c>
      <c r="M1386">
        <v>0</v>
      </c>
      <c r="N1386" t="s">
        <v>4001</v>
      </c>
      <c r="O1386" t="s">
        <v>3985</v>
      </c>
      <c r="P1386" t="str">
        <f>TRIM(Table13_1[[#This Row],[Genre]])</f>
        <v>Horror</v>
      </c>
    </row>
    <row r="1387" spans="1:16" x14ac:dyDescent="0.3">
      <c r="A1387" t="s">
        <v>2965</v>
      </c>
      <c r="B1387" t="s">
        <v>2966</v>
      </c>
      <c r="C1387">
        <v>2024</v>
      </c>
      <c r="D1387">
        <v>2020</v>
      </c>
      <c r="E1387" t="s">
        <v>24</v>
      </c>
      <c r="F1387">
        <v>116</v>
      </c>
      <c r="G1387" t="s">
        <v>3997</v>
      </c>
      <c r="H1387" t="s">
        <v>2967</v>
      </c>
      <c r="I1387" t="s">
        <v>196</v>
      </c>
      <c r="J1387" t="s">
        <v>2968</v>
      </c>
      <c r="K1387">
        <v>288806</v>
      </c>
      <c r="L1387">
        <v>34.15</v>
      </c>
      <c r="M1387">
        <v>34.15</v>
      </c>
      <c r="N1387" t="s">
        <v>4001</v>
      </c>
      <c r="O1387" t="s">
        <v>157</v>
      </c>
      <c r="P1387" t="str">
        <f>TRIM(Table13_1[[#This Row],[Genre]])</f>
        <v>Animation</v>
      </c>
    </row>
    <row r="1388" spans="1:16" x14ac:dyDescent="0.3">
      <c r="A1388" t="s">
        <v>2969</v>
      </c>
      <c r="B1388" t="s">
        <v>2970</v>
      </c>
      <c r="C1388">
        <v>2016</v>
      </c>
      <c r="D1388">
        <v>2010</v>
      </c>
      <c r="E1388" t="s">
        <v>24</v>
      </c>
      <c r="F1388">
        <v>141</v>
      </c>
      <c r="G1388" t="s">
        <v>3999</v>
      </c>
      <c r="H1388" t="s">
        <v>2972</v>
      </c>
      <c r="I1388" t="s">
        <v>63</v>
      </c>
      <c r="J1388" t="s">
        <v>2973</v>
      </c>
      <c r="K1388">
        <v>201206</v>
      </c>
      <c r="L1388">
        <v>226.26</v>
      </c>
      <c r="M1388">
        <v>226.26</v>
      </c>
      <c r="N1388" t="s">
        <v>3998</v>
      </c>
      <c r="O1388" t="s">
        <v>210</v>
      </c>
      <c r="P1388" t="str">
        <f>TRIM(Table13_1[[#This Row],[Genre]])</f>
        <v>Action</v>
      </c>
    </row>
    <row r="1389" spans="1:16" x14ac:dyDescent="0.3">
      <c r="A1389" t="s">
        <v>2969</v>
      </c>
      <c r="B1389" t="s">
        <v>2970</v>
      </c>
      <c r="C1389">
        <v>2016</v>
      </c>
      <c r="D1389">
        <v>2010</v>
      </c>
      <c r="E1389" t="s">
        <v>24</v>
      </c>
      <c r="F1389">
        <v>141</v>
      </c>
      <c r="G1389" t="s">
        <v>3999</v>
      </c>
      <c r="H1389" t="s">
        <v>2972</v>
      </c>
      <c r="I1389" t="s">
        <v>63</v>
      </c>
      <c r="J1389" t="s">
        <v>2973</v>
      </c>
      <c r="K1389">
        <v>201206</v>
      </c>
      <c r="L1389">
        <v>226.26</v>
      </c>
      <c r="M1389">
        <v>226.26</v>
      </c>
      <c r="N1389" t="s">
        <v>3998</v>
      </c>
      <c r="O1389" t="s">
        <v>3977</v>
      </c>
      <c r="P1389" t="str">
        <f>TRIM(Table13_1[[#This Row],[Genre]])</f>
        <v>Animation</v>
      </c>
    </row>
    <row r="1390" spans="1:16" x14ac:dyDescent="0.3">
      <c r="A1390" t="s">
        <v>2974</v>
      </c>
      <c r="B1390" t="s">
        <v>2975</v>
      </c>
      <c r="C1390">
        <v>2008</v>
      </c>
      <c r="D1390">
        <v>2000</v>
      </c>
      <c r="E1390" t="s">
        <v>54</v>
      </c>
      <c r="F1390">
        <v>143</v>
      </c>
      <c r="G1390" t="s">
        <v>3999</v>
      </c>
      <c r="H1390" t="s">
        <v>2977</v>
      </c>
      <c r="I1390" t="s">
        <v>518</v>
      </c>
      <c r="J1390" t="s">
        <v>2978</v>
      </c>
      <c r="K1390">
        <v>48970</v>
      </c>
      <c r="L1390">
        <v>365.46</v>
      </c>
      <c r="M1390">
        <v>365.46</v>
      </c>
      <c r="N1390" t="s">
        <v>3998</v>
      </c>
      <c r="O1390" t="s">
        <v>767</v>
      </c>
      <c r="P1390" t="str">
        <f>TRIM(Table13_1[[#This Row],[Genre]])</f>
        <v>Fantasy</v>
      </c>
    </row>
    <row r="1391" spans="1:16" x14ac:dyDescent="0.3">
      <c r="A1391" t="s">
        <v>2974</v>
      </c>
      <c r="B1391" t="s">
        <v>2975</v>
      </c>
      <c r="C1391">
        <v>2008</v>
      </c>
      <c r="D1391">
        <v>2000</v>
      </c>
      <c r="E1391" t="s">
        <v>54</v>
      </c>
      <c r="F1391">
        <v>143</v>
      </c>
      <c r="G1391" t="s">
        <v>3999</v>
      </c>
      <c r="H1391" t="s">
        <v>2977</v>
      </c>
      <c r="I1391" t="s">
        <v>518</v>
      </c>
      <c r="J1391" t="s">
        <v>2978</v>
      </c>
      <c r="K1391">
        <v>48970</v>
      </c>
      <c r="L1391">
        <v>365.46</v>
      </c>
      <c r="M1391">
        <v>365.46</v>
      </c>
      <c r="N1391" t="s">
        <v>3998</v>
      </c>
      <c r="O1391" t="s">
        <v>3979</v>
      </c>
      <c r="P1391" t="str">
        <f>TRIM(Table13_1[[#This Row],[Genre]])</f>
        <v>War</v>
      </c>
    </row>
    <row r="1392" spans="1:16" x14ac:dyDescent="0.3">
      <c r="A1392" t="s">
        <v>2974</v>
      </c>
      <c r="B1392" t="s">
        <v>2975</v>
      </c>
      <c r="C1392">
        <v>2008</v>
      </c>
      <c r="D1392">
        <v>2000</v>
      </c>
      <c r="E1392" t="s">
        <v>54</v>
      </c>
      <c r="F1392">
        <v>143</v>
      </c>
      <c r="G1392" t="s">
        <v>3999</v>
      </c>
      <c r="H1392" t="s">
        <v>2977</v>
      </c>
      <c r="I1392" t="s">
        <v>518</v>
      </c>
      <c r="J1392" t="s">
        <v>2978</v>
      </c>
      <c r="K1392">
        <v>48970</v>
      </c>
      <c r="L1392">
        <v>365.46</v>
      </c>
      <c r="M1392">
        <v>365.46</v>
      </c>
      <c r="N1392" t="s">
        <v>3998</v>
      </c>
      <c r="O1392" t="s">
        <v>3990</v>
      </c>
      <c r="P1392" t="str">
        <f>TRIM(Table13_1[[#This Row],[Genre]])</f>
        <v>Western</v>
      </c>
    </row>
    <row r="1393" spans="1:16" x14ac:dyDescent="0.3">
      <c r="A1393" t="s">
        <v>2979</v>
      </c>
      <c r="B1393" t="s">
        <v>2980</v>
      </c>
      <c r="C1393">
        <v>2006</v>
      </c>
      <c r="D1393">
        <v>2000</v>
      </c>
      <c r="E1393" t="s">
        <v>24</v>
      </c>
      <c r="F1393">
        <v>118</v>
      </c>
      <c r="G1393" t="s">
        <v>3997</v>
      </c>
      <c r="H1393" t="s">
        <v>269</v>
      </c>
      <c r="I1393" t="s">
        <v>119</v>
      </c>
      <c r="J1393" t="s">
        <v>2981</v>
      </c>
      <c r="K1393">
        <v>108956</v>
      </c>
      <c r="L1393">
        <v>385.04</v>
      </c>
      <c r="M1393">
        <v>385.04</v>
      </c>
      <c r="N1393" t="s">
        <v>3998</v>
      </c>
      <c r="O1393" t="s">
        <v>453</v>
      </c>
      <c r="P1393" t="str">
        <f>TRIM(Table13_1[[#This Row],[Genre]])</f>
        <v>Musical</v>
      </c>
    </row>
    <row r="1394" spans="1:16" x14ac:dyDescent="0.3">
      <c r="A1394" t="s">
        <v>2982</v>
      </c>
      <c r="B1394" t="s">
        <v>2983</v>
      </c>
      <c r="C1394">
        <v>2001</v>
      </c>
      <c r="D1394">
        <v>2000</v>
      </c>
      <c r="E1394" t="s">
        <v>54</v>
      </c>
      <c r="F1394">
        <v>153</v>
      </c>
      <c r="G1394" t="s">
        <v>3999</v>
      </c>
      <c r="H1394" t="s">
        <v>852</v>
      </c>
      <c r="I1394" t="s">
        <v>125</v>
      </c>
      <c r="J1394" t="s">
        <v>2984</v>
      </c>
      <c r="K1394">
        <v>140571</v>
      </c>
      <c r="M1394">
        <v>0</v>
      </c>
      <c r="N1394" t="s">
        <v>4001</v>
      </c>
      <c r="O1394" t="s">
        <v>55</v>
      </c>
      <c r="P1394" t="str">
        <f>TRIM(Table13_1[[#This Row],[Genre]])</f>
        <v>Romance</v>
      </c>
    </row>
    <row r="1395" spans="1:16" x14ac:dyDescent="0.3">
      <c r="A1395" t="s">
        <v>2982</v>
      </c>
      <c r="B1395" t="s">
        <v>2983</v>
      </c>
      <c r="C1395">
        <v>2001</v>
      </c>
      <c r="D1395">
        <v>2000</v>
      </c>
      <c r="E1395" t="s">
        <v>54</v>
      </c>
      <c r="F1395">
        <v>153</v>
      </c>
      <c r="G1395" t="s">
        <v>3999</v>
      </c>
      <c r="H1395" t="s">
        <v>852</v>
      </c>
      <c r="I1395" t="s">
        <v>125</v>
      </c>
      <c r="J1395" t="s">
        <v>2984</v>
      </c>
      <c r="K1395">
        <v>140571</v>
      </c>
      <c r="M1395">
        <v>0</v>
      </c>
      <c r="N1395" t="s">
        <v>4001</v>
      </c>
      <c r="O1395" t="s">
        <v>3979</v>
      </c>
      <c r="P1395" t="str">
        <f>TRIM(Table13_1[[#This Row],[Genre]])</f>
        <v>War</v>
      </c>
    </row>
    <row r="1396" spans="1:16" x14ac:dyDescent="0.3">
      <c r="A1396" t="s">
        <v>2985</v>
      </c>
      <c r="B1396" t="s">
        <v>2986</v>
      </c>
      <c r="C1396">
        <v>2004</v>
      </c>
      <c r="D1396">
        <v>2000</v>
      </c>
      <c r="E1396" t="s">
        <v>24</v>
      </c>
      <c r="F1396">
        <v>116</v>
      </c>
      <c r="G1396" t="s">
        <v>3997</v>
      </c>
      <c r="H1396" t="s">
        <v>85</v>
      </c>
      <c r="I1396" t="s">
        <v>518</v>
      </c>
      <c r="J1396" t="s">
        <v>2988</v>
      </c>
      <c r="K1396">
        <v>76117</v>
      </c>
      <c r="L1396">
        <v>211.08</v>
      </c>
      <c r="M1396">
        <v>211.08</v>
      </c>
      <c r="N1396" t="s">
        <v>3998</v>
      </c>
      <c r="O1396" t="s">
        <v>767</v>
      </c>
      <c r="P1396" t="str">
        <f>TRIM(Table13_1[[#This Row],[Genre]])</f>
        <v>Fantasy</v>
      </c>
    </row>
    <row r="1397" spans="1:16" x14ac:dyDescent="0.3">
      <c r="A1397" t="s">
        <v>2985</v>
      </c>
      <c r="B1397" t="s">
        <v>2986</v>
      </c>
      <c r="C1397">
        <v>2004</v>
      </c>
      <c r="D1397">
        <v>2000</v>
      </c>
      <c r="E1397" t="s">
        <v>24</v>
      </c>
      <c r="F1397">
        <v>116</v>
      </c>
      <c r="G1397" t="s">
        <v>3997</v>
      </c>
      <c r="H1397" t="s">
        <v>85</v>
      </c>
      <c r="I1397" t="s">
        <v>518</v>
      </c>
      <c r="J1397" t="s">
        <v>2988</v>
      </c>
      <c r="K1397">
        <v>76117</v>
      </c>
      <c r="L1397">
        <v>211.08</v>
      </c>
      <c r="M1397">
        <v>211.08</v>
      </c>
      <c r="N1397" t="s">
        <v>3998</v>
      </c>
      <c r="O1397" t="s">
        <v>3977</v>
      </c>
      <c r="P1397" t="str">
        <f>TRIM(Table13_1[[#This Row],[Genre]])</f>
        <v>Animation</v>
      </c>
    </row>
    <row r="1398" spans="1:16" x14ac:dyDescent="0.3">
      <c r="A1398" t="s">
        <v>2985</v>
      </c>
      <c r="B1398" t="s">
        <v>2986</v>
      </c>
      <c r="C1398">
        <v>2004</v>
      </c>
      <c r="D1398">
        <v>2000</v>
      </c>
      <c r="E1398" t="s">
        <v>24</v>
      </c>
      <c r="F1398">
        <v>116</v>
      </c>
      <c r="G1398" t="s">
        <v>3997</v>
      </c>
      <c r="H1398" t="s">
        <v>85</v>
      </c>
      <c r="I1398" t="s">
        <v>518</v>
      </c>
      <c r="J1398" t="s">
        <v>2988</v>
      </c>
      <c r="K1398">
        <v>76117</v>
      </c>
      <c r="L1398">
        <v>211.08</v>
      </c>
      <c r="M1398">
        <v>211.08</v>
      </c>
      <c r="N1398" t="s">
        <v>3998</v>
      </c>
      <c r="O1398" t="s">
        <v>3989</v>
      </c>
      <c r="P1398" t="str">
        <f>TRIM(Table13_1[[#This Row],[Genre]])</f>
        <v>Sci-Fi</v>
      </c>
    </row>
    <row r="1399" spans="1:16" x14ac:dyDescent="0.3">
      <c r="A1399" t="s">
        <v>2989</v>
      </c>
      <c r="B1399" t="s">
        <v>2990</v>
      </c>
      <c r="C1399">
        <v>2000</v>
      </c>
      <c r="D1399">
        <v>2000</v>
      </c>
      <c r="E1399" t="s">
        <v>17</v>
      </c>
      <c r="F1399">
        <v>171</v>
      </c>
      <c r="G1399" t="s">
        <v>3999</v>
      </c>
      <c r="H1399" t="s">
        <v>629</v>
      </c>
      <c r="I1399" t="s">
        <v>608</v>
      </c>
      <c r="J1399" t="s">
        <v>2991</v>
      </c>
      <c r="K1399">
        <v>78970</v>
      </c>
      <c r="L1399">
        <v>198.71</v>
      </c>
      <c r="M1399">
        <v>198.71</v>
      </c>
      <c r="N1399" t="s">
        <v>4002</v>
      </c>
      <c r="O1399" t="s">
        <v>157</v>
      </c>
      <c r="P1399" t="str">
        <f>TRIM(Table13_1[[#This Row],[Genre]])</f>
        <v>Animation</v>
      </c>
    </row>
    <row r="1400" spans="1:16" x14ac:dyDescent="0.3">
      <c r="A1400" t="s">
        <v>2992</v>
      </c>
      <c r="B1400" t="s">
        <v>2993</v>
      </c>
      <c r="C1400">
        <v>2014</v>
      </c>
      <c r="D1400">
        <v>2010</v>
      </c>
      <c r="E1400" t="s">
        <v>17</v>
      </c>
      <c r="F1400">
        <v>95</v>
      </c>
      <c r="G1400" t="s">
        <v>3997</v>
      </c>
      <c r="H1400" t="s">
        <v>995</v>
      </c>
      <c r="I1400" t="s">
        <v>191</v>
      </c>
      <c r="J1400" t="s">
        <v>2994</v>
      </c>
      <c r="K1400">
        <v>47969</v>
      </c>
      <c r="L1400">
        <v>24.49</v>
      </c>
      <c r="M1400">
        <v>24.49</v>
      </c>
      <c r="N1400" t="s">
        <v>4001</v>
      </c>
      <c r="O1400" t="s">
        <v>78</v>
      </c>
      <c r="P1400" t="str">
        <f>TRIM(Table13_1[[#This Row],[Genre]])</f>
        <v>Adventure</v>
      </c>
    </row>
    <row r="1401" spans="1:16" x14ac:dyDescent="0.3">
      <c r="A1401" t="s">
        <v>2992</v>
      </c>
      <c r="B1401" t="s">
        <v>2993</v>
      </c>
      <c r="C1401">
        <v>2014</v>
      </c>
      <c r="D1401">
        <v>2010</v>
      </c>
      <c r="E1401" t="s">
        <v>17</v>
      </c>
      <c r="F1401">
        <v>95</v>
      </c>
      <c r="G1401" t="s">
        <v>3997</v>
      </c>
      <c r="H1401" t="s">
        <v>995</v>
      </c>
      <c r="I1401" t="s">
        <v>191</v>
      </c>
      <c r="J1401" t="s">
        <v>2994</v>
      </c>
      <c r="K1401">
        <v>47969</v>
      </c>
      <c r="L1401">
        <v>24.49</v>
      </c>
      <c r="M1401">
        <v>24.49</v>
      </c>
      <c r="N1401" t="s">
        <v>4001</v>
      </c>
      <c r="O1401" t="s">
        <v>3992</v>
      </c>
      <c r="P1401" t="str">
        <f>TRIM(Table13_1[[#This Row],[Genre]])</f>
        <v>Biography</v>
      </c>
    </row>
    <row r="1402" spans="1:16" x14ac:dyDescent="0.3">
      <c r="A1402" t="s">
        <v>2995</v>
      </c>
      <c r="B1402" t="s">
        <v>2996</v>
      </c>
      <c r="C1402">
        <v>1982</v>
      </c>
      <c r="D1402">
        <v>1980</v>
      </c>
      <c r="E1402" t="s">
        <v>24</v>
      </c>
      <c r="F1402">
        <v>145</v>
      </c>
      <c r="G1402" t="s">
        <v>3999</v>
      </c>
      <c r="H1402" t="s">
        <v>435</v>
      </c>
      <c r="I1402" t="s">
        <v>221</v>
      </c>
      <c r="J1402" t="s">
        <v>2997</v>
      </c>
      <c r="K1402">
        <v>81619</v>
      </c>
      <c r="L1402">
        <v>39.08</v>
      </c>
      <c r="M1402">
        <v>39.08</v>
      </c>
      <c r="N1402" t="s">
        <v>4001</v>
      </c>
      <c r="O1402" t="s">
        <v>453</v>
      </c>
      <c r="P1402" t="str">
        <f>TRIM(Table13_1[[#This Row],[Genre]])</f>
        <v>Musical</v>
      </c>
    </row>
    <row r="1403" spans="1:16" x14ac:dyDescent="0.3">
      <c r="A1403" t="s">
        <v>2995</v>
      </c>
      <c r="B1403" t="s">
        <v>2996</v>
      </c>
      <c r="C1403">
        <v>1982</v>
      </c>
      <c r="D1403">
        <v>1980</v>
      </c>
      <c r="E1403" t="s">
        <v>24</v>
      </c>
      <c r="F1403">
        <v>145</v>
      </c>
      <c r="G1403" t="s">
        <v>3999</v>
      </c>
      <c r="H1403" t="s">
        <v>435</v>
      </c>
      <c r="I1403" t="s">
        <v>221</v>
      </c>
      <c r="J1403" t="s">
        <v>2997</v>
      </c>
      <c r="K1403">
        <v>81619</v>
      </c>
      <c r="L1403">
        <v>39.08</v>
      </c>
      <c r="M1403">
        <v>39.08</v>
      </c>
      <c r="N1403" t="s">
        <v>4001</v>
      </c>
      <c r="O1403" t="s">
        <v>3982</v>
      </c>
      <c r="P1403" t="str">
        <f>TRIM(Table13_1[[#This Row],[Genre]])</f>
        <v>Family</v>
      </c>
    </row>
    <row r="1404" spans="1:16" x14ac:dyDescent="0.3">
      <c r="A1404" t="s">
        <v>2998</v>
      </c>
      <c r="B1404" t="s">
        <v>2999</v>
      </c>
      <c r="C1404">
        <v>2000</v>
      </c>
      <c r="D1404">
        <v>2000</v>
      </c>
      <c r="E1404" t="s">
        <v>54</v>
      </c>
      <c r="F1404">
        <v>135</v>
      </c>
      <c r="G1404" t="s">
        <v>3999</v>
      </c>
      <c r="H1404" t="s">
        <v>320</v>
      </c>
      <c r="I1404" t="s">
        <v>113</v>
      </c>
      <c r="J1404" t="s">
        <v>3000</v>
      </c>
      <c r="K1404">
        <v>17548</v>
      </c>
      <c r="L1404">
        <v>106.52</v>
      </c>
      <c r="M1404">
        <v>106.52</v>
      </c>
      <c r="N1404" t="s">
        <v>4002</v>
      </c>
      <c r="O1404" t="s">
        <v>767</v>
      </c>
      <c r="P1404" t="str">
        <f>TRIM(Table13_1[[#This Row],[Genre]])</f>
        <v>Fantasy</v>
      </c>
    </row>
    <row r="1405" spans="1:16" x14ac:dyDescent="0.3">
      <c r="A1405" t="s">
        <v>3001</v>
      </c>
      <c r="B1405" t="s">
        <v>3002</v>
      </c>
      <c r="C1405">
        <v>1985</v>
      </c>
      <c r="D1405">
        <v>1980</v>
      </c>
      <c r="E1405" t="s">
        <v>54</v>
      </c>
      <c r="F1405">
        <v>103</v>
      </c>
      <c r="G1405" t="s">
        <v>3997</v>
      </c>
      <c r="H1405" t="s">
        <v>1363</v>
      </c>
      <c r="I1405" t="s">
        <v>147</v>
      </c>
      <c r="J1405" t="s">
        <v>3003</v>
      </c>
      <c r="K1405">
        <v>110206</v>
      </c>
      <c r="L1405">
        <v>133.09</v>
      </c>
      <c r="M1405">
        <v>133.09</v>
      </c>
      <c r="N1405" t="s">
        <v>4002</v>
      </c>
      <c r="O1405" t="s">
        <v>43</v>
      </c>
      <c r="P1405" t="str">
        <f>TRIM(Table13_1[[#This Row],[Genre]])</f>
        <v>Mystery</v>
      </c>
    </row>
    <row r="1406" spans="1:16" x14ac:dyDescent="0.3">
      <c r="A1406" t="s">
        <v>3004</v>
      </c>
      <c r="B1406" t="s">
        <v>3005</v>
      </c>
      <c r="C1406">
        <v>1996</v>
      </c>
      <c r="D1406">
        <v>1990</v>
      </c>
      <c r="E1406" t="s">
        <v>54</v>
      </c>
      <c r="F1406">
        <v>109</v>
      </c>
      <c r="G1406" t="s">
        <v>3997</v>
      </c>
      <c r="H1406" t="s">
        <v>634</v>
      </c>
      <c r="I1406" t="s">
        <v>547</v>
      </c>
      <c r="J1406" t="s">
        <v>3006</v>
      </c>
      <c r="K1406">
        <v>39633</v>
      </c>
      <c r="L1406">
        <v>59.28</v>
      </c>
      <c r="M1406">
        <v>59.28</v>
      </c>
      <c r="N1406" t="s">
        <v>4001</v>
      </c>
      <c r="O1406" t="s">
        <v>129</v>
      </c>
      <c r="P1406" t="str">
        <f>TRIM(Table13_1[[#This Row],[Genre]])</f>
        <v>Horror</v>
      </c>
    </row>
    <row r="1407" spans="1:16" x14ac:dyDescent="0.3">
      <c r="A1407" t="s">
        <v>3004</v>
      </c>
      <c r="B1407" t="s">
        <v>3005</v>
      </c>
      <c r="C1407">
        <v>1996</v>
      </c>
      <c r="D1407">
        <v>1990</v>
      </c>
      <c r="E1407" t="s">
        <v>54</v>
      </c>
      <c r="F1407">
        <v>109</v>
      </c>
      <c r="G1407" t="s">
        <v>3997</v>
      </c>
      <c r="H1407" t="s">
        <v>634</v>
      </c>
      <c r="I1407" t="s">
        <v>547</v>
      </c>
      <c r="J1407" t="s">
        <v>3006</v>
      </c>
      <c r="K1407">
        <v>39633</v>
      </c>
      <c r="L1407">
        <v>59.28</v>
      </c>
      <c r="M1407">
        <v>59.28</v>
      </c>
      <c r="N1407" t="s">
        <v>4001</v>
      </c>
      <c r="O1407" t="s">
        <v>3983</v>
      </c>
      <c r="P1407" t="str">
        <f>TRIM(Table13_1[[#This Row],[Genre]])</f>
        <v>Crime</v>
      </c>
    </row>
    <row r="1408" spans="1:16" x14ac:dyDescent="0.3">
      <c r="A1408" t="s">
        <v>3007</v>
      </c>
      <c r="B1408" t="s">
        <v>3008</v>
      </c>
      <c r="C1408">
        <v>1999</v>
      </c>
      <c r="D1408">
        <v>1990</v>
      </c>
      <c r="E1408" t="s">
        <v>17</v>
      </c>
      <c r="F1408">
        <v>101</v>
      </c>
      <c r="G1408" t="s">
        <v>3997</v>
      </c>
      <c r="H1408" t="s">
        <v>201</v>
      </c>
      <c r="I1408" t="s">
        <v>57</v>
      </c>
      <c r="J1408" t="s">
        <v>3010</v>
      </c>
      <c r="K1408">
        <v>12224</v>
      </c>
      <c r="L1408">
        <v>299.01</v>
      </c>
      <c r="M1408">
        <v>299.01</v>
      </c>
      <c r="N1408" t="s">
        <v>3998</v>
      </c>
      <c r="O1408" t="s">
        <v>235</v>
      </c>
      <c r="P1408" t="str">
        <f>TRIM(Table13_1[[#This Row],[Genre]])</f>
        <v>Drama</v>
      </c>
    </row>
    <row r="1409" spans="1:16" x14ac:dyDescent="0.3">
      <c r="A1409" t="s">
        <v>3007</v>
      </c>
      <c r="B1409" t="s">
        <v>3008</v>
      </c>
      <c r="C1409">
        <v>1999</v>
      </c>
      <c r="D1409">
        <v>1990</v>
      </c>
      <c r="E1409" t="s">
        <v>17</v>
      </c>
      <c r="F1409">
        <v>101</v>
      </c>
      <c r="G1409" t="s">
        <v>3997</v>
      </c>
      <c r="H1409" t="s">
        <v>201</v>
      </c>
      <c r="I1409" t="s">
        <v>57</v>
      </c>
      <c r="J1409" t="s">
        <v>3010</v>
      </c>
      <c r="K1409">
        <v>12224</v>
      </c>
      <c r="L1409">
        <v>299.01</v>
      </c>
      <c r="M1409">
        <v>299.01</v>
      </c>
      <c r="N1409" t="s">
        <v>3998</v>
      </c>
      <c r="O1409" t="s">
        <v>3991</v>
      </c>
      <c r="P1409" t="str">
        <f>TRIM(Table13_1[[#This Row],[Genre]])</f>
        <v>Thriller</v>
      </c>
    </row>
    <row r="1410" spans="1:16" x14ac:dyDescent="0.3">
      <c r="A1410" t="s">
        <v>3007</v>
      </c>
      <c r="B1410" t="s">
        <v>3008</v>
      </c>
      <c r="C1410">
        <v>1999</v>
      </c>
      <c r="D1410">
        <v>1990</v>
      </c>
      <c r="E1410" t="s">
        <v>17</v>
      </c>
      <c r="F1410">
        <v>101</v>
      </c>
      <c r="G1410" t="s">
        <v>3997</v>
      </c>
      <c r="H1410" t="s">
        <v>201</v>
      </c>
      <c r="I1410" t="s">
        <v>57</v>
      </c>
      <c r="J1410" t="s">
        <v>3010</v>
      </c>
      <c r="K1410">
        <v>12224</v>
      </c>
      <c r="L1410">
        <v>299.01</v>
      </c>
      <c r="M1410">
        <v>299.01</v>
      </c>
      <c r="N1410" t="s">
        <v>3998</v>
      </c>
      <c r="O1410" t="s">
        <v>3992</v>
      </c>
      <c r="P1410" t="str">
        <f>TRIM(Table13_1[[#This Row],[Genre]])</f>
        <v>Biography</v>
      </c>
    </row>
    <row r="1411" spans="1:16" x14ac:dyDescent="0.3">
      <c r="A1411" t="s">
        <v>3011</v>
      </c>
      <c r="B1411" t="s">
        <v>3012</v>
      </c>
      <c r="C1411">
        <v>1997</v>
      </c>
      <c r="D1411">
        <v>1990</v>
      </c>
      <c r="E1411" t="s">
        <v>24</v>
      </c>
      <c r="F1411">
        <v>130</v>
      </c>
      <c r="G1411" t="s">
        <v>3999</v>
      </c>
      <c r="H1411" t="s">
        <v>3013</v>
      </c>
      <c r="I1411" t="s">
        <v>63</v>
      </c>
      <c r="J1411" t="s">
        <v>3014</v>
      </c>
      <c r="K1411">
        <v>18227</v>
      </c>
      <c r="L1411">
        <v>189.95</v>
      </c>
      <c r="M1411">
        <v>189.95</v>
      </c>
      <c r="N1411" t="s">
        <v>4002</v>
      </c>
      <c r="O1411" t="s">
        <v>48</v>
      </c>
      <c r="P1411" t="str">
        <f>TRIM(Table13_1[[#This Row],[Genre]])</f>
        <v>Crime</v>
      </c>
    </row>
    <row r="1412" spans="1:16" x14ac:dyDescent="0.3">
      <c r="A1412" t="s">
        <v>3015</v>
      </c>
      <c r="B1412" t="s">
        <v>3016</v>
      </c>
      <c r="C1412">
        <v>2010</v>
      </c>
      <c r="D1412">
        <v>2010</v>
      </c>
      <c r="E1412" t="s">
        <v>24</v>
      </c>
      <c r="F1412">
        <v>130</v>
      </c>
      <c r="G1412" t="s">
        <v>3999</v>
      </c>
      <c r="H1412" t="s">
        <v>250</v>
      </c>
      <c r="I1412" t="s">
        <v>196</v>
      </c>
      <c r="J1412" t="s">
        <v>3018</v>
      </c>
      <c r="K1412">
        <v>10353</v>
      </c>
      <c r="L1412">
        <v>355.68</v>
      </c>
      <c r="M1412">
        <v>355.68</v>
      </c>
      <c r="N1412" t="s">
        <v>3998</v>
      </c>
      <c r="O1412" t="s">
        <v>606</v>
      </c>
      <c r="P1412" t="str">
        <f>TRIM(Table13_1[[#This Row],[Genre]])</f>
        <v>Sci-Fi</v>
      </c>
    </row>
    <row r="1413" spans="1:16" x14ac:dyDescent="0.3">
      <c r="A1413" t="s">
        <v>3015</v>
      </c>
      <c r="B1413" t="s">
        <v>3016</v>
      </c>
      <c r="C1413">
        <v>2010</v>
      </c>
      <c r="D1413">
        <v>2010</v>
      </c>
      <c r="E1413" t="s">
        <v>24</v>
      </c>
      <c r="F1413">
        <v>130</v>
      </c>
      <c r="G1413" t="s">
        <v>3999</v>
      </c>
      <c r="H1413" t="s">
        <v>250</v>
      </c>
      <c r="I1413" t="s">
        <v>196</v>
      </c>
      <c r="J1413" t="s">
        <v>3018</v>
      </c>
      <c r="K1413">
        <v>10353</v>
      </c>
      <c r="L1413">
        <v>355.68</v>
      </c>
      <c r="M1413">
        <v>355.68</v>
      </c>
      <c r="N1413" t="s">
        <v>3998</v>
      </c>
      <c r="O1413" t="s">
        <v>3979</v>
      </c>
      <c r="P1413" t="str">
        <f>TRIM(Table13_1[[#This Row],[Genre]])</f>
        <v>War</v>
      </c>
    </row>
    <row r="1414" spans="1:16" x14ac:dyDescent="0.3">
      <c r="A1414" t="s">
        <v>3019</v>
      </c>
      <c r="B1414" t="s">
        <v>3020</v>
      </c>
      <c r="C1414">
        <v>2004</v>
      </c>
      <c r="D1414">
        <v>2000</v>
      </c>
      <c r="E1414" t="s">
        <v>24</v>
      </c>
      <c r="F1414">
        <v>77</v>
      </c>
      <c r="G1414" t="s">
        <v>4000</v>
      </c>
      <c r="H1414" t="s">
        <v>164</v>
      </c>
      <c r="I1414" t="s">
        <v>27</v>
      </c>
      <c r="J1414" t="s">
        <v>3022</v>
      </c>
      <c r="K1414">
        <v>418943</v>
      </c>
      <c r="L1414">
        <v>356.71</v>
      </c>
      <c r="M1414">
        <v>356.71</v>
      </c>
      <c r="N1414" t="s">
        <v>3998</v>
      </c>
      <c r="O1414" t="s">
        <v>1044</v>
      </c>
      <c r="P1414" t="str">
        <f>TRIM(Table13_1[[#This Row],[Genre]])</f>
        <v>Comedy</v>
      </c>
    </row>
    <row r="1415" spans="1:16" x14ac:dyDescent="0.3">
      <c r="A1415" t="s">
        <v>3019</v>
      </c>
      <c r="B1415" t="s">
        <v>3020</v>
      </c>
      <c r="C1415">
        <v>2004</v>
      </c>
      <c r="D1415">
        <v>2000</v>
      </c>
      <c r="E1415" t="s">
        <v>24</v>
      </c>
      <c r="F1415">
        <v>77</v>
      </c>
      <c r="G1415" t="s">
        <v>4000</v>
      </c>
      <c r="H1415" t="s">
        <v>164</v>
      </c>
      <c r="I1415" t="s">
        <v>27</v>
      </c>
      <c r="J1415" t="s">
        <v>3022</v>
      </c>
      <c r="K1415">
        <v>418943</v>
      </c>
      <c r="L1415">
        <v>356.71</v>
      </c>
      <c r="M1415">
        <v>356.71</v>
      </c>
      <c r="N1415" t="s">
        <v>3998</v>
      </c>
      <c r="O1415" t="s">
        <v>3977</v>
      </c>
      <c r="P1415" t="str">
        <f>TRIM(Table13_1[[#This Row],[Genre]])</f>
        <v>Animation</v>
      </c>
    </row>
    <row r="1416" spans="1:16" x14ac:dyDescent="0.3">
      <c r="A1416" t="s">
        <v>3019</v>
      </c>
      <c r="B1416" t="s">
        <v>3020</v>
      </c>
      <c r="C1416">
        <v>2004</v>
      </c>
      <c r="D1416">
        <v>2000</v>
      </c>
      <c r="E1416" t="s">
        <v>24</v>
      </c>
      <c r="F1416">
        <v>77</v>
      </c>
      <c r="G1416" t="s">
        <v>4000</v>
      </c>
      <c r="H1416" t="s">
        <v>164</v>
      </c>
      <c r="I1416" t="s">
        <v>27</v>
      </c>
      <c r="J1416" t="s">
        <v>3022</v>
      </c>
      <c r="K1416">
        <v>418943</v>
      </c>
      <c r="L1416">
        <v>356.71</v>
      </c>
      <c r="M1416">
        <v>356.71</v>
      </c>
      <c r="N1416" t="s">
        <v>3998</v>
      </c>
      <c r="O1416" t="s">
        <v>3988</v>
      </c>
      <c r="P1416" t="str">
        <f>TRIM(Table13_1[[#This Row],[Genre]])</f>
        <v>Drama</v>
      </c>
    </row>
    <row r="1417" spans="1:16" x14ac:dyDescent="0.3">
      <c r="A1417" t="s">
        <v>3023</v>
      </c>
      <c r="B1417" t="s">
        <v>3024</v>
      </c>
      <c r="C1417">
        <v>2020</v>
      </c>
      <c r="D1417">
        <v>2020</v>
      </c>
      <c r="E1417" t="s">
        <v>24</v>
      </c>
      <c r="F1417">
        <v>140</v>
      </c>
      <c r="G1417" t="s">
        <v>3999</v>
      </c>
      <c r="H1417" t="s">
        <v>852</v>
      </c>
      <c r="I1417" t="s">
        <v>39</v>
      </c>
      <c r="J1417" t="s">
        <v>3025</v>
      </c>
      <c r="K1417">
        <v>431961</v>
      </c>
      <c r="M1417">
        <v>0</v>
      </c>
      <c r="N1417" t="s">
        <v>4001</v>
      </c>
      <c r="O1417" t="s">
        <v>55</v>
      </c>
      <c r="P1417" t="str">
        <f>TRIM(Table13_1[[#This Row],[Genre]])</f>
        <v>Romance</v>
      </c>
    </row>
    <row r="1418" spans="1:16" x14ac:dyDescent="0.3">
      <c r="A1418" t="s">
        <v>3023</v>
      </c>
      <c r="B1418" t="s">
        <v>3024</v>
      </c>
      <c r="C1418">
        <v>2020</v>
      </c>
      <c r="D1418">
        <v>2020</v>
      </c>
      <c r="E1418" t="s">
        <v>24</v>
      </c>
      <c r="F1418">
        <v>140</v>
      </c>
      <c r="G1418" t="s">
        <v>3999</v>
      </c>
      <c r="H1418" t="s">
        <v>852</v>
      </c>
      <c r="I1418" t="s">
        <v>39</v>
      </c>
      <c r="J1418" t="s">
        <v>3025</v>
      </c>
      <c r="K1418">
        <v>431961</v>
      </c>
      <c r="M1418">
        <v>0</v>
      </c>
      <c r="N1418" t="s">
        <v>4001</v>
      </c>
      <c r="O1418" t="s">
        <v>3979</v>
      </c>
      <c r="P1418" t="str">
        <f>TRIM(Table13_1[[#This Row],[Genre]])</f>
        <v>War</v>
      </c>
    </row>
    <row r="1419" spans="1:16" x14ac:dyDescent="0.3">
      <c r="A1419" t="s">
        <v>3026</v>
      </c>
      <c r="B1419" t="s">
        <v>3027</v>
      </c>
      <c r="C1419">
        <v>2000</v>
      </c>
      <c r="D1419">
        <v>2000</v>
      </c>
      <c r="E1419" t="s">
        <v>285</v>
      </c>
      <c r="F1419">
        <v>130</v>
      </c>
      <c r="G1419" t="s">
        <v>3999</v>
      </c>
      <c r="H1419" t="s">
        <v>305</v>
      </c>
      <c r="I1419" t="s">
        <v>103</v>
      </c>
      <c r="J1419" t="s">
        <v>3029</v>
      </c>
      <c r="K1419">
        <v>57726</v>
      </c>
      <c r="L1419">
        <v>242.04</v>
      </c>
      <c r="M1419">
        <v>242.04</v>
      </c>
      <c r="N1419" t="s">
        <v>3998</v>
      </c>
      <c r="O1419" t="s">
        <v>78</v>
      </c>
      <c r="P1419" t="str">
        <f>TRIM(Table13_1[[#This Row],[Genre]])</f>
        <v>Adventure</v>
      </c>
    </row>
    <row r="1420" spans="1:16" x14ac:dyDescent="0.3">
      <c r="A1420" t="s">
        <v>3026</v>
      </c>
      <c r="B1420" t="s">
        <v>3027</v>
      </c>
      <c r="C1420">
        <v>2000</v>
      </c>
      <c r="D1420">
        <v>2000</v>
      </c>
      <c r="E1420" t="s">
        <v>285</v>
      </c>
      <c r="F1420">
        <v>130</v>
      </c>
      <c r="G1420" t="s">
        <v>3999</v>
      </c>
      <c r="H1420" t="s">
        <v>305</v>
      </c>
      <c r="I1420" t="s">
        <v>103</v>
      </c>
      <c r="J1420" t="s">
        <v>3029</v>
      </c>
      <c r="K1420">
        <v>57726</v>
      </c>
      <c r="L1420">
        <v>242.04</v>
      </c>
      <c r="M1420">
        <v>242.04</v>
      </c>
      <c r="N1420" t="s">
        <v>3998</v>
      </c>
      <c r="O1420" t="s">
        <v>3980</v>
      </c>
      <c r="P1420" t="str">
        <f>TRIM(Table13_1[[#This Row],[Genre]])</f>
        <v>Action</v>
      </c>
    </row>
    <row r="1421" spans="1:16" x14ac:dyDescent="0.3">
      <c r="A1421" t="s">
        <v>3030</v>
      </c>
      <c r="B1421" t="s">
        <v>3031</v>
      </c>
      <c r="C1421">
        <v>2022</v>
      </c>
      <c r="D1421">
        <v>2020</v>
      </c>
      <c r="E1421" t="s">
        <v>24</v>
      </c>
      <c r="F1421">
        <v>134</v>
      </c>
      <c r="G1421" t="s">
        <v>3999</v>
      </c>
      <c r="H1421" t="s">
        <v>85</v>
      </c>
      <c r="I1421" t="s">
        <v>221</v>
      </c>
      <c r="J1421" t="s">
        <v>3032</v>
      </c>
      <c r="K1421">
        <v>71898</v>
      </c>
      <c r="M1421">
        <v>0</v>
      </c>
      <c r="N1421" t="s">
        <v>4001</v>
      </c>
      <c r="O1421" t="s">
        <v>767</v>
      </c>
      <c r="P1421" t="str">
        <f>TRIM(Table13_1[[#This Row],[Genre]])</f>
        <v>Fantasy</v>
      </c>
    </row>
    <row r="1422" spans="1:16" x14ac:dyDescent="0.3">
      <c r="A1422" t="s">
        <v>3030</v>
      </c>
      <c r="B1422" t="s">
        <v>3031</v>
      </c>
      <c r="C1422">
        <v>2022</v>
      </c>
      <c r="D1422">
        <v>2020</v>
      </c>
      <c r="E1422" t="s">
        <v>24</v>
      </c>
      <c r="F1422">
        <v>134</v>
      </c>
      <c r="G1422" t="s">
        <v>3999</v>
      </c>
      <c r="H1422" t="s">
        <v>85</v>
      </c>
      <c r="I1422" t="s">
        <v>221</v>
      </c>
      <c r="J1422" t="s">
        <v>3032</v>
      </c>
      <c r="K1422">
        <v>71898</v>
      </c>
      <c r="M1422">
        <v>0</v>
      </c>
      <c r="N1422" t="s">
        <v>4001</v>
      </c>
      <c r="O1422" t="s">
        <v>3989</v>
      </c>
      <c r="P1422" t="str">
        <f>TRIM(Table13_1[[#This Row],[Genre]])</f>
        <v>Sci-Fi</v>
      </c>
    </row>
    <row r="1423" spans="1:16" x14ac:dyDescent="0.3">
      <c r="A1423" t="s">
        <v>3033</v>
      </c>
      <c r="B1423" t="s">
        <v>3034</v>
      </c>
      <c r="C1423">
        <v>2008</v>
      </c>
      <c r="D1423">
        <v>2000</v>
      </c>
      <c r="E1423" t="s">
        <v>17</v>
      </c>
      <c r="F1423">
        <v>125</v>
      </c>
      <c r="G1423" t="s">
        <v>3999</v>
      </c>
      <c r="H1423" t="s">
        <v>67</v>
      </c>
      <c r="I1423" t="s">
        <v>196</v>
      </c>
      <c r="J1423" t="s">
        <v>3035</v>
      </c>
      <c r="K1423">
        <v>21863</v>
      </c>
      <c r="L1423">
        <v>252.14</v>
      </c>
      <c r="M1423">
        <v>252.14</v>
      </c>
      <c r="N1423" t="s">
        <v>3998</v>
      </c>
      <c r="O1423" t="s">
        <v>48</v>
      </c>
      <c r="P1423" t="str">
        <f>TRIM(Table13_1[[#This Row],[Genre]])</f>
        <v>Crime</v>
      </c>
    </row>
    <row r="1424" spans="1:16" x14ac:dyDescent="0.3">
      <c r="A1424" t="s">
        <v>3036</v>
      </c>
      <c r="B1424" t="s">
        <v>3037</v>
      </c>
      <c r="C1424">
        <v>2016</v>
      </c>
      <c r="D1424">
        <v>2010</v>
      </c>
      <c r="E1424" t="s">
        <v>24</v>
      </c>
      <c r="F1424">
        <v>103</v>
      </c>
      <c r="G1424" t="s">
        <v>3997</v>
      </c>
      <c r="H1424" t="s">
        <v>561</v>
      </c>
      <c r="I1424" t="s">
        <v>547</v>
      </c>
      <c r="J1424" t="s">
        <v>3038</v>
      </c>
      <c r="K1424">
        <v>26670</v>
      </c>
      <c r="L1424">
        <v>167.6</v>
      </c>
      <c r="M1424">
        <v>167.6</v>
      </c>
      <c r="N1424" t="s">
        <v>4002</v>
      </c>
      <c r="O1424" t="s">
        <v>37</v>
      </c>
      <c r="P1424" t="str">
        <f>TRIM(Table13_1[[#This Row],[Genre]])</f>
        <v>Biography</v>
      </c>
    </row>
    <row r="1425" spans="1:16" x14ac:dyDescent="0.3">
      <c r="A1425" t="s">
        <v>3036</v>
      </c>
      <c r="B1425" t="s">
        <v>3037</v>
      </c>
      <c r="C1425">
        <v>2016</v>
      </c>
      <c r="D1425">
        <v>2010</v>
      </c>
      <c r="E1425" t="s">
        <v>24</v>
      </c>
      <c r="F1425">
        <v>103</v>
      </c>
      <c r="G1425" t="s">
        <v>3997</v>
      </c>
      <c r="H1425" t="s">
        <v>561</v>
      </c>
      <c r="I1425" t="s">
        <v>547</v>
      </c>
      <c r="J1425" t="s">
        <v>3038</v>
      </c>
      <c r="K1425">
        <v>26670</v>
      </c>
      <c r="L1425">
        <v>167.6</v>
      </c>
      <c r="M1425">
        <v>167.6</v>
      </c>
      <c r="N1425" t="s">
        <v>4002</v>
      </c>
      <c r="O1425" t="s">
        <v>3981</v>
      </c>
      <c r="P1425" t="str">
        <f>TRIM(Table13_1[[#This Row],[Genre]])</f>
        <v>Romance</v>
      </c>
    </row>
    <row r="1426" spans="1:16" x14ac:dyDescent="0.3">
      <c r="A1426" t="s">
        <v>3039</v>
      </c>
      <c r="B1426" t="s">
        <v>3040</v>
      </c>
      <c r="C1426">
        <v>2016</v>
      </c>
      <c r="D1426">
        <v>2010</v>
      </c>
      <c r="E1426" t="s">
        <v>54</v>
      </c>
      <c r="F1426">
        <v>123</v>
      </c>
      <c r="G1426" t="s">
        <v>3999</v>
      </c>
      <c r="H1426" t="s">
        <v>3041</v>
      </c>
      <c r="I1426" t="s">
        <v>57</v>
      </c>
      <c r="J1426" t="s">
        <v>3042</v>
      </c>
      <c r="K1426">
        <v>123724</v>
      </c>
      <c r="L1426">
        <v>338.05</v>
      </c>
      <c r="M1426">
        <v>338.05</v>
      </c>
      <c r="N1426" t="s">
        <v>3998</v>
      </c>
      <c r="O1426" t="s">
        <v>72</v>
      </c>
      <c r="P1426" t="str">
        <f>TRIM(Table13_1[[#This Row],[Genre]])</f>
        <v>War</v>
      </c>
    </row>
    <row r="1427" spans="1:16" x14ac:dyDescent="0.3">
      <c r="A1427" t="s">
        <v>3039</v>
      </c>
      <c r="B1427" t="s">
        <v>3040</v>
      </c>
      <c r="C1427">
        <v>2016</v>
      </c>
      <c r="D1427">
        <v>2010</v>
      </c>
      <c r="E1427" t="s">
        <v>54</v>
      </c>
      <c r="F1427">
        <v>123</v>
      </c>
      <c r="G1427" t="s">
        <v>3999</v>
      </c>
      <c r="H1427" t="s">
        <v>3041</v>
      </c>
      <c r="I1427" t="s">
        <v>57</v>
      </c>
      <c r="J1427" t="s">
        <v>3042</v>
      </c>
      <c r="K1427">
        <v>123724</v>
      </c>
      <c r="L1427">
        <v>338.05</v>
      </c>
      <c r="M1427">
        <v>338.05</v>
      </c>
      <c r="N1427" t="s">
        <v>3998</v>
      </c>
      <c r="O1427" t="s">
        <v>3981</v>
      </c>
      <c r="P1427" t="str">
        <f>TRIM(Table13_1[[#This Row],[Genre]])</f>
        <v>Romance</v>
      </c>
    </row>
    <row r="1428" spans="1:16" x14ac:dyDescent="0.3">
      <c r="A1428" t="s">
        <v>3043</v>
      </c>
      <c r="B1428" t="s">
        <v>3044</v>
      </c>
      <c r="C1428">
        <v>1982</v>
      </c>
      <c r="D1428">
        <v>1980</v>
      </c>
      <c r="E1428" t="s">
        <v>24</v>
      </c>
      <c r="F1428">
        <v>101</v>
      </c>
      <c r="G1428" t="s">
        <v>3997</v>
      </c>
      <c r="H1428" t="s">
        <v>67</v>
      </c>
      <c r="I1428" t="s">
        <v>165</v>
      </c>
      <c r="J1428" t="s">
        <v>3046</v>
      </c>
      <c r="K1428">
        <v>111553</v>
      </c>
      <c r="L1428">
        <v>263.64999999999998</v>
      </c>
      <c r="M1428">
        <v>263.64999999999998</v>
      </c>
      <c r="N1428" t="s">
        <v>3998</v>
      </c>
      <c r="O1428" t="s">
        <v>48</v>
      </c>
      <c r="P1428" t="str">
        <f>TRIM(Table13_1[[#This Row],[Genre]])</f>
        <v>Crime</v>
      </c>
    </row>
    <row r="1429" spans="1:16" x14ac:dyDescent="0.3">
      <c r="A1429" t="s">
        <v>3043</v>
      </c>
      <c r="B1429" t="s">
        <v>3044</v>
      </c>
      <c r="C1429">
        <v>1982</v>
      </c>
      <c r="D1429">
        <v>1980</v>
      </c>
      <c r="E1429" t="s">
        <v>24</v>
      </c>
      <c r="F1429">
        <v>101</v>
      </c>
      <c r="G1429" t="s">
        <v>3997</v>
      </c>
      <c r="H1429" t="s">
        <v>67</v>
      </c>
      <c r="I1429" t="s">
        <v>165</v>
      </c>
      <c r="J1429" t="s">
        <v>3046</v>
      </c>
      <c r="K1429">
        <v>111553</v>
      </c>
      <c r="L1429">
        <v>263.64999999999998</v>
      </c>
      <c r="M1429">
        <v>263.64999999999998</v>
      </c>
      <c r="N1429" t="s">
        <v>3998</v>
      </c>
      <c r="O1429" t="s">
        <v>3988</v>
      </c>
      <c r="P1429" t="str">
        <f>TRIM(Table13_1[[#This Row],[Genre]])</f>
        <v>Drama</v>
      </c>
    </row>
    <row r="1430" spans="1:16" x14ac:dyDescent="0.3">
      <c r="A1430" t="s">
        <v>3047</v>
      </c>
      <c r="B1430" t="s">
        <v>3048</v>
      </c>
      <c r="C1430">
        <v>2016</v>
      </c>
      <c r="D1430">
        <v>2010</v>
      </c>
      <c r="E1430" t="s">
        <v>54</v>
      </c>
      <c r="F1430">
        <v>83</v>
      </c>
      <c r="G1430" t="s">
        <v>4000</v>
      </c>
      <c r="H1430" t="s">
        <v>3050</v>
      </c>
      <c r="I1430" t="s">
        <v>251</v>
      </c>
      <c r="J1430" t="s">
        <v>3051</v>
      </c>
      <c r="K1430">
        <v>18367</v>
      </c>
      <c r="L1430">
        <v>422.3</v>
      </c>
      <c r="M1430">
        <v>422.3</v>
      </c>
      <c r="N1430" t="s">
        <v>3998</v>
      </c>
      <c r="O1430" t="s">
        <v>210</v>
      </c>
      <c r="P1430" t="str">
        <f>TRIM(Table13_1[[#This Row],[Genre]])</f>
        <v>Action</v>
      </c>
    </row>
    <row r="1431" spans="1:16" x14ac:dyDescent="0.3">
      <c r="A1431" t="s">
        <v>3047</v>
      </c>
      <c r="B1431" t="s">
        <v>3048</v>
      </c>
      <c r="C1431">
        <v>2016</v>
      </c>
      <c r="D1431">
        <v>2010</v>
      </c>
      <c r="E1431" t="s">
        <v>54</v>
      </c>
      <c r="F1431">
        <v>83</v>
      </c>
      <c r="G1431" t="s">
        <v>4000</v>
      </c>
      <c r="H1431" t="s">
        <v>3050</v>
      </c>
      <c r="I1431" t="s">
        <v>251</v>
      </c>
      <c r="J1431" t="s">
        <v>3051</v>
      </c>
      <c r="K1431">
        <v>18367</v>
      </c>
      <c r="L1431">
        <v>422.3</v>
      </c>
      <c r="M1431">
        <v>422.3</v>
      </c>
      <c r="N1431" t="s">
        <v>3998</v>
      </c>
      <c r="O1431" t="s">
        <v>3988</v>
      </c>
      <c r="P1431" t="str">
        <f>TRIM(Table13_1[[#This Row],[Genre]])</f>
        <v>Drama</v>
      </c>
    </row>
    <row r="1432" spans="1:16" x14ac:dyDescent="0.3">
      <c r="A1432" t="s">
        <v>3052</v>
      </c>
      <c r="B1432" t="s">
        <v>3053</v>
      </c>
      <c r="C1432">
        <v>2003</v>
      </c>
      <c r="D1432">
        <v>2000</v>
      </c>
      <c r="E1432" t="s">
        <v>17</v>
      </c>
      <c r="F1432">
        <v>131</v>
      </c>
      <c r="G1432" t="s">
        <v>3999</v>
      </c>
      <c r="H1432" t="s">
        <v>422</v>
      </c>
      <c r="I1432" t="s">
        <v>718</v>
      </c>
      <c r="J1432" t="s">
        <v>3055</v>
      </c>
      <c r="K1432">
        <v>32225</v>
      </c>
      <c r="L1432">
        <v>148.58000000000001</v>
      </c>
      <c r="M1432">
        <v>148.58000000000001</v>
      </c>
      <c r="N1432" t="s">
        <v>4002</v>
      </c>
      <c r="O1432" t="s">
        <v>375</v>
      </c>
      <c r="P1432" t="str">
        <f>TRIM(Table13_1[[#This Row],[Genre]])</f>
        <v>Family</v>
      </c>
    </row>
    <row r="1433" spans="1:16" x14ac:dyDescent="0.3">
      <c r="A1433" t="s">
        <v>3052</v>
      </c>
      <c r="B1433" t="s">
        <v>3053</v>
      </c>
      <c r="C1433">
        <v>2003</v>
      </c>
      <c r="D1433">
        <v>2000</v>
      </c>
      <c r="E1433" t="s">
        <v>17</v>
      </c>
      <c r="F1433">
        <v>131</v>
      </c>
      <c r="G1433" t="s">
        <v>3999</v>
      </c>
      <c r="H1433" t="s">
        <v>422</v>
      </c>
      <c r="I1433" t="s">
        <v>718</v>
      </c>
      <c r="J1433" t="s">
        <v>3055</v>
      </c>
      <c r="K1433">
        <v>32225</v>
      </c>
      <c r="L1433">
        <v>148.58000000000001</v>
      </c>
      <c r="M1433">
        <v>148.58000000000001</v>
      </c>
      <c r="N1433" t="s">
        <v>4002</v>
      </c>
      <c r="O1433" t="s">
        <v>3986</v>
      </c>
      <c r="P1433" t="str">
        <f>TRIM(Table13_1[[#This Row],[Genre]])</f>
        <v>Documentary</v>
      </c>
    </row>
    <row r="1434" spans="1:16" x14ac:dyDescent="0.3">
      <c r="A1434" t="s">
        <v>3052</v>
      </c>
      <c r="B1434" t="s">
        <v>3053</v>
      </c>
      <c r="C1434">
        <v>2003</v>
      </c>
      <c r="D1434">
        <v>2000</v>
      </c>
      <c r="E1434" t="s">
        <v>17</v>
      </c>
      <c r="F1434">
        <v>131</v>
      </c>
      <c r="G1434" t="s">
        <v>3999</v>
      </c>
      <c r="H1434" t="s">
        <v>422</v>
      </c>
      <c r="I1434" t="s">
        <v>718</v>
      </c>
      <c r="J1434" t="s">
        <v>3055</v>
      </c>
      <c r="K1434">
        <v>32225</v>
      </c>
      <c r="L1434">
        <v>148.58000000000001</v>
      </c>
      <c r="M1434">
        <v>148.58000000000001</v>
      </c>
      <c r="N1434" t="s">
        <v>4002</v>
      </c>
      <c r="O1434" t="s">
        <v>3984</v>
      </c>
      <c r="P1434" t="str">
        <f>TRIM(Table13_1[[#This Row],[Genre]])</f>
        <v>Adventure</v>
      </c>
    </row>
    <row r="1435" spans="1:16" x14ac:dyDescent="0.3">
      <c r="A1435" t="s">
        <v>3056</v>
      </c>
      <c r="B1435" t="s">
        <v>3057</v>
      </c>
      <c r="C1435">
        <v>2011</v>
      </c>
      <c r="D1435">
        <v>2010</v>
      </c>
      <c r="E1435" t="s">
        <v>169</v>
      </c>
      <c r="F1435">
        <v>138</v>
      </c>
      <c r="G1435" t="s">
        <v>3999</v>
      </c>
      <c r="H1435" t="s">
        <v>2931</v>
      </c>
      <c r="I1435" t="s">
        <v>159</v>
      </c>
      <c r="J1435" t="s">
        <v>3058</v>
      </c>
      <c r="K1435">
        <v>50254</v>
      </c>
      <c r="M1435">
        <v>0</v>
      </c>
      <c r="N1435" t="s">
        <v>4001</v>
      </c>
      <c r="O1435" t="s">
        <v>375</v>
      </c>
      <c r="P1435" t="str">
        <f>TRIM(Table13_1[[#This Row],[Genre]])</f>
        <v>Family</v>
      </c>
    </row>
    <row r="1436" spans="1:16" x14ac:dyDescent="0.3">
      <c r="A1436" t="s">
        <v>3056</v>
      </c>
      <c r="B1436" t="s">
        <v>3057</v>
      </c>
      <c r="C1436">
        <v>2011</v>
      </c>
      <c r="D1436">
        <v>2010</v>
      </c>
      <c r="E1436" t="s">
        <v>169</v>
      </c>
      <c r="F1436">
        <v>138</v>
      </c>
      <c r="G1436" t="s">
        <v>3999</v>
      </c>
      <c r="H1436" t="s">
        <v>2931</v>
      </c>
      <c r="I1436" t="s">
        <v>159</v>
      </c>
      <c r="J1436" t="s">
        <v>3058</v>
      </c>
      <c r="K1436">
        <v>50254</v>
      </c>
      <c r="M1436">
        <v>0</v>
      </c>
      <c r="N1436" t="s">
        <v>4001</v>
      </c>
      <c r="O1436" t="s">
        <v>3984</v>
      </c>
      <c r="P1436" t="str">
        <f>TRIM(Table13_1[[#This Row],[Genre]])</f>
        <v>Adventure</v>
      </c>
    </row>
    <row r="1437" spans="1:16" x14ac:dyDescent="0.3">
      <c r="A1437" t="s">
        <v>3059</v>
      </c>
      <c r="B1437" t="s">
        <v>3060</v>
      </c>
      <c r="C1437">
        <v>2003</v>
      </c>
      <c r="D1437">
        <v>2000</v>
      </c>
      <c r="E1437" t="s">
        <v>17</v>
      </c>
      <c r="F1437">
        <v>140</v>
      </c>
      <c r="G1437" t="s">
        <v>3999</v>
      </c>
      <c r="H1437" t="s">
        <v>898</v>
      </c>
      <c r="I1437" t="s">
        <v>165</v>
      </c>
      <c r="J1437" t="s">
        <v>3061</v>
      </c>
      <c r="K1437">
        <v>1756183</v>
      </c>
      <c r="L1437">
        <v>328.97</v>
      </c>
      <c r="M1437">
        <v>328.97</v>
      </c>
      <c r="N1437" t="s">
        <v>3998</v>
      </c>
      <c r="O1437" t="s">
        <v>55</v>
      </c>
      <c r="P1437" t="str">
        <f>TRIM(Table13_1[[#This Row],[Genre]])</f>
        <v>Romance</v>
      </c>
    </row>
    <row r="1438" spans="1:16" x14ac:dyDescent="0.3">
      <c r="A1438" t="s">
        <v>3062</v>
      </c>
      <c r="B1438" t="s">
        <v>3063</v>
      </c>
      <c r="C1438">
        <v>2014</v>
      </c>
      <c r="D1438">
        <v>2010</v>
      </c>
      <c r="E1438" t="s">
        <v>54</v>
      </c>
      <c r="F1438">
        <v>125</v>
      </c>
      <c r="G1438" t="s">
        <v>3999</v>
      </c>
      <c r="H1438" t="s">
        <v>3064</v>
      </c>
      <c r="I1438" t="s">
        <v>50</v>
      </c>
      <c r="J1438" t="s">
        <v>3065</v>
      </c>
      <c r="K1438">
        <v>102976</v>
      </c>
      <c r="L1438">
        <v>31.42</v>
      </c>
      <c r="M1438">
        <v>31.42</v>
      </c>
      <c r="N1438" t="s">
        <v>4001</v>
      </c>
      <c r="O1438" t="s">
        <v>767</v>
      </c>
      <c r="P1438" t="str">
        <f>TRIM(Table13_1[[#This Row],[Genre]])</f>
        <v>Fantasy</v>
      </c>
    </row>
    <row r="1439" spans="1:16" x14ac:dyDescent="0.3">
      <c r="A1439" t="s">
        <v>3062</v>
      </c>
      <c r="B1439" t="s">
        <v>3063</v>
      </c>
      <c r="C1439">
        <v>2014</v>
      </c>
      <c r="D1439">
        <v>2010</v>
      </c>
      <c r="E1439" t="s">
        <v>54</v>
      </c>
      <c r="F1439">
        <v>125</v>
      </c>
      <c r="G1439" t="s">
        <v>3999</v>
      </c>
      <c r="H1439" t="s">
        <v>3064</v>
      </c>
      <c r="I1439" t="s">
        <v>50</v>
      </c>
      <c r="J1439" t="s">
        <v>3065</v>
      </c>
      <c r="K1439">
        <v>102976</v>
      </c>
      <c r="L1439">
        <v>31.42</v>
      </c>
      <c r="M1439">
        <v>31.42</v>
      </c>
      <c r="N1439" t="s">
        <v>4001</v>
      </c>
      <c r="O1439" t="s">
        <v>3981</v>
      </c>
      <c r="P1439" t="str">
        <f>TRIM(Table13_1[[#This Row],[Genre]])</f>
        <v>Romance</v>
      </c>
    </row>
    <row r="1440" spans="1:16" x14ac:dyDescent="0.3">
      <c r="A1440" t="s">
        <v>3066</v>
      </c>
      <c r="B1440" t="s">
        <v>3067</v>
      </c>
      <c r="C1440">
        <v>2003</v>
      </c>
      <c r="D1440">
        <v>2000</v>
      </c>
      <c r="E1440" t="s">
        <v>17</v>
      </c>
      <c r="F1440">
        <v>145</v>
      </c>
      <c r="G1440" t="s">
        <v>3999</v>
      </c>
      <c r="H1440" t="s">
        <v>3069</v>
      </c>
      <c r="I1440" t="s">
        <v>593</v>
      </c>
      <c r="J1440" t="s">
        <v>3070</v>
      </c>
      <c r="K1440">
        <v>183048</v>
      </c>
      <c r="L1440">
        <v>214.67</v>
      </c>
      <c r="M1440">
        <v>214.67</v>
      </c>
      <c r="N1440" t="s">
        <v>3998</v>
      </c>
      <c r="O1440" t="s">
        <v>868</v>
      </c>
      <c r="P1440" t="str">
        <f>TRIM(Table13_1[[#This Row],[Genre]])</f>
        <v>Western</v>
      </c>
    </row>
    <row r="1441" spans="1:16" x14ac:dyDescent="0.3">
      <c r="A1441" t="s">
        <v>3066</v>
      </c>
      <c r="B1441" t="s">
        <v>3067</v>
      </c>
      <c r="C1441">
        <v>2003</v>
      </c>
      <c r="D1441">
        <v>2000</v>
      </c>
      <c r="E1441" t="s">
        <v>17</v>
      </c>
      <c r="F1441">
        <v>145</v>
      </c>
      <c r="G1441" t="s">
        <v>3999</v>
      </c>
      <c r="H1441" t="s">
        <v>3069</v>
      </c>
      <c r="I1441" t="s">
        <v>593</v>
      </c>
      <c r="J1441" t="s">
        <v>3070</v>
      </c>
      <c r="K1441">
        <v>183048</v>
      </c>
      <c r="L1441">
        <v>214.67</v>
      </c>
      <c r="M1441">
        <v>214.67</v>
      </c>
      <c r="N1441" t="s">
        <v>3998</v>
      </c>
      <c r="O1441" t="s">
        <v>3984</v>
      </c>
      <c r="P1441" t="str">
        <f>TRIM(Table13_1[[#This Row],[Genre]])</f>
        <v>Adventure</v>
      </c>
    </row>
    <row r="1442" spans="1:16" x14ac:dyDescent="0.3">
      <c r="A1442" t="s">
        <v>3066</v>
      </c>
      <c r="B1442" t="s">
        <v>3067</v>
      </c>
      <c r="C1442">
        <v>2003</v>
      </c>
      <c r="D1442">
        <v>2000</v>
      </c>
      <c r="E1442" t="s">
        <v>17</v>
      </c>
      <c r="F1442">
        <v>145</v>
      </c>
      <c r="G1442" t="s">
        <v>3999</v>
      </c>
      <c r="H1442" t="s">
        <v>3069</v>
      </c>
      <c r="I1442" t="s">
        <v>593</v>
      </c>
      <c r="J1442" t="s">
        <v>3070</v>
      </c>
      <c r="K1442">
        <v>183048</v>
      </c>
      <c r="L1442">
        <v>214.67</v>
      </c>
      <c r="M1442">
        <v>214.67</v>
      </c>
      <c r="N1442" t="s">
        <v>3998</v>
      </c>
      <c r="O1442" t="s">
        <v>3983</v>
      </c>
      <c r="P1442" t="str">
        <f>TRIM(Table13_1[[#This Row],[Genre]])</f>
        <v>Crime</v>
      </c>
    </row>
    <row r="1443" spans="1:16" x14ac:dyDescent="0.3">
      <c r="A1443" t="s">
        <v>3071</v>
      </c>
      <c r="B1443" t="s">
        <v>3072</v>
      </c>
      <c r="C1443">
        <v>2022</v>
      </c>
      <c r="D1443">
        <v>2020</v>
      </c>
      <c r="E1443" t="s">
        <v>17</v>
      </c>
      <c r="F1443">
        <v>98</v>
      </c>
      <c r="G1443" t="s">
        <v>3997</v>
      </c>
      <c r="H1443" t="s">
        <v>3074</v>
      </c>
      <c r="I1443" t="s">
        <v>63</v>
      </c>
      <c r="J1443" t="s">
        <v>3075</v>
      </c>
      <c r="K1443">
        <v>1057107</v>
      </c>
      <c r="M1443">
        <v>0</v>
      </c>
      <c r="N1443" t="s">
        <v>4001</v>
      </c>
      <c r="O1443" t="s">
        <v>48</v>
      </c>
      <c r="P1443" t="str">
        <f>TRIM(Table13_1[[#This Row],[Genre]])</f>
        <v>Crime</v>
      </c>
    </row>
    <row r="1444" spans="1:16" x14ac:dyDescent="0.3">
      <c r="A1444" t="s">
        <v>3071</v>
      </c>
      <c r="B1444" t="s">
        <v>3072</v>
      </c>
      <c r="C1444">
        <v>2022</v>
      </c>
      <c r="D1444">
        <v>2020</v>
      </c>
      <c r="E1444" t="s">
        <v>17</v>
      </c>
      <c r="F1444">
        <v>98</v>
      </c>
      <c r="G1444" t="s">
        <v>3997</v>
      </c>
      <c r="H1444" t="s">
        <v>3074</v>
      </c>
      <c r="I1444" t="s">
        <v>63</v>
      </c>
      <c r="J1444" t="s">
        <v>3075</v>
      </c>
      <c r="K1444">
        <v>1057107</v>
      </c>
      <c r="M1444">
        <v>0</v>
      </c>
      <c r="N1444" t="s">
        <v>4001</v>
      </c>
      <c r="O1444" t="s">
        <v>3976</v>
      </c>
      <c r="P1444" t="str">
        <f>TRIM(Table13_1[[#This Row],[Genre]])</f>
        <v>Musical</v>
      </c>
    </row>
    <row r="1445" spans="1:16" x14ac:dyDescent="0.3">
      <c r="A1445" t="s">
        <v>3071</v>
      </c>
      <c r="B1445" t="s">
        <v>3072</v>
      </c>
      <c r="C1445">
        <v>2022</v>
      </c>
      <c r="D1445">
        <v>2020</v>
      </c>
      <c r="E1445" t="s">
        <v>17</v>
      </c>
      <c r="F1445">
        <v>98</v>
      </c>
      <c r="G1445" t="s">
        <v>3997</v>
      </c>
      <c r="H1445" t="s">
        <v>3074</v>
      </c>
      <c r="I1445" t="s">
        <v>63</v>
      </c>
      <c r="J1445" t="s">
        <v>3075</v>
      </c>
      <c r="K1445">
        <v>1057107</v>
      </c>
      <c r="M1445">
        <v>0</v>
      </c>
      <c r="N1445" t="s">
        <v>4001</v>
      </c>
      <c r="O1445" t="s">
        <v>3989</v>
      </c>
      <c r="P1445" t="str">
        <f>TRIM(Table13_1[[#This Row],[Genre]])</f>
        <v>Sci-Fi</v>
      </c>
    </row>
    <row r="1446" spans="1:16" x14ac:dyDescent="0.3">
      <c r="A1446" t="s">
        <v>3076</v>
      </c>
      <c r="B1446" t="s">
        <v>3077</v>
      </c>
      <c r="C1446">
        <v>2021</v>
      </c>
      <c r="D1446">
        <v>2020</v>
      </c>
      <c r="E1446" t="s">
        <v>17</v>
      </c>
      <c r="F1446">
        <v>112</v>
      </c>
      <c r="G1446" t="s">
        <v>3997</v>
      </c>
      <c r="H1446" t="s">
        <v>3079</v>
      </c>
      <c r="I1446" t="s">
        <v>74</v>
      </c>
      <c r="J1446" t="s">
        <v>3080</v>
      </c>
      <c r="K1446">
        <v>182825</v>
      </c>
      <c r="L1446">
        <v>263.27999999999997</v>
      </c>
      <c r="M1446">
        <v>263.27999999999997</v>
      </c>
      <c r="N1446" t="s">
        <v>3998</v>
      </c>
      <c r="O1446" t="s">
        <v>129</v>
      </c>
      <c r="P1446" t="str">
        <f>TRIM(Table13_1[[#This Row],[Genre]])</f>
        <v>Horror</v>
      </c>
    </row>
    <row r="1447" spans="1:16" x14ac:dyDescent="0.3">
      <c r="A1447" t="s">
        <v>3076</v>
      </c>
      <c r="B1447" t="s">
        <v>3077</v>
      </c>
      <c r="C1447">
        <v>2021</v>
      </c>
      <c r="D1447">
        <v>2020</v>
      </c>
      <c r="E1447" t="s">
        <v>17</v>
      </c>
      <c r="F1447">
        <v>112</v>
      </c>
      <c r="G1447" t="s">
        <v>3997</v>
      </c>
      <c r="H1447" t="s">
        <v>3079</v>
      </c>
      <c r="I1447" t="s">
        <v>74</v>
      </c>
      <c r="J1447" t="s">
        <v>3080</v>
      </c>
      <c r="K1447">
        <v>182825</v>
      </c>
      <c r="L1447">
        <v>263.27999999999997</v>
      </c>
      <c r="M1447">
        <v>263.27999999999997</v>
      </c>
      <c r="N1447" t="s">
        <v>3998</v>
      </c>
      <c r="O1447" t="s">
        <v>3989</v>
      </c>
      <c r="P1447" t="str">
        <f>TRIM(Table13_1[[#This Row],[Genre]])</f>
        <v>Sci-Fi</v>
      </c>
    </row>
    <row r="1448" spans="1:16" x14ac:dyDescent="0.3">
      <c r="A1448" t="s">
        <v>3076</v>
      </c>
      <c r="B1448" t="s">
        <v>3077</v>
      </c>
      <c r="C1448">
        <v>2021</v>
      </c>
      <c r="D1448">
        <v>2020</v>
      </c>
      <c r="E1448" t="s">
        <v>17</v>
      </c>
      <c r="F1448">
        <v>112</v>
      </c>
      <c r="G1448" t="s">
        <v>3997</v>
      </c>
      <c r="H1448" t="s">
        <v>3079</v>
      </c>
      <c r="I1448" t="s">
        <v>74</v>
      </c>
      <c r="J1448" t="s">
        <v>3080</v>
      </c>
      <c r="K1448">
        <v>182825</v>
      </c>
      <c r="L1448">
        <v>263.27999999999997</v>
      </c>
      <c r="M1448">
        <v>263.27999999999997</v>
      </c>
      <c r="N1448" t="s">
        <v>3998</v>
      </c>
      <c r="O1448" t="s">
        <v>3978</v>
      </c>
      <c r="P1448" t="str">
        <f>TRIM(Table13_1[[#This Row],[Genre]])</f>
        <v>Mystery</v>
      </c>
    </row>
    <row r="1449" spans="1:16" x14ac:dyDescent="0.3">
      <c r="A1449" t="s">
        <v>3081</v>
      </c>
      <c r="B1449" t="s">
        <v>3082</v>
      </c>
      <c r="C1449">
        <v>2010</v>
      </c>
      <c r="D1449">
        <v>2010</v>
      </c>
      <c r="E1449" t="s">
        <v>24</v>
      </c>
      <c r="F1449">
        <v>94</v>
      </c>
      <c r="G1449" t="s">
        <v>3997</v>
      </c>
      <c r="H1449" t="s">
        <v>1155</v>
      </c>
      <c r="I1449" t="s">
        <v>50</v>
      </c>
      <c r="J1449" t="s">
        <v>3083</v>
      </c>
      <c r="K1449">
        <v>34105</v>
      </c>
      <c r="L1449">
        <v>218.4</v>
      </c>
      <c r="M1449">
        <v>218.4</v>
      </c>
      <c r="N1449" t="s">
        <v>3998</v>
      </c>
      <c r="O1449" t="s">
        <v>72</v>
      </c>
      <c r="P1449" t="str">
        <f>TRIM(Table13_1[[#This Row],[Genre]])</f>
        <v>War</v>
      </c>
    </row>
    <row r="1450" spans="1:16" x14ac:dyDescent="0.3">
      <c r="A1450" t="s">
        <v>3081</v>
      </c>
      <c r="B1450" t="s">
        <v>3082</v>
      </c>
      <c r="C1450">
        <v>2010</v>
      </c>
      <c r="D1450">
        <v>2010</v>
      </c>
      <c r="E1450" t="s">
        <v>24</v>
      </c>
      <c r="F1450">
        <v>94</v>
      </c>
      <c r="G1450" t="s">
        <v>3997</v>
      </c>
      <c r="H1450" t="s">
        <v>1155</v>
      </c>
      <c r="I1450" t="s">
        <v>50</v>
      </c>
      <c r="J1450" t="s">
        <v>3083</v>
      </c>
      <c r="K1450">
        <v>34105</v>
      </c>
      <c r="L1450">
        <v>218.4</v>
      </c>
      <c r="M1450">
        <v>218.4</v>
      </c>
      <c r="N1450" t="s">
        <v>3998</v>
      </c>
      <c r="O1450" t="s">
        <v>3988</v>
      </c>
      <c r="P1450" t="str">
        <f>TRIM(Table13_1[[#This Row],[Genre]])</f>
        <v>Drama</v>
      </c>
    </row>
    <row r="1451" spans="1:16" x14ac:dyDescent="0.3">
      <c r="A1451" t="s">
        <v>3084</v>
      </c>
      <c r="B1451" t="s">
        <v>3085</v>
      </c>
      <c r="C1451">
        <v>2000</v>
      </c>
      <c r="D1451">
        <v>2000</v>
      </c>
      <c r="E1451" t="s">
        <v>54</v>
      </c>
      <c r="F1451">
        <v>113</v>
      </c>
      <c r="G1451" t="s">
        <v>3997</v>
      </c>
      <c r="H1451" t="s">
        <v>355</v>
      </c>
      <c r="I1451" t="s">
        <v>33</v>
      </c>
      <c r="J1451" t="s">
        <v>3086</v>
      </c>
      <c r="K1451">
        <v>38036</v>
      </c>
      <c r="L1451">
        <v>98.29</v>
      </c>
      <c r="M1451">
        <v>98.29</v>
      </c>
      <c r="N1451" t="s">
        <v>4001</v>
      </c>
      <c r="O1451" t="s">
        <v>868</v>
      </c>
      <c r="P1451" t="str">
        <f>TRIM(Table13_1[[#This Row],[Genre]])</f>
        <v>Western</v>
      </c>
    </row>
    <row r="1452" spans="1:16" x14ac:dyDescent="0.3">
      <c r="A1452" t="s">
        <v>3084</v>
      </c>
      <c r="B1452" t="s">
        <v>3085</v>
      </c>
      <c r="C1452">
        <v>2000</v>
      </c>
      <c r="D1452">
        <v>2000</v>
      </c>
      <c r="E1452" t="s">
        <v>54</v>
      </c>
      <c r="F1452">
        <v>113</v>
      </c>
      <c r="G1452" t="s">
        <v>3997</v>
      </c>
      <c r="H1452" t="s">
        <v>355</v>
      </c>
      <c r="I1452" t="s">
        <v>33</v>
      </c>
      <c r="J1452" t="s">
        <v>3086</v>
      </c>
      <c r="K1452">
        <v>38036</v>
      </c>
      <c r="L1452">
        <v>98.29</v>
      </c>
      <c r="M1452">
        <v>98.29</v>
      </c>
      <c r="N1452" t="s">
        <v>4001</v>
      </c>
      <c r="O1452" t="s">
        <v>3987</v>
      </c>
      <c r="P1452" t="str">
        <f>TRIM(Table13_1[[#This Row],[Genre]])</f>
        <v>Fantasy</v>
      </c>
    </row>
    <row r="1453" spans="1:16" x14ac:dyDescent="0.3">
      <c r="A1453" t="s">
        <v>3087</v>
      </c>
      <c r="B1453" t="s">
        <v>3088</v>
      </c>
      <c r="C1453">
        <v>2005</v>
      </c>
      <c r="D1453">
        <v>2000</v>
      </c>
      <c r="E1453" t="s">
        <v>54</v>
      </c>
      <c r="F1453">
        <v>132</v>
      </c>
      <c r="G1453" t="s">
        <v>3999</v>
      </c>
      <c r="H1453" t="s">
        <v>3090</v>
      </c>
      <c r="I1453" t="s">
        <v>33</v>
      </c>
      <c r="J1453" t="s">
        <v>3091</v>
      </c>
      <c r="K1453">
        <v>10051</v>
      </c>
      <c r="M1453">
        <v>0</v>
      </c>
      <c r="N1453" t="s">
        <v>4001</v>
      </c>
      <c r="O1453" t="s">
        <v>48</v>
      </c>
      <c r="P1453" t="str">
        <f>TRIM(Table13_1[[#This Row],[Genre]])</f>
        <v>Crime</v>
      </c>
    </row>
    <row r="1454" spans="1:16" x14ac:dyDescent="0.3">
      <c r="A1454" t="s">
        <v>3087</v>
      </c>
      <c r="B1454" t="s">
        <v>3088</v>
      </c>
      <c r="C1454">
        <v>2005</v>
      </c>
      <c r="D1454">
        <v>2000</v>
      </c>
      <c r="E1454" t="s">
        <v>54</v>
      </c>
      <c r="F1454">
        <v>132</v>
      </c>
      <c r="G1454" t="s">
        <v>3999</v>
      </c>
      <c r="H1454" t="s">
        <v>3090</v>
      </c>
      <c r="I1454" t="s">
        <v>33</v>
      </c>
      <c r="J1454" t="s">
        <v>3091</v>
      </c>
      <c r="K1454">
        <v>10051</v>
      </c>
      <c r="M1454">
        <v>0</v>
      </c>
      <c r="N1454" t="s">
        <v>4001</v>
      </c>
      <c r="O1454" t="s">
        <v>3988</v>
      </c>
      <c r="P1454" t="str">
        <f>TRIM(Table13_1[[#This Row],[Genre]])</f>
        <v>Drama</v>
      </c>
    </row>
    <row r="1455" spans="1:16" x14ac:dyDescent="0.3">
      <c r="A1455" t="s">
        <v>3087</v>
      </c>
      <c r="B1455" t="s">
        <v>3088</v>
      </c>
      <c r="C1455">
        <v>2005</v>
      </c>
      <c r="D1455">
        <v>2000</v>
      </c>
      <c r="E1455" t="s">
        <v>54</v>
      </c>
      <c r="F1455">
        <v>132</v>
      </c>
      <c r="G1455" t="s">
        <v>3999</v>
      </c>
      <c r="H1455" t="s">
        <v>3090</v>
      </c>
      <c r="I1455" t="s">
        <v>33</v>
      </c>
      <c r="J1455" t="s">
        <v>3091</v>
      </c>
      <c r="K1455">
        <v>10051</v>
      </c>
      <c r="M1455">
        <v>0</v>
      </c>
      <c r="N1455" t="s">
        <v>4001</v>
      </c>
      <c r="O1455" t="s">
        <v>3984</v>
      </c>
      <c r="P1455" t="str">
        <f>TRIM(Table13_1[[#This Row],[Genre]])</f>
        <v>Adventure</v>
      </c>
    </row>
    <row r="1456" spans="1:16" x14ac:dyDescent="0.3">
      <c r="A1456" t="s">
        <v>3092</v>
      </c>
      <c r="B1456" t="s">
        <v>3093</v>
      </c>
      <c r="C1456">
        <v>2012</v>
      </c>
      <c r="D1456">
        <v>2010</v>
      </c>
      <c r="E1456" t="s">
        <v>293</v>
      </c>
      <c r="F1456">
        <v>144</v>
      </c>
      <c r="G1456" t="s">
        <v>3999</v>
      </c>
      <c r="H1456" t="s">
        <v>2640</v>
      </c>
      <c r="I1456" t="s">
        <v>483</v>
      </c>
      <c r="J1456" t="s">
        <v>3095</v>
      </c>
      <c r="K1456">
        <v>12451</v>
      </c>
      <c r="M1456">
        <v>0</v>
      </c>
      <c r="N1456" t="s">
        <v>4001</v>
      </c>
      <c r="O1456" t="s">
        <v>37</v>
      </c>
      <c r="P1456" t="str">
        <f>TRIM(Table13_1[[#This Row],[Genre]])</f>
        <v>Biography</v>
      </c>
    </row>
    <row r="1457" spans="1:16" x14ac:dyDescent="0.3">
      <c r="A1457" t="s">
        <v>3092</v>
      </c>
      <c r="B1457" t="s">
        <v>3093</v>
      </c>
      <c r="C1457">
        <v>2012</v>
      </c>
      <c r="D1457">
        <v>2010</v>
      </c>
      <c r="E1457" t="s">
        <v>293</v>
      </c>
      <c r="F1457">
        <v>144</v>
      </c>
      <c r="G1457" t="s">
        <v>3999</v>
      </c>
      <c r="H1457" t="s">
        <v>2640</v>
      </c>
      <c r="I1457" t="s">
        <v>483</v>
      </c>
      <c r="J1457" t="s">
        <v>3095</v>
      </c>
      <c r="K1457">
        <v>12451</v>
      </c>
      <c r="M1457">
        <v>0</v>
      </c>
      <c r="N1457" t="s">
        <v>4001</v>
      </c>
      <c r="O1457" t="s">
        <v>3979</v>
      </c>
      <c r="P1457" t="str">
        <f>TRIM(Table13_1[[#This Row],[Genre]])</f>
        <v>War</v>
      </c>
    </row>
    <row r="1458" spans="1:16" x14ac:dyDescent="0.3">
      <c r="A1458" t="s">
        <v>3096</v>
      </c>
      <c r="B1458" t="s">
        <v>3097</v>
      </c>
      <c r="C1458">
        <v>2002</v>
      </c>
      <c r="D1458">
        <v>2000</v>
      </c>
      <c r="E1458" t="s">
        <v>17</v>
      </c>
      <c r="F1458">
        <v>109</v>
      </c>
      <c r="G1458" t="s">
        <v>3997</v>
      </c>
      <c r="H1458" t="s">
        <v>3099</v>
      </c>
      <c r="I1458" t="s">
        <v>524</v>
      </c>
      <c r="J1458" t="s">
        <v>3100</v>
      </c>
      <c r="K1458">
        <v>70238</v>
      </c>
      <c r="L1458">
        <v>36.72</v>
      </c>
      <c r="M1458">
        <v>36.72</v>
      </c>
      <c r="N1458" t="s">
        <v>4001</v>
      </c>
      <c r="O1458" t="s">
        <v>606</v>
      </c>
      <c r="P1458" t="str">
        <f>TRIM(Table13_1[[#This Row],[Genre]])</f>
        <v>Sci-Fi</v>
      </c>
    </row>
    <row r="1459" spans="1:16" x14ac:dyDescent="0.3">
      <c r="A1459" t="s">
        <v>3096</v>
      </c>
      <c r="B1459" t="s">
        <v>3097</v>
      </c>
      <c r="C1459">
        <v>2002</v>
      </c>
      <c r="D1459">
        <v>2000</v>
      </c>
      <c r="E1459" t="s">
        <v>17</v>
      </c>
      <c r="F1459">
        <v>109</v>
      </c>
      <c r="G1459" t="s">
        <v>3997</v>
      </c>
      <c r="H1459" t="s">
        <v>3099</v>
      </c>
      <c r="I1459" t="s">
        <v>524</v>
      </c>
      <c r="J1459" t="s">
        <v>3100</v>
      </c>
      <c r="K1459">
        <v>70238</v>
      </c>
      <c r="L1459">
        <v>36.72</v>
      </c>
      <c r="M1459">
        <v>36.72</v>
      </c>
      <c r="N1459" t="s">
        <v>4001</v>
      </c>
      <c r="O1459" t="s">
        <v>3981</v>
      </c>
      <c r="P1459" t="str">
        <f>TRIM(Table13_1[[#This Row],[Genre]])</f>
        <v>Romance</v>
      </c>
    </row>
    <row r="1460" spans="1:16" x14ac:dyDescent="0.3">
      <c r="A1460" t="s">
        <v>3096</v>
      </c>
      <c r="B1460" t="s">
        <v>3097</v>
      </c>
      <c r="C1460">
        <v>2002</v>
      </c>
      <c r="D1460">
        <v>2000</v>
      </c>
      <c r="E1460" t="s">
        <v>17</v>
      </c>
      <c r="F1460">
        <v>109</v>
      </c>
      <c r="G1460" t="s">
        <v>3997</v>
      </c>
      <c r="H1460" t="s">
        <v>3099</v>
      </c>
      <c r="I1460" t="s">
        <v>524</v>
      </c>
      <c r="J1460" t="s">
        <v>3100</v>
      </c>
      <c r="K1460">
        <v>70238</v>
      </c>
      <c r="L1460">
        <v>36.72</v>
      </c>
      <c r="M1460">
        <v>36.72</v>
      </c>
      <c r="N1460" t="s">
        <v>4001</v>
      </c>
      <c r="O1460" t="s">
        <v>3988</v>
      </c>
      <c r="P1460" t="str">
        <f>TRIM(Table13_1[[#This Row],[Genre]])</f>
        <v>Drama</v>
      </c>
    </row>
    <row r="1461" spans="1:16" x14ac:dyDescent="0.3">
      <c r="A1461" t="s">
        <v>3101</v>
      </c>
      <c r="B1461" t="s">
        <v>3102</v>
      </c>
      <c r="C1461">
        <v>2004</v>
      </c>
      <c r="D1461">
        <v>2000</v>
      </c>
      <c r="E1461" t="s">
        <v>285</v>
      </c>
      <c r="F1461">
        <v>128</v>
      </c>
      <c r="G1461" t="s">
        <v>3999</v>
      </c>
      <c r="H1461" t="s">
        <v>38</v>
      </c>
      <c r="I1461" t="s">
        <v>147</v>
      </c>
      <c r="J1461" t="s">
        <v>3103</v>
      </c>
      <c r="K1461">
        <v>55069</v>
      </c>
      <c r="L1461">
        <v>105.26</v>
      </c>
      <c r="M1461">
        <v>105.26</v>
      </c>
      <c r="N1461" t="s">
        <v>4002</v>
      </c>
      <c r="O1461" t="s">
        <v>37</v>
      </c>
      <c r="P1461" t="str">
        <f>TRIM(Table13_1[[#This Row],[Genre]])</f>
        <v>Biography</v>
      </c>
    </row>
    <row r="1462" spans="1:16" x14ac:dyDescent="0.3">
      <c r="A1462" t="s">
        <v>3101</v>
      </c>
      <c r="B1462" t="s">
        <v>3102</v>
      </c>
      <c r="C1462">
        <v>2004</v>
      </c>
      <c r="D1462">
        <v>2000</v>
      </c>
      <c r="E1462" t="s">
        <v>285</v>
      </c>
      <c r="F1462">
        <v>128</v>
      </c>
      <c r="G1462" t="s">
        <v>3999</v>
      </c>
      <c r="H1462" t="s">
        <v>38</v>
      </c>
      <c r="I1462" t="s">
        <v>147</v>
      </c>
      <c r="J1462" t="s">
        <v>3103</v>
      </c>
      <c r="K1462">
        <v>55069</v>
      </c>
      <c r="L1462">
        <v>105.26</v>
      </c>
      <c r="M1462">
        <v>105.26</v>
      </c>
      <c r="N1462" t="s">
        <v>4002</v>
      </c>
      <c r="O1462" t="s">
        <v>3980</v>
      </c>
      <c r="P1462" t="str">
        <f>TRIM(Table13_1[[#This Row],[Genre]])</f>
        <v>Action</v>
      </c>
    </row>
    <row r="1463" spans="1:16" x14ac:dyDescent="0.3">
      <c r="A1463" t="s">
        <v>3104</v>
      </c>
      <c r="B1463" t="s">
        <v>3105</v>
      </c>
      <c r="C1463">
        <v>2006</v>
      </c>
      <c r="D1463">
        <v>2000</v>
      </c>
      <c r="E1463" t="s">
        <v>17</v>
      </c>
      <c r="F1463">
        <v>123</v>
      </c>
      <c r="G1463" t="s">
        <v>3999</v>
      </c>
      <c r="H1463" t="s">
        <v>412</v>
      </c>
      <c r="I1463" t="s">
        <v>131</v>
      </c>
      <c r="J1463" t="s">
        <v>3107</v>
      </c>
      <c r="K1463">
        <v>37268</v>
      </c>
      <c r="M1463">
        <v>0</v>
      </c>
      <c r="N1463" t="s">
        <v>4001</v>
      </c>
      <c r="O1463" t="s">
        <v>78</v>
      </c>
      <c r="P1463" t="str">
        <f>TRIM(Table13_1[[#This Row],[Genre]])</f>
        <v>Adventure</v>
      </c>
    </row>
    <row r="1464" spans="1:16" x14ac:dyDescent="0.3">
      <c r="A1464" t="s">
        <v>3104</v>
      </c>
      <c r="B1464" t="s">
        <v>3105</v>
      </c>
      <c r="C1464">
        <v>2006</v>
      </c>
      <c r="D1464">
        <v>2000</v>
      </c>
      <c r="E1464" t="s">
        <v>17</v>
      </c>
      <c r="F1464">
        <v>123</v>
      </c>
      <c r="G1464" t="s">
        <v>3999</v>
      </c>
      <c r="H1464" t="s">
        <v>412</v>
      </c>
      <c r="I1464" t="s">
        <v>131</v>
      </c>
      <c r="J1464" t="s">
        <v>3107</v>
      </c>
      <c r="K1464">
        <v>37268</v>
      </c>
      <c r="M1464">
        <v>0</v>
      </c>
      <c r="N1464" t="s">
        <v>4001</v>
      </c>
      <c r="O1464" t="s">
        <v>3985</v>
      </c>
      <c r="P1464" t="str">
        <f>TRIM(Table13_1[[#This Row],[Genre]])</f>
        <v>Horror</v>
      </c>
    </row>
    <row r="1465" spans="1:16" x14ac:dyDescent="0.3">
      <c r="A1465" t="s">
        <v>3108</v>
      </c>
      <c r="B1465" t="s">
        <v>3109</v>
      </c>
      <c r="C1465">
        <v>2011</v>
      </c>
      <c r="D1465">
        <v>2010</v>
      </c>
      <c r="E1465" t="s">
        <v>54</v>
      </c>
      <c r="F1465">
        <v>144</v>
      </c>
      <c r="G1465" t="s">
        <v>3999</v>
      </c>
      <c r="H1465" t="s">
        <v>3110</v>
      </c>
      <c r="I1465" t="s">
        <v>50</v>
      </c>
      <c r="J1465" t="s">
        <v>3111</v>
      </c>
      <c r="K1465">
        <v>90988</v>
      </c>
      <c r="L1465">
        <v>251.49</v>
      </c>
      <c r="M1465">
        <v>251.49</v>
      </c>
      <c r="N1465" t="s">
        <v>3998</v>
      </c>
      <c r="O1465" t="s">
        <v>48</v>
      </c>
      <c r="P1465" t="str">
        <f>TRIM(Table13_1[[#This Row],[Genre]])</f>
        <v>Crime</v>
      </c>
    </row>
    <row r="1466" spans="1:16" x14ac:dyDescent="0.3">
      <c r="A1466" t="s">
        <v>3108</v>
      </c>
      <c r="B1466" t="s">
        <v>3109</v>
      </c>
      <c r="C1466">
        <v>2011</v>
      </c>
      <c r="D1466">
        <v>2010</v>
      </c>
      <c r="E1466" t="s">
        <v>54</v>
      </c>
      <c r="F1466">
        <v>144</v>
      </c>
      <c r="G1466" t="s">
        <v>3999</v>
      </c>
      <c r="H1466" t="s">
        <v>3110</v>
      </c>
      <c r="I1466" t="s">
        <v>50</v>
      </c>
      <c r="J1466" t="s">
        <v>3111</v>
      </c>
      <c r="K1466">
        <v>90988</v>
      </c>
      <c r="L1466">
        <v>251.49</v>
      </c>
      <c r="M1466">
        <v>251.49</v>
      </c>
      <c r="N1466" t="s">
        <v>3998</v>
      </c>
      <c r="O1466" t="s">
        <v>3988</v>
      </c>
      <c r="P1466" t="str">
        <f>TRIM(Table13_1[[#This Row],[Genre]])</f>
        <v>Drama</v>
      </c>
    </row>
    <row r="1467" spans="1:16" x14ac:dyDescent="0.3">
      <c r="A1467" t="s">
        <v>3112</v>
      </c>
      <c r="B1467" t="s">
        <v>3113</v>
      </c>
      <c r="C1467">
        <v>2003</v>
      </c>
      <c r="D1467">
        <v>2000</v>
      </c>
      <c r="E1467" t="s">
        <v>17</v>
      </c>
      <c r="F1467">
        <v>94</v>
      </c>
      <c r="G1467" t="s">
        <v>3997</v>
      </c>
      <c r="H1467" t="s">
        <v>226</v>
      </c>
      <c r="I1467" t="s">
        <v>315</v>
      </c>
      <c r="J1467" t="s">
        <v>3114</v>
      </c>
      <c r="K1467">
        <v>62263</v>
      </c>
      <c r="L1467">
        <v>28.32</v>
      </c>
      <c r="M1467">
        <v>28.32</v>
      </c>
      <c r="N1467" t="s">
        <v>4001</v>
      </c>
      <c r="O1467" t="s">
        <v>1044</v>
      </c>
      <c r="P1467" t="str">
        <f>TRIM(Table13_1[[#This Row],[Genre]])</f>
        <v>Comedy</v>
      </c>
    </row>
    <row r="1468" spans="1:16" x14ac:dyDescent="0.3">
      <c r="A1468" t="s">
        <v>3115</v>
      </c>
      <c r="B1468" t="s">
        <v>3116</v>
      </c>
      <c r="C1468">
        <v>2015</v>
      </c>
      <c r="D1468">
        <v>2010</v>
      </c>
      <c r="E1468" t="s">
        <v>54</v>
      </c>
      <c r="F1468">
        <v>136</v>
      </c>
      <c r="G1468" t="s">
        <v>3999</v>
      </c>
      <c r="H1468" t="s">
        <v>164</v>
      </c>
      <c r="I1468" t="s">
        <v>50</v>
      </c>
      <c r="J1468" t="s">
        <v>3117</v>
      </c>
      <c r="K1468">
        <v>30660</v>
      </c>
      <c r="L1468">
        <v>204.22</v>
      </c>
      <c r="M1468">
        <v>204.22</v>
      </c>
      <c r="N1468" t="s">
        <v>3998</v>
      </c>
      <c r="O1468" t="s">
        <v>1044</v>
      </c>
      <c r="P1468" t="str">
        <f>TRIM(Table13_1[[#This Row],[Genre]])</f>
        <v>Comedy</v>
      </c>
    </row>
    <row r="1469" spans="1:16" x14ac:dyDescent="0.3">
      <c r="A1469" t="s">
        <v>3115</v>
      </c>
      <c r="B1469" t="s">
        <v>3116</v>
      </c>
      <c r="C1469">
        <v>2015</v>
      </c>
      <c r="D1469">
        <v>2010</v>
      </c>
      <c r="E1469" t="s">
        <v>54</v>
      </c>
      <c r="F1469">
        <v>136</v>
      </c>
      <c r="G1469" t="s">
        <v>3999</v>
      </c>
      <c r="H1469" t="s">
        <v>164</v>
      </c>
      <c r="I1469" t="s">
        <v>50</v>
      </c>
      <c r="J1469" t="s">
        <v>3117</v>
      </c>
      <c r="K1469">
        <v>30660</v>
      </c>
      <c r="L1469">
        <v>204.22</v>
      </c>
      <c r="M1469">
        <v>204.22</v>
      </c>
      <c r="N1469" t="s">
        <v>3998</v>
      </c>
      <c r="O1469" t="s">
        <v>3991</v>
      </c>
      <c r="P1469" t="str">
        <f>TRIM(Table13_1[[#This Row],[Genre]])</f>
        <v>Thriller</v>
      </c>
    </row>
    <row r="1470" spans="1:16" x14ac:dyDescent="0.3">
      <c r="A1470" t="s">
        <v>3118</v>
      </c>
      <c r="B1470" t="s">
        <v>3119</v>
      </c>
      <c r="C1470">
        <v>2010</v>
      </c>
      <c r="D1470">
        <v>2010</v>
      </c>
      <c r="E1470" t="s">
        <v>17</v>
      </c>
      <c r="F1470">
        <v>105</v>
      </c>
      <c r="G1470" t="s">
        <v>3997</v>
      </c>
      <c r="H1470" t="s">
        <v>201</v>
      </c>
      <c r="I1470" t="s">
        <v>165</v>
      </c>
      <c r="J1470" t="s">
        <v>3121</v>
      </c>
      <c r="K1470">
        <v>7303</v>
      </c>
      <c r="L1470">
        <v>235.3</v>
      </c>
      <c r="M1470">
        <v>235.3</v>
      </c>
      <c r="N1470" t="s">
        <v>3998</v>
      </c>
      <c r="O1470" t="s">
        <v>235</v>
      </c>
      <c r="P1470" t="str">
        <f>TRIM(Table13_1[[#This Row],[Genre]])</f>
        <v>Drama</v>
      </c>
    </row>
    <row r="1471" spans="1:16" x14ac:dyDescent="0.3">
      <c r="A1471" t="s">
        <v>3118</v>
      </c>
      <c r="B1471" t="s">
        <v>3119</v>
      </c>
      <c r="C1471">
        <v>2010</v>
      </c>
      <c r="D1471">
        <v>2010</v>
      </c>
      <c r="E1471" t="s">
        <v>17</v>
      </c>
      <c r="F1471">
        <v>105</v>
      </c>
      <c r="G1471" t="s">
        <v>3997</v>
      </c>
      <c r="H1471" t="s">
        <v>201</v>
      </c>
      <c r="I1471" t="s">
        <v>165</v>
      </c>
      <c r="J1471" t="s">
        <v>3121</v>
      </c>
      <c r="K1471">
        <v>7303</v>
      </c>
      <c r="L1471">
        <v>235.3</v>
      </c>
      <c r="M1471">
        <v>235.3</v>
      </c>
      <c r="N1471" t="s">
        <v>3998</v>
      </c>
      <c r="O1471" t="s">
        <v>3989</v>
      </c>
      <c r="P1471" t="str">
        <f>TRIM(Table13_1[[#This Row],[Genre]])</f>
        <v>Sci-Fi</v>
      </c>
    </row>
    <row r="1472" spans="1:16" x14ac:dyDescent="0.3">
      <c r="A1472" t="s">
        <v>3122</v>
      </c>
      <c r="B1472" t="s">
        <v>3123</v>
      </c>
      <c r="C1472">
        <v>2007</v>
      </c>
      <c r="D1472">
        <v>2000</v>
      </c>
      <c r="E1472" t="s">
        <v>54</v>
      </c>
      <c r="F1472">
        <v>116</v>
      </c>
      <c r="G1472" t="s">
        <v>3997</v>
      </c>
      <c r="H1472" t="s">
        <v>269</v>
      </c>
      <c r="I1472" t="s">
        <v>547</v>
      </c>
      <c r="J1472" t="s">
        <v>3124</v>
      </c>
      <c r="K1472">
        <v>434502</v>
      </c>
      <c r="L1472">
        <v>168.04</v>
      </c>
      <c r="M1472">
        <v>168.04</v>
      </c>
      <c r="N1472" t="s">
        <v>4002</v>
      </c>
      <c r="O1472" t="s">
        <v>453</v>
      </c>
      <c r="P1472" t="str">
        <f>TRIM(Table13_1[[#This Row],[Genre]])</f>
        <v>Musical</v>
      </c>
    </row>
    <row r="1473" spans="1:16" x14ac:dyDescent="0.3">
      <c r="A1473" t="s">
        <v>3122</v>
      </c>
      <c r="B1473" t="s">
        <v>3123</v>
      </c>
      <c r="C1473">
        <v>2007</v>
      </c>
      <c r="D1473">
        <v>2000</v>
      </c>
      <c r="E1473" t="s">
        <v>54</v>
      </c>
      <c r="F1473">
        <v>116</v>
      </c>
      <c r="G1473" t="s">
        <v>3997</v>
      </c>
      <c r="H1473" t="s">
        <v>269</v>
      </c>
      <c r="I1473" t="s">
        <v>547</v>
      </c>
      <c r="J1473" t="s">
        <v>3124</v>
      </c>
      <c r="K1473">
        <v>434502</v>
      </c>
      <c r="L1473">
        <v>168.04</v>
      </c>
      <c r="M1473">
        <v>168.04</v>
      </c>
      <c r="N1473" t="s">
        <v>4002</v>
      </c>
      <c r="O1473" t="s">
        <v>3992</v>
      </c>
      <c r="P1473" t="str">
        <f>TRIM(Table13_1[[#This Row],[Genre]])</f>
        <v>Biography</v>
      </c>
    </row>
    <row r="1474" spans="1:16" x14ac:dyDescent="0.3">
      <c r="A1474" t="s">
        <v>3125</v>
      </c>
      <c r="B1474" t="s">
        <v>3126</v>
      </c>
      <c r="C1474">
        <v>2014</v>
      </c>
      <c r="D1474">
        <v>2010</v>
      </c>
      <c r="E1474" t="s">
        <v>293</v>
      </c>
      <c r="F1474">
        <v>136</v>
      </c>
      <c r="G1474" t="s">
        <v>3999</v>
      </c>
      <c r="H1474" t="s">
        <v>395</v>
      </c>
      <c r="I1474" t="s">
        <v>159</v>
      </c>
      <c r="J1474" t="s">
        <v>3128</v>
      </c>
      <c r="K1474">
        <v>25914</v>
      </c>
      <c r="L1474">
        <v>29</v>
      </c>
      <c r="M1474">
        <v>29</v>
      </c>
      <c r="N1474" t="s">
        <v>4001</v>
      </c>
      <c r="O1474" t="s">
        <v>277</v>
      </c>
      <c r="P1474" t="str">
        <f>TRIM(Table13_1[[#This Row],[Genre]])</f>
        <v>Thriller</v>
      </c>
    </row>
    <row r="1475" spans="1:16" x14ac:dyDescent="0.3">
      <c r="A1475" t="s">
        <v>3125</v>
      </c>
      <c r="B1475" t="s">
        <v>3126</v>
      </c>
      <c r="C1475">
        <v>2014</v>
      </c>
      <c r="D1475">
        <v>2010</v>
      </c>
      <c r="E1475" t="s">
        <v>293</v>
      </c>
      <c r="F1475">
        <v>136</v>
      </c>
      <c r="G1475" t="s">
        <v>3999</v>
      </c>
      <c r="H1475" t="s">
        <v>395</v>
      </c>
      <c r="I1475" t="s">
        <v>159</v>
      </c>
      <c r="J1475" t="s">
        <v>3128</v>
      </c>
      <c r="K1475">
        <v>25914</v>
      </c>
      <c r="L1475">
        <v>29</v>
      </c>
      <c r="M1475">
        <v>29</v>
      </c>
      <c r="N1475" t="s">
        <v>4001</v>
      </c>
      <c r="O1475" t="s">
        <v>3981</v>
      </c>
      <c r="P1475" t="str">
        <f>TRIM(Table13_1[[#This Row],[Genre]])</f>
        <v>Romance</v>
      </c>
    </row>
    <row r="1476" spans="1:16" x14ac:dyDescent="0.3">
      <c r="A1476" t="s">
        <v>3129</v>
      </c>
      <c r="B1476" t="s">
        <v>3130</v>
      </c>
      <c r="C1476">
        <v>2013</v>
      </c>
      <c r="D1476">
        <v>2010</v>
      </c>
      <c r="E1476" t="s">
        <v>285</v>
      </c>
      <c r="F1476">
        <v>140</v>
      </c>
      <c r="G1476" t="s">
        <v>3999</v>
      </c>
      <c r="H1476" t="s">
        <v>320</v>
      </c>
      <c r="I1476" t="s">
        <v>524</v>
      </c>
      <c r="J1476" t="s">
        <v>3131</v>
      </c>
      <c r="K1476">
        <v>196013</v>
      </c>
      <c r="L1476">
        <v>482.73</v>
      </c>
      <c r="M1476">
        <v>482.73</v>
      </c>
      <c r="N1476" t="s">
        <v>3998</v>
      </c>
      <c r="O1476" t="s">
        <v>767</v>
      </c>
      <c r="P1476" t="str">
        <f>TRIM(Table13_1[[#This Row],[Genre]])</f>
        <v>Fantasy</v>
      </c>
    </row>
    <row r="1477" spans="1:16" x14ac:dyDescent="0.3">
      <c r="A1477" t="s">
        <v>3132</v>
      </c>
      <c r="B1477" t="s">
        <v>3133</v>
      </c>
      <c r="C1477">
        <v>2010</v>
      </c>
      <c r="D1477">
        <v>2010</v>
      </c>
      <c r="E1477" t="s">
        <v>17</v>
      </c>
      <c r="F1477">
        <v>85</v>
      </c>
      <c r="G1477" t="s">
        <v>4000</v>
      </c>
      <c r="H1477" t="s">
        <v>32</v>
      </c>
      <c r="I1477" t="s">
        <v>33</v>
      </c>
      <c r="J1477" t="s">
        <v>3134</v>
      </c>
      <c r="K1477">
        <v>359031</v>
      </c>
      <c r="M1477">
        <v>0</v>
      </c>
      <c r="N1477" t="s">
        <v>4001</v>
      </c>
      <c r="O1477" t="s">
        <v>210</v>
      </c>
      <c r="P1477" t="str">
        <f>TRIM(Table13_1[[#This Row],[Genre]])</f>
        <v>Action</v>
      </c>
    </row>
    <row r="1478" spans="1:16" x14ac:dyDescent="0.3">
      <c r="A1478" t="s">
        <v>3132</v>
      </c>
      <c r="B1478" t="s">
        <v>3133</v>
      </c>
      <c r="C1478">
        <v>2010</v>
      </c>
      <c r="D1478">
        <v>2010</v>
      </c>
      <c r="E1478" t="s">
        <v>17</v>
      </c>
      <c r="F1478">
        <v>85</v>
      </c>
      <c r="G1478" t="s">
        <v>4000</v>
      </c>
      <c r="H1478" t="s">
        <v>32</v>
      </c>
      <c r="I1478" t="s">
        <v>33</v>
      </c>
      <c r="J1478" t="s">
        <v>3134</v>
      </c>
      <c r="K1478">
        <v>359031</v>
      </c>
      <c r="M1478">
        <v>0</v>
      </c>
      <c r="N1478" t="s">
        <v>4001</v>
      </c>
      <c r="O1478" t="s">
        <v>3987</v>
      </c>
      <c r="P1478" t="str">
        <f>TRIM(Table13_1[[#This Row],[Genre]])</f>
        <v>Fantasy</v>
      </c>
    </row>
    <row r="1479" spans="1:16" x14ac:dyDescent="0.3">
      <c r="A1479" t="s">
        <v>3135</v>
      </c>
      <c r="B1479" t="s">
        <v>3136</v>
      </c>
      <c r="C1479">
        <v>2007</v>
      </c>
      <c r="D1479">
        <v>2000</v>
      </c>
      <c r="E1479" t="s">
        <v>17</v>
      </c>
      <c r="F1479">
        <v>110</v>
      </c>
      <c r="G1479" t="s">
        <v>3997</v>
      </c>
      <c r="H1479" t="s">
        <v>164</v>
      </c>
      <c r="I1479" t="s">
        <v>368</v>
      </c>
      <c r="J1479" t="s">
        <v>3138</v>
      </c>
      <c r="K1479">
        <v>63021</v>
      </c>
      <c r="L1479">
        <v>159.86000000000001</v>
      </c>
      <c r="M1479">
        <v>159.86000000000001</v>
      </c>
      <c r="N1479" t="s">
        <v>4002</v>
      </c>
      <c r="O1479" t="s">
        <v>1044</v>
      </c>
      <c r="P1479" t="str">
        <f>TRIM(Table13_1[[#This Row],[Genre]])</f>
        <v>Comedy</v>
      </c>
    </row>
    <row r="1480" spans="1:16" x14ac:dyDescent="0.3">
      <c r="A1480" t="s">
        <v>3135</v>
      </c>
      <c r="B1480" t="s">
        <v>3136</v>
      </c>
      <c r="C1480">
        <v>2007</v>
      </c>
      <c r="D1480">
        <v>2000</v>
      </c>
      <c r="E1480" t="s">
        <v>17</v>
      </c>
      <c r="F1480">
        <v>110</v>
      </c>
      <c r="G1480" t="s">
        <v>3997</v>
      </c>
      <c r="H1480" t="s">
        <v>164</v>
      </c>
      <c r="I1480" t="s">
        <v>368</v>
      </c>
      <c r="J1480" t="s">
        <v>3138</v>
      </c>
      <c r="K1480">
        <v>63021</v>
      </c>
      <c r="L1480">
        <v>159.86000000000001</v>
      </c>
      <c r="M1480">
        <v>159.86000000000001</v>
      </c>
      <c r="N1480" t="s">
        <v>4002</v>
      </c>
      <c r="O1480" t="s">
        <v>3977</v>
      </c>
      <c r="P1480" t="str">
        <f>TRIM(Table13_1[[#This Row],[Genre]])</f>
        <v>Animation</v>
      </c>
    </row>
    <row r="1481" spans="1:16" x14ac:dyDescent="0.3">
      <c r="A1481" t="s">
        <v>3135</v>
      </c>
      <c r="B1481" t="s">
        <v>3136</v>
      </c>
      <c r="C1481">
        <v>2007</v>
      </c>
      <c r="D1481">
        <v>2000</v>
      </c>
      <c r="E1481" t="s">
        <v>17</v>
      </c>
      <c r="F1481">
        <v>110</v>
      </c>
      <c r="G1481" t="s">
        <v>3997</v>
      </c>
      <c r="H1481" t="s">
        <v>164</v>
      </c>
      <c r="I1481" t="s">
        <v>368</v>
      </c>
      <c r="J1481" t="s">
        <v>3138</v>
      </c>
      <c r="K1481">
        <v>63021</v>
      </c>
      <c r="L1481">
        <v>159.86000000000001</v>
      </c>
      <c r="M1481">
        <v>159.86000000000001</v>
      </c>
      <c r="N1481" t="s">
        <v>4002</v>
      </c>
      <c r="O1481" t="s">
        <v>3978</v>
      </c>
      <c r="P1481" t="str">
        <f>TRIM(Table13_1[[#This Row],[Genre]])</f>
        <v>Mystery</v>
      </c>
    </row>
    <row r="1482" spans="1:16" x14ac:dyDescent="0.3">
      <c r="A1482" t="s">
        <v>3139</v>
      </c>
      <c r="B1482" t="s">
        <v>3140</v>
      </c>
      <c r="C1482">
        <v>2013</v>
      </c>
      <c r="D1482">
        <v>2010</v>
      </c>
      <c r="E1482" t="s">
        <v>54</v>
      </c>
      <c r="F1482">
        <v>109</v>
      </c>
      <c r="G1482" t="s">
        <v>3997</v>
      </c>
      <c r="H1482" t="s">
        <v>158</v>
      </c>
      <c r="I1482" t="s">
        <v>547</v>
      </c>
      <c r="J1482" t="s">
        <v>3141</v>
      </c>
      <c r="K1482">
        <v>26024</v>
      </c>
      <c r="L1482">
        <v>419.59</v>
      </c>
      <c r="M1482">
        <v>419.59</v>
      </c>
      <c r="N1482" t="s">
        <v>3998</v>
      </c>
      <c r="O1482" t="s">
        <v>157</v>
      </c>
      <c r="P1482" t="str">
        <f>TRIM(Table13_1[[#This Row],[Genre]])</f>
        <v>Animation</v>
      </c>
    </row>
    <row r="1483" spans="1:16" x14ac:dyDescent="0.3">
      <c r="A1483" t="s">
        <v>3139</v>
      </c>
      <c r="B1483" t="s">
        <v>3140</v>
      </c>
      <c r="C1483">
        <v>2013</v>
      </c>
      <c r="D1483">
        <v>2010</v>
      </c>
      <c r="E1483" t="s">
        <v>54</v>
      </c>
      <c r="F1483">
        <v>109</v>
      </c>
      <c r="G1483" t="s">
        <v>3997</v>
      </c>
      <c r="H1483" t="s">
        <v>158</v>
      </c>
      <c r="I1483" t="s">
        <v>547</v>
      </c>
      <c r="J1483" t="s">
        <v>3141</v>
      </c>
      <c r="K1483">
        <v>26024</v>
      </c>
      <c r="L1483">
        <v>419.59</v>
      </c>
      <c r="M1483">
        <v>419.59</v>
      </c>
      <c r="N1483" t="s">
        <v>3998</v>
      </c>
      <c r="O1483" t="s">
        <v>3978</v>
      </c>
      <c r="P1483" t="str">
        <f>TRIM(Table13_1[[#This Row],[Genre]])</f>
        <v>Mystery</v>
      </c>
    </row>
    <row r="1484" spans="1:16" x14ac:dyDescent="0.3">
      <c r="A1484" t="s">
        <v>3142</v>
      </c>
      <c r="B1484" t="s">
        <v>3143</v>
      </c>
      <c r="C1484">
        <v>2001</v>
      </c>
      <c r="D1484">
        <v>2000</v>
      </c>
      <c r="E1484" t="s">
        <v>24</v>
      </c>
      <c r="F1484">
        <v>104</v>
      </c>
      <c r="G1484" t="s">
        <v>3997</v>
      </c>
      <c r="H1484" t="s">
        <v>1150</v>
      </c>
      <c r="I1484" t="s">
        <v>159</v>
      </c>
      <c r="J1484" t="s">
        <v>3144</v>
      </c>
      <c r="K1484">
        <v>7259</v>
      </c>
      <c r="L1484">
        <v>301.2</v>
      </c>
      <c r="M1484">
        <v>301.2</v>
      </c>
      <c r="N1484" t="s">
        <v>3998</v>
      </c>
      <c r="O1484" t="s">
        <v>868</v>
      </c>
      <c r="P1484" t="str">
        <f>TRIM(Table13_1[[#This Row],[Genre]])</f>
        <v>Western</v>
      </c>
    </row>
    <row r="1485" spans="1:16" x14ac:dyDescent="0.3">
      <c r="A1485" t="s">
        <v>3145</v>
      </c>
      <c r="B1485" t="s">
        <v>3146</v>
      </c>
      <c r="C1485">
        <v>2011</v>
      </c>
      <c r="D1485">
        <v>2010</v>
      </c>
      <c r="E1485" t="s">
        <v>24</v>
      </c>
      <c r="F1485">
        <v>121</v>
      </c>
      <c r="G1485" t="s">
        <v>3999</v>
      </c>
      <c r="H1485" t="s">
        <v>164</v>
      </c>
      <c r="I1485" t="s">
        <v>119</v>
      </c>
      <c r="J1485" t="s">
        <v>3147</v>
      </c>
      <c r="K1485">
        <v>170644</v>
      </c>
      <c r="M1485">
        <v>0</v>
      </c>
      <c r="N1485" t="s">
        <v>4001</v>
      </c>
      <c r="O1485" t="s">
        <v>1044</v>
      </c>
      <c r="P1485" t="str">
        <f>TRIM(Table13_1[[#This Row],[Genre]])</f>
        <v>Comedy</v>
      </c>
    </row>
    <row r="1486" spans="1:16" x14ac:dyDescent="0.3">
      <c r="A1486" t="s">
        <v>3148</v>
      </c>
      <c r="B1486" t="s">
        <v>3149</v>
      </c>
      <c r="C1486">
        <v>2010</v>
      </c>
      <c r="D1486">
        <v>2010</v>
      </c>
      <c r="E1486" t="s">
        <v>24</v>
      </c>
      <c r="F1486">
        <v>163</v>
      </c>
      <c r="G1486" t="s">
        <v>3999</v>
      </c>
      <c r="H1486" t="s">
        <v>220</v>
      </c>
      <c r="I1486" t="s">
        <v>593</v>
      </c>
      <c r="J1486" t="s">
        <v>3150</v>
      </c>
      <c r="K1486">
        <v>240809</v>
      </c>
      <c r="M1486">
        <v>0</v>
      </c>
      <c r="N1486" t="s">
        <v>4001</v>
      </c>
      <c r="O1486" t="s">
        <v>606</v>
      </c>
      <c r="P1486" t="str">
        <f>TRIM(Table13_1[[#This Row],[Genre]])</f>
        <v>Sci-Fi</v>
      </c>
    </row>
    <row r="1487" spans="1:16" x14ac:dyDescent="0.3">
      <c r="A1487" t="s">
        <v>3148</v>
      </c>
      <c r="B1487" t="s">
        <v>3149</v>
      </c>
      <c r="C1487">
        <v>2010</v>
      </c>
      <c r="D1487">
        <v>2010</v>
      </c>
      <c r="E1487" t="s">
        <v>24</v>
      </c>
      <c r="F1487">
        <v>163</v>
      </c>
      <c r="G1487" t="s">
        <v>3999</v>
      </c>
      <c r="H1487" t="s">
        <v>220</v>
      </c>
      <c r="I1487" t="s">
        <v>593</v>
      </c>
      <c r="J1487" t="s">
        <v>3150</v>
      </c>
      <c r="K1487">
        <v>240809</v>
      </c>
      <c r="M1487">
        <v>0</v>
      </c>
      <c r="N1487" t="s">
        <v>4001</v>
      </c>
      <c r="O1487" t="s">
        <v>3986</v>
      </c>
      <c r="P1487" t="str">
        <f>TRIM(Table13_1[[#This Row],[Genre]])</f>
        <v>Documentary</v>
      </c>
    </row>
    <row r="1488" spans="1:16" x14ac:dyDescent="0.3">
      <c r="A1488" t="s">
        <v>3151</v>
      </c>
      <c r="B1488" t="s">
        <v>3152</v>
      </c>
      <c r="C1488">
        <v>2006</v>
      </c>
      <c r="D1488">
        <v>2000</v>
      </c>
      <c r="E1488" t="s">
        <v>169</v>
      </c>
      <c r="F1488">
        <v>113</v>
      </c>
      <c r="G1488" t="s">
        <v>3997</v>
      </c>
      <c r="H1488" t="s">
        <v>201</v>
      </c>
      <c r="I1488" t="s">
        <v>86</v>
      </c>
      <c r="J1488" t="s">
        <v>3154</v>
      </c>
      <c r="K1488">
        <v>11757</v>
      </c>
      <c r="L1488">
        <v>321.99</v>
      </c>
      <c r="M1488">
        <v>321.99</v>
      </c>
      <c r="N1488" t="s">
        <v>3998</v>
      </c>
      <c r="O1488" t="s">
        <v>235</v>
      </c>
      <c r="P1488" t="str">
        <f>TRIM(Table13_1[[#This Row],[Genre]])</f>
        <v>Drama</v>
      </c>
    </row>
    <row r="1489" spans="1:16" x14ac:dyDescent="0.3">
      <c r="A1489" t="s">
        <v>3151</v>
      </c>
      <c r="B1489" t="s">
        <v>3152</v>
      </c>
      <c r="C1489">
        <v>2006</v>
      </c>
      <c r="D1489">
        <v>2000</v>
      </c>
      <c r="E1489" t="s">
        <v>169</v>
      </c>
      <c r="F1489">
        <v>113</v>
      </c>
      <c r="G1489" t="s">
        <v>3997</v>
      </c>
      <c r="H1489" t="s">
        <v>201</v>
      </c>
      <c r="I1489" t="s">
        <v>86</v>
      </c>
      <c r="J1489" t="s">
        <v>3154</v>
      </c>
      <c r="K1489">
        <v>11757</v>
      </c>
      <c r="L1489">
        <v>321.99</v>
      </c>
      <c r="M1489">
        <v>321.99</v>
      </c>
      <c r="N1489" t="s">
        <v>3998</v>
      </c>
      <c r="O1489" t="s">
        <v>3976</v>
      </c>
      <c r="P1489" t="str">
        <f>TRIM(Table13_1[[#This Row],[Genre]])</f>
        <v>Musical</v>
      </c>
    </row>
    <row r="1490" spans="1:16" x14ac:dyDescent="0.3">
      <c r="A1490" t="s">
        <v>3151</v>
      </c>
      <c r="B1490" t="s">
        <v>3152</v>
      </c>
      <c r="C1490">
        <v>2006</v>
      </c>
      <c r="D1490">
        <v>2000</v>
      </c>
      <c r="E1490" t="s">
        <v>169</v>
      </c>
      <c r="F1490">
        <v>113</v>
      </c>
      <c r="G1490" t="s">
        <v>3997</v>
      </c>
      <c r="H1490" t="s">
        <v>201</v>
      </c>
      <c r="I1490" t="s">
        <v>86</v>
      </c>
      <c r="J1490" t="s">
        <v>3154</v>
      </c>
      <c r="K1490">
        <v>11757</v>
      </c>
      <c r="L1490">
        <v>321.99</v>
      </c>
      <c r="M1490">
        <v>321.99</v>
      </c>
      <c r="N1490" t="s">
        <v>3998</v>
      </c>
      <c r="O1490" t="s">
        <v>3984</v>
      </c>
      <c r="P1490" t="str">
        <f>TRIM(Table13_1[[#This Row],[Genre]])</f>
        <v>Adventure</v>
      </c>
    </row>
    <row r="1491" spans="1:16" x14ac:dyDescent="0.3">
      <c r="A1491" t="s">
        <v>3155</v>
      </c>
      <c r="B1491" t="s">
        <v>3156</v>
      </c>
      <c r="C1491">
        <v>2006</v>
      </c>
      <c r="D1491">
        <v>2000</v>
      </c>
      <c r="E1491" t="s">
        <v>24</v>
      </c>
      <c r="F1491">
        <v>104</v>
      </c>
      <c r="G1491" t="s">
        <v>3997</v>
      </c>
      <c r="H1491" t="s">
        <v>3157</v>
      </c>
      <c r="I1491" t="s">
        <v>92</v>
      </c>
      <c r="J1491" t="s">
        <v>3158</v>
      </c>
      <c r="K1491">
        <v>15149</v>
      </c>
      <c r="M1491">
        <v>0</v>
      </c>
      <c r="N1491" t="s">
        <v>4001</v>
      </c>
      <c r="O1491" t="s">
        <v>43</v>
      </c>
      <c r="P1491" t="str">
        <f>TRIM(Table13_1[[#This Row],[Genre]])</f>
        <v>Mystery</v>
      </c>
    </row>
    <row r="1492" spans="1:16" x14ac:dyDescent="0.3">
      <c r="A1492" t="s">
        <v>3155</v>
      </c>
      <c r="B1492" t="s">
        <v>3156</v>
      </c>
      <c r="C1492">
        <v>2006</v>
      </c>
      <c r="D1492">
        <v>2000</v>
      </c>
      <c r="E1492" t="s">
        <v>24</v>
      </c>
      <c r="F1492">
        <v>104</v>
      </c>
      <c r="G1492" t="s">
        <v>3997</v>
      </c>
      <c r="H1492" t="s">
        <v>3157</v>
      </c>
      <c r="I1492" t="s">
        <v>92</v>
      </c>
      <c r="J1492" t="s">
        <v>3158</v>
      </c>
      <c r="K1492">
        <v>15149</v>
      </c>
      <c r="M1492">
        <v>0</v>
      </c>
      <c r="N1492" t="s">
        <v>4001</v>
      </c>
      <c r="O1492" t="s">
        <v>3976</v>
      </c>
      <c r="P1492" t="str">
        <f>TRIM(Table13_1[[#This Row],[Genre]])</f>
        <v>Musical</v>
      </c>
    </row>
    <row r="1493" spans="1:16" x14ac:dyDescent="0.3">
      <c r="A1493" t="s">
        <v>3159</v>
      </c>
      <c r="B1493" t="s">
        <v>3160</v>
      </c>
      <c r="C1493">
        <v>2006</v>
      </c>
      <c r="D1493">
        <v>2000</v>
      </c>
      <c r="E1493" t="s">
        <v>17</v>
      </c>
      <c r="F1493">
        <v>119</v>
      </c>
      <c r="G1493" t="s">
        <v>3997</v>
      </c>
      <c r="H1493" t="s">
        <v>67</v>
      </c>
      <c r="I1493" t="s">
        <v>125</v>
      </c>
      <c r="J1493" t="s">
        <v>3162</v>
      </c>
      <c r="K1493">
        <v>28575</v>
      </c>
      <c r="L1493">
        <v>289.39999999999998</v>
      </c>
      <c r="M1493">
        <v>289.39999999999998</v>
      </c>
      <c r="N1493" t="s">
        <v>3998</v>
      </c>
      <c r="O1493" t="s">
        <v>48</v>
      </c>
      <c r="P1493" t="str">
        <f>TRIM(Table13_1[[#This Row],[Genre]])</f>
        <v>Crime</v>
      </c>
    </row>
    <row r="1494" spans="1:16" x14ac:dyDescent="0.3">
      <c r="A1494" t="s">
        <v>3159</v>
      </c>
      <c r="B1494" t="s">
        <v>3160</v>
      </c>
      <c r="C1494">
        <v>2006</v>
      </c>
      <c r="D1494">
        <v>2000</v>
      </c>
      <c r="E1494" t="s">
        <v>17</v>
      </c>
      <c r="F1494">
        <v>119</v>
      </c>
      <c r="G1494" t="s">
        <v>3997</v>
      </c>
      <c r="H1494" t="s">
        <v>67</v>
      </c>
      <c r="I1494" t="s">
        <v>125</v>
      </c>
      <c r="J1494" t="s">
        <v>3162</v>
      </c>
      <c r="K1494">
        <v>28575</v>
      </c>
      <c r="L1494">
        <v>289.39999999999998</v>
      </c>
      <c r="M1494">
        <v>289.39999999999998</v>
      </c>
      <c r="N1494" t="s">
        <v>3998</v>
      </c>
      <c r="O1494" t="s">
        <v>3981</v>
      </c>
      <c r="P1494" t="str">
        <f>TRIM(Table13_1[[#This Row],[Genre]])</f>
        <v>Romance</v>
      </c>
    </row>
    <row r="1495" spans="1:16" x14ac:dyDescent="0.3">
      <c r="A1495" t="s">
        <v>3163</v>
      </c>
      <c r="B1495" t="s">
        <v>3164</v>
      </c>
      <c r="C1495">
        <v>2019</v>
      </c>
      <c r="D1495">
        <v>2010</v>
      </c>
      <c r="E1495" t="s">
        <v>54</v>
      </c>
      <c r="F1495">
        <v>126</v>
      </c>
      <c r="G1495" t="s">
        <v>3999</v>
      </c>
      <c r="H1495" t="s">
        <v>158</v>
      </c>
      <c r="I1495" t="s">
        <v>593</v>
      </c>
      <c r="J1495" t="s">
        <v>3165</v>
      </c>
      <c r="K1495">
        <v>265153</v>
      </c>
      <c r="L1495">
        <v>101.48</v>
      </c>
      <c r="M1495">
        <v>101.48</v>
      </c>
      <c r="N1495" t="s">
        <v>4002</v>
      </c>
      <c r="O1495" t="s">
        <v>157</v>
      </c>
      <c r="P1495" t="str">
        <f>TRIM(Table13_1[[#This Row],[Genre]])</f>
        <v>Animation</v>
      </c>
    </row>
    <row r="1496" spans="1:16" x14ac:dyDescent="0.3">
      <c r="A1496" t="s">
        <v>3166</v>
      </c>
      <c r="B1496" t="s">
        <v>3167</v>
      </c>
      <c r="C1496">
        <v>2024</v>
      </c>
      <c r="D1496">
        <v>2020</v>
      </c>
      <c r="E1496" t="s">
        <v>54</v>
      </c>
      <c r="F1496">
        <v>140</v>
      </c>
      <c r="G1496" t="s">
        <v>3999</v>
      </c>
      <c r="H1496" t="s">
        <v>3168</v>
      </c>
      <c r="I1496" t="s">
        <v>221</v>
      </c>
      <c r="J1496" t="s">
        <v>3169</v>
      </c>
      <c r="K1496">
        <v>483447</v>
      </c>
      <c r="L1496">
        <v>175.39</v>
      </c>
      <c r="M1496">
        <v>175.39</v>
      </c>
      <c r="N1496" t="s">
        <v>4002</v>
      </c>
      <c r="O1496" t="s">
        <v>129</v>
      </c>
      <c r="P1496" t="str">
        <f>TRIM(Table13_1[[#This Row],[Genre]])</f>
        <v>Horror</v>
      </c>
    </row>
    <row r="1497" spans="1:16" x14ac:dyDescent="0.3">
      <c r="A1497" t="s">
        <v>3166</v>
      </c>
      <c r="B1497" t="s">
        <v>3167</v>
      </c>
      <c r="C1497">
        <v>2024</v>
      </c>
      <c r="D1497">
        <v>2020</v>
      </c>
      <c r="E1497" t="s">
        <v>54</v>
      </c>
      <c r="F1497">
        <v>140</v>
      </c>
      <c r="G1497" t="s">
        <v>3999</v>
      </c>
      <c r="H1497" t="s">
        <v>3168</v>
      </c>
      <c r="I1497" t="s">
        <v>221</v>
      </c>
      <c r="J1497" t="s">
        <v>3169</v>
      </c>
      <c r="K1497">
        <v>483447</v>
      </c>
      <c r="L1497">
        <v>175.39</v>
      </c>
      <c r="M1497">
        <v>175.39</v>
      </c>
      <c r="N1497" t="s">
        <v>4002</v>
      </c>
      <c r="O1497" t="s">
        <v>3992</v>
      </c>
      <c r="P1497" t="str">
        <f>TRIM(Table13_1[[#This Row],[Genre]])</f>
        <v>Biography</v>
      </c>
    </row>
    <row r="1498" spans="1:16" x14ac:dyDescent="0.3">
      <c r="A1498" t="s">
        <v>3170</v>
      </c>
      <c r="B1498" t="s">
        <v>3171</v>
      </c>
      <c r="C1498">
        <v>2016</v>
      </c>
      <c r="D1498">
        <v>2010</v>
      </c>
      <c r="E1498" t="s">
        <v>24</v>
      </c>
      <c r="F1498">
        <v>130</v>
      </c>
      <c r="G1498" t="s">
        <v>3999</v>
      </c>
      <c r="H1498" t="s">
        <v>3173</v>
      </c>
      <c r="I1498" t="s">
        <v>27</v>
      </c>
      <c r="J1498" t="s">
        <v>3174</v>
      </c>
      <c r="K1498">
        <v>79233</v>
      </c>
      <c r="L1498">
        <v>170.4</v>
      </c>
      <c r="M1498">
        <v>170.4</v>
      </c>
      <c r="N1498" t="s">
        <v>4002</v>
      </c>
      <c r="O1498" t="s">
        <v>277</v>
      </c>
      <c r="P1498" t="str">
        <f>TRIM(Table13_1[[#This Row],[Genre]])</f>
        <v>Thriller</v>
      </c>
    </row>
    <row r="1499" spans="1:16" x14ac:dyDescent="0.3">
      <c r="A1499" t="s">
        <v>3170</v>
      </c>
      <c r="B1499" t="s">
        <v>3171</v>
      </c>
      <c r="C1499">
        <v>2016</v>
      </c>
      <c r="D1499">
        <v>2010</v>
      </c>
      <c r="E1499" t="s">
        <v>24</v>
      </c>
      <c r="F1499">
        <v>130</v>
      </c>
      <c r="G1499" t="s">
        <v>3999</v>
      </c>
      <c r="H1499" t="s">
        <v>3173</v>
      </c>
      <c r="I1499" t="s">
        <v>27</v>
      </c>
      <c r="J1499" t="s">
        <v>3174</v>
      </c>
      <c r="K1499">
        <v>79233</v>
      </c>
      <c r="L1499">
        <v>170.4</v>
      </c>
      <c r="M1499">
        <v>170.4</v>
      </c>
      <c r="N1499" t="s">
        <v>4002</v>
      </c>
      <c r="O1499" t="s">
        <v>3986</v>
      </c>
      <c r="P1499" t="str">
        <f>TRIM(Table13_1[[#This Row],[Genre]])</f>
        <v>Documentary</v>
      </c>
    </row>
    <row r="1500" spans="1:16" x14ac:dyDescent="0.3">
      <c r="A1500" t="s">
        <v>3175</v>
      </c>
      <c r="B1500" t="s">
        <v>3176</v>
      </c>
      <c r="C1500">
        <v>2005</v>
      </c>
      <c r="D1500">
        <v>2000</v>
      </c>
      <c r="E1500" t="s">
        <v>24</v>
      </c>
      <c r="F1500">
        <v>123</v>
      </c>
      <c r="G1500" t="s">
        <v>3999</v>
      </c>
      <c r="H1500" t="s">
        <v>3177</v>
      </c>
      <c r="I1500" t="s">
        <v>50</v>
      </c>
      <c r="J1500" t="s">
        <v>3178</v>
      </c>
      <c r="K1500">
        <v>321755</v>
      </c>
      <c r="M1500">
        <v>0</v>
      </c>
      <c r="N1500" t="s">
        <v>4001</v>
      </c>
      <c r="O1500" t="s">
        <v>43</v>
      </c>
      <c r="P1500" t="str">
        <f>TRIM(Table13_1[[#This Row],[Genre]])</f>
        <v>Mystery</v>
      </c>
    </row>
    <row r="1501" spans="1:16" x14ac:dyDescent="0.3">
      <c r="A1501" t="s">
        <v>3175</v>
      </c>
      <c r="B1501" t="s">
        <v>3176</v>
      </c>
      <c r="C1501">
        <v>2005</v>
      </c>
      <c r="D1501">
        <v>2000</v>
      </c>
      <c r="E1501" t="s">
        <v>24</v>
      </c>
      <c r="F1501">
        <v>123</v>
      </c>
      <c r="G1501" t="s">
        <v>3999</v>
      </c>
      <c r="H1501" t="s">
        <v>3177</v>
      </c>
      <c r="I1501" t="s">
        <v>50</v>
      </c>
      <c r="J1501" t="s">
        <v>3178</v>
      </c>
      <c r="K1501">
        <v>321755</v>
      </c>
      <c r="M1501">
        <v>0</v>
      </c>
      <c r="N1501" t="s">
        <v>4001</v>
      </c>
      <c r="O1501" t="s">
        <v>3986</v>
      </c>
      <c r="P1501" t="str">
        <f>TRIM(Table13_1[[#This Row],[Genre]])</f>
        <v>Documentary</v>
      </c>
    </row>
    <row r="1502" spans="1:16" x14ac:dyDescent="0.3">
      <c r="A1502" t="s">
        <v>3179</v>
      </c>
      <c r="B1502" t="s">
        <v>3180</v>
      </c>
      <c r="C1502">
        <v>2016</v>
      </c>
      <c r="D1502">
        <v>2010</v>
      </c>
      <c r="E1502" t="s">
        <v>17</v>
      </c>
      <c r="F1502">
        <v>123</v>
      </c>
      <c r="G1502" t="s">
        <v>3999</v>
      </c>
      <c r="H1502" t="s">
        <v>3173</v>
      </c>
      <c r="I1502" t="s">
        <v>159</v>
      </c>
      <c r="J1502" t="s">
        <v>3181</v>
      </c>
      <c r="K1502">
        <v>8266</v>
      </c>
      <c r="L1502">
        <v>36.630000000000003</v>
      </c>
      <c r="M1502">
        <v>36.630000000000003</v>
      </c>
      <c r="N1502" t="s">
        <v>4001</v>
      </c>
      <c r="O1502" t="s">
        <v>277</v>
      </c>
      <c r="P1502" t="str">
        <f>TRIM(Table13_1[[#This Row],[Genre]])</f>
        <v>Thriller</v>
      </c>
    </row>
    <row r="1503" spans="1:16" x14ac:dyDescent="0.3">
      <c r="A1503" t="s">
        <v>3182</v>
      </c>
      <c r="B1503" t="s">
        <v>3183</v>
      </c>
      <c r="C1503">
        <v>2023</v>
      </c>
      <c r="D1503">
        <v>2020</v>
      </c>
      <c r="E1503" t="s">
        <v>54</v>
      </c>
      <c r="F1503">
        <v>116</v>
      </c>
      <c r="G1503" t="s">
        <v>3997</v>
      </c>
      <c r="H1503" t="s">
        <v>226</v>
      </c>
      <c r="I1503" t="s">
        <v>63</v>
      </c>
      <c r="J1503" t="s">
        <v>3185</v>
      </c>
      <c r="K1503">
        <v>7562</v>
      </c>
      <c r="L1503">
        <v>107.98</v>
      </c>
      <c r="M1503">
        <v>107.98</v>
      </c>
      <c r="N1503" t="s">
        <v>4002</v>
      </c>
      <c r="O1503" t="s">
        <v>1044</v>
      </c>
      <c r="P1503" t="str">
        <f>TRIM(Table13_1[[#This Row],[Genre]])</f>
        <v>Comedy</v>
      </c>
    </row>
    <row r="1504" spans="1:16" x14ac:dyDescent="0.3">
      <c r="A1504" t="s">
        <v>3182</v>
      </c>
      <c r="B1504" t="s">
        <v>3183</v>
      </c>
      <c r="C1504">
        <v>2023</v>
      </c>
      <c r="D1504">
        <v>2020</v>
      </c>
      <c r="E1504" t="s">
        <v>54</v>
      </c>
      <c r="F1504">
        <v>116</v>
      </c>
      <c r="G1504" t="s">
        <v>3997</v>
      </c>
      <c r="H1504" t="s">
        <v>226</v>
      </c>
      <c r="I1504" t="s">
        <v>63</v>
      </c>
      <c r="J1504" t="s">
        <v>3185</v>
      </c>
      <c r="K1504">
        <v>7562</v>
      </c>
      <c r="L1504">
        <v>107.98</v>
      </c>
      <c r="M1504">
        <v>107.98</v>
      </c>
      <c r="N1504" t="s">
        <v>4002</v>
      </c>
      <c r="O1504" t="s">
        <v>3976</v>
      </c>
      <c r="P1504" t="str">
        <f>TRIM(Table13_1[[#This Row],[Genre]])</f>
        <v>Musical</v>
      </c>
    </row>
    <row r="1505" spans="1:16" x14ac:dyDescent="0.3">
      <c r="A1505" t="s">
        <v>3182</v>
      </c>
      <c r="B1505" t="s">
        <v>3183</v>
      </c>
      <c r="C1505">
        <v>2023</v>
      </c>
      <c r="D1505">
        <v>2020</v>
      </c>
      <c r="E1505" t="s">
        <v>54</v>
      </c>
      <c r="F1505">
        <v>116</v>
      </c>
      <c r="G1505" t="s">
        <v>3997</v>
      </c>
      <c r="H1505" t="s">
        <v>226</v>
      </c>
      <c r="I1505" t="s">
        <v>63</v>
      </c>
      <c r="J1505" t="s">
        <v>3185</v>
      </c>
      <c r="K1505">
        <v>7562</v>
      </c>
      <c r="L1505">
        <v>107.98</v>
      </c>
      <c r="M1505">
        <v>107.98</v>
      </c>
      <c r="N1505" t="s">
        <v>4002</v>
      </c>
      <c r="O1505" t="s">
        <v>3986</v>
      </c>
      <c r="P1505" t="str">
        <f>TRIM(Table13_1[[#This Row],[Genre]])</f>
        <v>Documentary</v>
      </c>
    </row>
    <row r="1506" spans="1:16" x14ac:dyDescent="0.3">
      <c r="A1506" t="s">
        <v>3186</v>
      </c>
      <c r="B1506" t="s">
        <v>3187</v>
      </c>
      <c r="C1506">
        <v>2003</v>
      </c>
      <c r="D1506">
        <v>2000</v>
      </c>
      <c r="E1506" t="s">
        <v>17</v>
      </c>
      <c r="F1506">
        <v>138</v>
      </c>
      <c r="G1506" t="s">
        <v>3999</v>
      </c>
      <c r="H1506" t="s">
        <v>3188</v>
      </c>
      <c r="I1506" t="s">
        <v>33</v>
      </c>
      <c r="J1506" t="s">
        <v>3189</v>
      </c>
      <c r="K1506">
        <v>110258</v>
      </c>
      <c r="L1506">
        <v>265.94</v>
      </c>
      <c r="M1506">
        <v>265.94</v>
      </c>
      <c r="N1506" t="s">
        <v>3998</v>
      </c>
      <c r="O1506" t="s">
        <v>157</v>
      </c>
      <c r="P1506" t="str">
        <f>TRIM(Table13_1[[#This Row],[Genre]])</f>
        <v>Animation</v>
      </c>
    </row>
    <row r="1507" spans="1:16" x14ac:dyDescent="0.3">
      <c r="A1507" t="s">
        <v>3186</v>
      </c>
      <c r="B1507" t="s">
        <v>3187</v>
      </c>
      <c r="C1507">
        <v>2003</v>
      </c>
      <c r="D1507">
        <v>2000</v>
      </c>
      <c r="E1507" t="s">
        <v>17</v>
      </c>
      <c r="F1507">
        <v>138</v>
      </c>
      <c r="G1507" t="s">
        <v>3999</v>
      </c>
      <c r="H1507" t="s">
        <v>3188</v>
      </c>
      <c r="I1507" t="s">
        <v>33</v>
      </c>
      <c r="J1507" t="s">
        <v>3189</v>
      </c>
      <c r="K1507">
        <v>110258</v>
      </c>
      <c r="L1507">
        <v>265.94</v>
      </c>
      <c r="M1507">
        <v>265.94</v>
      </c>
      <c r="N1507" t="s">
        <v>3998</v>
      </c>
      <c r="O1507" t="s">
        <v>3978</v>
      </c>
      <c r="P1507" t="str">
        <f>TRIM(Table13_1[[#This Row],[Genre]])</f>
        <v>Mystery</v>
      </c>
    </row>
    <row r="1508" spans="1:16" x14ac:dyDescent="0.3">
      <c r="A1508" t="s">
        <v>3190</v>
      </c>
      <c r="B1508" t="s">
        <v>3191</v>
      </c>
      <c r="C1508">
        <v>2008</v>
      </c>
      <c r="D1508">
        <v>2000</v>
      </c>
      <c r="E1508" t="s">
        <v>17</v>
      </c>
      <c r="F1508">
        <v>117</v>
      </c>
      <c r="G1508" t="s">
        <v>3997</v>
      </c>
      <c r="H1508" t="s">
        <v>201</v>
      </c>
      <c r="I1508" t="s">
        <v>39</v>
      </c>
      <c r="J1508" t="s">
        <v>3192</v>
      </c>
      <c r="K1508">
        <v>37724</v>
      </c>
      <c r="M1508">
        <v>0</v>
      </c>
      <c r="N1508" t="s">
        <v>4001</v>
      </c>
      <c r="O1508" t="s">
        <v>235</v>
      </c>
      <c r="P1508" t="str">
        <f>TRIM(Table13_1[[#This Row],[Genre]])</f>
        <v>Drama</v>
      </c>
    </row>
    <row r="1509" spans="1:16" x14ac:dyDescent="0.3">
      <c r="A1509" t="s">
        <v>3193</v>
      </c>
      <c r="B1509" t="s">
        <v>3194</v>
      </c>
      <c r="C1509">
        <v>2002</v>
      </c>
      <c r="D1509">
        <v>2000</v>
      </c>
      <c r="E1509" t="s">
        <v>17</v>
      </c>
      <c r="F1509">
        <v>124</v>
      </c>
      <c r="G1509" t="s">
        <v>3999</v>
      </c>
      <c r="H1509" t="s">
        <v>158</v>
      </c>
      <c r="I1509" t="s">
        <v>368</v>
      </c>
      <c r="J1509" t="s">
        <v>3195</v>
      </c>
      <c r="K1509">
        <v>37101</v>
      </c>
      <c r="M1509">
        <v>0</v>
      </c>
      <c r="N1509" t="s">
        <v>4001</v>
      </c>
      <c r="O1509" t="s">
        <v>157</v>
      </c>
      <c r="P1509" t="str">
        <f>TRIM(Table13_1[[#This Row],[Genre]])</f>
        <v>Animation</v>
      </c>
    </row>
    <row r="1510" spans="1:16" x14ac:dyDescent="0.3">
      <c r="A1510" t="s">
        <v>3193</v>
      </c>
      <c r="B1510" t="s">
        <v>3194</v>
      </c>
      <c r="C1510">
        <v>2002</v>
      </c>
      <c r="D1510">
        <v>2000</v>
      </c>
      <c r="E1510" t="s">
        <v>17</v>
      </c>
      <c r="F1510">
        <v>124</v>
      </c>
      <c r="G1510" t="s">
        <v>3999</v>
      </c>
      <c r="H1510" t="s">
        <v>158</v>
      </c>
      <c r="I1510" t="s">
        <v>368</v>
      </c>
      <c r="J1510" t="s">
        <v>3195</v>
      </c>
      <c r="K1510">
        <v>37101</v>
      </c>
      <c r="M1510">
        <v>0</v>
      </c>
      <c r="N1510" t="s">
        <v>4001</v>
      </c>
      <c r="O1510" t="s">
        <v>3976</v>
      </c>
      <c r="P1510" t="str">
        <f>TRIM(Table13_1[[#This Row],[Genre]])</f>
        <v>Musical</v>
      </c>
    </row>
    <row r="1511" spans="1:16" x14ac:dyDescent="0.3">
      <c r="A1511" t="s">
        <v>3196</v>
      </c>
      <c r="B1511" t="s">
        <v>3197</v>
      </c>
      <c r="C1511">
        <v>2010</v>
      </c>
      <c r="D1511">
        <v>2010</v>
      </c>
      <c r="E1511" t="s">
        <v>54</v>
      </c>
      <c r="F1511">
        <v>116</v>
      </c>
      <c r="G1511" t="s">
        <v>3997</v>
      </c>
      <c r="H1511" t="s">
        <v>995</v>
      </c>
      <c r="I1511" t="s">
        <v>191</v>
      </c>
      <c r="J1511" t="s">
        <v>3198</v>
      </c>
      <c r="K1511">
        <v>133888</v>
      </c>
      <c r="M1511">
        <v>0</v>
      </c>
      <c r="N1511" t="s">
        <v>4001</v>
      </c>
      <c r="O1511" t="s">
        <v>78</v>
      </c>
      <c r="P1511" t="str">
        <f>TRIM(Table13_1[[#This Row],[Genre]])</f>
        <v>Adventure</v>
      </c>
    </row>
    <row r="1512" spans="1:16" x14ac:dyDescent="0.3">
      <c r="A1512" t="s">
        <v>3196</v>
      </c>
      <c r="B1512" t="s">
        <v>3197</v>
      </c>
      <c r="C1512">
        <v>2010</v>
      </c>
      <c r="D1512">
        <v>2010</v>
      </c>
      <c r="E1512" t="s">
        <v>54</v>
      </c>
      <c r="F1512">
        <v>116</v>
      </c>
      <c r="G1512" t="s">
        <v>3997</v>
      </c>
      <c r="H1512" t="s">
        <v>995</v>
      </c>
      <c r="I1512" t="s">
        <v>191</v>
      </c>
      <c r="J1512" t="s">
        <v>3198</v>
      </c>
      <c r="K1512">
        <v>133888</v>
      </c>
      <c r="M1512">
        <v>0</v>
      </c>
      <c r="N1512" t="s">
        <v>4001</v>
      </c>
      <c r="O1512" t="s">
        <v>3991</v>
      </c>
      <c r="P1512" t="str">
        <f>TRIM(Table13_1[[#This Row],[Genre]])</f>
        <v>Thriller</v>
      </c>
    </row>
    <row r="1513" spans="1:16" x14ac:dyDescent="0.3">
      <c r="A1513" t="s">
        <v>3199</v>
      </c>
      <c r="B1513" t="s">
        <v>3200</v>
      </c>
      <c r="C1513">
        <v>2011</v>
      </c>
      <c r="D1513">
        <v>2010</v>
      </c>
      <c r="E1513" t="s">
        <v>17</v>
      </c>
      <c r="F1513">
        <v>86</v>
      </c>
      <c r="G1513" t="s">
        <v>4000</v>
      </c>
      <c r="H1513" t="s">
        <v>85</v>
      </c>
      <c r="I1513" t="s">
        <v>518</v>
      </c>
      <c r="J1513" t="s">
        <v>3202</v>
      </c>
      <c r="K1513">
        <v>254556</v>
      </c>
      <c r="L1513">
        <v>164.26</v>
      </c>
      <c r="M1513">
        <v>164.26</v>
      </c>
      <c r="N1513" t="s">
        <v>4002</v>
      </c>
      <c r="O1513" t="s">
        <v>767</v>
      </c>
      <c r="P1513" t="str">
        <f>TRIM(Table13_1[[#This Row],[Genre]])</f>
        <v>Fantasy</v>
      </c>
    </row>
    <row r="1514" spans="1:16" x14ac:dyDescent="0.3">
      <c r="A1514" t="s">
        <v>3199</v>
      </c>
      <c r="B1514" t="s">
        <v>3200</v>
      </c>
      <c r="C1514">
        <v>2011</v>
      </c>
      <c r="D1514">
        <v>2010</v>
      </c>
      <c r="E1514" t="s">
        <v>17</v>
      </c>
      <c r="F1514">
        <v>86</v>
      </c>
      <c r="G1514" t="s">
        <v>4000</v>
      </c>
      <c r="H1514" t="s">
        <v>85</v>
      </c>
      <c r="I1514" t="s">
        <v>518</v>
      </c>
      <c r="J1514" t="s">
        <v>3202</v>
      </c>
      <c r="K1514">
        <v>254556</v>
      </c>
      <c r="L1514">
        <v>164.26</v>
      </c>
      <c r="M1514">
        <v>164.26</v>
      </c>
      <c r="N1514" t="s">
        <v>4002</v>
      </c>
      <c r="O1514" t="s">
        <v>3990</v>
      </c>
      <c r="P1514" t="str">
        <f>TRIM(Table13_1[[#This Row],[Genre]])</f>
        <v>Western</v>
      </c>
    </row>
    <row r="1515" spans="1:16" x14ac:dyDescent="0.3">
      <c r="A1515" t="s">
        <v>3199</v>
      </c>
      <c r="B1515" t="s">
        <v>3200</v>
      </c>
      <c r="C1515">
        <v>2011</v>
      </c>
      <c r="D1515">
        <v>2010</v>
      </c>
      <c r="E1515" t="s">
        <v>17</v>
      </c>
      <c r="F1515">
        <v>86</v>
      </c>
      <c r="G1515" t="s">
        <v>4000</v>
      </c>
      <c r="H1515" t="s">
        <v>85</v>
      </c>
      <c r="I1515" t="s">
        <v>518</v>
      </c>
      <c r="J1515" t="s">
        <v>3202</v>
      </c>
      <c r="K1515">
        <v>254556</v>
      </c>
      <c r="L1515">
        <v>164.26</v>
      </c>
      <c r="M1515">
        <v>164.26</v>
      </c>
      <c r="N1515" t="s">
        <v>4002</v>
      </c>
      <c r="O1515" t="s">
        <v>3979</v>
      </c>
      <c r="P1515" t="str">
        <f>TRIM(Table13_1[[#This Row],[Genre]])</f>
        <v>War</v>
      </c>
    </row>
    <row r="1516" spans="1:16" x14ac:dyDescent="0.3">
      <c r="A1516" t="s">
        <v>3203</v>
      </c>
      <c r="B1516" t="s">
        <v>3204</v>
      </c>
      <c r="C1516">
        <v>2023</v>
      </c>
      <c r="D1516">
        <v>2020</v>
      </c>
      <c r="E1516" t="s">
        <v>24</v>
      </c>
      <c r="F1516">
        <v>151</v>
      </c>
      <c r="G1516" t="s">
        <v>3999</v>
      </c>
      <c r="H1516" t="s">
        <v>629</v>
      </c>
      <c r="I1516" t="s">
        <v>147</v>
      </c>
      <c r="J1516" t="s">
        <v>3205</v>
      </c>
      <c r="K1516">
        <v>596331</v>
      </c>
      <c r="M1516">
        <v>0</v>
      </c>
      <c r="N1516" t="s">
        <v>4001</v>
      </c>
      <c r="O1516" t="s">
        <v>157</v>
      </c>
      <c r="P1516" t="str">
        <f>TRIM(Table13_1[[#This Row],[Genre]])</f>
        <v>Animation</v>
      </c>
    </row>
    <row r="1517" spans="1:16" x14ac:dyDescent="0.3">
      <c r="A1517" t="s">
        <v>3206</v>
      </c>
      <c r="B1517" t="s">
        <v>3207</v>
      </c>
      <c r="C1517">
        <v>2009</v>
      </c>
      <c r="D1517">
        <v>2000</v>
      </c>
      <c r="E1517" t="s">
        <v>285</v>
      </c>
      <c r="F1517">
        <v>146</v>
      </c>
      <c r="G1517" t="s">
        <v>3999</v>
      </c>
      <c r="H1517" t="s">
        <v>3208</v>
      </c>
      <c r="I1517" t="s">
        <v>524</v>
      </c>
      <c r="J1517" t="s">
        <v>3209</v>
      </c>
      <c r="K1517">
        <v>28912</v>
      </c>
      <c r="L1517">
        <v>275.74</v>
      </c>
      <c r="M1517">
        <v>275.74</v>
      </c>
      <c r="N1517" t="s">
        <v>3998</v>
      </c>
      <c r="O1517" t="s">
        <v>1044</v>
      </c>
      <c r="P1517" t="str">
        <f>TRIM(Table13_1[[#This Row],[Genre]])</f>
        <v>Comedy</v>
      </c>
    </row>
    <row r="1518" spans="1:16" x14ac:dyDescent="0.3">
      <c r="A1518" t="s">
        <v>3206</v>
      </c>
      <c r="B1518" t="s">
        <v>3207</v>
      </c>
      <c r="C1518">
        <v>2009</v>
      </c>
      <c r="D1518">
        <v>2000</v>
      </c>
      <c r="E1518" t="s">
        <v>285</v>
      </c>
      <c r="F1518">
        <v>146</v>
      </c>
      <c r="G1518" t="s">
        <v>3999</v>
      </c>
      <c r="H1518" t="s">
        <v>3208</v>
      </c>
      <c r="I1518" t="s">
        <v>524</v>
      </c>
      <c r="J1518" t="s">
        <v>3209</v>
      </c>
      <c r="K1518">
        <v>28912</v>
      </c>
      <c r="L1518">
        <v>275.74</v>
      </c>
      <c r="M1518">
        <v>275.74</v>
      </c>
      <c r="N1518" t="s">
        <v>3998</v>
      </c>
      <c r="O1518" t="s">
        <v>3982</v>
      </c>
      <c r="P1518" t="str">
        <f>TRIM(Table13_1[[#This Row],[Genre]])</f>
        <v>Family</v>
      </c>
    </row>
    <row r="1519" spans="1:16" x14ac:dyDescent="0.3">
      <c r="A1519" t="s">
        <v>3210</v>
      </c>
      <c r="B1519" t="s">
        <v>3211</v>
      </c>
      <c r="C1519">
        <v>1996</v>
      </c>
      <c r="D1519">
        <v>1990</v>
      </c>
      <c r="E1519" t="s">
        <v>54</v>
      </c>
      <c r="F1519">
        <v>131</v>
      </c>
      <c r="G1519" t="s">
        <v>3999</v>
      </c>
      <c r="H1519" t="s">
        <v>124</v>
      </c>
      <c r="I1519" t="s">
        <v>74</v>
      </c>
      <c r="J1519" t="s">
        <v>3212</v>
      </c>
      <c r="K1519">
        <v>1381362</v>
      </c>
      <c r="L1519">
        <v>262.67</v>
      </c>
      <c r="M1519">
        <v>262.67</v>
      </c>
      <c r="N1519" t="s">
        <v>3998</v>
      </c>
      <c r="O1519" t="s">
        <v>230</v>
      </c>
      <c r="P1519" t="str">
        <f>TRIM(Table13_1[[#This Row],[Genre]])</f>
        <v>Documentary</v>
      </c>
    </row>
    <row r="1520" spans="1:16" x14ac:dyDescent="0.3">
      <c r="A1520" t="s">
        <v>3210</v>
      </c>
      <c r="B1520" t="s">
        <v>3211</v>
      </c>
      <c r="C1520">
        <v>1996</v>
      </c>
      <c r="D1520">
        <v>1990</v>
      </c>
      <c r="E1520" t="s">
        <v>54</v>
      </c>
      <c r="F1520">
        <v>131</v>
      </c>
      <c r="G1520" t="s">
        <v>3999</v>
      </c>
      <c r="H1520" t="s">
        <v>124</v>
      </c>
      <c r="I1520" t="s">
        <v>74</v>
      </c>
      <c r="J1520" t="s">
        <v>3212</v>
      </c>
      <c r="K1520">
        <v>1381362</v>
      </c>
      <c r="L1520">
        <v>262.67</v>
      </c>
      <c r="M1520">
        <v>262.67</v>
      </c>
      <c r="N1520" t="s">
        <v>3998</v>
      </c>
      <c r="O1520" t="s">
        <v>3979</v>
      </c>
      <c r="P1520" t="str">
        <f>TRIM(Table13_1[[#This Row],[Genre]])</f>
        <v>War</v>
      </c>
    </row>
    <row r="1521" spans="1:16" x14ac:dyDescent="0.3">
      <c r="A1521" t="s">
        <v>3213</v>
      </c>
      <c r="B1521" t="s">
        <v>3214</v>
      </c>
      <c r="C1521">
        <v>1989</v>
      </c>
      <c r="D1521">
        <v>1980</v>
      </c>
      <c r="E1521" t="s">
        <v>17</v>
      </c>
      <c r="F1521">
        <v>126</v>
      </c>
      <c r="G1521" t="s">
        <v>3999</v>
      </c>
      <c r="H1521" t="s">
        <v>412</v>
      </c>
      <c r="I1521" t="s">
        <v>191</v>
      </c>
      <c r="J1521" t="s">
        <v>3215</v>
      </c>
      <c r="K1521">
        <v>368023</v>
      </c>
      <c r="L1521">
        <v>115.3</v>
      </c>
      <c r="M1521">
        <v>115.3</v>
      </c>
      <c r="N1521" t="s">
        <v>4002</v>
      </c>
      <c r="O1521" t="s">
        <v>78</v>
      </c>
      <c r="P1521" t="str">
        <f>TRIM(Table13_1[[#This Row],[Genre]])</f>
        <v>Adventure</v>
      </c>
    </row>
    <row r="1522" spans="1:16" x14ac:dyDescent="0.3">
      <c r="A1522" t="s">
        <v>3216</v>
      </c>
      <c r="B1522" t="s">
        <v>3217</v>
      </c>
      <c r="C1522">
        <v>2000</v>
      </c>
      <c r="D1522">
        <v>2000</v>
      </c>
      <c r="E1522" t="s">
        <v>24</v>
      </c>
      <c r="F1522">
        <v>139</v>
      </c>
      <c r="G1522" t="s">
        <v>3999</v>
      </c>
      <c r="H1522" t="s">
        <v>3219</v>
      </c>
      <c r="I1522" t="s">
        <v>524</v>
      </c>
      <c r="J1522" t="s">
        <v>3220</v>
      </c>
      <c r="K1522">
        <v>7095</v>
      </c>
      <c r="L1522">
        <v>279.05</v>
      </c>
      <c r="M1522">
        <v>279.05</v>
      </c>
      <c r="N1522" t="s">
        <v>3998</v>
      </c>
      <c r="O1522" t="s">
        <v>129</v>
      </c>
      <c r="P1522" t="str">
        <f>TRIM(Table13_1[[#This Row],[Genre]])</f>
        <v>Horror</v>
      </c>
    </row>
    <row r="1523" spans="1:16" x14ac:dyDescent="0.3">
      <c r="A1523" t="s">
        <v>3216</v>
      </c>
      <c r="B1523" t="s">
        <v>3217</v>
      </c>
      <c r="C1523">
        <v>2000</v>
      </c>
      <c r="D1523">
        <v>2000</v>
      </c>
      <c r="E1523" t="s">
        <v>24</v>
      </c>
      <c r="F1523">
        <v>139</v>
      </c>
      <c r="G1523" t="s">
        <v>3999</v>
      </c>
      <c r="H1523" t="s">
        <v>3219</v>
      </c>
      <c r="I1523" t="s">
        <v>524</v>
      </c>
      <c r="J1523" t="s">
        <v>3220</v>
      </c>
      <c r="K1523">
        <v>7095</v>
      </c>
      <c r="L1523">
        <v>279.05</v>
      </c>
      <c r="M1523">
        <v>279.05</v>
      </c>
      <c r="N1523" t="s">
        <v>3998</v>
      </c>
      <c r="O1523" t="s">
        <v>3987</v>
      </c>
      <c r="P1523" t="str">
        <f>TRIM(Table13_1[[#This Row],[Genre]])</f>
        <v>Fantasy</v>
      </c>
    </row>
    <row r="1524" spans="1:16" x14ac:dyDescent="0.3">
      <c r="A1524" t="s">
        <v>3216</v>
      </c>
      <c r="B1524" t="s">
        <v>3217</v>
      </c>
      <c r="C1524">
        <v>2000</v>
      </c>
      <c r="D1524">
        <v>2000</v>
      </c>
      <c r="E1524" t="s">
        <v>24</v>
      </c>
      <c r="F1524">
        <v>139</v>
      </c>
      <c r="G1524" t="s">
        <v>3999</v>
      </c>
      <c r="H1524" t="s">
        <v>3219</v>
      </c>
      <c r="I1524" t="s">
        <v>524</v>
      </c>
      <c r="J1524" t="s">
        <v>3220</v>
      </c>
      <c r="K1524">
        <v>7095</v>
      </c>
      <c r="L1524">
        <v>279.05</v>
      </c>
      <c r="M1524">
        <v>279.05</v>
      </c>
      <c r="N1524" t="s">
        <v>3998</v>
      </c>
      <c r="O1524" t="s">
        <v>3982</v>
      </c>
      <c r="P1524" t="str">
        <f>TRIM(Table13_1[[#This Row],[Genre]])</f>
        <v>Family</v>
      </c>
    </row>
    <row r="1525" spans="1:16" x14ac:dyDescent="0.3">
      <c r="A1525" t="s">
        <v>3221</v>
      </c>
      <c r="B1525" t="s">
        <v>3222</v>
      </c>
      <c r="C1525">
        <v>2000</v>
      </c>
      <c r="D1525">
        <v>2000</v>
      </c>
      <c r="E1525" t="s">
        <v>17</v>
      </c>
      <c r="F1525">
        <v>87</v>
      </c>
      <c r="G1525" t="s">
        <v>4000</v>
      </c>
      <c r="H1525" t="s">
        <v>3223</v>
      </c>
      <c r="I1525" t="s">
        <v>147</v>
      </c>
      <c r="J1525" t="s">
        <v>3224</v>
      </c>
      <c r="K1525">
        <v>18888</v>
      </c>
      <c r="L1525">
        <v>115.49</v>
      </c>
      <c r="M1525">
        <v>115.49</v>
      </c>
      <c r="N1525" t="s">
        <v>4002</v>
      </c>
      <c r="O1525" t="s">
        <v>767</v>
      </c>
      <c r="P1525" t="str">
        <f>TRIM(Table13_1[[#This Row],[Genre]])</f>
        <v>Fantasy</v>
      </c>
    </row>
    <row r="1526" spans="1:16" x14ac:dyDescent="0.3">
      <c r="A1526" t="s">
        <v>3225</v>
      </c>
      <c r="B1526" t="s">
        <v>3226</v>
      </c>
      <c r="C1526">
        <v>2013</v>
      </c>
      <c r="D1526">
        <v>2010</v>
      </c>
      <c r="E1526" t="s">
        <v>17</v>
      </c>
      <c r="F1526">
        <v>112</v>
      </c>
      <c r="G1526" t="s">
        <v>3997</v>
      </c>
      <c r="H1526" t="s">
        <v>3227</v>
      </c>
      <c r="I1526" t="s">
        <v>27</v>
      </c>
      <c r="J1526" t="s">
        <v>3228</v>
      </c>
      <c r="K1526">
        <v>68132</v>
      </c>
      <c r="M1526">
        <v>0</v>
      </c>
      <c r="N1526" t="s">
        <v>4001</v>
      </c>
      <c r="O1526" t="s">
        <v>1044</v>
      </c>
      <c r="P1526" t="str">
        <f>TRIM(Table13_1[[#This Row],[Genre]])</f>
        <v>Comedy</v>
      </c>
    </row>
    <row r="1527" spans="1:16" x14ac:dyDescent="0.3">
      <c r="A1527" t="s">
        <v>3229</v>
      </c>
      <c r="B1527" t="s">
        <v>3230</v>
      </c>
      <c r="C1527">
        <v>2022</v>
      </c>
      <c r="D1527">
        <v>2020</v>
      </c>
      <c r="E1527" t="s">
        <v>54</v>
      </c>
      <c r="F1527">
        <v>132</v>
      </c>
      <c r="G1527" t="s">
        <v>3999</v>
      </c>
      <c r="H1527" t="s">
        <v>3231</v>
      </c>
      <c r="I1527" t="s">
        <v>27</v>
      </c>
      <c r="J1527" t="s">
        <v>3232</v>
      </c>
      <c r="K1527">
        <v>229356</v>
      </c>
      <c r="M1527">
        <v>0</v>
      </c>
      <c r="N1527" t="s">
        <v>4001</v>
      </c>
      <c r="O1527" t="s">
        <v>235</v>
      </c>
      <c r="P1527" t="str">
        <f>TRIM(Table13_1[[#This Row],[Genre]])</f>
        <v>Drama</v>
      </c>
    </row>
    <row r="1528" spans="1:16" x14ac:dyDescent="0.3">
      <c r="A1528" t="s">
        <v>3229</v>
      </c>
      <c r="B1528" t="s">
        <v>3230</v>
      </c>
      <c r="C1528">
        <v>2022</v>
      </c>
      <c r="D1528">
        <v>2020</v>
      </c>
      <c r="E1528" t="s">
        <v>54</v>
      </c>
      <c r="F1528">
        <v>132</v>
      </c>
      <c r="G1528" t="s">
        <v>3999</v>
      </c>
      <c r="H1528" t="s">
        <v>3231</v>
      </c>
      <c r="I1528" t="s">
        <v>27</v>
      </c>
      <c r="J1528" t="s">
        <v>3232</v>
      </c>
      <c r="K1528">
        <v>229356</v>
      </c>
      <c r="M1528">
        <v>0</v>
      </c>
      <c r="N1528" t="s">
        <v>4001</v>
      </c>
      <c r="O1528" t="s">
        <v>3976</v>
      </c>
      <c r="P1528" t="str">
        <f>TRIM(Table13_1[[#This Row],[Genre]])</f>
        <v>Musical</v>
      </c>
    </row>
    <row r="1529" spans="1:16" x14ac:dyDescent="0.3">
      <c r="A1529" t="s">
        <v>3233</v>
      </c>
      <c r="B1529" t="s">
        <v>3234</v>
      </c>
      <c r="C1529">
        <v>2001</v>
      </c>
      <c r="D1529">
        <v>2000</v>
      </c>
      <c r="E1529" t="s">
        <v>17</v>
      </c>
      <c r="F1529">
        <v>118</v>
      </c>
      <c r="G1529" t="s">
        <v>3997</v>
      </c>
      <c r="H1529" t="s">
        <v>136</v>
      </c>
      <c r="I1529" t="s">
        <v>27</v>
      </c>
      <c r="J1529" t="s">
        <v>3236</v>
      </c>
      <c r="K1529">
        <v>39300</v>
      </c>
      <c r="L1529">
        <v>290.8</v>
      </c>
      <c r="M1529">
        <v>290.8</v>
      </c>
      <c r="N1529" t="s">
        <v>3998</v>
      </c>
      <c r="O1529" t="s">
        <v>43</v>
      </c>
      <c r="P1529" t="str">
        <f>TRIM(Table13_1[[#This Row],[Genre]])</f>
        <v>Mystery</v>
      </c>
    </row>
    <row r="1530" spans="1:16" x14ac:dyDescent="0.3">
      <c r="A1530" t="s">
        <v>3233</v>
      </c>
      <c r="B1530" t="s">
        <v>3234</v>
      </c>
      <c r="C1530">
        <v>2001</v>
      </c>
      <c r="D1530">
        <v>2000</v>
      </c>
      <c r="E1530" t="s">
        <v>17</v>
      </c>
      <c r="F1530">
        <v>118</v>
      </c>
      <c r="G1530" t="s">
        <v>3997</v>
      </c>
      <c r="H1530" t="s">
        <v>136</v>
      </c>
      <c r="I1530" t="s">
        <v>27</v>
      </c>
      <c r="J1530" t="s">
        <v>3236</v>
      </c>
      <c r="K1530">
        <v>39300</v>
      </c>
      <c r="L1530">
        <v>290.8</v>
      </c>
      <c r="M1530">
        <v>290.8</v>
      </c>
      <c r="N1530" t="s">
        <v>3998</v>
      </c>
      <c r="O1530" t="s">
        <v>3977</v>
      </c>
      <c r="P1530" t="str">
        <f>TRIM(Table13_1[[#This Row],[Genre]])</f>
        <v>Animation</v>
      </c>
    </row>
    <row r="1531" spans="1:16" x14ac:dyDescent="0.3">
      <c r="A1531" t="s">
        <v>3237</v>
      </c>
      <c r="B1531" t="s">
        <v>3238</v>
      </c>
      <c r="C1531">
        <v>2024</v>
      </c>
      <c r="D1531">
        <v>2020</v>
      </c>
      <c r="E1531" t="s">
        <v>17</v>
      </c>
      <c r="F1531">
        <v>171</v>
      </c>
      <c r="G1531" t="s">
        <v>3999</v>
      </c>
      <c r="H1531" t="s">
        <v>3239</v>
      </c>
      <c r="I1531" t="s">
        <v>86</v>
      </c>
      <c r="J1531" t="s">
        <v>3240</v>
      </c>
      <c r="K1531">
        <v>699887</v>
      </c>
      <c r="L1531">
        <v>224.88</v>
      </c>
      <c r="M1531">
        <v>224.88</v>
      </c>
      <c r="N1531" t="s">
        <v>3998</v>
      </c>
      <c r="O1531" t="s">
        <v>868</v>
      </c>
      <c r="P1531" t="str">
        <f>TRIM(Table13_1[[#This Row],[Genre]])</f>
        <v>Western</v>
      </c>
    </row>
    <row r="1532" spans="1:16" x14ac:dyDescent="0.3">
      <c r="A1532" t="s">
        <v>3241</v>
      </c>
      <c r="B1532" t="s">
        <v>3242</v>
      </c>
      <c r="C1532">
        <v>2002</v>
      </c>
      <c r="D1532">
        <v>2000</v>
      </c>
      <c r="E1532" t="s">
        <v>17</v>
      </c>
      <c r="F1532">
        <v>120</v>
      </c>
      <c r="G1532" t="s">
        <v>3997</v>
      </c>
      <c r="H1532" t="s">
        <v>136</v>
      </c>
      <c r="I1532" t="s">
        <v>80</v>
      </c>
      <c r="J1532" t="s">
        <v>3244</v>
      </c>
      <c r="K1532">
        <v>158327</v>
      </c>
      <c r="M1532">
        <v>0</v>
      </c>
      <c r="N1532" t="s">
        <v>4001</v>
      </c>
      <c r="O1532" t="s">
        <v>43</v>
      </c>
      <c r="P1532" t="str">
        <f>TRIM(Table13_1[[#This Row],[Genre]])</f>
        <v>Mystery</v>
      </c>
    </row>
    <row r="1533" spans="1:16" x14ac:dyDescent="0.3">
      <c r="A1533" t="s">
        <v>3241</v>
      </c>
      <c r="B1533" t="s">
        <v>3242</v>
      </c>
      <c r="C1533">
        <v>2002</v>
      </c>
      <c r="D1533">
        <v>2000</v>
      </c>
      <c r="E1533" t="s">
        <v>17</v>
      </c>
      <c r="F1533">
        <v>120</v>
      </c>
      <c r="G1533" t="s">
        <v>3997</v>
      </c>
      <c r="H1533" t="s">
        <v>136</v>
      </c>
      <c r="I1533" t="s">
        <v>80</v>
      </c>
      <c r="J1533" t="s">
        <v>3244</v>
      </c>
      <c r="K1533">
        <v>158327</v>
      </c>
      <c r="M1533">
        <v>0</v>
      </c>
      <c r="N1533" t="s">
        <v>4001</v>
      </c>
      <c r="O1533" t="s">
        <v>3993</v>
      </c>
      <c r="P1533" t="str">
        <f>TRIM(Table13_1[[#This Row],[Genre]])</f>
        <v>Comedy</v>
      </c>
    </row>
    <row r="1534" spans="1:16" x14ac:dyDescent="0.3">
      <c r="A1534" t="s">
        <v>3245</v>
      </c>
      <c r="B1534" t="s">
        <v>3246</v>
      </c>
      <c r="C1534">
        <v>1997</v>
      </c>
      <c r="D1534">
        <v>1990</v>
      </c>
      <c r="E1534" t="s">
        <v>54</v>
      </c>
      <c r="F1534">
        <v>124</v>
      </c>
      <c r="G1534" t="s">
        <v>3999</v>
      </c>
      <c r="H1534" t="s">
        <v>3247</v>
      </c>
      <c r="I1534" t="s">
        <v>326</v>
      </c>
      <c r="J1534" t="s">
        <v>3248</v>
      </c>
      <c r="K1534">
        <v>7091</v>
      </c>
      <c r="L1534">
        <v>233.68</v>
      </c>
      <c r="M1534">
        <v>233.68</v>
      </c>
      <c r="N1534" t="s">
        <v>3998</v>
      </c>
      <c r="O1534" t="s">
        <v>767</v>
      </c>
      <c r="P1534" t="str">
        <f>TRIM(Table13_1[[#This Row],[Genre]])</f>
        <v>Fantasy</v>
      </c>
    </row>
    <row r="1535" spans="1:16" x14ac:dyDescent="0.3">
      <c r="A1535" t="s">
        <v>3245</v>
      </c>
      <c r="B1535" t="s">
        <v>3246</v>
      </c>
      <c r="C1535">
        <v>1997</v>
      </c>
      <c r="D1535">
        <v>1990</v>
      </c>
      <c r="E1535" t="s">
        <v>54</v>
      </c>
      <c r="F1535">
        <v>124</v>
      </c>
      <c r="G1535" t="s">
        <v>3999</v>
      </c>
      <c r="H1535" t="s">
        <v>3247</v>
      </c>
      <c r="I1535" t="s">
        <v>326</v>
      </c>
      <c r="J1535" t="s">
        <v>3248</v>
      </c>
      <c r="K1535">
        <v>7091</v>
      </c>
      <c r="L1535">
        <v>233.68</v>
      </c>
      <c r="M1535">
        <v>233.68</v>
      </c>
      <c r="N1535" t="s">
        <v>3998</v>
      </c>
      <c r="O1535" t="s">
        <v>3981</v>
      </c>
      <c r="P1535" t="str">
        <f>TRIM(Table13_1[[#This Row],[Genre]])</f>
        <v>Romance</v>
      </c>
    </row>
    <row r="1536" spans="1:16" x14ac:dyDescent="0.3">
      <c r="A1536" t="s">
        <v>3249</v>
      </c>
      <c r="B1536" t="s">
        <v>3250</v>
      </c>
      <c r="C1536">
        <v>2007</v>
      </c>
      <c r="D1536">
        <v>2000</v>
      </c>
      <c r="E1536" t="s">
        <v>17</v>
      </c>
      <c r="F1536">
        <v>119</v>
      </c>
      <c r="G1536" t="s">
        <v>3997</v>
      </c>
      <c r="H1536" t="s">
        <v>1363</v>
      </c>
      <c r="I1536" t="s">
        <v>86</v>
      </c>
      <c r="J1536" t="s">
        <v>3251</v>
      </c>
      <c r="K1536">
        <v>1577</v>
      </c>
      <c r="L1536">
        <v>478.37</v>
      </c>
      <c r="M1536">
        <v>478.37</v>
      </c>
      <c r="N1536" t="s">
        <v>3998</v>
      </c>
      <c r="O1536" t="s">
        <v>43</v>
      </c>
      <c r="P1536" t="str">
        <f>TRIM(Table13_1[[#This Row],[Genre]])</f>
        <v>Mystery</v>
      </c>
    </row>
    <row r="1537" spans="1:16" x14ac:dyDescent="0.3">
      <c r="A1537" t="s">
        <v>3249</v>
      </c>
      <c r="B1537" t="s">
        <v>3250</v>
      </c>
      <c r="C1537">
        <v>2007</v>
      </c>
      <c r="D1537">
        <v>2000</v>
      </c>
      <c r="E1537" t="s">
        <v>17</v>
      </c>
      <c r="F1537">
        <v>119</v>
      </c>
      <c r="G1537" t="s">
        <v>3997</v>
      </c>
      <c r="H1537" t="s">
        <v>1363</v>
      </c>
      <c r="I1537" t="s">
        <v>86</v>
      </c>
      <c r="J1537" t="s">
        <v>3251</v>
      </c>
      <c r="K1537">
        <v>1577</v>
      </c>
      <c r="L1537">
        <v>478.37</v>
      </c>
      <c r="M1537">
        <v>478.37</v>
      </c>
      <c r="N1537" t="s">
        <v>3998</v>
      </c>
      <c r="O1537" t="s">
        <v>3991</v>
      </c>
      <c r="P1537" t="str">
        <f>TRIM(Table13_1[[#This Row],[Genre]])</f>
        <v>Thriller</v>
      </c>
    </row>
    <row r="1538" spans="1:16" x14ac:dyDescent="0.3">
      <c r="A1538" t="s">
        <v>3252</v>
      </c>
      <c r="B1538" t="s">
        <v>3253</v>
      </c>
      <c r="C1538">
        <v>2001</v>
      </c>
      <c r="D1538">
        <v>2000</v>
      </c>
      <c r="E1538" t="s">
        <v>24</v>
      </c>
      <c r="F1538">
        <v>107</v>
      </c>
      <c r="G1538" t="s">
        <v>3997</v>
      </c>
      <c r="H1538" t="s">
        <v>3254</v>
      </c>
      <c r="I1538" t="s">
        <v>74</v>
      </c>
      <c r="J1538" t="s">
        <v>3255</v>
      </c>
      <c r="K1538">
        <v>29024</v>
      </c>
      <c r="L1538">
        <v>84.25</v>
      </c>
      <c r="M1538">
        <v>84.25</v>
      </c>
      <c r="N1538" t="s">
        <v>4001</v>
      </c>
      <c r="O1538" t="s">
        <v>1044</v>
      </c>
      <c r="P1538" t="str">
        <f>TRIM(Table13_1[[#This Row],[Genre]])</f>
        <v>Comedy</v>
      </c>
    </row>
    <row r="1539" spans="1:16" x14ac:dyDescent="0.3">
      <c r="A1539" t="s">
        <v>3252</v>
      </c>
      <c r="B1539" t="s">
        <v>3253</v>
      </c>
      <c r="C1539">
        <v>2001</v>
      </c>
      <c r="D1539">
        <v>2000</v>
      </c>
      <c r="E1539" t="s">
        <v>24</v>
      </c>
      <c r="F1539">
        <v>107</v>
      </c>
      <c r="G1539" t="s">
        <v>3997</v>
      </c>
      <c r="H1539" t="s">
        <v>3254</v>
      </c>
      <c r="I1539" t="s">
        <v>74</v>
      </c>
      <c r="J1539" t="s">
        <v>3255</v>
      </c>
      <c r="K1539">
        <v>29024</v>
      </c>
      <c r="L1539">
        <v>84.25</v>
      </c>
      <c r="M1539">
        <v>84.25</v>
      </c>
      <c r="N1539" t="s">
        <v>4001</v>
      </c>
      <c r="O1539" t="s">
        <v>3987</v>
      </c>
      <c r="P1539" t="str">
        <f>TRIM(Table13_1[[#This Row],[Genre]])</f>
        <v>Fantasy</v>
      </c>
    </row>
    <row r="1540" spans="1:16" x14ac:dyDescent="0.3">
      <c r="A1540" t="s">
        <v>3256</v>
      </c>
      <c r="B1540" t="s">
        <v>3257</v>
      </c>
      <c r="C1540">
        <v>1988</v>
      </c>
      <c r="D1540">
        <v>1980</v>
      </c>
      <c r="E1540" t="s">
        <v>17</v>
      </c>
      <c r="F1540">
        <v>163</v>
      </c>
      <c r="G1540" t="s">
        <v>3999</v>
      </c>
      <c r="H1540" t="s">
        <v>3259</v>
      </c>
      <c r="I1540" t="s">
        <v>159</v>
      </c>
      <c r="J1540" t="s">
        <v>3260</v>
      </c>
      <c r="K1540">
        <v>10194</v>
      </c>
      <c r="L1540">
        <v>50.17</v>
      </c>
      <c r="M1540">
        <v>50.17</v>
      </c>
      <c r="N1540" t="s">
        <v>4001</v>
      </c>
      <c r="O1540" t="s">
        <v>235</v>
      </c>
      <c r="P1540" t="str">
        <f>TRIM(Table13_1[[#This Row],[Genre]])</f>
        <v>Drama</v>
      </c>
    </row>
    <row r="1541" spans="1:16" x14ac:dyDescent="0.3">
      <c r="A1541" t="s">
        <v>3256</v>
      </c>
      <c r="B1541" t="s">
        <v>3257</v>
      </c>
      <c r="C1541">
        <v>1988</v>
      </c>
      <c r="D1541">
        <v>1980</v>
      </c>
      <c r="E1541" t="s">
        <v>17</v>
      </c>
      <c r="F1541">
        <v>163</v>
      </c>
      <c r="G1541" t="s">
        <v>3999</v>
      </c>
      <c r="H1541" t="s">
        <v>3259</v>
      </c>
      <c r="I1541" t="s">
        <v>159</v>
      </c>
      <c r="J1541" t="s">
        <v>3260</v>
      </c>
      <c r="K1541">
        <v>10194</v>
      </c>
      <c r="L1541">
        <v>50.17</v>
      </c>
      <c r="M1541">
        <v>50.17</v>
      </c>
      <c r="N1541" t="s">
        <v>4001</v>
      </c>
      <c r="O1541" t="s">
        <v>3981</v>
      </c>
      <c r="P1541" t="str">
        <f>TRIM(Table13_1[[#This Row],[Genre]])</f>
        <v>Romance</v>
      </c>
    </row>
    <row r="1542" spans="1:16" x14ac:dyDescent="0.3">
      <c r="A1542" t="s">
        <v>3261</v>
      </c>
      <c r="B1542" t="s">
        <v>3262</v>
      </c>
      <c r="C1542">
        <v>2022</v>
      </c>
      <c r="D1542">
        <v>2020</v>
      </c>
      <c r="E1542" t="s">
        <v>54</v>
      </c>
      <c r="F1542">
        <v>105</v>
      </c>
      <c r="G1542" t="s">
        <v>3997</v>
      </c>
      <c r="H1542" t="s">
        <v>491</v>
      </c>
      <c r="I1542" t="s">
        <v>159</v>
      </c>
      <c r="J1542" t="s">
        <v>3263</v>
      </c>
      <c r="K1542">
        <v>80890</v>
      </c>
      <c r="L1542">
        <v>369.21</v>
      </c>
      <c r="M1542">
        <v>369.21</v>
      </c>
      <c r="N1542" t="s">
        <v>3998</v>
      </c>
      <c r="O1542" t="s">
        <v>72</v>
      </c>
      <c r="P1542" t="str">
        <f>TRIM(Table13_1[[#This Row],[Genre]])</f>
        <v>War</v>
      </c>
    </row>
    <row r="1543" spans="1:16" x14ac:dyDescent="0.3">
      <c r="A1543" t="s">
        <v>3261</v>
      </c>
      <c r="B1543" t="s">
        <v>3262</v>
      </c>
      <c r="C1543">
        <v>2022</v>
      </c>
      <c r="D1543">
        <v>2020</v>
      </c>
      <c r="E1543" t="s">
        <v>54</v>
      </c>
      <c r="F1543">
        <v>105</v>
      </c>
      <c r="G1543" t="s">
        <v>3997</v>
      </c>
      <c r="H1543" t="s">
        <v>491</v>
      </c>
      <c r="I1543" t="s">
        <v>159</v>
      </c>
      <c r="J1543" t="s">
        <v>3263</v>
      </c>
      <c r="K1543">
        <v>80890</v>
      </c>
      <c r="L1543">
        <v>369.21</v>
      </c>
      <c r="M1543">
        <v>369.21</v>
      </c>
      <c r="N1543" t="s">
        <v>3998</v>
      </c>
      <c r="O1543" t="s">
        <v>3992</v>
      </c>
      <c r="P1543" t="str">
        <f>TRIM(Table13_1[[#This Row],[Genre]])</f>
        <v>Biography</v>
      </c>
    </row>
    <row r="1544" spans="1:16" x14ac:dyDescent="0.3">
      <c r="A1544" t="s">
        <v>3264</v>
      </c>
      <c r="B1544" t="s">
        <v>3265</v>
      </c>
      <c r="C1544">
        <v>1988</v>
      </c>
      <c r="D1544">
        <v>1980</v>
      </c>
      <c r="E1544" t="s">
        <v>17</v>
      </c>
      <c r="F1544">
        <v>108</v>
      </c>
      <c r="G1544" t="s">
        <v>3997</v>
      </c>
      <c r="H1544" t="s">
        <v>3266</v>
      </c>
      <c r="I1544" t="s">
        <v>236</v>
      </c>
      <c r="J1544" t="s">
        <v>3267</v>
      </c>
      <c r="K1544">
        <v>51777</v>
      </c>
      <c r="M1544">
        <v>0</v>
      </c>
      <c r="N1544" t="s">
        <v>4001</v>
      </c>
      <c r="O1544" t="s">
        <v>55</v>
      </c>
      <c r="P1544" t="str">
        <f>TRIM(Table13_1[[#This Row],[Genre]])</f>
        <v>Romance</v>
      </c>
    </row>
    <row r="1545" spans="1:16" x14ac:dyDescent="0.3">
      <c r="A1545" t="s">
        <v>3264</v>
      </c>
      <c r="B1545" t="s">
        <v>3265</v>
      </c>
      <c r="C1545">
        <v>1988</v>
      </c>
      <c r="D1545">
        <v>1980</v>
      </c>
      <c r="E1545" t="s">
        <v>17</v>
      </c>
      <c r="F1545">
        <v>108</v>
      </c>
      <c r="G1545" t="s">
        <v>3997</v>
      </c>
      <c r="H1545" t="s">
        <v>3266</v>
      </c>
      <c r="I1545" t="s">
        <v>236</v>
      </c>
      <c r="J1545" t="s">
        <v>3267</v>
      </c>
      <c r="K1545">
        <v>51777</v>
      </c>
      <c r="M1545">
        <v>0</v>
      </c>
      <c r="N1545" t="s">
        <v>4001</v>
      </c>
      <c r="O1545" t="s">
        <v>3988</v>
      </c>
      <c r="P1545" t="str">
        <f>TRIM(Table13_1[[#This Row],[Genre]])</f>
        <v>Drama</v>
      </c>
    </row>
    <row r="1546" spans="1:16" x14ac:dyDescent="0.3">
      <c r="A1546" t="s">
        <v>3268</v>
      </c>
      <c r="B1546" t="s">
        <v>3269</v>
      </c>
      <c r="C1546">
        <v>2020</v>
      </c>
      <c r="D1546">
        <v>2020</v>
      </c>
      <c r="E1546" t="s">
        <v>17</v>
      </c>
      <c r="F1546">
        <v>121</v>
      </c>
      <c r="G1546" t="s">
        <v>3999</v>
      </c>
      <c r="H1546" t="s">
        <v>915</v>
      </c>
      <c r="I1546" t="s">
        <v>125</v>
      </c>
      <c r="J1546" t="s">
        <v>3271</v>
      </c>
      <c r="K1546">
        <v>17228</v>
      </c>
      <c r="M1546">
        <v>0</v>
      </c>
      <c r="N1546" t="s">
        <v>4001</v>
      </c>
      <c r="O1546" t="s">
        <v>767</v>
      </c>
      <c r="P1546" t="str">
        <f>TRIM(Table13_1[[#This Row],[Genre]])</f>
        <v>Fantasy</v>
      </c>
    </row>
    <row r="1547" spans="1:16" x14ac:dyDescent="0.3">
      <c r="A1547" t="s">
        <v>3268</v>
      </c>
      <c r="B1547" t="s">
        <v>3269</v>
      </c>
      <c r="C1547">
        <v>2020</v>
      </c>
      <c r="D1547">
        <v>2020</v>
      </c>
      <c r="E1547" t="s">
        <v>17</v>
      </c>
      <c r="F1547">
        <v>121</v>
      </c>
      <c r="G1547" t="s">
        <v>3999</v>
      </c>
      <c r="H1547" t="s">
        <v>915</v>
      </c>
      <c r="I1547" t="s">
        <v>125</v>
      </c>
      <c r="J1547" t="s">
        <v>3271</v>
      </c>
      <c r="K1547">
        <v>17228</v>
      </c>
      <c r="M1547">
        <v>0</v>
      </c>
      <c r="N1547" t="s">
        <v>4001</v>
      </c>
      <c r="O1547" t="s">
        <v>3990</v>
      </c>
      <c r="P1547" t="str">
        <f>TRIM(Table13_1[[#This Row],[Genre]])</f>
        <v>Western</v>
      </c>
    </row>
    <row r="1548" spans="1:16" x14ac:dyDescent="0.3">
      <c r="A1548" t="s">
        <v>3268</v>
      </c>
      <c r="B1548" t="s">
        <v>3269</v>
      </c>
      <c r="C1548">
        <v>2020</v>
      </c>
      <c r="D1548">
        <v>2020</v>
      </c>
      <c r="E1548" t="s">
        <v>17</v>
      </c>
      <c r="F1548">
        <v>121</v>
      </c>
      <c r="G1548" t="s">
        <v>3999</v>
      </c>
      <c r="H1548" t="s">
        <v>915</v>
      </c>
      <c r="I1548" t="s">
        <v>125</v>
      </c>
      <c r="J1548" t="s">
        <v>3271</v>
      </c>
      <c r="K1548">
        <v>17228</v>
      </c>
      <c r="M1548">
        <v>0</v>
      </c>
      <c r="N1548" t="s">
        <v>4001</v>
      </c>
      <c r="O1548" t="s">
        <v>3985</v>
      </c>
      <c r="P1548" t="str">
        <f>TRIM(Table13_1[[#This Row],[Genre]])</f>
        <v>Horror</v>
      </c>
    </row>
    <row r="1549" spans="1:16" x14ac:dyDescent="0.3">
      <c r="A1549" t="s">
        <v>3272</v>
      </c>
      <c r="B1549" t="s">
        <v>3273</v>
      </c>
      <c r="C1549">
        <v>2000</v>
      </c>
      <c r="D1549">
        <v>2000</v>
      </c>
      <c r="E1549" t="s">
        <v>54</v>
      </c>
      <c r="F1549">
        <v>108</v>
      </c>
      <c r="G1549" t="s">
        <v>3997</v>
      </c>
      <c r="H1549" t="s">
        <v>683</v>
      </c>
      <c r="I1549" t="s">
        <v>86</v>
      </c>
      <c r="J1549" t="s">
        <v>3274</v>
      </c>
      <c r="K1549">
        <v>121433</v>
      </c>
      <c r="M1549">
        <v>0</v>
      </c>
      <c r="N1549" t="s">
        <v>4001</v>
      </c>
      <c r="O1549" t="s">
        <v>235</v>
      </c>
      <c r="P1549" t="str">
        <f>TRIM(Table13_1[[#This Row],[Genre]])</f>
        <v>Drama</v>
      </c>
    </row>
    <row r="1550" spans="1:16" x14ac:dyDescent="0.3">
      <c r="A1550" t="s">
        <v>3275</v>
      </c>
      <c r="B1550" t="s">
        <v>3276</v>
      </c>
      <c r="C1550">
        <v>2005</v>
      </c>
      <c r="D1550">
        <v>2000</v>
      </c>
      <c r="E1550" t="s">
        <v>24</v>
      </c>
      <c r="F1550">
        <v>116</v>
      </c>
      <c r="G1550" t="s">
        <v>3997</v>
      </c>
      <c r="H1550" t="s">
        <v>3277</v>
      </c>
      <c r="I1550" t="s">
        <v>524</v>
      </c>
      <c r="J1550" t="s">
        <v>3278</v>
      </c>
      <c r="K1550">
        <v>21747</v>
      </c>
      <c r="M1550">
        <v>0</v>
      </c>
      <c r="N1550" t="s">
        <v>4001</v>
      </c>
      <c r="O1550" t="s">
        <v>72</v>
      </c>
      <c r="P1550" t="str">
        <f>TRIM(Table13_1[[#This Row],[Genre]])</f>
        <v>War</v>
      </c>
    </row>
    <row r="1551" spans="1:16" x14ac:dyDescent="0.3">
      <c r="A1551" t="s">
        <v>3279</v>
      </c>
      <c r="B1551" t="s">
        <v>3280</v>
      </c>
      <c r="C1551">
        <v>2018</v>
      </c>
      <c r="D1551">
        <v>2010</v>
      </c>
      <c r="E1551" t="s">
        <v>17</v>
      </c>
      <c r="F1551">
        <v>110</v>
      </c>
      <c r="G1551" t="s">
        <v>3997</v>
      </c>
      <c r="H1551" t="s">
        <v>3281</v>
      </c>
      <c r="I1551" t="s">
        <v>131</v>
      </c>
      <c r="J1551" t="s">
        <v>3282</v>
      </c>
      <c r="K1551">
        <v>250935</v>
      </c>
      <c r="M1551">
        <v>0</v>
      </c>
      <c r="N1551" t="s">
        <v>4001</v>
      </c>
      <c r="O1551" t="s">
        <v>230</v>
      </c>
      <c r="P1551" t="str">
        <f>TRIM(Table13_1[[#This Row],[Genre]])</f>
        <v>Documentary</v>
      </c>
    </row>
    <row r="1552" spans="1:16" x14ac:dyDescent="0.3">
      <c r="A1552" t="s">
        <v>3279</v>
      </c>
      <c r="B1552" t="s">
        <v>3280</v>
      </c>
      <c r="C1552">
        <v>2018</v>
      </c>
      <c r="D1552">
        <v>2010</v>
      </c>
      <c r="E1552" t="s">
        <v>17</v>
      </c>
      <c r="F1552">
        <v>110</v>
      </c>
      <c r="G1552" t="s">
        <v>3997</v>
      </c>
      <c r="H1552" t="s">
        <v>3281</v>
      </c>
      <c r="I1552" t="s">
        <v>131</v>
      </c>
      <c r="J1552" t="s">
        <v>3282</v>
      </c>
      <c r="K1552">
        <v>250935</v>
      </c>
      <c r="M1552">
        <v>0</v>
      </c>
      <c r="N1552" t="s">
        <v>4001</v>
      </c>
      <c r="O1552" t="s">
        <v>3985</v>
      </c>
      <c r="P1552" t="str">
        <f>TRIM(Table13_1[[#This Row],[Genre]])</f>
        <v>Horror</v>
      </c>
    </row>
    <row r="1553" spans="1:16" x14ac:dyDescent="0.3">
      <c r="A1553" t="s">
        <v>3283</v>
      </c>
      <c r="B1553" t="s">
        <v>3284</v>
      </c>
      <c r="C1553">
        <v>2017</v>
      </c>
      <c r="D1553">
        <v>2010</v>
      </c>
      <c r="E1553" t="s">
        <v>17</v>
      </c>
      <c r="F1553">
        <v>143</v>
      </c>
      <c r="G1553" t="s">
        <v>3999</v>
      </c>
      <c r="H1553" t="s">
        <v>3285</v>
      </c>
      <c r="I1553" t="s">
        <v>113</v>
      </c>
      <c r="J1553" t="s">
        <v>3286</v>
      </c>
      <c r="K1553">
        <v>85609</v>
      </c>
      <c r="L1553">
        <v>248.38</v>
      </c>
      <c r="M1553">
        <v>248.38</v>
      </c>
      <c r="N1553" t="s">
        <v>3998</v>
      </c>
      <c r="O1553" t="s">
        <v>235</v>
      </c>
      <c r="P1553" t="str">
        <f>TRIM(Table13_1[[#This Row],[Genre]])</f>
        <v>Drama</v>
      </c>
    </row>
    <row r="1554" spans="1:16" x14ac:dyDescent="0.3">
      <c r="A1554" t="s">
        <v>3283</v>
      </c>
      <c r="B1554" t="s">
        <v>3284</v>
      </c>
      <c r="C1554">
        <v>2017</v>
      </c>
      <c r="D1554">
        <v>2010</v>
      </c>
      <c r="E1554" t="s">
        <v>17</v>
      </c>
      <c r="F1554">
        <v>143</v>
      </c>
      <c r="G1554" t="s">
        <v>3999</v>
      </c>
      <c r="H1554" t="s">
        <v>3285</v>
      </c>
      <c r="I1554" t="s">
        <v>113</v>
      </c>
      <c r="J1554" t="s">
        <v>3286</v>
      </c>
      <c r="K1554">
        <v>85609</v>
      </c>
      <c r="L1554">
        <v>248.38</v>
      </c>
      <c r="M1554">
        <v>248.38</v>
      </c>
      <c r="N1554" t="s">
        <v>3998</v>
      </c>
      <c r="O1554" t="s">
        <v>3992</v>
      </c>
      <c r="P1554" t="str">
        <f>TRIM(Table13_1[[#This Row],[Genre]])</f>
        <v>Biography</v>
      </c>
    </row>
    <row r="1555" spans="1:16" x14ac:dyDescent="0.3">
      <c r="A1555" t="s">
        <v>3287</v>
      </c>
      <c r="B1555" t="s">
        <v>3288</v>
      </c>
      <c r="C1555">
        <v>2006</v>
      </c>
      <c r="D1555">
        <v>2000</v>
      </c>
      <c r="E1555" t="s">
        <v>54</v>
      </c>
      <c r="F1555">
        <v>115</v>
      </c>
      <c r="G1555" t="s">
        <v>3997</v>
      </c>
      <c r="H1555" t="s">
        <v>1207</v>
      </c>
      <c r="I1555" t="s">
        <v>547</v>
      </c>
      <c r="J1555" t="s">
        <v>3289</v>
      </c>
      <c r="K1555">
        <v>1554110</v>
      </c>
      <c r="L1555">
        <v>213.99</v>
      </c>
      <c r="M1555">
        <v>213.99</v>
      </c>
      <c r="N1555" t="s">
        <v>3998</v>
      </c>
      <c r="O1555" t="s">
        <v>55</v>
      </c>
      <c r="P1555" t="str">
        <f>TRIM(Table13_1[[#This Row],[Genre]])</f>
        <v>Romance</v>
      </c>
    </row>
    <row r="1556" spans="1:16" x14ac:dyDescent="0.3">
      <c r="A1556" t="s">
        <v>3290</v>
      </c>
      <c r="B1556" t="s">
        <v>3291</v>
      </c>
      <c r="C1556">
        <v>2003</v>
      </c>
      <c r="D1556">
        <v>2000</v>
      </c>
      <c r="E1556" t="s">
        <v>285</v>
      </c>
      <c r="F1556">
        <v>111</v>
      </c>
      <c r="G1556" t="s">
        <v>3997</v>
      </c>
      <c r="H1556" t="s">
        <v>578</v>
      </c>
      <c r="I1556" t="s">
        <v>518</v>
      </c>
      <c r="J1556" t="s">
        <v>3292</v>
      </c>
      <c r="K1556">
        <v>46192</v>
      </c>
      <c r="L1556">
        <v>287.14999999999998</v>
      </c>
      <c r="M1556">
        <v>287.14999999999998</v>
      </c>
      <c r="N1556" t="s">
        <v>3998</v>
      </c>
      <c r="O1556" t="s">
        <v>72</v>
      </c>
      <c r="P1556" t="str">
        <f>TRIM(Table13_1[[#This Row],[Genre]])</f>
        <v>War</v>
      </c>
    </row>
    <row r="1557" spans="1:16" x14ac:dyDescent="0.3">
      <c r="A1557" t="s">
        <v>3293</v>
      </c>
      <c r="B1557" t="s">
        <v>3294</v>
      </c>
      <c r="C1557">
        <v>1980</v>
      </c>
      <c r="D1557">
        <v>1980</v>
      </c>
      <c r="E1557" t="s">
        <v>54</v>
      </c>
      <c r="F1557">
        <v>136</v>
      </c>
      <c r="G1557" t="s">
        <v>3999</v>
      </c>
      <c r="H1557" t="s">
        <v>471</v>
      </c>
      <c r="I1557" t="s">
        <v>251</v>
      </c>
      <c r="J1557" t="s">
        <v>3296</v>
      </c>
      <c r="K1557">
        <v>39995</v>
      </c>
      <c r="L1557">
        <v>60.63</v>
      </c>
      <c r="M1557">
        <v>60.63</v>
      </c>
      <c r="N1557" t="s">
        <v>4001</v>
      </c>
      <c r="O1557" t="s">
        <v>72</v>
      </c>
      <c r="P1557" t="str">
        <f>TRIM(Table13_1[[#This Row],[Genre]])</f>
        <v>War</v>
      </c>
    </row>
    <row r="1558" spans="1:16" x14ac:dyDescent="0.3">
      <c r="A1558" t="s">
        <v>3293</v>
      </c>
      <c r="B1558" t="s">
        <v>3294</v>
      </c>
      <c r="C1558">
        <v>1980</v>
      </c>
      <c r="D1558">
        <v>1980</v>
      </c>
      <c r="E1558" t="s">
        <v>54</v>
      </c>
      <c r="F1558">
        <v>136</v>
      </c>
      <c r="G1558" t="s">
        <v>3999</v>
      </c>
      <c r="H1558" t="s">
        <v>471</v>
      </c>
      <c r="I1558" t="s">
        <v>251</v>
      </c>
      <c r="J1558" t="s">
        <v>3296</v>
      </c>
      <c r="K1558">
        <v>39995</v>
      </c>
      <c r="L1558">
        <v>60.63</v>
      </c>
      <c r="M1558">
        <v>60.63</v>
      </c>
      <c r="N1558" t="s">
        <v>4001</v>
      </c>
      <c r="O1558" t="s">
        <v>3977</v>
      </c>
      <c r="P1558" t="str">
        <f>TRIM(Table13_1[[#This Row],[Genre]])</f>
        <v>Animation</v>
      </c>
    </row>
    <row r="1559" spans="1:16" x14ac:dyDescent="0.3">
      <c r="A1559" t="s">
        <v>3293</v>
      </c>
      <c r="B1559" t="s">
        <v>3294</v>
      </c>
      <c r="C1559">
        <v>1980</v>
      </c>
      <c r="D1559">
        <v>1980</v>
      </c>
      <c r="E1559" t="s">
        <v>54</v>
      </c>
      <c r="F1559">
        <v>136</v>
      </c>
      <c r="G1559" t="s">
        <v>3999</v>
      </c>
      <c r="H1559" t="s">
        <v>471</v>
      </c>
      <c r="I1559" t="s">
        <v>251</v>
      </c>
      <c r="J1559" t="s">
        <v>3296</v>
      </c>
      <c r="K1559">
        <v>39995</v>
      </c>
      <c r="L1559">
        <v>60.63</v>
      </c>
      <c r="M1559">
        <v>60.63</v>
      </c>
      <c r="N1559" t="s">
        <v>4001</v>
      </c>
      <c r="O1559" t="s">
        <v>3987</v>
      </c>
      <c r="P1559" t="str">
        <f>TRIM(Table13_1[[#This Row],[Genre]])</f>
        <v>Fantasy</v>
      </c>
    </row>
    <row r="1560" spans="1:16" x14ac:dyDescent="0.3">
      <c r="A1560" t="s">
        <v>3297</v>
      </c>
      <c r="B1560" t="s">
        <v>3298</v>
      </c>
      <c r="C1560">
        <v>2007</v>
      </c>
      <c r="D1560">
        <v>2000</v>
      </c>
      <c r="E1560" t="s">
        <v>24</v>
      </c>
      <c r="F1560">
        <v>97</v>
      </c>
      <c r="G1560" t="s">
        <v>3997</v>
      </c>
      <c r="H1560" t="s">
        <v>3300</v>
      </c>
      <c r="I1560" t="s">
        <v>80</v>
      </c>
      <c r="J1560" t="s">
        <v>3301</v>
      </c>
      <c r="K1560">
        <v>275541</v>
      </c>
      <c r="M1560">
        <v>0</v>
      </c>
      <c r="N1560" t="s">
        <v>4001</v>
      </c>
      <c r="O1560" t="s">
        <v>235</v>
      </c>
      <c r="P1560" t="str">
        <f>TRIM(Table13_1[[#This Row],[Genre]])</f>
        <v>Drama</v>
      </c>
    </row>
    <row r="1561" spans="1:16" x14ac:dyDescent="0.3">
      <c r="A1561" t="s">
        <v>3297</v>
      </c>
      <c r="B1561" t="s">
        <v>3298</v>
      </c>
      <c r="C1561">
        <v>2007</v>
      </c>
      <c r="D1561">
        <v>2000</v>
      </c>
      <c r="E1561" t="s">
        <v>24</v>
      </c>
      <c r="F1561">
        <v>97</v>
      </c>
      <c r="G1561" t="s">
        <v>3997</v>
      </c>
      <c r="H1561" t="s">
        <v>3300</v>
      </c>
      <c r="I1561" t="s">
        <v>80</v>
      </c>
      <c r="J1561" t="s">
        <v>3301</v>
      </c>
      <c r="K1561">
        <v>275541</v>
      </c>
      <c r="M1561">
        <v>0</v>
      </c>
      <c r="N1561" t="s">
        <v>4001</v>
      </c>
      <c r="O1561" t="s">
        <v>3982</v>
      </c>
      <c r="P1561" t="str">
        <f>TRIM(Table13_1[[#This Row],[Genre]])</f>
        <v>Family</v>
      </c>
    </row>
    <row r="1562" spans="1:16" x14ac:dyDescent="0.3">
      <c r="A1562" t="s">
        <v>3297</v>
      </c>
      <c r="B1562" t="s">
        <v>3298</v>
      </c>
      <c r="C1562">
        <v>2007</v>
      </c>
      <c r="D1562">
        <v>2000</v>
      </c>
      <c r="E1562" t="s">
        <v>24</v>
      </c>
      <c r="F1562">
        <v>97</v>
      </c>
      <c r="G1562" t="s">
        <v>3997</v>
      </c>
      <c r="H1562" t="s">
        <v>3300</v>
      </c>
      <c r="I1562" t="s">
        <v>80</v>
      </c>
      <c r="J1562" t="s">
        <v>3301</v>
      </c>
      <c r="K1562">
        <v>275541</v>
      </c>
      <c r="M1562">
        <v>0</v>
      </c>
      <c r="N1562" t="s">
        <v>4001</v>
      </c>
      <c r="O1562" t="s">
        <v>3978</v>
      </c>
      <c r="P1562" t="str">
        <f>TRIM(Table13_1[[#This Row],[Genre]])</f>
        <v>Mystery</v>
      </c>
    </row>
    <row r="1563" spans="1:16" x14ac:dyDescent="0.3">
      <c r="A1563" t="s">
        <v>3302</v>
      </c>
      <c r="B1563" t="s">
        <v>3303</v>
      </c>
      <c r="C1563">
        <v>2013</v>
      </c>
      <c r="D1563">
        <v>2010</v>
      </c>
      <c r="E1563" t="s">
        <v>17</v>
      </c>
      <c r="F1563">
        <v>131</v>
      </c>
      <c r="G1563" t="s">
        <v>3999</v>
      </c>
      <c r="H1563" t="s">
        <v>3304</v>
      </c>
      <c r="I1563" t="s">
        <v>608</v>
      </c>
      <c r="J1563" t="s">
        <v>3305</v>
      </c>
      <c r="K1563">
        <v>32014</v>
      </c>
      <c r="M1563">
        <v>0</v>
      </c>
      <c r="N1563" t="s">
        <v>4001</v>
      </c>
      <c r="O1563" t="s">
        <v>235</v>
      </c>
      <c r="P1563" t="str">
        <f>TRIM(Table13_1[[#This Row],[Genre]])</f>
        <v>Drama</v>
      </c>
    </row>
    <row r="1564" spans="1:16" x14ac:dyDescent="0.3">
      <c r="A1564" t="s">
        <v>3302</v>
      </c>
      <c r="B1564" t="s">
        <v>3303</v>
      </c>
      <c r="C1564">
        <v>2013</v>
      </c>
      <c r="D1564">
        <v>2010</v>
      </c>
      <c r="E1564" t="s">
        <v>17</v>
      </c>
      <c r="F1564">
        <v>131</v>
      </c>
      <c r="G1564" t="s">
        <v>3999</v>
      </c>
      <c r="H1564" t="s">
        <v>3304</v>
      </c>
      <c r="I1564" t="s">
        <v>608</v>
      </c>
      <c r="J1564" t="s">
        <v>3305</v>
      </c>
      <c r="K1564">
        <v>32014</v>
      </c>
      <c r="M1564">
        <v>0</v>
      </c>
      <c r="N1564" t="s">
        <v>4001</v>
      </c>
      <c r="O1564" t="s">
        <v>3981</v>
      </c>
      <c r="P1564" t="str">
        <f>TRIM(Table13_1[[#This Row],[Genre]])</f>
        <v>Romance</v>
      </c>
    </row>
    <row r="1565" spans="1:16" x14ac:dyDescent="0.3">
      <c r="A1565" t="s">
        <v>3306</v>
      </c>
      <c r="B1565" t="s">
        <v>3307</v>
      </c>
      <c r="C1565">
        <v>2008</v>
      </c>
      <c r="D1565">
        <v>2000</v>
      </c>
      <c r="E1565" t="s">
        <v>285</v>
      </c>
      <c r="F1565">
        <v>115</v>
      </c>
      <c r="G1565" t="s">
        <v>3997</v>
      </c>
      <c r="H1565" t="s">
        <v>201</v>
      </c>
      <c r="I1565" t="s">
        <v>159</v>
      </c>
      <c r="J1565" t="s">
        <v>3308</v>
      </c>
      <c r="K1565">
        <v>17321</v>
      </c>
      <c r="L1565">
        <v>317.42</v>
      </c>
      <c r="M1565">
        <v>317.42</v>
      </c>
      <c r="N1565" t="s">
        <v>3998</v>
      </c>
      <c r="O1565" t="s">
        <v>235</v>
      </c>
      <c r="P1565" t="str">
        <f>TRIM(Table13_1[[#This Row],[Genre]])</f>
        <v>Drama</v>
      </c>
    </row>
    <row r="1566" spans="1:16" x14ac:dyDescent="0.3">
      <c r="A1566" t="s">
        <v>3309</v>
      </c>
      <c r="B1566" t="s">
        <v>3310</v>
      </c>
      <c r="C1566">
        <v>2020</v>
      </c>
      <c r="D1566">
        <v>2020</v>
      </c>
      <c r="E1566" t="s">
        <v>17</v>
      </c>
      <c r="F1566">
        <v>138</v>
      </c>
      <c r="G1566" t="s">
        <v>3999</v>
      </c>
      <c r="H1566" t="s">
        <v>2292</v>
      </c>
      <c r="I1566" t="s">
        <v>326</v>
      </c>
      <c r="J1566" t="s">
        <v>3311</v>
      </c>
      <c r="K1566">
        <v>584741</v>
      </c>
      <c r="M1566">
        <v>0</v>
      </c>
      <c r="N1566" t="s">
        <v>4001</v>
      </c>
      <c r="O1566" t="s">
        <v>55</v>
      </c>
      <c r="P1566" t="str">
        <f>TRIM(Table13_1[[#This Row],[Genre]])</f>
        <v>Romance</v>
      </c>
    </row>
    <row r="1567" spans="1:16" x14ac:dyDescent="0.3">
      <c r="A1567" t="s">
        <v>3312</v>
      </c>
      <c r="B1567" t="s">
        <v>3313</v>
      </c>
      <c r="C1567">
        <v>2007</v>
      </c>
      <c r="D1567">
        <v>2000</v>
      </c>
      <c r="E1567" t="s">
        <v>54</v>
      </c>
      <c r="F1567">
        <v>113</v>
      </c>
      <c r="G1567" t="s">
        <v>3997</v>
      </c>
      <c r="H1567" t="s">
        <v>381</v>
      </c>
      <c r="I1567" t="s">
        <v>315</v>
      </c>
      <c r="J1567" t="s">
        <v>3314</v>
      </c>
      <c r="K1567">
        <v>15835</v>
      </c>
      <c r="M1567">
        <v>0</v>
      </c>
      <c r="N1567" t="s">
        <v>4001</v>
      </c>
      <c r="O1567" t="s">
        <v>375</v>
      </c>
      <c r="P1567" t="str">
        <f>TRIM(Table13_1[[#This Row],[Genre]])</f>
        <v>Family</v>
      </c>
    </row>
    <row r="1568" spans="1:16" x14ac:dyDescent="0.3">
      <c r="A1568" t="s">
        <v>3312</v>
      </c>
      <c r="B1568" t="s">
        <v>3313</v>
      </c>
      <c r="C1568">
        <v>2007</v>
      </c>
      <c r="D1568">
        <v>2000</v>
      </c>
      <c r="E1568" t="s">
        <v>54</v>
      </c>
      <c r="F1568">
        <v>113</v>
      </c>
      <c r="G1568" t="s">
        <v>3997</v>
      </c>
      <c r="H1568" t="s">
        <v>381</v>
      </c>
      <c r="I1568" t="s">
        <v>315</v>
      </c>
      <c r="J1568" t="s">
        <v>3314</v>
      </c>
      <c r="K1568">
        <v>15835</v>
      </c>
      <c r="M1568">
        <v>0</v>
      </c>
      <c r="N1568" t="s">
        <v>4001</v>
      </c>
      <c r="O1568" t="s">
        <v>3984</v>
      </c>
      <c r="P1568" t="str">
        <f>TRIM(Table13_1[[#This Row],[Genre]])</f>
        <v>Adventure</v>
      </c>
    </row>
    <row r="1569" spans="1:16" x14ac:dyDescent="0.3">
      <c r="A1569" t="s">
        <v>3315</v>
      </c>
      <c r="B1569" t="s">
        <v>3316</v>
      </c>
      <c r="C1569">
        <v>2022</v>
      </c>
      <c r="D1569">
        <v>2020</v>
      </c>
      <c r="E1569" t="s">
        <v>24</v>
      </c>
      <c r="F1569">
        <v>119</v>
      </c>
      <c r="G1569" t="s">
        <v>3997</v>
      </c>
      <c r="H1569" t="s">
        <v>3318</v>
      </c>
      <c r="I1569" t="s">
        <v>20</v>
      </c>
      <c r="J1569" t="s">
        <v>3319</v>
      </c>
      <c r="K1569">
        <v>14694</v>
      </c>
      <c r="L1569">
        <v>366.94</v>
      </c>
      <c r="M1569">
        <v>366.94</v>
      </c>
      <c r="N1569" t="s">
        <v>3998</v>
      </c>
      <c r="O1569" t="s">
        <v>277</v>
      </c>
      <c r="P1569" t="str">
        <f>TRIM(Table13_1[[#This Row],[Genre]])</f>
        <v>Thriller</v>
      </c>
    </row>
    <row r="1570" spans="1:16" x14ac:dyDescent="0.3">
      <c r="A1570" t="s">
        <v>3315</v>
      </c>
      <c r="B1570" t="s">
        <v>3316</v>
      </c>
      <c r="C1570">
        <v>2022</v>
      </c>
      <c r="D1570">
        <v>2020</v>
      </c>
      <c r="E1570" t="s">
        <v>24</v>
      </c>
      <c r="F1570">
        <v>119</v>
      </c>
      <c r="G1570" t="s">
        <v>3997</v>
      </c>
      <c r="H1570" t="s">
        <v>3318</v>
      </c>
      <c r="I1570" t="s">
        <v>20</v>
      </c>
      <c r="J1570" t="s">
        <v>3319</v>
      </c>
      <c r="K1570">
        <v>14694</v>
      </c>
      <c r="L1570">
        <v>366.94</v>
      </c>
      <c r="M1570">
        <v>366.94</v>
      </c>
      <c r="N1570" t="s">
        <v>3998</v>
      </c>
      <c r="O1570" t="s">
        <v>3993</v>
      </c>
      <c r="P1570" t="str">
        <f>TRIM(Table13_1[[#This Row],[Genre]])</f>
        <v>Comedy</v>
      </c>
    </row>
    <row r="1571" spans="1:16" x14ac:dyDescent="0.3">
      <c r="A1571" t="s">
        <v>3315</v>
      </c>
      <c r="B1571" t="s">
        <v>3316</v>
      </c>
      <c r="C1571">
        <v>2022</v>
      </c>
      <c r="D1571">
        <v>2020</v>
      </c>
      <c r="E1571" t="s">
        <v>24</v>
      </c>
      <c r="F1571">
        <v>119</v>
      </c>
      <c r="G1571" t="s">
        <v>3997</v>
      </c>
      <c r="H1571" t="s">
        <v>3318</v>
      </c>
      <c r="I1571" t="s">
        <v>20</v>
      </c>
      <c r="J1571" t="s">
        <v>3319</v>
      </c>
      <c r="K1571">
        <v>14694</v>
      </c>
      <c r="L1571">
        <v>366.94</v>
      </c>
      <c r="M1571">
        <v>366.94</v>
      </c>
      <c r="N1571" t="s">
        <v>3998</v>
      </c>
      <c r="O1571" t="s">
        <v>3982</v>
      </c>
      <c r="P1571" t="str">
        <f>TRIM(Table13_1[[#This Row],[Genre]])</f>
        <v>Family</v>
      </c>
    </row>
    <row r="1572" spans="1:16" x14ac:dyDescent="0.3">
      <c r="A1572" t="s">
        <v>3320</v>
      </c>
      <c r="B1572" t="s">
        <v>3321</v>
      </c>
      <c r="C1572">
        <v>1996</v>
      </c>
      <c r="D1572">
        <v>1990</v>
      </c>
      <c r="E1572" t="s">
        <v>17</v>
      </c>
      <c r="F1572">
        <v>125</v>
      </c>
      <c r="G1572" t="s">
        <v>3999</v>
      </c>
      <c r="H1572" t="s">
        <v>124</v>
      </c>
      <c r="I1572" t="s">
        <v>131</v>
      </c>
      <c r="J1572" t="s">
        <v>3323</v>
      </c>
      <c r="K1572">
        <v>156043</v>
      </c>
      <c r="L1572">
        <v>14.91</v>
      </c>
      <c r="M1572">
        <v>14.91</v>
      </c>
      <c r="N1572" t="s">
        <v>4001</v>
      </c>
      <c r="O1572" t="s">
        <v>230</v>
      </c>
      <c r="P1572" t="str">
        <f>TRIM(Table13_1[[#This Row],[Genre]])</f>
        <v>Documentary</v>
      </c>
    </row>
    <row r="1573" spans="1:16" x14ac:dyDescent="0.3">
      <c r="A1573" t="s">
        <v>3320</v>
      </c>
      <c r="B1573" t="s">
        <v>3321</v>
      </c>
      <c r="C1573">
        <v>1996</v>
      </c>
      <c r="D1573">
        <v>1990</v>
      </c>
      <c r="E1573" t="s">
        <v>17</v>
      </c>
      <c r="F1573">
        <v>125</v>
      </c>
      <c r="G1573" t="s">
        <v>3999</v>
      </c>
      <c r="H1573" t="s">
        <v>124</v>
      </c>
      <c r="I1573" t="s">
        <v>131</v>
      </c>
      <c r="J1573" t="s">
        <v>3323</v>
      </c>
      <c r="K1573">
        <v>156043</v>
      </c>
      <c r="L1573">
        <v>14.91</v>
      </c>
      <c r="M1573">
        <v>14.91</v>
      </c>
      <c r="N1573" t="s">
        <v>4001</v>
      </c>
      <c r="O1573" t="s">
        <v>3987</v>
      </c>
      <c r="P1573" t="str">
        <f>TRIM(Table13_1[[#This Row],[Genre]])</f>
        <v>Fantasy</v>
      </c>
    </row>
    <row r="1574" spans="1:16" x14ac:dyDescent="0.3">
      <c r="A1574" t="s">
        <v>3324</v>
      </c>
      <c r="B1574" t="s">
        <v>3325</v>
      </c>
      <c r="C1574">
        <v>2001</v>
      </c>
      <c r="D1574">
        <v>2000</v>
      </c>
      <c r="E1574" t="s">
        <v>54</v>
      </c>
      <c r="F1574">
        <v>112</v>
      </c>
      <c r="G1574" t="s">
        <v>3997</v>
      </c>
      <c r="H1574" t="s">
        <v>269</v>
      </c>
      <c r="I1574" t="s">
        <v>236</v>
      </c>
      <c r="J1574" t="s">
        <v>3326</v>
      </c>
      <c r="K1574">
        <v>12491</v>
      </c>
      <c r="M1574">
        <v>0</v>
      </c>
      <c r="N1574" t="s">
        <v>4001</v>
      </c>
      <c r="O1574" t="s">
        <v>453</v>
      </c>
      <c r="P1574" t="str">
        <f>TRIM(Table13_1[[#This Row],[Genre]])</f>
        <v>Musical</v>
      </c>
    </row>
    <row r="1575" spans="1:16" x14ac:dyDescent="0.3">
      <c r="A1575" t="s">
        <v>3324</v>
      </c>
      <c r="B1575" t="s">
        <v>3325</v>
      </c>
      <c r="C1575">
        <v>2001</v>
      </c>
      <c r="D1575">
        <v>2000</v>
      </c>
      <c r="E1575" t="s">
        <v>54</v>
      </c>
      <c r="F1575">
        <v>112</v>
      </c>
      <c r="G1575" t="s">
        <v>3997</v>
      </c>
      <c r="H1575" t="s">
        <v>269</v>
      </c>
      <c r="I1575" t="s">
        <v>236</v>
      </c>
      <c r="J1575" t="s">
        <v>3326</v>
      </c>
      <c r="K1575">
        <v>12491</v>
      </c>
      <c r="M1575">
        <v>0</v>
      </c>
      <c r="N1575" t="s">
        <v>4001</v>
      </c>
      <c r="O1575" t="s">
        <v>3977</v>
      </c>
      <c r="P1575" t="str">
        <f>TRIM(Table13_1[[#This Row],[Genre]])</f>
        <v>Animation</v>
      </c>
    </row>
    <row r="1576" spans="1:16" x14ac:dyDescent="0.3">
      <c r="A1576" t="s">
        <v>3327</v>
      </c>
      <c r="B1576" t="s">
        <v>3328</v>
      </c>
      <c r="C1576">
        <v>2005</v>
      </c>
      <c r="D1576">
        <v>2000</v>
      </c>
      <c r="E1576" t="s">
        <v>17</v>
      </c>
      <c r="F1576">
        <v>135</v>
      </c>
      <c r="G1576" t="s">
        <v>3999</v>
      </c>
      <c r="H1576" t="s">
        <v>3330</v>
      </c>
      <c r="I1576" t="s">
        <v>137</v>
      </c>
      <c r="J1576" t="s">
        <v>3331</v>
      </c>
      <c r="K1576">
        <v>220666</v>
      </c>
      <c r="L1576">
        <v>422.35</v>
      </c>
      <c r="M1576">
        <v>422.35</v>
      </c>
      <c r="N1576" t="s">
        <v>3998</v>
      </c>
      <c r="O1576" t="s">
        <v>235</v>
      </c>
      <c r="P1576" t="str">
        <f>TRIM(Table13_1[[#This Row],[Genre]])</f>
        <v>Drama</v>
      </c>
    </row>
    <row r="1577" spans="1:16" x14ac:dyDescent="0.3">
      <c r="A1577" t="s">
        <v>3327</v>
      </c>
      <c r="B1577" t="s">
        <v>3328</v>
      </c>
      <c r="C1577">
        <v>2005</v>
      </c>
      <c r="D1577">
        <v>2000</v>
      </c>
      <c r="E1577" t="s">
        <v>17</v>
      </c>
      <c r="F1577">
        <v>135</v>
      </c>
      <c r="G1577" t="s">
        <v>3999</v>
      </c>
      <c r="H1577" t="s">
        <v>3330</v>
      </c>
      <c r="I1577" t="s">
        <v>137</v>
      </c>
      <c r="J1577" t="s">
        <v>3331</v>
      </c>
      <c r="K1577">
        <v>220666</v>
      </c>
      <c r="L1577">
        <v>422.35</v>
      </c>
      <c r="M1577">
        <v>422.35</v>
      </c>
      <c r="N1577" t="s">
        <v>3998</v>
      </c>
      <c r="O1577" t="s">
        <v>3991</v>
      </c>
      <c r="P1577" t="str">
        <f>TRIM(Table13_1[[#This Row],[Genre]])</f>
        <v>Thriller</v>
      </c>
    </row>
    <row r="1578" spans="1:16" x14ac:dyDescent="0.3">
      <c r="A1578" t="s">
        <v>3327</v>
      </c>
      <c r="B1578" t="s">
        <v>3328</v>
      </c>
      <c r="C1578">
        <v>2005</v>
      </c>
      <c r="D1578">
        <v>2000</v>
      </c>
      <c r="E1578" t="s">
        <v>17</v>
      </c>
      <c r="F1578">
        <v>135</v>
      </c>
      <c r="G1578" t="s">
        <v>3999</v>
      </c>
      <c r="H1578" t="s">
        <v>3330</v>
      </c>
      <c r="I1578" t="s">
        <v>137</v>
      </c>
      <c r="J1578" t="s">
        <v>3331</v>
      </c>
      <c r="K1578">
        <v>220666</v>
      </c>
      <c r="L1578">
        <v>422.35</v>
      </c>
      <c r="M1578">
        <v>422.35</v>
      </c>
      <c r="N1578" t="s">
        <v>3998</v>
      </c>
      <c r="O1578" t="s">
        <v>3987</v>
      </c>
      <c r="P1578" t="str">
        <f>TRIM(Table13_1[[#This Row],[Genre]])</f>
        <v>Fantasy</v>
      </c>
    </row>
    <row r="1579" spans="1:16" x14ac:dyDescent="0.3">
      <c r="A1579" t="s">
        <v>3332</v>
      </c>
      <c r="B1579" t="s">
        <v>3333</v>
      </c>
      <c r="C1579">
        <v>2012</v>
      </c>
      <c r="D1579">
        <v>2010</v>
      </c>
      <c r="E1579" t="s">
        <v>285</v>
      </c>
      <c r="F1579">
        <v>145</v>
      </c>
      <c r="G1579" t="s">
        <v>3999</v>
      </c>
      <c r="H1579" t="s">
        <v>305</v>
      </c>
      <c r="I1579" t="s">
        <v>27</v>
      </c>
      <c r="J1579" t="s">
        <v>3334</v>
      </c>
      <c r="K1579">
        <v>135295</v>
      </c>
      <c r="L1579">
        <v>368.92</v>
      </c>
      <c r="M1579">
        <v>368.92</v>
      </c>
      <c r="N1579" t="s">
        <v>3998</v>
      </c>
      <c r="O1579" t="s">
        <v>78</v>
      </c>
      <c r="P1579" t="str">
        <f>TRIM(Table13_1[[#This Row],[Genre]])</f>
        <v>Adventure</v>
      </c>
    </row>
    <row r="1580" spans="1:16" x14ac:dyDescent="0.3">
      <c r="A1580" t="s">
        <v>3332</v>
      </c>
      <c r="B1580" t="s">
        <v>3333</v>
      </c>
      <c r="C1580">
        <v>2012</v>
      </c>
      <c r="D1580">
        <v>2010</v>
      </c>
      <c r="E1580" t="s">
        <v>285</v>
      </c>
      <c r="F1580">
        <v>145</v>
      </c>
      <c r="G1580" t="s">
        <v>3999</v>
      </c>
      <c r="H1580" t="s">
        <v>305</v>
      </c>
      <c r="I1580" t="s">
        <v>27</v>
      </c>
      <c r="J1580" t="s">
        <v>3334</v>
      </c>
      <c r="K1580">
        <v>135295</v>
      </c>
      <c r="L1580">
        <v>368.92</v>
      </c>
      <c r="M1580">
        <v>368.92</v>
      </c>
      <c r="N1580" t="s">
        <v>3998</v>
      </c>
      <c r="O1580" t="s">
        <v>3993</v>
      </c>
      <c r="P1580" t="str">
        <f>TRIM(Table13_1[[#This Row],[Genre]])</f>
        <v>Comedy</v>
      </c>
    </row>
    <row r="1581" spans="1:16" x14ac:dyDescent="0.3">
      <c r="A1581" t="s">
        <v>3335</v>
      </c>
      <c r="B1581" t="s">
        <v>3336</v>
      </c>
      <c r="C1581">
        <v>2011</v>
      </c>
      <c r="D1581">
        <v>2010</v>
      </c>
      <c r="E1581" t="s">
        <v>24</v>
      </c>
      <c r="F1581">
        <v>117</v>
      </c>
      <c r="G1581" t="s">
        <v>3997</v>
      </c>
      <c r="H1581" t="s">
        <v>19</v>
      </c>
      <c r="I1581" t="s">
        <v>196</v>
      </c>
      <c r="J1581" t="s">
        <v>3337</v>
      </c>
      <c r="K1581">
        <v>19864</v>
      </c>
      <c r="L1581">
        <v>220.47</v>
      </c>
      <c r="M1581">
        <v>220.47</v>
      </c>
      <c r="N1581" t="s">
        <v>3998</v>
      </c>
      <c r="O1581" t="s">
        <v>210</v>
      </c>
      <c r="P1581" t="str">
        <f>TRIM(Table13_1[[#This Row],[Genre]])</f>
        <v>Action</v>
      </c>
    </row>
    <row r="1582" spans="1:16" x14ac:dyDescent="0.3">
      <c r="A1582" t="s">
        <v>3335</v>
      </c>
      <c r="B1582" t="s">
        <v>3336</v>
      </c>
      <c r="C1582">
        <v>2011</v>
      </c>
      <c r="D1582">
        <v>2010</v>
      </c>
      <c r="E1582" t="s">
        <v>24</v>
      </c>
      <c r="F1582">
        <v>117</v>
      </c>
      <c r="G1582" t="s">
        <v>3997</v>
      </c>
      <c r="H1582" t="s">
        <v>19</v>
      </c>
      <c r="I1582" t="s">
        <v>196</v>
      </c>
      <c r="J1582" t="s">
        <v>3337</v>
      </c>
      <c r="K1582">
        <v>19864</v>
      </c>
      <c r="L1582">
        <v>220.47</v>
      </c>
      <c r="M1582">
        <v>220.47</v>
      </c>
      <c r="N1582" t="s">
        <v>3998</v>
      </c>
      <c r="O1582" t="s">
        <v>3983</v>
      </c>
      <c r="P1582" t="str">
        <f>TRIM(Table13_1[[#This Row],[Genre]])</f>
        <v>Crime</v>
      </c>
    </row>
    <row r="1583" spans="1:16" x14ac:dyDescent="0.3">
      <c r="A1583" t="s">
        <v>3338</v>
      </c>
      <c r="B1583" t="s">
        <v>3339</v>
      </c>
      <c r="C1583">
        <v>2022</v>
      </c>
      <c r="D1583">
        <v>2020</v>
      </c>
      <c r="E1583" t="s">
        <v>17</v>
      </c>
      <c r="F1583">
        <v>127</v>
      </c>
      <c r="G1583" t="s">
        <v>3999</v>
      </c>
      <c r="H1583" t="s">
        <v>38</v>
      </c>
      <c r="I1583" t="s">
        <v>33</v>
      </c>
      <c r="J1583" t="s">
        <v>3340</v>
      </c>
      <c r="K1583">
        <v>133511</v>
      </c>
      <c r="L1583">
        <v>357.12</v>
      </c>
      <c r="M1583">
        <v>357.12</v>
      </c>
      <c r="N1583" t="s">
        <v>3998</v>
      </c>
      <c r="O1583" t="s">
        <v>37</v>
      </c>
      <c r="P1583" t="str">
        <f>TRIM(Table13_1[[#This Row],[Genre]])</f>
        <v>Biography</v>
      </c>
    </row>
    <row r="1584" spans="1:16" x14ac:dyDescent="0.3">
      <c r="A1584" t="s">
        <v>3338</v>
      </c>
      <c r="B1584" t="s">
        <v>3339</v>
      </c>
      <c r="C1584">
        <v>2022</v>
      </c>
      <c r="D1584">
        <v>2020</v>
      </c>
      <c r="E1584" t="s">
        <v>17</v>
      </c>
      <c r="F1584">
        <v>127</v>
      </c>
      <c r="G1584" t="s">
        <v>3999</v>
      </c>
      <c r="H1584" t="s">
        <v>38</v>
      </c>
      <c r="I1584" t="s">
        <v>33</v>
      </c>
      <c r="J1584" t="s">
        <v>3340</v>
      </c>
      <c r="K1584">
        <v>133511</v>
      </c>
      <c r="L1584">
        <v>357.12</v>
      </c>
      <c r="M1584">
        <v>357.12</v>
      </c>
      <c r="N1584" t="s">
        <v>3998</v>
      </c>
      <c r="O1584" t="s">
        <v>3991</v>
      </c>
      <c r="P1584" t="str">
        <f>TRIM(Table13_1[[#This Row],[Genre]])</f>
        <v>Thriller</v>
      </c>
    </row>
    <row r="1585" spans="1:16" x14ac:dyDescent="0.3">
      <c r="A1585" t="s">
        <v>3338</v>
      </c>
      <c r="B1585" t="s">
        <v>3339</v>
      </c>
      <c r="C1585">
        <v>2022</v>
      </c>
      <c r="D1585">
        <v>2020</v>
      </c>
      <c r="E1585" t="s">
        <v>17</v>
      </c>
      <c r="F1585">
        <v>127</v>
      </c>
      <c r="G1585" t="s">
        <v>3999</v>
      </c>
      <c r="H1585" t="s">
        <v>38</v>
      </c>
      <c r="I1585" t="s">
        <v>33</v>
      </c>
      <c r="J1585" t="s">
        <v>3340</v>
      </c>
      <c r="K1585">
        <v>133511</v>
      </c>
      <c r="L1585">
        <v>357.12</v>
      </c>
      <c r="M1585">
        <v>357.12</v>
      </c>
      <c r="N1585" t="s">
        <v>3998</v>
      </c>
      <c r="O1585" t="s">
        <v>3979</v>
      </c>
      <c r="P1585" t="str">
        <f>TRIM(Table13_1[[#This Row],[Genre]])</f>
        <v>War</v>
      </c>
    </row>
    <row r="1586" spans="1:16" x14ac:dyDescent="0.3">
      <c r="A1586" t="s">
        <v>3341</v>
      </c>
      <c r="B1586" t="s">
        <v>3342</v>
      </c>
      <c r="C1586">
        <v>2023</v>
      </c>
      <c r="D1586">
        <v>2020</v>
      </c>
      <c r="E1586" t="s">
        <v>54</v>
      </c>
      <c r="F1586">
        <v>110</v>
      </c>
      <c r="G1586" t="s">
        <v>3997</v>
      </c>
      <c r="H1586" t="s">
        <v>3344</v>
      </c>
      <c r="I1586" t="s">
        <v>547</v>
      </c>
      <c r="J1586" t="s">
        <v>3345</v>
      </c>
      <c r="K1586">
        <v>169433</v>
      </c>
      <c r="L1586">
        <v>343.64</v>
      </c>
      <c r="M1586">
        <v>343.64</v>
      </c>
      <c r="N1586" t="s">
        <v>3998</v>
      </c>
      <c r="O1586" t="s">
        <v>157</v>
      </c>
      <c r="P1586" t="str">
        <f>TRIM(Table13_1[[#This Row],[Genre]])</f>
        <v>Animation</v>
      </c>
    </row>
    <row r="1587" spans="1:16" x14ac:dyDescent="0.3">
      <c r="A1587" t="s">
        <v>3341</v>
      </c>
      <c r="B1587" t="s">
        <v>3342</v>
      </c>
      <c r="C1587">
        <v>2023</v>
      </c>
      <c r="D1587">
        <v>2020</v>
      </c>
      <c r="E1587" t="s">
        <v>54</v>
      </c>
      <c r="F1587">
        <v>110</v>
      </c>
      <c r="G1587" t="s">
        <v>3997</v>
      </c>
      <c r="H1587" t="s">
        <v>3344</v>
      </c>
      <c r="I1587" t="s">
        <v>547</v>
      </c>
      <c r="J1587" t="s">
        <v>3345</v>
      </c>
      <c r="K1587">
        <v>169433</v>
      </c>
      <c r="L1587">
        <v>343.64</v>
      </c>
      <c r="M1587">
        <v>343.64</v>
      </c>
      <c r="N1587" t="s">
        <v>3998</v>
      </c>
      <c r="O1587" t="s">
        <v>3981</v>
      </c>
      <c r="P1587" t="str">
        <f>TRIM(Table13_1[[#This Row],[Genre]])</f>
        <v>Romance</v>
      </c>
    </row>
    <row r="1588" spans="1:16" x14ac:dyDescent="0.3">
      <c r="A1588" t="s">
        <v>3341</v>
      </c>
      <c r="B1588" t="s">
        <v>3342</v>
      </c>
      <c r="C1588">
        <v>2023</v>
      </c>
      <c r="D1588">
        <v>2020</v>
      </c>
      <c r="E1588" t="s">
        <v>54</v>
      </c>
      <c r="F1588">
        <v>110</v>
      </c>
      <c r="G1588" t="s">
        <v>3997</v>
      </c>
      <c r="H1588" t="s">
        <v>3344</v>
      </c>
      <c r="I1588" t="s">
        <v>547</v>
      </c>
      <c r="J1588" t="s">
        <v>3345</v>
      </c>
      <c r="K1588">
        <v>169433</v>
      </c>
      <c r="L1588">
        <v>343.64</v>
      </c>
      <c r="M1588">
        <v>343.64</v>
      </c>
      <c r="N1588" t="s">
        <v>3998</v>
      </c>
      <c r="O1588" t="s">
        <v>3986</v>
      </c>
      <c r="P1588" t="str">
        <f>TRIM(Table13_1[[#This Row],[Genre]])</f>
        <v>Documentary</v>
      </c>
    </row>
    <row r="1589" spans="1:16" x14ac:dyDescent="0.3">
      <c r="A1589" t="s">
        <v>3346</v>
      </c>
      <c r="B1589" t="s">
        <v>3347</v>
      </c>
      <c r="C1589">
        <v>1988</v>
      </c>
      <c r="D1589">
        <v>1980</v>
      </c>
      <c r="E1589" t="s">
        <v>17</v>
      </c>
      <c r="F1589">
        <v>121</v>
      </c>
      <c r="G1589" t="s">
        <v>3999</v>
      </c>
      <c r="H1589" t="s">
        <v>158</v>
      </c>
      <c r="I1589" t="s">
        <v>80</v>
      </c>
      <c r="J1589" t="s">
        <v>3349</v>
      </c>
      <c r="K1589">
        <v>352871</v>
      </c>
      <c r="L1589">
        <v>173.2</v>
      </c>
      <c r="M1589">
        <v>173.2</v>
      </c>
      <c r="N1589" t="s">
        <v>4002</v>
      </c>
      <c r="O1589" t="s">
        <v>157</v>
      </c>
      <c r="P1589" t="str">
        <f>TRIM(Table13_1[[#This Row],[Genre]])</f>
        <v>Animation</v>
      </c>
    </row>
    <row r="1590" spans="1:16" x14ac:dyDescent="0.3">
      <c r="A1590" t="s">
        <v>3346</v>
      </c>
      <c r="B1590" t="s">
        <v>3347</v>
      </c>
      <c r="C1590">
        <v>1988</v>
      </c>
      <c r="D1590">
        <v>1980</v>
      </c>
      <c r="E1590" t="s">
        <v>17</v>
      </c>
      <c r="F1590">
        <v>121</v>
      </c>
      <c r="G1590" t="s">
        <v>3999</v>
      </c>
      <c r="H1590" t="s">
        <v>158</v>
      </c>
      <c r="I1590" t="s">
        <v>80</v>
      </c>
      <c r="J1590" t="s">
        <v>3349</v>
      </c>
      <c r="K1590">
        <v>352871</v>
      </c>
      <c r="L1590">
        <v>173.2</v>
      </c>
      <c r="M1590">
        <v>173.2</v>
      </c>
      <c r="N1590" t="s">
        <v>4002</v>
      </c>
      <c r="O1590" t="s">
        <v>3992</v>
      </c>
      <c r="P1590" t="str">
        <f>TRIM(Table13_1[[#This Row],[Genre]])</f>
        <v>Biography</v>
      </c>
    </row>
    <row r="1591" spans="1:16" x14ac:dyDescent="0.3">
      <c r="A1591" t="s">
        <v>3350</v>
      </c>
      <c r="B1591" t="s">
        <v>3351</v>
      </c>
      <c r="C1591">
        <v>1999</v>
      </c>
      <c r="D1591">
        <v>1990</v>
      </c>
      <c r="E1591" t="s">
        <v>24</v>
      </c>
      <c r="F1591">
        <v>119</v>
      </c>
      <c r="G1591" t="s">
        <v>3997</v>
      </c>
      <c r="H1591" t="s">
        <v>491</v>
      </c>
      <c r="I1591" t="s">
        <v>718</v>
      </c>
      <c r="J1591" t="s">
        <v>3352</v>
      </c>
      <c r="K1591">
        <v>67084</v>
      </c>
      <c r="L1591">
        <v>60.44</v>
      </c>
      <c r="M1591">
        <v>60.44</v>
      </c>
      <c r="N1591" t="s">
        <v>4001</v>
      </c>
      <c r="O1591" t="s">
        <v>72</v>
      </c>
      <c r="P1591" t="str">
        <f>TRIM(Table13_1[[#This Row],[Genre]])</f>
        <v>War</v>
      </c>
    </row>
    <row r="1592" spans="1:16" x14ac:dyDescent="0.3">
      <c r="A1592" t="s">
        <v>3353</v>
      </c>
      <c r="B1592" t="s">
        <v>3354</v>
      </c>
      <c r="C1592">
        <v>2020</v>
      </c>
      <c r="D1592">
        <v>2020</v>
      </c>
      <c r="E1592" t="s">
        <v>17</v>
      </c>
      <c r="F1592">
        <v>127</v>
      </c>
      <c r="G1592" t="s">
        <v>3999</v>
      </c>
      <c r="H1592" t="s">
        <v>763</v>
      </c>
      <c r="I1592" t="s">
        <v>57</v>
      </c>
      <c r="J1592" t="s">
        <v>3355</v>
      </c>
      <c r="K1592">
        <v>16244</v>
      </c>
      <c r="L1592">
        <v>260.55</v>
      </c>
      <c r="M1592">
        <v>260.55</v>
      </c>
      <c r="N1592" t="s">
        <v>3998</v>
      </c>
      <c r="O1592" t="s">
        <v>78</v>
      </c>
      <c r="P1592" t="str">
        <f>TRIM(Table13_1[[#This Row],[Genre]])</f>
        <v>Adventure</v>
      </c>
    </row>
    <row r="1593" spans="1:16" x14ac:dyDescent="0.3">
      <c r="A1593" t="s">
        <v>3356</v>
      </c>
      <c r="B1593" t="s">
        <v>3357</v>
      </c>
      <c r="C1593">
        <v>1991</v>
      </c>
      <c r="D1593">
        <v>1990</v>
      </c>
      <c r="E1593" t="s">
        <v>17</v>
      </c>
      <c r="F1593">
        <v>130</v>
      </c>
      <c r="G1593" t="s">
        <v>3999</v>
      </c>
      <c r="H1593" t="s">
        <v>3358</v>
      </c>
      <c r="I1593" t="s">
        <v>593</v>
      </c>
      <c r="J1593" t="s">
        <v>3359</v>
      </c>
      <c r="K1593">
        <v>45003</v>
      </c>
      <c r="L1593">
        <v>147.22</v>
      </c>
      <c r="M1593">
        <v>147.22</v>
      </c>
      <c r="N1593" t="s">
        <v>4002</v>
      </c>
      <c r="O1593" t="s">
        <v>230</v>
      </c>
      <c r="P1593" t="str">
        <f>TRIM(Table13_1[[#This Row],[Genre]])</f>
        <v>Documentary</v>
      </c>
    </row>
    <row r="1594" spans="1:16" x14ac:dyDescent="0.3">
      <c r="A1594" t="s">
        <v>3356</v>
      </c>
      <c r="B1594" t="s">
        <v>3357</v>
      </c>
      <c r="C1594">
        <v>1991</v>
      </c>
      <c r="D1594">
        <v>1990</v>
      </c>
      <c r="E1594" t="s">
        <v>17</v>
      </c>
      <c r="F1594">
        <v>130</v>
      </c>
      <c r="G1594" t="s">
        <v>3999</v>
      </c>
      <c r="H1594" t="s">
        <v>3358</v>
      </c>
      <c r="I1594" t="s">
        <v>593</v>
      </c>
      <c r="J1594" t="s">
        <v>3359</v>
      </c>
      <c r="K1594">
        <v>45003</v>
      </c>
      <c r="L1594">
        <v>147.22</v>
      </c>
      <c r="M1594">
        <v>147.22</v>
      </c>
      <c r="N1594" t="s">
        <v>4002</v>
      </c>
      <c r="O1594" t="s">
        <v>3989</v>
      </c>
      <c r="P1594" t="str">
        <f>TRIM(Table13_1[[#This Row],[Genre]])</f>
        <v>Sci-Fi</v>
      </c>
    </row>
    <row r="1595" spans="1:16" x14ac:dyDescent="0.3">
      <c r="A1595" t="s">
        <v>3360</v>
      </c>
      <c r="B1595" t="s">
        <v>3361</v>
      </c>
      <c r="C1595">
        <v>2005</v>
      </c>
      <c r="D1595">
        <v>2000</v>
      </c>
      <c r="E1595" t="s">
        <v>17</v>
      </c>
      <c r="F1595">
        <v>142</v>
      </c>
      <c r="G1595" t="s">
        <v>3999</v>
      </c>
      <c r="H1595" t="s">
        <v>3363</v>
      </c>
      <c r="I1595" t="s">
        <v>608</v>
      </c>
      <c r="J1595" t="s">
        <v>3364</v>
      </c>
      <c r="K1595">
        <v>150115</v>
      </c>
      <c r="L1595">
        <v>235.48</v>
      </c>
      <c r="M1595">
        <v>235.48</v>
      </c>
      <c r="N1595" t="s">
        <v>3998</v>
      </c>
      <c r="O1595" t="s">
        <v>453</v>
      </c>
      <c r="P1595" t="str">
        <f>TRIM(Table13_1[[#This Row],[Genre]])</f>
        <v>Musical</v>
      </c>
    </row>
    <row r="1596" spans="1:16" x14ac:dyDescent="0.3">
      <c r="A1596" t="s">
        <v>3360</v>
      </c>
      <c r="B1596" t="s">
        <v>3361</v>
      </c>
      <c r="C1596">
        <v>2005</v>
      </c>
      <c r="D1596">
        <v>2000</v>
      </c>
      <c r="E1596" t="s">
        <v>17</v>
      </c>
      <c r="F1596">
        <v>142</v>
      </c>
      <c r="G1596" t="s">
        <v>3999</v>
      </c>
      <c r="H1596" t="s">
        <v>3363</v>
      </c>
      <c r="I1596" t="s">
        <v>608</v>
      </c>
      <c r="J1596" t="s">
        <v>3364</v>
      </c>
      <c r="K1596">
        <v>150115</v>
      </c>
      <c r="L1596">
        <v>235.48</v>
      </c>
      <c r="M1596">
        <v>235.48</v>
      </c>
      <c r="N1596" t="s">
        <v>3998</v>
      </c>
      <c r="O1596" t="s">
        <v>3981</v>
      </c>
      <c r="P1596" t="str">
        <f>TRIM(Table13_1[[#This Row],[Genre]])</f>
        <v>Romance</v>
      </c>
    </row>
    <row r="1597" spans="1:16" x14ac:dyDescent="0.3">
      <c r="A1597" t="s">
        <v>3365</v>
      </c>
      <c r="B1597" t="s">
        <v>3366</v>
      </c>
      <c r="C1597">
        <v>2022</v>
      </c>
      <c r="D1597">
        <v>2020</v>
      </c>
      <c r="E1597" t="s">
        <v>169</v>
      </c>
      <c r="F1597">
        <v>115</v>
      </c>
      <c r="G1597" t="s">
        <v>3997</v>
      </c>
      <c r="H1597" t="s">
        <v>3367</v>
      </c>
      <c r="I1597" t="s">
        <v>191</v>
      </c>
      <c r="J1597" t="s">
        <v>3368</v>
      </c>
      <c r="K1597">
        <v>49173</v>
      </c>
      <c r="M1597">
        <v>0</v>
      </c>
      <c r="N1597" t="s">
        <v>4001</v>
      </c>
      <c r="O1597" t="s">
        <v>129</v>
      </c>
      <c r="P1597" t="str">
        <f>TRIM(Table13_1[[#This Row],[Genre]])</f>
        <v>Horror</v>
      </c>
    </row>
    <row r="1598" spans="1:16" x14ac:dyDescent="0.3">
      <c r="A1598" t="s">
        <v>3365</v>
      </c>
      <c r="B1598" t="s">
        <v>3366</v>
      </c>
      <c r="C1598">
        <v>2022</v>
      </c>
      <c r="D1598">
        <v>2020</v>
      </c>
      <c r="E1598" t="s">
        <v>169</v>
      </c>
      <c r="F1598">
        <v>115</v>
      </c>
      <c r="G1598" t="s">
        <v>3997</v>
      </c>
      <c r="H1598" t="s">
        <v>3367</v>
      </c>
      <c r="I1598" t="s">
        <v>191</v>
      </c>
      <c r="J1598" t="s">
        <v>3368</v>
      </c>
      <c r="K1598">
        <v>49173</v>
      </c>
      <c r="M1598">
        <v>0</v>
      </c>
      <c r="N1598" t="s">
        <v>4001</v>
      </c>
      <c r="O1598" t="s">
        <v>3988</v>
      </c>
      <c r="P1598" t="str">
        <f>TRIM(Table13_1[[#This Row],[Genre]])</f>
        <v>Drama</v>
      </c>
    </row>
    <row r="1599" spans="1:16" x14ac:dyDescent="0.3">
      <c r="A1599" t="s">
        <v>3369</v>
      </c>
      <c r="B1599" t="s">
        <v>3370</v>
      </c>
      <c r="C1599">
        <v>2013</v>
      </c>
      <c r="D1599">
        <v>2010</v>
      </c>
      <c r="E1599" t="s">
        <v>54</v>
      </c>
      <c r="F1599">
        <v>126</v>
      </c>
      <c r="G1599" t="s">
        <v>3999</v>
      </c>
      <c r="H1599" t="s">
        <v>3372</v>
      </c>
      <c r="I1599" t="s">
        <v>57</v>
      </c>
      <c r="J1599" t="s">
        <v>3373</v>
      </c>
      <c r="K1599">
        <v>51885</v>
      </c>
      <c r="L1599">
        <v>147.4</v>
      </c>
      <c r="M1599">
        <v>147.4</v>
      </c>
      <c r="N1599" t="s">
        <v>4002</v>
      </c>
      <c r="O1599" t="s">
        <v>868</v>
      </c>
      <c r="P1599" t="str">
        <f>TRIM(Table13_1[[#This Row],[Genre]])</f>
        <v>Western</v>
      </c>
    </row>
    <row r="1600" spans="1:16" x14ac:dyDescent="0.3">
      <c r="A1600" t="s">
        <v>3369</v>
      </c>
      <c r="B1600" t="s">
        <v>3370</v>
      </c>
      <c r="C1600">
        <v>2013</v>
      </c>
      <c r="D1600">
        <v>2010</v>
      </c>
      <c r="E1600" t="s">
        <v>54</v>
      </c>
      <c r="F1600">
        <v>126</v>
      </c>
      <c r="G1600" t="s">
        <v>3999</v>
      </c>
      <c r="H1600" t="s">
        <v>3372</v>
      </c>
      <c r="I1600" t="s">
        <v>57</v>
      </c>
      <c r="J1600" t="s">
        <v>3373</v>
      </c>
      <c r="K1600">
        <v>51885</v>
      </c>
      <c r="L1600">
        <v>147.4</v>
      </c>
      <c r="M1600">
        <v>147.4</v>
      </c>
      <c r="N1600" t="s">
        <v>4002</v>
      </c>
      <c r="O1600" t="s">
        <v>3983</v>
      </c>
      <c r="P1600" t="str">
        <f>TRIM(Table13_1[[#This Row],[Genre]])</f>
        <v>Crime</v>
      </c>
    </row>
    <row r="1601" spans="1:16" x14ac:dyDescent="0.3">
      <c r="A1601" t="s">
        <v>3374</v>
      </c>
      <c r="B1601" t="s">
        <v>3375</v>
      </c>
      <c r="C1601">
        <v>2009</v>
      </c>
      <c r="D1601">
        <v>2000</v>
      </c>
      <c r="E1601" t="s">
        <v>285</v>
      </c>
      <c r="F1601">
        <v>103</v>
      </c>
      <c r="G1601" t="s">
        <v>3997</v>
      </c>
      <c r="H1601" t="s">
        <v>250</v>
      </c>
      <c r="I1601" t="s">
        <v>196</v>
      </c>
      <c r="J1601" t="s">
        <v>3376</v>
      </c>
      <c r="K1601">
        <v>2368</v>
      </c>
      <c r="L1601">
        <v>273.33999999999997</v>
      </c>
      <c r="M1601">
        <v>273.33999999999997</v>
      </c>
      <c r="N1601" t="s">
        <v>3998</v>
      </c>
      <c r="O1601" t="s">
        <v>606</v>
      </c>
      <c r="P1601" t="str">
        <f>TRIM(Table13_1[[#This Row],[Genre]])</f>
        <v>Sci-Fi</v>
      </c>
    </row>
    <row r="1602" spans="1:16" x14ac:dyDescent="0.3">
      <c r="A1602" t="s">
        <v>3374</v>
      </c>
      <c r="B1602" t="s">
        <v>3375</v>
      </c>
      <c r="C1602">
        <v>2009</v>
      </c>
      <c r="D1602">
        <v>2000</v>
      </c>
      <c r="E1602" t="s">
        <v>285</v>
      </c>
      <c r="F1602">
        <v>103</v>
      </c>
      <c r="G1602" t="s">
        <v>3997</v>
      </c>
      <c r="H1602" t="s">
        <v>250</v>
      </c>
      <c r="I1602" t="s">
        <v>196</v>
      </c>
      <c r="J1602" t="s">
        <v>3376</v>
      </c>
      <c r="K1602">
        <v>2368</v>
      </c>
      <c r="L1602">
        <v>273.33999999999997</v>
      </c>
      <c r="M1602">
        <v>273.33999999999997</v>
      </c>
      <c r="N1602" t="s">
        <v>3998</v>
      </c>
      <c r="O1602" t="s">
        <v>3986</v>
      </c>
      <c r="P1602" t="str">
        <f>TRIM(Table13_1[[#This Row],[Genre]])</f>
        <v>Documentary</v>
      </c>
    </row>
    <row r="1603" spans="1:16" x14ac:dyDescent="0.3">
      <c r="A1603" t="s">
        <v>3377</v>
      </c>
      <c r="B1603" t="s">
        <v>3378</v>
      </c>
      <c r="C1603">
        <v>2002</v>
      </c>
      <c r="D1603">
        <v>2000</v>
      </c>
      <c r="E1603" t="s">
        <v>17</v>
      </c>
      <c r="F1603">
        <v>138</v>
      </c>
      <c r="G1603" t="s">
        <v>3999</v>
      </c>
      <c r="H1603" t="s">
        <v>1155</v>
      </c>
      <c r="I1603" t="s">
        <v>593</v>
      </c>
      <c r="J1603" t="s">
        <v>3379</v>
      </c>
      <c r="K1603">
        <v>68086</v>
      </c>
      <c r="M1603">
        <v>0</v>
      </c>
      <c r="N1603" t="s">
        <v>4001</v>
      </c>
      <c r="O1603" t="s">
        <v>72</v>
      </c>
      <c r="P1603" t="str">
        <f>TRIM(Table13_1[[#This Row],[Genre]])</f>
        <v>War</v>
      </c>
    </row>
    <row r="1604" spans="1:16" x14ac:dyDescent="0.3">
      <c r="A1604" t="s">
        <v>3377</v>
      </c>
      <c r="B1604" t="s">
        <v>3378</v>
      </c>
      <c r="C1604">
        <v>2002</v>
      </c>
      <c r="D1604">
        <v>2000</v>
      </c>
      <c r="E1604" t="s">
        <v>17</v>
      </c>
      <c r="F1604">
        <v>138</v>
      </c>
      <c r="G1604" t="s">
        <v>3999</v>
      </c>
      <c r="H1604" t="s">
        <v>1155</v>
      </c>
      <c r="I1604" t="s">
        <v>593</v>
      </c>
      <c r="J1604" t="s">
        <v>3379</v>
      </c>
      <c r="K1604">
        <v>68086</v>
      </c>
      <c r="M1604">
        <v>0</v>
      </c>
      <c r="N1604" t="s">
        <v>4001</v>
      </c>
      <c r="O1604" t="s">
        <v>3991</v>
      </c>
      <c r="P1604" t="str">
        <f>TRIM(Table13_1[[#This Row],[Genre]])</f>
        <v>Thriller</v>
      </c>
    </row>
    <row r="1605" spans="1:16" x14ac:dyDescent="0.3">
      <c r="A1605" t="s">
        <v>3380</v>
      </c>
      <c r="B1605" t="s">
        <v>3381</v>
      </c>
      <c r="C1605">
        <v>1984</v>
      </c>
      <c r="D1605">
        <v>1980</v>
      </c>
      <c r="E1605" t="s">
        <v>17</v>
      </c>
      <c r="F1605">
        <v>130</v>
      </c>
      <c r="G1605" t="s">
        <v>3999</v>
      </c>
      <c r="H1605" t="s">
        <v>422</v>
      </c>
      <c r="I1605" t="s">
        <v>608</v>
      </c>
      <c r="J1605" t="s">
        <v>3382</v>
      </c>
      <c r="K1605">
        <v>41696</v>
      </c>
      <c r="L1605">
        <v>177.68</v>
      </c>
      <c r="M1605">
        <v>177.68</v>
      </c>
      <c r="N1605" t="s">
        <v>4002</v>
      </c>
      <c r="O1605" t="s">
        <v>375</v>
      </c>
      <c r="P1605" t="str">
        <f>TRIM(Table13_1[[#This Row],[Genre]])</f>
        <v>Family</v>
      </c>
    </row>
    <row r="1606" spans="1:16" x14ac:dyDescent="0.3">
      <c r="A1606" t="s">
        <v>3383</v>
      </c>
      <c r="B1606" t="s">
        <v>3384</v>
      </c>
      <c r="C1606">
        <v>1984</v>
      </c>
      <c r="D1606">
        <v>1980</v>
      </c>
      <c r="E1606" t="s">
        <v>54</v>
      </c>
      <c r="F1606">
        <v>117</v>
      </c>
      <c r="G1606" t="s">
        <v>3997</v>
      </c>
      <c r="H1606" t="s">
        <v>226</v>
      </c>
      <c r="I1606" t="s">
        <v>221</v>
      </c>
      <c r="J1606" t="s">
        <v>3385</v>
      </c>
      <c r="K1606">
        <v>15657</v>
      </c>
      <c r="L1606">
        <v>216.48</v>
      </c>
      <c r="M1606">
        <v>216.48</v>
      </c>
      <c r="N1606" t="s">
        <v>3998</v>
      </c>
      <c r="O1606" t="s">
        <v>1044</v>
      </c>
      <c r="P1606" t="str">
        <f>TRIM(Table13_1[[#This Row],[Genre]])</f>
        <v>Comedy</v>
      </c>
    </row>
    <row r="1607" spans="1:16" x14ac:dyDescent="0.3">
      <c r="A1607" t="s">
        <v>3386</v>
      </c>
      <c r="B1607" t="s">
        <v>3387</v>
      </c>
      <c r="C1607">
        <v>1997</v>
      </c>
      <c r="D1607">
        <v>1990</v>
      </c>
      <c r="E1607" t="s">
        <v>24</v>
      </c>
      <c r="F1607">
        <v>119</v>
      </c>
      <c r="G1607" t="s">
        <v>3997</v>
      </c>
      <c r="H1607" t="s">
        <v>634</v>
      </c>
      <c r="I1607" t="s">
        <v>92</v>
      </c>
      <c r="J1607" t="s">
        <v>3388</v>
      </c>
      <c r="K1607">
        <v>58234</v>
      </c>
      <c r="L1607">
        <v>33.79</v>
      </c>
      <c r="M1607">
        <v>33.79</v>
      </c>
      <c r="N1607" t="s">
        <v>4001</v>
      </c>
      <c r="O1607" t="s">
        <v>129</v>
      </c>
      <c r="P1607" t="str">
        <f>TRIM(Table13_1[[#This Row],[Genre]])</f>
        <v>Horror</v>
      </c>
    </row>
    <row r="1608" spans="1:16" x14ac:dyDescent="0.3">
      <c r="A1608" t="s">
        <v>3389</v>
      </c>
      <c r="B1608" t="s">
        <v>3390</v>
      </c>
      <c r="C1608">
        <v>2013</v>
      </c>
      <c r="D1608">
        <v>2010</v>
      </c>
      <c r="E1608" t="s">
        <v>17</v>
      </c>
      <c r="F1608">
        <v>158</v>
      </c>
      <c r="G1608" t="s">
        <v>3999</v>
      </c>
      <c r="H1608" t="s">
        <v>2967</v>
      </c>
      <c r="I1608" t="s">
        <v>196</v>
      </c>
      <c r="J1608" t="s">
        <v>3391</v>
      </c>
      <c r="K1608">
        <v>21663</v>
      </c>
      <c r="L1608">
        <v>231.86</v>
      </c>
      <c r="M1608">
        <v>231.86</v>
      </c>
      <c r="N1608" t="s">
        <v>3998</v>
      </c>
      <c r="O1608" t="s">
        <v>157</v>
      </c>
      <c r="P1608" t="str">
        <f>TRIM(Table13_1[[#This Row],[Genre]])</f>
        <v>Animation</v>
      </c>
    </row>
    <row r="1609" spans="1:16" x14ac:dyDescent="0.3">
      <c r="A1609" t="s">
        <v>3389</v>
      </c>
      <c r="B1609" t="s">
        <v>3390</v>
      </c>
      <c r="C1609">
        <v>2013</v>
      </c>
      <c r="D1609">
        <v>2010</v>
      </c>
      <c r="E1609" t="s">
        <v>17</v>
      </c>
      <c r="F1609">
        <v>158</v>
      </c>
      <c r="G1609" t="s">
        <v>3999</v>
      </c>
      <c r="H1609" t="s">
        <v>2967</v>
      </c>
      <c r="I1609" t="s">
        <v>196</v>
      </c>
      <c r="J1609" t="s">
        <v>3391</v>
      </c>
      <c r="K1609">
        <v>21663</v>
      </c>
      <c r="L1609">
        <v>231.86</v>
      </c>
      <c r="M1609">
        <v>231.86</v>
      </c>
      <c r="N1609" t="s">
        <v>3998</v>
      </c>
      <c r="O1609" t="s">
        <v>3987</v>
      </c>
      <c r="P1609" t="str">
        <f>TRIM(Table13_1[[#This Row],[Genre]])</f>
        <v>Fantasy</v>
      </c>
    </row>
    <row r="1610" spans="1:16" x14ac:dyDescent="0.3">
      <c r="A1610" t="s">
        <v>3392</v>
      </c>
      <c r="B1610" t="s">
        <v>3393</v>
      </c>
      <c r="C1610">
        <v>2004</v>
      </c>
      <c r="D1610">
        <v>2000</v>
      </c>
      <c r="E1610" t="s">
        <v>24</v>
      </c>
      <c r="F1610">
        <v>128</v>
      </c>
      <c r="G1610" t="s">
        <v>3999</v>
      </c>
      <c r="H1610" t="s">
        <v>124</v>
      </c>
      <c r="I1610" t="s">
        <v>147</v>
      </c>
      <c r="J1610" t="s">
        <v>3394</v>
      </c>
      <c r="K1610">
        <v>55738</v>
      </c>
      <c r="L1610">
        <v>315.38</v>
      </c>
      <c r="M1610">
        <v>315.38</v>
      </c>
      <c r="N1610" t="s">
        <v>3998</v>
      </c>
      <c r="O1610" t="s">
        <v>230</v>
      </c>
      <c r="P1610" t="str">
        <f>TRIM(Table13_1[[#This Row],[Genre]])</f>
        <v>Documentary</v>
      </c>
    </row>
    <row r="1611" spans="1:16" x14ac:dyDescent="0.3">
      <c r="A1611" t="s">
        <v>3392</v>
      </c>
      <c r="B1611" t="s">
        <v>3393</v>
      </c>
      <c r="C1611">
        <v>2004</v>
      </c>
      <c r="D1611">
        <v>2000</v>
      </c>
      <c r="E1611" t="s">
        <v>24</v>
      </c>
      <c r="F1611">
        <v>128</v>
      </c>
      <c r="G1611" t="s">
        <v>3999</v>
      </c>
      <c r="H1611" t="s">
        <v>124</v>
      </c>
      <c r="I1611" t="s">
        <v>147</v>
      </c>
      <c r="J1611" t="s">
        <v>3394</v>
      </c>
      <c r="K1611">
        <v>55738</v>
      </c>
      <c r="L1611">
        <v>315.38</v>
      </c>
      <c r="M1611">
        <v>315.38</v>
      </c>
      <c r="N1611" t="s">
        <v>3998</v>
      </c>
      <c r="O1611" t="s">
        <v>3976</v>
      </c>
      <c r="P1611" t="str">
        <f>TRIM(Table13_1[[#This Row],[Genre]])</f>
        <v>Musical</v>
      </c>
    </row>
    <row r="1612" spans="1:16" x14ac:dyDescent="0.3">
      <c r="A1612" t="s">
        <v>3395</v>
      </c>
      <c r="B1612" t="s">
        <v>3396</v>
      </c>
      <c r="C1612">
        <v>2018</v>
      </c>
      <c r="D1612">
        <v>2010</v>
      </c>
      <c r="E1612" t="s">
        <v>24</v>
      </c>
      <c r="F1612">
        <v>111</v>
      </c>
      <c r="G1612" t="s">
        <v>3997</v>
      </c>
      <c r="H1612" t="s">
        <v>3398</v>
      </c>
      <c r="I1612" t="s">
        <v>74</v>
      </c>
      <c r="J1612" t="s">
        <v>3399</v>
      </c>
      <c r="K1612">
        <v>113028</v>
      </c>
      <c r="L1612">
        <v>168.63</v>
      </c>
      <c r="M1612">
        <v>168.63</v>
      </c>
      <c r="N1612" t="s">
        <v>4002</v>
      </c>
      <c r="O1612" t="s">
        <v>43</v>
      </c>
      <c r="P1612" t="str">
        <f>TRIM(Table13_1[[#This Row],[Genre]])</f>
        <v>Mystery</v>
      </c>
    </row>
    <row r="1613" spans="1:16" x14ac:dyDescent="0.3">
      <c r="A1613" t="s">
        <v>3395</v>
      </c>
      <c r="B1613" t="s">
        <v>3396</v>
      </c>
      <c r="C1613">
        <v>2018</v>
      </c>
      <c r="D1613">
        <v>2010</v>
      </c>
      <c r="E1613" t="s">
        <v>24</v>
      </c>
      <c r="F1613">
        <v>111</v>
      </c>
      <c r="G1613" t="s">
        <v>3997</v>
      </c>
      <c r="H1613" t="s">
        <v>3398</v>
      </c>
      <c r="I1613" t="s">
        <v>74</v>
      </c>
      <c r="J1613" t="s">
        <v>3399</v>
      </c>
      <c r="K1613">
        <v>113028</v>
      </c>
      <c r="L1613">
        <v>168.63</v>
      </c>
      <c r="M1613">
        <v>168.63</v>
      </c>
      <c r="N1613" t="s">
        <v>4002</v>
      </c>
      <c r="O1613" t="s">
        <v>3988</v>
      </c>
      <c r="P1613" t="str">
        <f>TRIM(Table13_1[[#This Row],[Genre]])</f>
        <v>Drama</v>
      </c>
    </row>
    <row r="1614" spans="1:16" x14ac:dyDescent="0.3">
      <c r="A1614" t="s">
        <v>3395</v>
      </c>
      <c r="B1614" t="s">
        <v>3396</v>
      </c>
      <c r="C1614">
        <v>2018</v>
      </c>
      <c r="D1614">
        <v>2010</v>
      </c>
      <c r="E1614" t="s">
        <v>24</v>
      </c>
      <c r="F1614">
        <v>111</v>
      </c>
      <c r="G1614" t="s">
        <v>3997</v>
      </c>
      <c r="H1614" t="s">
        <v>3398</v>
      </c>
      <c r="I1614" t="s">
        <v>74</v>
      </c>
      <c r="J1614" t="s">
        <v>3399</v>
      </c>
      <c r="K1614">
        <v>113028</v>
      </c>
      <c r="L1614">
        <v>168.63</v>
      </c>
      <c r="M1614">
        <v>168.63</v>
      </c>
      <c r="N1614" t="s">
        <v>4002</v>
      </c>
      <c r="O1614" t="s">
        <v>3989</v>
      </c>
      <c r="P1614" t="str">
        <f>TRIM(Table13_1[[#This Row],[Genre]])</f>
        <v>Sci-Fi</v>
      </c>
    </row>
    <row r="1615" spans="1:16" x14ac:dyDescent="0.3">
      <c r="A1615" t="s">
        <v>3400</v>
      </c>
      <c r="B1615" t="s">
        <v>3401</v>
      </c>
      <c r="C1615">
        <v>2005</v>
      </c>
      <c r="D1615">
        <v>2000</v>
      </c>
      <c r="E1615" t="s">
        <v>17</v>
      </c>
      <c r="F1615">
        <v>129</v>
      </c>
      <c r="G1615" t="s">
        <v>3999</v>
      </c>
      <c r="H1615" t="s">
        <v>3402</v>
      </c>
      <c r="I1615" t="s">
        <v>368</v>
      </c>
      <c r="J1615" t="s">
        <v>3403</v>
      </c>
      <c r="K1615">
        <v>94154</v>
      </c>
      <c r="L1615">
        <v>250.35</v>
      </c>
      <c r="M1615">
        <v>250.35</v>
      </c>
      <c r="N1615" t="s">
        <v>3998</v>
      </c>
      <c r="O1615" t="s">
        <v>55</v>
      </c>
      <c r="P1615" t="str">
        <f>TRIM(Table13_1[[#This Row],[Genre]])</f>
        <v>Romance</v>
      </c>
    </row>
    <row r="1616" spans="1:16" x14ac:dyDescent="0.3">
      <c r="A1616" t="s">
        <v>3400</v>
      </c>
      <c r="B1616" t="s">
        <v>3401</v>
      </c>
      <c r="C1616">
        <v>2005</v>
      </c>
      <c r="D1616">
        <v>2000</v>
      </c>
      <c r="E1616" t="s">
        <v>17</v>
      </c>
      <c r="F1616">
        <v>129</v>
      </c>
      <c r="G1616" t="s">
        <v>3999</v>
      </c>
      <c r="H1616" t="s">
        <v>3402</v>
      </c>
      <c r="I1616" t="s">
        <v>368</v>
      </c>
      <c r="J1616" t="s">
        <v>3403</v>
      </c>
      <c r="K1616">
        <v>94154</v>
      </c>
      <c r="L1616">
        <v>250.35</v>
      </c>
      <c r="M1616">
        <v>250.35</v>
      </c>
      <c r="N1616" t="s">
        <v>3998</v>
      </c>
      <c r="O1616" t="s">
        <v>3988</v>
      </c>
      <c r="P1616" t="str">
        <f>TRIM(Table13_1[[#This Row],[Genre]])</f>
        <v>Drama</v>
      </c>
    </row>
    <row r="1617" spans="1:16" x14ac:dyDescent="0.3">
      <c r="A1617" t="s">
        <v>3404</v>
      </c>
      <c r="B1617" t="s">
        <v>3405</v>
      </c>
      <c r="C1617">
        <v>2013</v>
      </c>
      <c r="D1617">
        <v>2010</v>
      </c>
      <c r="E1617" t="s">
        <v>293</v>
      </c>
      <c r="F1617">
        <v>109</v>
      </c>
      <c r="G1617" t="s">
        <v>3997</v>
      </c>
      <c r="H1617" t="s">
        <v>269</v>
      </c>
      <c r="I1617" t="s">
        <v>80</v>
      </c>
      <c r="J1617" t="s">
        <v>3406</v>
      </c>
      <c r="K1617">
        <v>3152</v>
      </c>
      <c r="L1617">
        <v>156.55000000000001</v>
      </c>
      <c r="M1617">
        <v>156.55000000000001</v>
      </c>
      <c r="N1617" t="s">
        <v>4002</v>
      </c>
      <c r="O1617" t="s">
        <v>453</v>
      </c>
      <c r="P1617" t="str">
        <f>TRIM(Table13_1[[#This Row],[Genre]])</f>
        <v>Musical</v>
      </c>
    </row>
    <row r="1618" spans="1:16" x14ac:dyDescent="0.3">
      <c r="A1618" t="s">
        <v>3407</v>
      </c>
      <c r="B1618" t="s">
        <v>3408</v>
      </c>
      <c r="C1618">
        <v>2002</v>
      </c>
      <c r="D1618">
        <v>2000</v>
      </c>
      <c r="E1618" t="s">
        <v>24</v>
      </c>
      <c r="F1618">
        <v>142</v>
      </c>
      <c r="G1618" t="s">
        <v>3999</v>
      </c>
      <c r="H1618" t="s">
        <v>3409</v>
      </c>
      <c r="I1618" t="s">
        <v>718</v>
      </c>
      <c r="J1618" t="s">
        <v>3410</v>
      </c>
      <c r="K1618">
        <v>65678</v>
      </c>
      <c r="L1618">
        <v>417.22</v>
      </c>
      <c r="M1618">
        <v>417.22</v>
      </c>
      <c r="N1618" t="s">
        <v>3998</v>
      </c>
      <c r="O1618" t="s">
        <v>78</v>
      </c>
      <c r="P1618" t="str">
        <f>TRIM(Table13_1[[#This Row],[Genre]])</f>
        <v>Adventure</v>
      </c>
    </row>
    <row r="1619" spans="1:16" x14ac:dyDescent="0.3">
      <c r="A1619" t="s">
        <v>3407</v>
      </c>
      <c r="B1619" t="s">
        <v>3408</v>
      </c>
      <c r="C1619">
        <v>2002</v>
      </c>
      <c r="D1619">
        <v>2000</v>
      </c>
      <c r="E1619" t="s">
        <v>24</v>
      </c>
      <c r="F1619">
        <v>142</v>
      </c>
      <c r="G1619" t="s">
        <v>3999</v>
      </c>
      <c r="H1619" t="s">
        <v>3409</v>
      </c>
      <c r="I1619" t="s">
        <v>718</v>
      </c>
      <c r="J1619" t="s">
        <v>3410</v>
      </c>
      <c r="K1619">
        <v>65678</v>
      </c>
      <c r="L1619">
        <v>417.22</v>
      </c>
      <c r="M1619">
        <v>417.22</v>
      </c>
      <c r="N1619" t="s">
        <v>3998</v>
      </c>
      <c r="O1619" t="s">
        <v>3976</v>
      </c>
      <c r="P1619" t="str">
        <f>TRIM(Table13_1[[#This Row],[Genre]])</f>
        <v>Musical</v>
      </c>
    </row>
    <row r="1620" spans="1:16" x14ac:dyDescent="0.3">
      <c r="A1620" t="s">
        <v>3411</v>
      </c>
      <c r="B1620" t="s">
        <v>3412</v>
      </c>
      <c r="C1620">
        <v>2015</v>
      </c>
      <c r="D1620">
        <v>2010</v>
      </c>
      <c r="E1620" t="s">
        <v>54</v>
      </c>
      <c r="F1620">
        <v>111</v>
      </c>
      <c r="G1620" t="s">
        <v>3997</v>
      </c>
      <c r="H1620" t="s">
        <v>3413</v>
      </c>
      <c r="I1620" t="s">
        <v>27</v>
      </c>
      <c r="J1620" t="s">
        <v>3414</v>
      </c>
      <c r="K1620">
        <v>159007</v>
      </c>
      <c r="L1620">
        <v>58.53</v>
      </c>
      <c r="M1620">
        <v>58.53</v>
      </c>
      <c r="N1620" t="s">
        <v>4001</v>
      </c>
      <c r="O1620" t="s">
        <v>375</v>
      </c>
      <c r="P1620" t="str">
        <f>TRIM(Table13_1[[#This Row],[Genre]])</f>
        <v>Family</v>
      </c>
    </row>
    <row r="1621" spans="1:16" x14ac:dyDescent="0.3">
      <c r="A1621" t="s">
        <v>3411</v>
      </c>
      <c r="B1621" t="s">
        <v>3412</v>
      </c>
      <c r="C1621">
        <v>2015</v>
      </c>
      <c r="D1621">
        <v>2010</v>
      </c>
      <c r="E1621" t="s">
        <v>54</v>
      </c>
      <c r="F1621">
        <v>111</v>
      </c>
      <c r="G1621" t="s">
        <v>3997</v>
      </c>
      <c r="H1621" t="s">
        <v>3413</v>
      </c>
      <c r="I1621" t="s">
        <v>27</v>
      </c>
      <c r="J1621" t="s">
        <v>3414</v>
      </c>
      <c r="K1621">
        <v>159007</v>
      </c>
      <c r="L1621">
        <v>58.53</v>
      </c>
      <c r="M1621">
        <v>58.53</v>
      </c>
      <c r="N1621" t="s">
        <v>4001</v>
      </c>
      <c r="O1621" t="s">
        <v>3993</v>
      </c>
      <c r="P1621" t="str">
        <f>TRIM(Table13_1[[#This Row],[Genre]])</f>
        <v>Comedy</v>
      </c>
    </row>
    <row r="1622" spans="1:16" x14ac:dyDescent="0.3">
      <c r="A1622" t="s">
        <v>3415</v>
      </c>
      <c r="B1622" t="s">
        <v>3416</v>
      </c>
      <c r="C1622">
        <v>2009</v>
      </c>
      <c r="D1622">
        <v>2000</v>
      </c>
      <c r="E1622" t="s">
        <v>54</v>
      </c>
      <c r="F1622">
        <v>122</v>
      </c>
      <c r="G1622" t="s">
        <v>3999</v>
      </c>
      <c r="H1622" t="s">
        <v>3418</v>
      </c>
      <c r="I1622" t="s">
        <v>483</v>
      </c>
      <c r="J1622" t="s">
        <v>3419</v>
      </c>
      <c r="K1622">
        <v>360359</v>
      </c>
      <c r="L1622">
        <v>193.82</v>
      </c>
      <c r="M1622">
        <v>193.82</v>
      </c>
      <c r="N1622" t="s">
        <v>4002</v>
      </c>
      <c r="O1622" t="s">
        <v>1044</v>
      </c>
      <c r="P1622" t="str">
        <f>TRIM(Table13_1[[#This Row],[Genre]])</f>
        <v>Comedy</v>
      </c>
    </row>
    <row r="1623" spans="1:16" x14ac:dyDescent="0.3">
      <c r="A1623" t="s">
        <v>3415</v>
      </c>
      <c r="B1623" t="s">
        <v>3416</v>
      </c>
      <c r="C1623">
        <v>2009</v>
      </c>
      <c r="D1623">
        <v>2000</v>
      </c>
      <c r="E1623" t="s">
        <v>54</v>
      </c>
      <c r="F1623">
        <v>122</v>
      </c>
      <c r="G1623" t="s">
        <v>3999</v>
      </c>
      <c r="H1623" t="s">
        <v>3418</v>
      </c>
      <c r="I1623" t="s">
        <v>483</v>
      </c>
      <c r="J1623" t="s">
        <v>3419</v>
      </c>
      <c r="K1623">
        <v>360359</v>
      </c>
      <c r="L1623">
        <v>193.82</v>
      </c>
      <c r="M1623">
        <v>193.82</v>
      </c>
      <c r="N1623" t="s">
        <v>4002</v>
      </c>
      <c r="O1623" t="s">
        <v>3978</v>
      </c>
      <c r="P1623" t="str">
        <f>TRIM(Table13_1[[#This Row],[Genre]])</f>
        <v>Mystery</v>
      </c>
    </row>
    <row r="1624" spans="1:16" x14ac:dyDescent="0.3">
      <c r="A1624" t="s">
        <v>3420</v>
      </c>
      <c r="B1624" t="s">
        <v>3421</v>
      </c>
      <c r="C1624">
        <v>2002</v>
      </c>
      <c r="D1624">
        <v>2000</v>
      </c>
      <c r="E1624" t="s">
        <v>17</v>
      </c>
      <c r="F1624">
        <v>108</v>
      </c>
      <c r="G1624" t="s">
        <v>3997</v>
      </c>
      <c r="H1624" t="s">
        <v>3423</v>
      </c>
      <c r="I1624" t="s">
        <v>483</v>
      </c>
      <c r="J1624" t="s">
        <v>3424</v>
      </c>
      <c r="K1624">
        <v>22608</v>
      </c>
      <c r="L1624">
        <v>421.98</v>
      </c>
      <c r="M1624">
        <v>421.98</v>
      </c>
      <c r="N1624" t="s">
        <v>3998</v>
      </c>
      <c r="O1624" t="s">
        <v>606</v>
      </c>
      <c r="P1624" t="str">
        <f>TRIM(Table13_1[[#This Row],[Genre]])</f>
        <v>Sci-Fi</v>
      </c>
    </row>
    <row r="1625" spans="1:16" x14ac:dyDescent="0.3">
      <c r="A1625" t="s">
        <v>3420</v>
      </c>
      <c r="B1625" t="s">
        <v>3421</v>
      </c>
      <c r="C1625">
        <v>2002</v>
      </c>
      <c r="D1625">
        <v>2000</v>
      </c>
      <c r="E1625" t="s">
        <v>17</v>
      </c>
      <c r="F1625">
        <v>108</v>
      </c>
      <c r="G1625" t="s">
        <v>3997</v>
      </c>
      <c r="H1625" t="s">
        <v>3423</v>
      </c>
      <c r="I1625" t="s">
        <v>483</v>
      </c>
      <c r="J1625" t="s">
        <v>3424</v>
      </c>
      <c r="K1625">
        <v>22608</v>
      </c>
      <c r="L1625">
        <v>421.98</v>
      </c>
      <c r="M1625">
        <v>421.98</v>
      </c>
      <c r="N1625" t="s">
        <v>3998</v>
      </c>
      <c r="O1625" t="s">
        <v>3986</v>
      </c>
      <c r="P1625" t="str">
        <f>TRIM(Table13_1[[#This Row],[Genre]])</f>
        <v>Documentary</v>
      </c>
    </row>
    <row r="1626" spans="1:16" x14ac:dyDescent="0.3">
      <c r="A1626" t="s">
        <v>3420</v>
      </c>
      <c r="B1626" t="s">
        <v>3421</v>
      </c>
      <c r="C1626">
        <v>2002</v>
      </c>
      <c r="D1626">
        <v>2000</v>
      </c>
      <c r="E1626" t="s">
        <v>17</v>
      </c>
      <c r="F1626">
        <v>108</v>
      </c>
      <c r="G1626" t="s">
        <v>3997</v>
      </c>
      <c r="H1626" t="s">
        <v>3423</v>
      </c>
      <c r="I1626" t="s">
        <v>483</v>
      </c>
      <c r="J1626" t="s">
        <v>3424</v>
      </c>
      <c r="K1626">
        <v>22608</v>
      </c>
      <c r="L1626">
        <v>421.98</v>
      </c>
      <c r="M1626">
        <v>421.98</v>
      </c>
      <c r="N1626" t="s">
        <v>3998</v>
      </c>
      <c r="O1626" t="s">
        <v>3985</v>
      </c>
      <c r="P1626" t="str">
        <f>TRIM(Table13_1[[#This Row],[Genre]])</f>
        <v>Horror</v>
      </c>
    </row>
    <row r="1627" spans="1:16" x14ac:dyDescent="0.3">
      <c r="A1627" t="s">
        <v>3425</v>
      </c>
      <c r="B1627" t="s">
        <v>3426</v>
      </c>
      <c r="C1627">
        <v>2018</v>
      </c>
      <c r="D1627">
        <v>2010</v>
      </c>
      <c r="E1627" t="s">
        <v>293</v>
      </c>
      <c r="F1627">
        <v>138</v>
      </c>
      <c r="G1627" t="s">
        <v>3999</v>
      </c>
      <c r="H1627" t="s">
        <v>634</v>
      </c>
      <c r="I1627" t="s">
        <v>236</v>
      </c>
      <c r="J1627" t="s">
        <v>3428</v>
      </c>
      <c r="K1627">
        <v>108759</v>
      </c>
      <c r="M1627">
        <v>0</v>
      </c>
      <c r="N1627" t="s">
        <v>4001</v>
      </c>
      <c r="O1627" t="s">
        <v>129</v>
      </c>
      <c r="P1627" t="str">
        <f>TRIM(Table13_1[[#This Row],[Genre]])</f>
        <v>Horror</v>
      </c>
    </row>
    <row r="1628" spans="1:16" x14ac:dyDescent="0.3">
      <c r="A1628" t="s">
        <v>3425</v>
      </c>
      <c r="B1628" t="s">
        <v>3426</v>
      </c>
      <c r="C1628">
        <v>2018</v>
      </c>
      <c r="D1628">
        <v>2010</v>
      </c>
      <c r="E1628" t="s">
        <v>293</v>
      </c>
      <c r="F1628">
        <v>138</v>
      </c>
      <c r="G1628" t="s">
        <v>3999</v>
      </c>
      <c r="H1628" t="s">
        <v>634</v>
      </c>
      <c r="I1628" t="s">
        <v>236</v>
      </c>
      <c r="J1628" t="s">
        <v>3428</v>
      </c>
      <c r="K1628">
        <v>108759</v>
      </c>
      <c r="M1628">
        <v>0</v>
      </c>
      <c r="N1628" t="s">
        <v>4001</v>
      </c>
      <c r="O1628" t="s">
        <v>3986</v>
      </c>
      <c r="P1628" t="str">
        <f>TRIM(Table13_1[[#This Row],[Genre]])</f>
        <v>Documentary</v>
      </c>
    </row>
    <row r="1629" spans="1:16" x14ac:dyDescent="0.3">
      <c r="A1629" t="s">
        <v>3429</v>
      </c>
      <c r="B1629" t="s">
        <v>3430</v>
      </c>
      <c r="C1629">
        <v>2015</v>
      </c>
      <c r="D1629">
        <v>2010</v>
      </c>
      <c r="E1629" t="s">
        <v>54</v>
      </c>
      <c r="F1629">
        <v>131</v>
      </c>
      <c r="G1629" t="s">
        <v>3999</v>
      </c>
      <c r="H1629" t="s">
        <v>422</v>
      </c>
      <c r="I1629" t="s">
        <v>236</v>
      </c>
      <c r="J1629" t="s">
        <v>3431</v>
      </c>
      <c r="K1629">
        <v>57795</v>
      </c>
      <c r="L1629">
        <v>157.12</v>
      </c>
      <c r="M1629">
        <v>157.12</v>
      </c>
      <c r="N1629" t="s">
        <v>4002</v>
      </c>
      <c r="O1629" t="s">
        <v>375</v>
      </c>
      <c r="P1629" t="str">
        <f>TRIM(Table13_1[[#This Row],[Genre]])</f>
        <v>Family</v>
      </c>
    </row>
    <row r="1630" spans="1:16" x14ac:dyDescent="0.3">
      <c r="A1630" t="s">
        <v>3429</v>
      </c>
      <c r="B1630" t="s">
        <v>3430</v>
      </c>
      <c r="C1630">
        <v>2015</v>
      </c>
      <c r="D1630">
        <v>2010</v>
      </c>
      <c r="E1630" t="s">
        <v>54</v>
      </c>
      <c r="F1630">
        <v>131</v>
      </c>
      <c r="G1630" t="s">
        <v>3999</v>
      </c>
      <c r="H1630" t="s">
        <v>422</v>
      </c>
      <c r="I1630" t="s">
        <v>236</v>
      </c>
      <c r="J1630" t="s">
        <v>3431</v>
      </c>
      <c r="K1630">
        <v>57795</v>
      </c>
      <c r="L1630">
        <v>157.12</v>
      </c>
      <c r="M1630">
        <v>157.12</v>
      </c>
      <c r="N1630" t="s">
        <v>4002</v>
      </c>
      <c r="O1630" t="s">
        <v>3983</v>
      </c>
      <c r="P1630" t="str">
        <f>TRIM(Table13_1[[#This Row],[Genre]])</f>
        <v>Crime</v>
      </c>
    </row>
    <row r="1631" spans="1:16" x14ac:dyDescent="0.3">
      <c r="A1631" t="s">
        <v>3432</v>
      </c>
      <c r="B1631" t="s">
        <v>3433</v>
      </c>
      <c r="C1631">
        <v>2024</v>
      </c>
      <c r="D1631">
        <v>2020</v>
      </c>
      <c r="E1631" t="s">
        <v>169</v>
      </c>
      <c r="F1631">
        <v>101</v>
      </c>
      <c r="G1631" t="s">
        <v>3997</v>
      </c>
      <c r="H1631" t="s">
        <v>320</v>
      </c>
      <c r="I1631" t="s">
        <v>483</v>
      </c>
      <c r="J1631" t="s">
        <v>3434</v>
      </c>
      <c r="K1631">
        <v>18926</v>
      </c>
      <c r="M1631">
        <v>0</v>
      </c>
      <c r="N1631" t="s">
        <v>4001</v>
      </c>
      <c r="O1631" t="s">
        <v>767</v>
      </c>
      <c r="P1631" t="str">
        <f>TRIM(Table13_1[[#This Row],[Genre]])</f>
        <v>Fantasy</v>
      </c>
    </row>
    <row r="1632" spans="1:16" x14ac:dyDescent="0.3">
      <c r="A1632" t="s">
        <v>3435</v>
      </c>
      <c r="B1632" t="s">
        <v>3436</v>
      </c>
      <c r="C1632">
        <v>2024</v>
      </c>
      <c r="D1632">
        <v>2020</v>
      </c>
      <c r="E1632" t="s">
        <v>54</v>
      </c>
      <c r="F1632">
        <v>111</v>
      </c>
      <c r="G1632" t="s">
        <v>3997</v>
      </c>
      <c r="H1632" t="s">
        <v>1155</v>
      </c>
      <c r="I1632" t="s">
        <v>368</v>
      </c>
      <c r="J1632" t="s">
        <v>3437</v>
      </c>
      <c r="K1632">
        <v>5002</v>
      </c>
      <c r="L1632">
        <v>185.4</v>
      </c>
      <c r="M1632">
        <v>185.4</v>
      </c>
      <c r="N1632" t="s">
        <v>4002</v>
      </c>
      <c r="O1632" t="s">
        <v>72</v>
      </c>
      <c r="P1632" t="str">
        <f>TRIM(Table13_1[[#This Row],[Genre]])</f>
        <v>War</v>
      </c>
    </row>
    <row r="1633" spans="1:16" x14ac:dyDescent="0.3">
      <c r="A1633" t="s">
        <v>3435</v>
      </c>
      <c r="B1633" t="s">
        <v>3436</v>
      </c>
      <c r="C1633">
        <v>2024</v>
      </c>
      <c r="D1633">
        <v>2020</v>
      </c>
      <c r="E1633" t="s">
        <v>54</v>
      </c>
      <c r="F1633">
        <v>111</v>
      </c>
      <c r="G1633" t="s">
        <v>3997</v>
      </c>
      <c r="H1633" t="s">
        <v>1155</v>
      </c>
      <c r="I1633" t="s">
        <v>368</v>
      </c>
      <c r="J1633" t="s">
        <v>3437</v>
      </c>
      <c r="K1633">
        <v>5002</v>
      </c>
      <c r="L1633">
        <v>185.4</v>
      </c>
      <c r="M1633">
        <v>185.4</v>
      </c>
      <c r="N1633" t="s">
        <v>4002</v>
      </c>
      <c r="O1633" t="s">
        <v>3991</v>
      </c>
      <c r="P1633" t="str">
        <f>TRIM(Table13_1[[#This Row],[Genre]])</f>
        <v>Thriller</v>
      </c>
    </row>
    <row r="1634" spans="1:16" x14ac:dyDescent="0.3">
      <c r="A1634" t="s">
        <v>3438</v>
      </c>
      <c r="B1634" t="s">
        <v>3439</v>
      </c>
      <c r="C1634">
        <v>2000</v>
      </c>
      <c r="D1634">
        <v>2000</v>
      </c>
      <c r="E1634" t="s">
        <v>54</v>
      </c>
      <c r="F1634">
        <v>138</v>
      </c>
      <c r="G1634" t="s">
        <v>3999</v>
      </c>
      <c r="H1634" t="s">
        <v>1891</v>
      </c>
      <c r="I1634" t="s">
        <v>159</v>
      </c>
      <c r="J1634" t="s">
        <v>3440</v>
      </c>
      <c r="K1634">
        <v>42746</v>
      </c>
      <c r="M1634">
        <v>0</v>
      </c>
      <c r="N1634" t="s">
        <v>4001</v>
      </c>
      <c r="O1634" t="s">
        <v>129</v>
      </c>
      <c r="P1634" t="str">
        <f>TRIM(Table13_1[[#This Row],[Genre]])</f>
        <v>Horror</v>
      </c>
    </row>
    <row r="1635" spans="1:16" x14ac:dyDescent="0.3">
      <c r="A1635" t="s">
        <v>3438</v>
      </c>
      <c r="B1635" t="s">
        <v>3439</v>
      </c>
      <c r="C1635">
        <v>2000</v>
      </c>
      <c r="D1635">
        <v>2000</v>
      </c>
      <c r="E1635" t="s">
        <v>54</v>
      </c>
      <c r="F1635">
        <v>138</v>
      </c>
      <c r="G1635" t="s">
        <v>3999</v>
      </c>
      <c r="H1635" t="s">
        <v>1891</v>
      </c>
      <c r="I1635" t="s">
        <v>159</v>
      </c>
      <c r="J1635" t="s">
        <v>3440</v>
      </c>
      <c r="K1635">
        <v>42746</v>
      </c>
      <c r="M1635">
        <v>0</v>
      </c>
      <c r="N1635" t="s">
        <v>4001</v>
      </c>
      <c r="O1635" t="s">
        <v>3993</v>
      </c>
      <c r="P1635" t="str">
        <f>TRIM(Table13_1[[#This Row],[Genre]])</f>
        <v>Comedy</v>
      </c>
    </row>
    <row r="1636" spans="1:16" x14ac:dyDescent="0.3">
      <c r="A1636" t="s">
        <v>3441</v>
      </c>
      <c r="B1636" t="s">
        <v>3442</v>
      </c>
      <c r="C1636">
        <v>2000</v>
      </c>
      <c r="D1636">
        <v>2000</v>
      </c>
      <c r="E1636" t="s">
        <v>17</v>
      </c>
      <c r="F1636">
        <v>125</v>
      </c>
      <c r="G1636" t="s">
        <v>3999</v>
      </c>
      <c r="H1636" t="s">
        <v>130</v>
      </c>
      <c r="I1636" t="s">
        <v>547</v>
      </c>
      <c r="J1636" t="s">
        <v>3443</v>
      </c>
      <c r="K1636">
        <v>14246</v>
      </c>
      <c r="L1636">
        <v>118.86</v>
      </c>
      <c r="M1636">
        <v>118.86</v>
      </c>
      <c r="N1636" t="s">
        <v>4002</v>
      </c>
      <c r="O1636" t="s">
        <v>129</v>
      </c>
      <c r="P1636" t="str">
        <f>TRIM(Table13_1[[#This Row],[Genre]])</f>
        <v>Horror</v>
      </c>
    </row>
    <row r="1637" spans="1:16" x14ac:dyDescent="0.3">
      <c r="A1637" t="s">
        <v>3441</v>
      </c>
      <c r="B1637" t="s">
        <v>3442</v>
      </c>
      <c r="C1637">
        <v>2000</v>
      </c>
      <c r="D1637">
        <v>2000</v>
      </c>
      <c r="E1637" t="s">
        <v>17</v>
      </c>
      <c r="F1637">
        <v>125</v>
      </c>
      <c r="G1637" t="s">
        <v>3999</v>
      </c>
      <c r="H1637" t="s">
        <v>130</v>
      </c>
      <c r="I1637" t="s">
        <v>547</v>
      </c>
      <c r="J1637" t="s">
        <v>3443</v>
      </c>
      <c r="K1637">
        <v>14246</v>
      </c>
      <c r="L1637">
        <v>118.86</v>
      </c>
      <c r="M1637">
        <v>118.86</v>
      </c>
      <c r="N1637" t="s">
        <v>4002</v>
      </c>
      <c r="O1637" t="s">
        <v>3989</v>
      </c>
      <c r="P1637" t="str">
        <f>TRIM(Table13_1[[#This Row],[Genre]])</f>
        <v>Sci-Fi</v>
      </c>
    </row>
    <row r="1638" spans="1:16" x14ac:dyDescent="0.3">
      <c r="A1638" t="s">
        <v>3444</v>
      </c>
      <c r="B1638" t="s">
        <v>3445</v>
      </c>
      <c r="C1638">
        <v>1982</v>
      </c>
      <c r="D1638">
        <v>1980</v>
      </c>
      <c r="E1638" t="s">
        <v>24</v>
      </c>
      <c r="F1638">
        <v>117</v>
      </c>
      <c r="G1638" t="s">
        <v>3997</v>
      </c>
      <c r="H1638" t="s">
        <v>805</v>
      </c>
      <c r="I1638" t="s">
        <v>80</v>
      </c>
      <c r="J1638" t="s">
        <v>3447</v>
      </c>
      <c r="K1638">
        <v>3227</v>
      </c>
      <c r="M1638">
        <v>0</v>
      </c>
      <c r="N1638" t="s">
        <v>4001</v>
      </c>
      <c r="O1638" t="s">
        <v>606</v>
      </c>
      <c r="P1638" t="str">
        <f>TRIM(Table13_1[[#This Row],[Genre]])</f>
        <v>Sci-Fi</v>
      </c>
    </row>
    <row r="1639" spans="1:16" x14ac:dyDescent="0.3">
      <c r="A1639" t="s">
        <v>3444</v>
      </c>
      <c r="B1639" t="s">
        <v>3445</v>
      </c>
      <c r="C1639">
        <v>1982</v>
      </c>
      <c r="D1639">
        <v>1980</v>
      </c>
      <c r="E1639" t="s">
        <v>24</v>
      </c>
      <c r="F1639">
        <v>117</v>
      </c>
      <c r="G1639" t="s">
        <v>3997</v>
      </c>
      <c r="H1639" t="s">
        <v>805</v>
      </c>
      <c r="I1639" t="s">
        <v>80</v>
      </c>
      <c r="J1639" t="s">
        <v>3447</v>
      </c>
      <c r="K1639">
        <v>3227</v>
      </c>
      <c r="M1639">
        <v>0</v>
      </c>
      <c r="N1639" t="s">
        <v>4001</v>
      </c>
      <c r="O1639" t="s">
        <v>3983</v>
      </c>
      <c r="P1639" t="str">
        <f>TRIM(Table13_1[[#This Row],[Genre]])</f>
        <v>Crime</v>
      </c>
    </row>
    <row r="1640" spans="1:16" x14ac:dyDescent="0.3">
      <c r="A1640" t="s">
        <v>3444</v>
      </c>
      <c r="B1640" t="s">
        <v>3445</v>
      </c>
      <c r="C1640">
        <v>1982</v>
      </c>
      <c r="D1640">
        <v>1980</v>
      </c>
      <c r="E1640" t="s">
        <v>24</v>
      </c>
      <c r="F1640">
        <v>117</v>
      </c>
      <c r="G1640" t="s">
        <v>3997</v>
      </c>
      <c r="H1640" t="s">
        <v>805</v>
      </c>
      <c r="I1640" t="s">
        <v>80</v>
      </c>
      <c r="J1640" t="s">
        <v>3447</v>
      </c>
      <c r="K1640">
        <v>3227</v>
      </c>
      <c r="M1640">
        <v>0</v>
      </c>
      <c r="N1640" t="s">
        <v>4001</v>
      </c>
      <c r="O1640" t="s">
        <v>3985</v>
      </c>
      <c r="P1640" t="str">
        <f>TRIM(Table13_1[[#This Row],[Genre]])</f>
        <v>Horror</v>
      </c>
    </row>
    <row r="1641" spans="1:16" x14ac:dyDescent="0.3">
      <c r="A1641" t="s">
        <v>3448</v>
      </c>
      <c r="B1641" t="s">
        <v>3449</v>
      </c>
      <c r="C1641">
        <v>2018</v>
      </c>
      <c r="D1641">
        <v>2010</v>
      </c>
      <c r="E1641" t="s">
        <v>17</v>
      </c>
      <c r="F1641">
        <v>120</v>
      </c>
      <c r="G1641" t="s">
        <v>3997</v>
      </c>
      <c r="H1641" t="s">
        <v>305</v>
      </c>
      <c r="I1641" t="s">
        <v>113</v>
      </c>
      <c r="J1641" t="s">
        <v>3450</v>
      </c>
      <c r="K1641">
        <v>181904</v>
      </c>
      <c r="M1641">
        <v>0</v>
      </c>
      <c r="N1641" t="s">
        <v>4001</v>
      </c>
      <c r="O1641" t="s">
        <v>78</v>
      </c>
      <c r="P1641" t="str">
        <f>TRIM(Table13_1[[#This Row],[Genre]])</f>
        <v>Adventure</v>
      </c>
    </row>
    <row r="1642" spans="1:16" x14ac:dyDescent="0.3">
      <c r="A1642" t="s">
        <v>3451</v>
      </c>
      <c r="B1642" t="s">
        <v>3452</v>
      </c>
      <c r="C1642">
        <v>2007</v>
      </c>
      <c r="D1642">
        <v>2000</v>
      </c>
      <c r="E1642" t="s">
        <v>54</v>
      </c>
      <c r="F1642">
        <v>119</v>
      </c>
      <c r="G1642" t="s">
        <v>3997</v>
      </c>
      <c r="H1642" t="s">
        <v>158</v>
      </c>
      <c r="I1642" t="s">
        <v>74</v>
      </c>
      <c r="J1642" t="s">
        <v>3454</v>
      </c>
      <c r="K1642">
        <v>28080</v>
      </c>
      <c r="M1642">
        <v>0</v>
      </c>
      <c r="N1642" t="s">
        <v>4001</v>
      </c>
      <c r="O1642" t="s">
        <v>157</v>
      </c>
      <c r="P1642" t="str">
        <f>TRIM(Table13_1[[#This Row],[Genre]])</f>
        <v>Animation</v>
      </c>
    </row>
    <row r="1643" spans="1:16" x14ac:dyDescent="0.3">
      <c r="A1643" t="s">
        <v>3451</v>
      </c>
      <c r="B1643" t="s">
        <v>3452</v>
      </c>
      <c r="C1643">
        <v>2007</v>
      </c>
      <c r="D1643">
        <v>2000</v>
      </c>
      <c r="E1643" t="s">
        <v>54</v>
      </c>
      <c r="F1643">
        <v>119</v>
      </c>
      <c r="G1643" t="s">
        <v>3997</v>
      </c>
      <c r="H1643" t="s">
        <v>158</v>
      </c>
      <c r="I1643" t="s">
        <v>74</v>
      </c>
      <c r="J1643" t="s">
        <v>3454</v>
      </c>
      <c r="K1643">
        <v>28080</v>
      </c>
      <c r="M1643">
        <v>0</v>
      </c>
      <c r="N1643" t="s">
        <v>4001</v>
      </c>
      <c r="O1643" t="s">
        <v>3985</v>
      </c>
      <c r="P1643" t="str">
        <f>TRIM(Table13_1[[#This Row],[Genre]])</f>
        <v>Horror</v>
      </c>
    </row>
    <row r="1644" spans="1:16" x14ac:dyDescent="0.3">
      <c r="A1644" t="s">
        <v>3451</v>
      </c>
      <c r="B1644" t="s">
        <v>3452</v>
      </c>
      <c r="C1644">
        <v>2007</v>
      </c>
      <c r="D1644">
        <v>2000</v>
      </c>
      <c r="E1644" t="s">
        <v>54</v>
      </c>
      <c r="F1644">
        <v>119</v>
      </c>
      <c r="G1644" t="s">
        <v>3997</v>
      </c>
      <c r="H1644" t="s">
        <v>158</v>
      </c>
      <c r="I1644" t="s">
        <v>74</v>
      </c>
      <c r="J1644" t="s">
        <v>3454</v>
      </c>
      <c r="K1644">
        <v>28080</v>
      </c>
      <c r="M1644">
        <v>0</v>
      </c>
      <c r="N1644" t="s">
        <v>4001</v>
      </c>
      <c r="O1644" t="s">
        <v>3980</v>
      </c>
      <c r="P1644" t="str">
        <f>TRIM(Table13_1[[#This Row],[Genre]])</f>
        <v>Action</v>
      </c>
    </row>
    <row r="1645" spans="1:16" x14ac:dyDescent="0.3">
      <c r="A1645" t="s">
        <v>3455</v>
      </c>
      <c r="B1645" t="s">
        <v>3456</v>
      </c>
      <c r="C1645">
        <v>2018</v>
      </c>
      <c r="D1645">
        <v>2010</v>
      </c>
      <c r="E1645" t="s">
        <v>17</v>
      </c>
      <c r="F1645">
        <v>106</v>
      </c>
      <c r="G1645" t="s">
        <v>3997</v>
      </c>
      <c r="H1645" t="s">
        <v>3458</v>
      </c>
      <c r="I1645" t="s">
        <v>518</v>
      </c>
      <c r="J1645" t="s">
        <v>3459</v>
      </c>
      <c r="K1645">
        <v>39275</v>
      </c>
      <c r="L1645">
        <v>446.76</v>
      </c>
      <c r="M1645">
        <v>446.76</v>
      </c>
      <c r="N1645" t="s">
        <v>3998</v>
      </c>
      <c r="O1645" t="s">
        <v>277</v>
      </c>
      <c r="P1645" t="str">
        <f>TRIM(Table13_1[[#This Row],[Genre]])</f>
        <v>Thriller</v>
      </c>
    </row>
    <row r="1646" spans="1:16" x14ac:dyDescent="0.3">
      <c r="A1646" t="s">
        <v>3455</v>
      </c>
      <c r="B1646" t="s">
        <v>3456</v>
      </c>
      <c r="C1646">
        <v>2018</v>
      </c>
      <c r="D1646">
        <v>2010</v>
      </c>
      <c r="E1646" t="s">
        <v>17</v>
      </c>
      <c r="F1646">
        <v>106</v>
      </c>
      <c r="G1646" t="s">
        <v>3997</v>
      </c>
      <c r="H1646" t="s">
        <v>3458</v>
      </c>
      <c r="I1646" t="s">
        <v>518</v>
      </c>
      <c r="J1646" t="s">
        <v>3459</v>
      </c>
      <c r="K1646">
        <v>39275</v>
      </c>
      <c r="L1646">
        <v>446.76</v>
      </c>
      <c r="M1646">
        <v>446.76</v>
      </c>
      <c r="N1646" t="s">
        <v>3998</v>
      </c>
      <c r="O1646" t="s">
        <v>3979</v>
      </c>
      <c r="P1646" t="str">
        <f>TRIM(Table13_1[[#This Row],[Genre]])</f>
        <v>War</v>
      </c>
    </row>
    <row r="1647" spans="1:16" x14ac:dyDescent="0.3">
      <c r="A1647" t="s">
        <v>3460</v>
      </c>
      <c r="B1647" t="s">
        <v>3461</v>
      </c>
      <c r="C1647">
        <v>2013</v>
      </c>
      <c r="D1647">
        <v>2010</v>
      </c>
      <c r="E1647" t="s">
        <v>54</v>
      </c>
      <c r="F1647">
        <v>131</v>
      </c>
      <c r="G1647" t="s">
        <v>3999</v>
      </c>
      <c r="H1647" t="s">
        <v>412</v>
      </c>
      <c r="I1647" t="s">
        <v>159</v>
      </c>
      <c r="J1647" t="s">
        <v>3463</v>
      </c>
      <c r="K1647">
        <v>70127</v>
      </c>
      <c r="L1647">
        <v>38.869999999999997</v>
      </c>
      <c r="M1647">
        <v>38.869999999999997</v>
      </c>
      <c r="N1647" t="s">
        <v>4001</v>
      </c>
      <c r="O1647" t="s">
        <v>78</v>
      </c>
      <c r="P1647" t="str">
        <f>TRIM(Table13_1[[#This Row],[Genre]])</f>
        <v>Adventure</v>
      </c>
    </row>
    <row r="1648" spans="1:16" x14ac:dyDescent="0.3">
      <c r="A1648" t="s">
        <v>3460</v>
      </c>
      <c r="B1648" t="s">
        <v>3461</v>
      </c>
      <c r="C1648">
        <v>2013</v>
      </c>
      <c r="D1648">
        <v>2010</v>
      </c>
      <c r="E1648" t="s">
        <v>54</v>
      </c>
      <c r="F1648">
        <v>131</v>
      </c>
      <c r="G1648" t="s">
        <v>3999</v>
      </c>
      <c r="H1648" t="s">
        <v>412</v>
      </c>
      <c r="I1648" t="s">
        <v>159</v>
      </c>
      <c r="J1648" t="s">
        <v>3463</v>
      </c>
      <c r="K1648">
        <v>70127</v>
      </c>
      <c r="L1648">
        <v>38.869999999999997</v>
      </c>
      <c r="M1648">
        <v>38.869999999999997</v>
      </c>
      <c r="N1648" t="s">
        <v>4001</v>
      </c>
      <c r="O1648" t="s">
        <v>3988</v>
      </c>
      <c r="P1648" t="str">
        <f>TRIM(Table13_1[[#This Row],[Genre]])</f>
        <v>Drama</v>
      </c>
    </row>
    <row r="1649" spans="1:16" x14ac:dyDescent="0.3">
      <c r="A1649" t="s">
        <v>3460</v>
      </c>
      <c r="B1649" t="s">
        <v>3461</v>
      </c>
      <c r="C1649">
        <v>2013</v>
      </c>
      <c r="D1649">
        <v>2010</v>
      </c>
      <c r="E1649" t="s">
        <v>54</v>
      </c>
      <c r="F1649">
        <v>131</v>
      </c>
      <c r="G1649" t="s">
        <v>3999</v>
      </c>
      <c r="H1649" t="s">
        <v>412</v>
      </c>
      <c r="I1649" t="s">
        <v>159</v>
      </c>
      <c r="J1649" t="s">
        <v>3463</v>
      </c>
      <c r="K1649">
        <v>70127</v>
      </c>
      <c r="L1649">
        <v>38.869999999999997</v>
      </c>
      <c r="M1649">
        <v>38.869999999999997</v>
      </c>
      <c r="N1649" t="s">
        <v>4001</v>
      </c>
      <c r="O1649" t="s">
        <v>3980</v>
      </c>
      <c r="P1649" t="str">
        <f>TRIM(Table13_1[[#This Row],[Genre]])</f>
        <v>Action</v>
      </c>
    </row>
    <row r="1650" spans="1:16" x14ac:dyDescent="0.3">
      <c r="A1650" t="s">
        <v>3464</v>
      </c>
      <c r="B1650" t="s">
        <v>3465</v>
      </c>
      <c r="C1650">
        <v>2010</v>
      </c>
      <c r="D1650">
        <v>2010</v>
      </c>
      <c r="E1650" t="s">
        <v>17</v>
      </c>
      <c r="F1650">
        <v>141</v>
      </c>
      <c r="G1650" t="s">
        <v>3999</v>
      </c>
      <c r="H1650" t="s">
        <v>3467</v>
      </c>
      <c r="I1650" t="s">
        <v>113</v>
      </c>
      <c r="J1650" t="s">
        <v>3468</v>
      </c>
      <c r="K1650">
        <v>2500000</v>
      </c>
      <c r="L1650">
        <v>472.21</v>
      </c>
      <c r="M1650">
        <v>472.21</v>
      </c>
      <c r="N1650" t="s">
        <v>3998</v>
      </c>
      <c r="O1650" t="s">
        <v>767</v>
      </c>
      <c r="P1650" t="str">
        <f>TRIM(Table13_1[[#This Row],[Genre]])</f>
        <v>Fantasy</v>
      </c>
    </row>
    <row r="1651" spans="1:16" x14ac:dyDescent="0.3">
      <c r="A1651" t="s">
        <v>3464</v>
      </c>
      <c r="B1651" t="s">
        <v>3465</v>
      </c>
      <c r="C1651">
        <v>2010</v>
      </c>
      <c r="D1651">
        <v>2010</v>
      </c>
      <c r="E1651" t="s">
        <v>17</v>
      </c>
      <c r="F1651">
        <v>141</v>
      </c>
      <c r="G1651" t="s">
        <v>3999</v>
      </c>
      <c r="H1651" t="s">
        <v>3467</v>
      </c>
      <c r="I1651" t="s">
        <v>113</v>
      </c>
      <c r="J1651" t="s">
        <v>3468</v>
      </c>
      <c r="K1651">
        <v>2500000</v>
      </c>
      <c r="L1651">
        <v>472.21</v>
      </c>
      <c r="M1651">
        <v>472.21</v>
      </c>
      <c r="N1651" t="s">
        <v>3998</v>
      </c>
      <c r="O1651" t="s">
        <v>3984</v>
      </c>
      <c r="P1651" t="str">
        <f>TRIM(Table13_1[[#This Row],[Genre]])</f>
        <v>Adventure</v>
      </c>
    </row>
    <row r="1652" spans="1:16" x14ac:dyDescent="0.3">
      <c r="A1652" t="s">
        <v>3464</v>
      </c>
      <c r="B1652" t="s">
        <v>3465</v>
      </c>
      <c r="C1652">
        <v>2010</v>
      </c>
      <c r="D1652">
        <v>2010</v>
      </c>
      <c r="E1652" t="s">
        <v>17</v>
      </c>
      <c r="F1652">
        <v>141</v>
      </c>
      <c r="G1652" t="s">
        <v>3999</v>
      </c>
      <c r="H1652" t="s">
        <v>3467</v>
      </c>
      <c r="I1652" t="s">
        <v>113</v>
      </c>
      <c r="J1652" t="s">
        <v>3468</v>
      </c>
      <c r="K1652">
        <v>2500000</v>
      </c>
      <c r="L1652">
        <v>472.21</v>
      </c>
      <c r="M1652">
        <v>472.21</v>
      </c>
      <c r="N1652" t="s">
        <v>3998</v>
      </c>
      <c r="O1652" t="s">
        <v>3993</v>
      </c>
      <c r="P1652" t="str">
        <f>TRIM(Table13_1[[#This Row],[Genre]])</f>
        <v>Comedy</v>
      </c>
    </row>
    <row r="1653" spans="1:16" x14ac:dyDescent="0.3">
      <c r="A1653" t="s">
        <v>3469</v>
      </c>
      <c r="B1653" t="s">
        <v>3470</v>
      </c>
      <c r="C1653">
        <v>2007</v>
      </c>
      <c r="D1653">
        <v>2000</v>
      </c>
      <c r="E1653" t="s">
        <v>17</v>
      </c>
      <c r="F1653">
        <v>109</v>
      </c>
      <c r="G1653" t="s">
        <v>3997</v>
      </c>
      <c r="H1653" t="s">
        <v>533</v>
      </c>
      <c r="I1653" t="s">
        <v>147</v>
      </c>
      <c r="J1653" t="s">
        <v>3471</v>
      </c>
      <c r="K1653">
        <v>552658</v>
      </c>
      <c r="M1653">
        <v>0</v>
      </c>
      <c r="N1653" t="s">
        <v>4001</v>
      </c>
      <c r="O1653" t="s">
        <v>43</v>
      </c>
      <c r="P1653" t="str">
        <f>TRIM(Table13_1[[#This Row],[Genre]])</f>
        <v>Mystery</v>
      </c>
    </row>
    <row r="1654" spans="1:16" x14ac:dyDescent="0.3">
      <c r="A1654" t="s">
        <v>3469</v>
      </c>
      <c r="B1654" t="s">
        <v>3470</v>
      </c>
      <c r="C1654">
        <v>2007</v>
      </c>
      <c r="D1654">
        <v>2000</v>
      </c>
      <c r="E1654" t="s">
        <v>17</v>
      </c>
      <c r="F1654">
        <v>109</v>
      </c>
      <c r="G1654" t="s">
        <v>3997</v>
      </c>
      <c r="H1654" t="s">
        <v>533</v>
      </c>
      <c r="I1654" t="s">
        <v>147</v>
      </c>
      <c r="J1654" t="s">
        <v>3471</v>
      </c>
      <c r="K1654">
        <v>552658</v>
      </c>
      <c r="M1654">
        <v>0</v>
      </c>
      <c r="N1654" t="s">
        <v>4001</v>
      </c>
      <c r="O1654" t="s">
        <v>3984</v>
      </c>
      <c r="P1654" t="str">
        <f>TRIM(Table13_1[[#This Row],[Genre]])</f>
        <v>Adventure</v>
      </c>
    </row>
    <row r="1655" spans="1:16" x14ac:dyDescent="0.3">
      <c r="A1655" t="s">
        <v>3472</v>
      </c>
      <c r="B1655" t="s">
        <v>3473</v>
      </c>
      <c r="C1655">
        <v>2007</v>
      </c>
      <c r="D1655">
        <v>2000</v>
      </c>
      <c r="E1655" t="s">
        <v>54</v>
      </c>
      <c r="F1655">
        <v>124</v>
      </c>
      <c r="G1655" t="s">
        <v>3999</v>
      </c>
      <c r="H1655" t="s">
        <v>3474</v>
      </c>
      <c r="I1655" t="s">
        <v>74</v>
      </c>
      <c r="J1655" t="s">
        <v>3475</v>
      </c>
      <c r="K1655">
        <v>24752</v>
      </c>
      <c r="L1655">
        <v>321.97000000000003</v>
      </c>
      <c r="M1655">
        <v>321.97000000000003</v>
      </c>
      <c r="N1655" t="s">
        <v>3998</v>
      </c>
      <c r="O1655" t="s">
        <v>230</v>
      </c>
      <c r="P1655" t="str">
        <f>TRIM(Table13_1[[#This Row],[Genre]])</f>
        <v>Documentary</v>
      </c>
    </row>
    <row r="1656" spans="1:16" x14ac:dyDescent="0.3">
      <c r="A1656" t="s">
        <v>3476</v>
      </c>
      <c r="B1656" t="s">
        <v>3477</v>
      </c>
      <c r="C1656">
        <v>2020</v>
      </c>
      <c r="D1656">
        <v>2020</v>
      </c>
      <c r="E1656" t="s">
        <v>24</v>
      </c>
      <c r="F1656">
        <v>125</v>
      </c>
      <c r="G1656" t="s">
        <v>3999</v>
      </c>
      <c r="H1656" t="s">
        <v>355</v>
      </c>
      <c r="I1656" t="s">
        <v>518</v>
      </c>
      <c r="J1656" t="s">
        <v>3479</v>
      </c>
      <c r="K1656">
        <v>2346951</v>
      </c>
      <c r="M1656">
        <v>0</v>
      </c>
      <c r="N1656" t="s">
        <v>4001</v>
      </c>
      <c r="O1656" t="s">
        <v>868</v>
      </c>
      <c r="P1656" t="str">
        <f>TRIM(Table13_1[[#This Row],[Genre]])</f>
        <v>Western</v>
      </c>
    </row>
    <row r="1657" spans="1:16" x14ac:dyDescent="0.3">
      <c r="A1657" t="s">
        <v>3476</v>
      </c>
      <c r="B1657" t="s">
        <v>3477</v>
      </c>
      <c r="C1657">
        <v>2020</v>
      </c>
      <c r="D1657">
        <v>2020</v>
      </c>
      <c r="E1657" t="s">
        <v>24</v>
      </c>
      <c r="F1657">
        <v>125</v>
      </c>
      <c r="G1657" t="s">
        <v>3999</v>
      </c>
      <c r="H1657" t="s">
        <v>355</v>
      </c>
      <c r="I1657" t="s">
        <v>518</v>
      </c>
      <c r="J1657" t="s">
        <v>3479</v>
      </c>
      <c r="K1657">
        <v>2346951</v>
      </c>
      <c r="M1657">
        <v>0</v>
      </c>
      <c r="N1657" t="s">
        <v>4001</v>
      </c>
      <c r="O1657" t="s">
        <v>3983</v>
      </c>
      <c r="P1657" t="str">
        <f>TRIM(Table13_1[[#This Row],[Genre]])</f>
        <v>Crime</v>
      </c>
    </row>
    <row r="1658" spans="1:16" x14ac:dyDescent="0.3">
      <c r="A1658" t="s">
        <v>3476</v>
      </c>
      <c r="B1658" t="s">
        <v>3477</v>
      </c>
      <c r="C1658">
        <v>2020</v>
      </c>
      <c r="D1658">
        <v>2020</v>
      </c>
      <c r="E1658" t="s">
        <v>24</v>
      </c>
      <c r="F1658">
        <v>125</v>
      </c>
      <c r="G1658" t="s">
        <v>3999</v>
      </c>
      <c r="H1658" t="s">
        <v>355</v>
      </c>
      <c r="I1658" t="s">
        <v>518</v>
      </c>
      <c r="J1658" t="s">
        <v>3479</v>
      </c>
      <c r="K1658">
        <v>2346951</v>
      </c>
      <c r="M1658">
        <v>0</v>
      </c>
      <c r="N1658" t="s">
        <v>4001</v>
      </c>
      <c r="O1658" t="s">
        <v>3988</v>
      </c>
      <c r="P1658" t="str">
        <f>TRIM(Table13_1[[#This Row],[Genre]])</f>
        <v>Drama</v>
      </c>
    </row>
    <row r="1659" spans="1:16" x14ac:dyDescent="0.3">
      <c r="A1659" t="s">
        <v>3480</v>
      </c>
      <c r="B1659" t="s">
        <v>3481</v>
      </c>
      <c r="C1659">
        <v>2013</v>
      </c>
      <c r="D1659">
        <v>2010</v>
      </c>
      <c r="E1659" t="s">
        <v>54</v>
      </c>
      <c r="F1659">
        <v>172</v>
      </c>
      <c r="G1659" t="s">
        <v>3999</v>
      </c>
      <c r="H1659" t="s">
        <v>250</v>
      </c>
      <c r="I1659" t="s">
        <v>33</v>
      </c>
      <c r="J1659" t="s">
        <v>3483</v>
      </c>
      <c r="K1659">
        <v>538350</v>
      </c>
      <c r="L1659">
        <v>51.57</v>
      </c>
      <c r="M1659">
        <v>51.57</v>
      </c>
      <c r="N1659" t="s">
        <v>4001</v>
      </c>
      <c r="O1659" t="s">
        <v>606</v>
      </c>
      <c r="P1659" t="str">
        <f>TRIM(Table13_1[[#This Row],[Genre]])</f>
        <v>Sci-Fi</v>
      </c>
    </row>
    <row r="1660" spans="1:16" x14ac:dyDescent="0.3">
      <c r="A1660" t="s">
        <v>3480</v>
      </c>
      <c r="B1660" t="s">
        <v>3481</v>
      </c>
      <c r="C1660">
        <v>2013</v>
      </c>
      <c r="D1660">
        <v>2010</v>
      </c>
      <c r="E1660" t="s">
        <v>54</v>
      </c>
      <c r="F1660">
        <v>172</v>
      </c>
      <c r="G1660" t="s">
        <v>3999</v>
      </c>
      <c r="H1660" t="s">
        <v>250</v>
      </c>
      <c r="I1660" t="s">
        <v>33</v>
      </c>
      <c r="J1660" t="s">
        <v>3483</v>
      </c>
      <c r="K1660">
        <v>538350</v>
      </c>
      <c r="L1660">
        <v>51.57</v>
      </c>
      <c r="M1660">
        <v>51.57</v>
      </c>
      <c r="N1660" t="s">
        <v>4001</v>
      </c>
      <c r="O1660" t="s">
        <v>3980</v>
      </c>
      <c r="P1660" t="str">
        <f>TRIM(Table13_1[[#This Row],[Genre]])</f>
        <v>Action</v>
      </c>
    </row>
    <row r="1661" spans="1:16" x14ac:dyDescent="0.3">
      <c r="A1661" t="s">
        <v>3480</v>
      </c>
      <c r="B1661" t="s">
        <v>3481</v>
      </c>
      <c r="C1661">
        <v>2013</v>
      </c>
      <c r="D1661">
        <v>2010</v>
      </c>
      <c r="E1661" t="s">
        <v>54</v>
      </c>
      <c r="F1661">
        <v>172</v>
      </c>
      <c r="G1661" t="s">
        <v>3999</v>
      </c>
      <c r="H1661" t="s">
        <v>250</v>
      </c>
      <c r="I1661" t="s">
        <v>33</v>
      </c>
      <c r="J1661" t="s">
        <v>3483</v>
      </c>
      <c r="K1661">
        <v>538350</v>
      </c>
      <c r="L1661">
        <v>51.57</v>
      </c>
      <c r="M1661">
        <v>51.57</v>
      </c>
      <c r="N1661" t="s">
        <v>4001</v>
      </c>
      <c r="O1661" t="s">
        <v>3992</v>
      </c>
      <c r="P1661" t="str">
        <f>TRIM(Table13_1[[#This Row],[Genre]])</f>
        <v>Biography</v>
      </c>
    </row>
    <row r="1662" spans="1:16" x14ac:dyDescent="0.3">
      <c r="A1662" t="s">
        <v>3484</v>
      </c>
      <c r="B1662" t="s">
        <v>3485</v>
      </c>
      <c r="C1662">
        <v>2012</v>
      </c>
      <c r="D1662">
        <v>2010</v>
      </c>
      <c r="E1662" t="s">
        <v>24</v>
      </c>
      <c r="F1662">
        <v>130</v>
      </c>
      <c r="G1662" t="s">
        <v>3999</v>
      </c>
      <c r="H1662" t="s">
        <v>201</v>
      </c>
      <c r="I1662" t="s">
        <v>593</v>
      </c>
      <c r="J1662" t="s">
        <v>3487</v>
      </c>
      <c r="K1662">
        <v>2370</v>
      </c>
      <c r="M1662">
        <v>0</v>
      </c>
      <c r="N1662" t="s">
        <v>4001</v>
      </c>
      <c r="O1662" t="s">
        <v>235</v>
      </c>
      <c r="P1662" t="str">
        <f>TRIM(Table13_1[[#This Row],[Genre]])</f>
        <v>Drama</v>
      </c>
    </row>
    <row r="1663" spans="1:16" x14ac:dyDescent="0.3">
      <c r="A1663" t="s">
        <v>3484</v>
      </c>
      <c r="B1663" t="s">
        <v>3485</v>
      </c>
      <c r="C1663">
        <v>2012</v>
      </c>
      <c r="D1663">
        <v>2010</v>
      </c>
      <c r="E1663" t="s">
        <v>24</v>
      </c>
      <c r="F1663">
        <v>130</v>
      </c>
      <c r="G1663" t="s">
        <v>3999</v>
      </c>
      <c r="H1663" t="s">
        <v>201</v>
      </c>
      <c r="I1663" t="s">
        <v>593</v>
      </c>
      <c r="J1663" t="s">
        <v>3487</v>
      </c>
      <c r="K1663">
        <v>2370</v>
      </c>
      <c r="M1663">
        <v>0</v>
      </c>
      <c r="N1663" t="s">
        <v>4001</v>
      </c>
      <c r="O1663" t="s">
        <v>3976</v>
      </c>
      <c r="P1663" t="str">
        <f>TRIM(Table13_1[[#This Row],[Genre]])</f>
        <v>Musical</v>
      </c>
    </row>
    <row r="1664" spans="1:16" x14ac:dyDescent="0.3">
      <c r="A1664" t="s">
        <v>3484</v>
      </c>
      <c r="B1664" t="s">
        <v>3485</v>
      </c>
      <c r="C1664">
        <v>2012</v>
      </c>
      <c r="D1664">
        <v>2010</v>
      </c>
      <c r="E1664" t="s">
        <v>24</v>
      </c>
      <c r="F1664">
        <v>130</v>
      </c>
      <c r="G1664" t="s">
        <v>3999</v>
      </c>
      <c r="H1664" t="s">
        <v>201</v>
      </c>
      <c r="I1664" t="s">
        <v>593</v>
      </c>
      <c r="J1664" t="s">
        <v>3487</v>
      </c>
      <c r="K1664">
        <v>2370</v>
      </c>
      <c r="M1664">
        <v>0</v>
      </c>
      <c r="N1664" t="s">
        <v>4001</v>
      </c>
      <c r="O1664" t="s">
        <v>3989</v>
      </c>
      <c r="P1664" t="str">
        <f>TRIM(Table13_1[[#This Row],[Genre]])</f>
        <v>Sci-Fi</v>
      </c>
    </row>
    <row r="1665" spans="1:16" x14ac:dyDescent="0.3">
      <c r="A1665" t="s">
        <v>3488</v>
      </c>
      <c r="B1665" t="s">
        <v>3489</v>
      </c>
      <c r="C1665">
        <v>2002</v>
      </c>
      <c r="D1665">
        <v>2000</v>
      </c>
      <c r="E1665" t="s">
        <v>54</v>
      </c>
      <c r="F1665">
        <v>132</v>
      </c>
      <c r="G1665" t="s">
        <v>3999</v>
      </c>
      <c r="H1665" t="s">
        <v>3490</v>
      </c>
      <c r="I1665" t="s">
        <v>191</v>
      </c>
      <c r="J1665" t="s">
        <v>3491</v>
      </c>
      <c r="K1665">
        <v>693944</v>
      </c>
      <c r="L1665">
        <v>73.260000000000005</v>
      </c>
      <c r="M1665">
        <v>73.260000000000005</v>
      </c>
      <c r="N1665" t="s">
        <v>4001</v>
      </c>
      <c r="O1665" t="s">
        <v>453</v>
      </c>
      <c r="P1665" t="str">
        <f>TRIM(Table13_1[[#This Row],[Genre]])</f>
        <v>Musical</v>
      </c>
    </row>
    <row r="1666" spans="1:16" x14ac:dyDescent="0.3">
      <c r="A1666" t="s">
        <v>3492</v>
      </c>
      <c r="B1666" t="s">
        <v>3493</v>
      </c>
      <c r="C1666">
        <v>2003</v>
      </c>
      <c r="D1666">
        <v>2000</v>
      </c>
      <c r="E1666" t="s">
        <v>54</v>
      </c>
      <c r="F1666">
        <v>142</v>
      </c>
      <c r="G1666" t="s">
        <v>3999</v>
      </c>
      <c r="H1666" t="s">
        <v>3494</v>
      </c>
      <c r="I1666" t="s">
        <v>221</v>
      </c>
      <c r="J1666" t="s">
        <v>3495</v>
      </c>
      <c r="K1666">
        <v>17382</v>
      </c>
      <c r="L1666">
        <v>149.53</v>
      </c>
      <c r="M1666">
        <v>149.53</v>
      </c>
      <c r="N1666" t="s">
        <v>4002</v>
      </c>
      <c r="O1666" t="s">
        <v>868</v>
      </c>
      <c r="P1666" t="str">
        <f>TRIM(Table13_1[[#This Row],[Genre]])</f>
        <v>Western</v>
      </c>
    </row>
    <row r="1667" spans="1:16" x14ac:dyDescent="0.3">
      <c r="A1667" t="s">
        <v>3496</v>
      </c>
      <c r="B1667" t="s">
        <v>3497</v>
      </c>
      <c r="C1667">
        <v>2019</v>
      </c>
      <c r="D1667">
        <v>2010</v>
      </c>
      <c r="E1667" t="s">
        <v>24</v>
      </c>
      <c r="F1667">
        <v>137</v>
      </c>
      <c r="G1667" t="s">
        <v>3999</v>
      </c>
      <c r="H1667" t="s">
        <v>3498</v>
      </c>
      <c r="I1667" t="s">
        <v>524</v>
      </c>
      <c r="J1667" t="s">
        <v>3499</v>
      </c>
      <c r="K1667">
        <v>227605</v>
      </c>
      <c r="L1667">
        <v>314.67</v>
      </c>
      <c r="M1667">
        <v>314.67</v>
      </c>
      <c r="N1667" t="s">
        <v>3998</v>
      </c>
      <c r="O1667" t="s">
        <v>210</v>
      </c>
      <c r="P1667" t="str">
        <f>TRIM(Table13_1[[#This Row],[Genre]])</f>
        <v>Action</v>
      </c>
    </row>
    <row r="1668" spans="1:16" x14ac:dyDescent="0.3">
      <c r="A1668" t="s">
        <v>3500</v>
      </c>
      <c r="B1668" t="s">
        <v>3501</v>
      </c>
      <c r="C1668">
        <v>1987</v>
      </c>
      <c r="D1668">
        <v>1980</v>
      </c>
      <c r="E1668" t="s">
        <v>17</v>
      </c>
      <c r="F1668">
        <v>136</v>
      </c>
      <c r="G1668" t="s">
        <v>3999</v>
      </c>
      <c r="H1668" t="s">
        <v>38</v>
      </c>
      <c r="I1668" t="s">
        <v>221</v>
      </c>
      <c r="J1668" t="s">
        <v>3502</v>
      </c>
      <c r="K1668">
        <v>79528</v>
      </c>
      <c r="L1668">
        <v>72.83</v>
      </c>
      <c r="M1668">
        <v>72.83</v>
      </c>
      <c r="N1668" t="s">
        <v>4001</v>
      </c>
      <c r="O1668" t="s">
        <v>37</v>
      </c>
      <c r="P1668" t="str">
        <f>TRIM(Table13_1[[#This Row],[Genre]])</f>
        <v>Biography</v>
      </c>
    </row>
    <row r="1669" spans="1:16" x14ac:dyDescent="0.3">
      <c r="A1669" t="s">
        <v>3500</v>
      </c>
      <c r="B1669" t="s">
        <v>3501</v>
      </c>
      <c r="C1669">
        <v>1987</v>
      </c>
      <c r="D1669">
        <v>1980</v>
      </c>
      <c r="E1669" t="s">
        <v>17</v>
      </c>
      <c r="F1669">
        <v>136</v>
      </c>
      <c r="G1669" t="s">
        <v>3999</v>
      </c>
      <c r="H1669" t="s">
        <v>38</v>
      </c>
      <c r="I1669" t="s">
        <v>221</v>
      </c>
      <c r="J1669" t="s">
        <v>3502</v>
      </c>
      <c r="K1669">
        <v>79528</v>
      </c>
      <c r="L1669">
        <v>72.83</v>
      </c>
      <c r="M1669">
        <v>72.83</v>
      </c>
      <c r="N1669" t="s">
        <v>4001</v>
      </c>
      <c r="O1669" t="s">
        <v>3986</v>
      </c>
      <c r="P1669" t="str">
        <f>TRIM(Table13_1[[#This Row],[Genre]])</f>
        <v>Documentary</v>
      </c>
    </row>
    <row r="1670" spans="1:16" x14ac:dyDescent="0.3">
      <c r="A1670" t="s">
        <v>3503</v>
      </c>
      <c r="B1670" t="s">
        <v>3504</v>
      </c>
      <c r="C1670">
        <v>2004</v>
      </c>
      <c r="D1670">
        <v>2000</v>
      </c>
      <c r="E1670" t="s">
        <v>17</v>
      </c>
      <c r="F1670">
        <v>85</v>
      </c>
      <c r="G1670" t="s">
        <v>4000</v>
      </c>
      <c r="H1670" t="s">
        <v>852</v>
      </c>
      <c r="I1670" t="s">
        <v>368</v>
      </c>
      <c r="J1670" t="s">
        <v>3505</v>
      </c>
      <c r="K1670">
        <v>382206</v>
      </c>
      <c r="L1670">
        <v>440.93</v>
      </c>
      <c r="M1670">
        <v>440.93</v>
      </c>
      <c r="N1670" t="s">
        <v>3998</v>
      </c>
      <c r="O1670" t="s">
        <v>55</v>
      </c>
      <c r="P1670" t="str">
        <f>TRIM(Table13_1[[#This Row],[Genre]])</f>
        <v>Romance</v>
      </c>
    </row>
    <row r="1671" spans="1:16" x14ac:dyDescent="0.3">
      <c r="A1671" t="s">
        <v>3506</v>
      </c>
      <c r="B1671" t="s">
        <v>3507</v>
      </c>
      <c r="C1671">
        <v>2020</v>
      </c>
      <c r="D1671">
        <v>2020</v>
      </c>
      <c r="E1671" t="s">
        <v>54</v>
      </c>
      <c r="F1671">
        <v>111</v>
      </c>
      <c r="G1671" t="s">
        <v>3997</v>
      </c>
      <c r="H1671" t="s">
        <v>673</v>
      </c>
      <c r="I1671" t="s">
        <v>131</v>
      </c>
      <c r="J1671" t="s">
        <v>3508</v>
      </c>
      <c r="K1671">
        <v>43374</v>
      </c>
      <c r="L1671">
        <v>471.81</v>
      </c>
      <c r="M1671">
        <v>471.81</v>
      </c>
      <c r="N1671" t="s">
        <v>3998</v>
      </c>
      <c r="O1671" t="s">
        <v>235</v>
      </c>
      <c r="P1671" t="str">
        <f>TRIM(Table13_1[[#This Row],[Genre]])</f>
        <v>Drama</v>
      </c>
    </row>
    <row r="1672" spans="1:16" x14ac:dyDescent="0.3">
      <c r="A1672" t="s">
        <v>3509</v>
      </c>
      <c r="B1672" t="s">
        <v>3510</v>
      </c>
      <c r="C1672">
        <v>2024</v>
      </c>
      <c r="D1672">
        <v>2020</v>
      </c>
      <c r="E1672" t="s">
        <v>54</v>
      </c>
      <c r="F1672">
        <v>133</v>
      </c>
      <c r="G1672" t="s">
        <v>3999</v>
      </c>
      <c r="H1672" t="s">
        <v>1155</v>
      </c>
      <c r="I1672" t="s">
        <v>315</v>
      </c>
      <c r="J1672" t="s">
        <v>3511</v>
      </c>
      <c r="K1672">
        <v>33501</v>
      </c>
      <c r="L1672">
        <v>472.68</v>
      </c>
      <c r="M1672">
        <v>472.68</v>
      </c>
      <c r="N1672" t="s">
        <v>3998</v>
      </c>
      <c r="O1672" t="s">
        <v>72</v>
      </c>
      <c r="P1672" t="str">
        <f>TRIM(Table13_1[[#This Row],[Genre]])</f>
        <v>War</v>
      </c>
    </row>
    <row r="1673" spans="1:16" x14ac:dyDescent="0.3">
      <c r="A1673" t="s">
        <v>3509</v>
      </c>
      <c r="B1673" t="s">
        <v>3510</v>
      </c>
      <c r="C1673">
        <v>2024</v>
      </c>
      <c r="D1673">
        <v>2020</v>
      </c>
      <c r="E1673" t="s">
        <v>54</v>
      </c>
      <c r="F1673">
        <v>133</v>
      </c>
      <c r="G1673" t="s">
        <v>3999</v>
      </c>
      <c r="H1673" t="s">
        <v>1155</v>
      </c>
      <c r="I1673" t="s">
        <v>315</v>
      </c>
      <c r="J1673" t="s">
        <v>3511</v>
      </c>
      <c r="K1673">
        <v>33501</v>
      </c>
      <c r="L1673">
        <v>472.68</v>
      </c>
      <c r="M1673">
        <v>472.68</v>
      </c>
      <c r="N1673" t="s">
        <v>3998</v>
      </c>
      <c r="O1673" t="s">
        <v>3977</v>
      </c>
      <c r="P1673" t="str">
        <f>TRIM(Table13_1[[#This Row],[Genre]])</f>
        <v>Animation</v>
      </c>
    </row>
    <row r="1674" spans="1:16" x14ac:dyDescent="0.3">
      <c r="A1674" t="s">
        <v>3512</v>
      </c>
      <c r="B1674" t="s">
        <v>3513</v>
      </c>
      <c r="C1674">
        <v>2004</v>
      </c>
      <c r="D1674">
        <v>2000</v>
      </c>
      <c r="E1674" t="s">
        <v>24</v>
      </c>
      <c r="F1674">
        <v>161</v>
      </c>
      <c r="G1674" t="s">
        <v>3999</v>
      </c>
      <c r="H1674" t="s">
        <v>19</v>
      </c>
      <c r="I1674" t="s">
        <v>147</v>
      </c>
      <c r="J1674" t="s">
        <v>3514</v>
      </c>
      <c r="K1674">
        <v>62089</v>
      </c>
      <c r="L1674">
        <v>323.07</v>
      </c>
      <c r="M1674">
        <v>323.07</v>
      </c>
      <c r="N1674" t="s">
        <v>3998</v>
      </c>
      <c r="O1674" t="s">
        <v>210</v>
      </c>
      <c r="P1674" t="str">
        <f>TRIM(Table13_1[[#This Row],[Genre]])</f>
        <v>Action</v>
      </c>
    </row>
    <row r="1675" spans="1:16" x14ac:dyDescent="0.3">
      <c r="A1675" t="s">
        <v>3512</v>
      </c>
      <c r="B1675" t="s">
        <v>3513</v>
      </c>
      <c r="C1675">
        <v>2004</v>
      </c>
      <c r="D1675">
        <v>2000</v>
      </c>
      <c r="E1675" t="s">
        <v>24</v>
      </c>
      <c r="F1675">
        <v>161</v>
      </c>
      <c r="G1675" t="s">
        <v>3999</v>
      </c>
      <c r="H1675" t="s">
        <v>19</v>
      </c>
      <c r="I1675" t="s">
        <v>147</v>
      </c>
      <c r="J1675" t="s">
        <v>3514</v>
      </c>
      <c r="K1675">
        <v>62089</v>
      </c>
      <c r="L1675">
        <v>323.07</v>
      </c>
      <c r="M1675">
        <v>323.07</v>
      </c>
      <c r="N1675" t="s">
        <v>3998</v>
      </c>
      <c r="O1675" t="s">
        <v>3983</v>
      </c>
      <c r="P1675" t="str">
        <f>TRIM(Table13_1[[#This Row],[Genre]])</f>
        <v>Crime</v>
      </c>
    </row>
    <row r="1676" spans="1:16" x14ac:dyDescent="0.3">
      <c r="A1676" t="s">
        <v>3515</v>
      </c>
      <c r="B1676" t="s">
        <v>3516</v>
      </c>
      <c r="C1676">
        <v>2011</v>
      </c>
      <c r="D1676">
        <v>2010</v>
      </c>
      <c r="E1676" t="s">
        <v>54</v>
      </c>
      <c r="F1676">
        <v>98</v>
      </c>
      <c r="G1676" t="s">
        <v>3997</v>
      </c>
      <c r="H1676" t="s">
        <v>3518</v>
      </c>
      <c r="I1676" t="s">
        <v>153</v>
      </c>
      <c r="J1676" t="s">
        <v>3519</v>
      </c>
      <c r="K1676">
        <v>165886</v>
      </c>
      <c r="M1676">
        <v>0</v>
      </c>
      <c r="N1676" t="s">
        <v>4001</v>
      </c>
      <c r="O1676" t="s">
        <v>43</v>
      </c>
      <c r="P1676" t="str">
        <f>TRIM(Table13_1[[#This Row],[Genre]])</f>
        <v>Mystery</v>
      </c>
    </row>
    <row r="1677" spans="1:16" x14ac:dyDescent="0.3">
      <c r="A1677" t="s">
        <v>3515</v>
      </c>
      <c r="B1677" t="s">
        <v>3516</v>
      </c>
      <c r="C1677">
        <v>2011</v>
      </c>
      <c r="D1677">
        <v>2010</v>
      </c>
      <c r="E1677" t="s">
        <v>54</v>
      </c>
      <c r="F1677">
        <v>98</v>
      </c>
      <c r="G1677" t="s">
        <v>3997</v>
      </c>
      <c r="H1677" t="s">
        <v>3518</v>
      </c>
      <c r="I1677" t="s">
        <v>153</v>
      </c>
      <c r="J1677" t="s">
        <v>3519</v>
      </c>
      <c r="K1677">
        <v>165886</v>
      </c>
      <c r="M1677">
        <v>0</v>
      </c>
      <c r="N1677" t="s">
        <v>4001</v>
      </c>
      <c r="O1677" t="s">
        <v>3988</v>
      </c>
      <c r="P1677" t="str">
        <f>TRIM(Table13_1[[#This Row],[Genre]])</f>
        <v>Drama</v>
      </c>
    </row>
    <row r="1678" spans="1:16" x14ac:dyDescent="0.3">
      <c r="A1678" t="s">
        <v>3515</v>
      </c>
      <c r="B1678" t="s">
        <v>3516</v>
      </c>
      <c r="C1678">
        <v>2011</v>
      </c>
      <c r="D1678">
        <v>2010</v>
      </c>
      <c r="E1678" t="s">
        <v>54</v>
      </c>
      <c r="F1678">
        <v>98</v>
      </c>
      <c r="G1678" t="s">
        <v>3997</v>
      </c>
      <c r="H1678" t="s">
        <v>3518</v>
      </c>
      <c r="I1678" t="s">
        <v>153</v>
      </c>
      <c r="J1678" t="s">
        <v>3519</v>
      </c>
      <c r="K1678">
        <v>165886</v>
      </c>
      <c r="M1678">
        <v>0</v>
      </c>
      <c r="N1678" t="s">
        <v>4001</v>
      </c>
      <c r="O1678" t="s">
        <v>3991</v>
      </c>
      <c r="P1678" t="str">
        <f>TRIM(Table13_1[[#This Row],[Genre]])</f>
        <v>Thriller</v>
      </c>
    </row>
    <row r="1679" spans="1:16" x14ac:dyDescent="0.3">
      <c r="A1679" t="s">
        <v>3520</v>
      </c>
      <c r="B1679" t="s">
        <v>3521</v>
      </c>
      <c r="C1679">
        <v>2022</v>
      </c>
      <c r="D1679">
        <v>2020</v>
      </c>
      <c r="E1679" t="s">
        <v>17</v>
      </c>
      <c r="F1679">
        <v>144</v>
      </c>
      <c r="G1679" t="s">
        <v>3999</v>
      </c>
      <c r="H1679" t="s">
        <v>538</v>
      </c>
      <c r="I1679" t="s">
        <v>137</v>
      </c>
      <c r="J1679" t="s">
        <v>3522</v>
      </c>
      <c r="K1679">
        <v>166096</v>
      </c>
      <c r="M1679">
        <v>0</v>
      </c>
      <c r="N1679" t="s">
        <v>4001</v>
      </c>
      <c r="O1679" t="s">
        <v>157</v>
      </c>
      <c r="P1679" t="str">
        <f>TRIM(Table13_1[[#This Row],[Genre]])</f>
        <v>Animation</v>
      </c>
    </row>
    <row r="1680" spans="1:16" x14ac:dyDescent="0.3">
      <c r="A1680" t="s">
        <v>3520</v>
      </c>
      <c r="B1680" t="s">
        <v>3521</v>
      </c>
      <c r="C1680">
        <v>2022</v>
      </c>
      <c r="D1680">
        <v>2020</v>
      </c>
      <c r="E1680" t="s">
        <v>17</v>
      </c>
      <c r="F1680">
        <v>144</v>
      </c>
      <c r="G1680" t="s">
        <v>3999</v>
      </c>
      <c r="H1680" t="s">
        <v>538</v>
      </c>
      <c r="I1680" t="s">
        <v>137</v>
      </c>
      <c r="J1680" t="s">
        <v>3522</v>
      </c>
      <c r="K1680">
        <v>166096</v>
      </c>
      <c r="M1680">
        <v>0</v>
      </c>
      <c r="N1680" t="s">
        <v>4001</v>
      </c>
      <c r="O1680" t="s">
        <v>3980</v>
      </c>
      <c r="P1680" t="str">
        <f>TRIM(Table13_1[[#This Row],[Genre]])</f>
        <v>Action</v>
      </c>
    </row>
    <row r="1681" spans="1:16" x14ac:dyDescent="0.3">
      <c r="A1681" t="s">
        <v>3523</v>
      </c>
      <c r="B1681" t="s">
        <v>3524</v>
      </c>
      <c r="C1681">
        <v>2000</v>
      </c>
      <c r="D1681">
        <v>2000</v>
      </c>
      <c r="E1681" t="s">
        <v>24</v>
      </c>
      <c r="F1681">
        <v>104</v>
      </c>
      <c r="G1681" t="s">
        <v>3997</v>
      </c>
      <c r="H1681" t="s">
        <v>435</v>
      </c>
      <c r="I1681" t="s">
        <v>315</v>
      </c>
      <c r="J1681" t="s">
        <v>3525</v>
      </c>
      <c r="K1681">
        <v>829356</v>
      </c>
      <c r="L1681">
        <v>277.07</v>
      </c>
      <c r="M1681">
        <v>277.07</v>
      </c>
      <c r="N1681" t="s">
        <v>3998</v>
      </c>
      <c r="O1681" t="s">
        <v>453</v>
      </c>
      <c r="P1681" t="str">
        <f>TRIM(Table13_1[[#This Row],[Genre]])</f>
        <v>Musical</v>
      </c>
    </row>
    <row r="1682" spans="1:16" x14ac:dyDescent="0.3">
      <c r="A1682" t="s">
        <v>3523</v>
      </c>
      <c r="B1682" t="s">
        <v>3524</v>
      </c>
      <c r="C1682">
        <v>2000</v>
      </c>
      <c r="D1682">
        <v>2000</v>
      </c>
      <c r="E1682" t="s">
        <v>24</v>
      </c>
      <c r="F1682">
        <v>104</v>
      </c>
      <c r="G1682" t="s">
        <v>3997</v>
      </c>
      <c r="H1682" t="s">
        <v>435</v>
      </c>
      <c r="I1682" t="s">
        <v>315</v>
      </c>
      <c r="J1682" t="s">
        <v>3525</v>
      </c>
      <c r="K1682">
        <v>829356</v>
      </c>
      <c r="L1682">
        <v>277.07</v>
      </c>
      <c r="M1682">
        <v>277.07</v>
      </c>
      <c r="N1682" t="s">
        <v>3998</v>
      </c>
      <c r="O1682" t="s">
        <v>3977</v>
      </c>
      <c r="P1682" t="str">
        <f>TRIM(Table13_1[[#This Row],[Genre]])</f>
        <v>Animation</v>
      </c>
    </row>
    <row r="1683" spans="1:16" x14ac:dyDescent="0.3">
      <c r="A1683" t="s">
        <v>3526</v>
      </c>
      <c r="B1683" t="s">
        <v>3527</v>
      </c>
      <c r="C1683">
        <v>2016</v>
      </c>
      <c r="D1683">
        <v>2010</v>
      </c>
      <c r="E1683" t="s">
        <v>24</v>
      </c>
      <c r="F1683">
        <v>133</v>
      </c>
      <c r="G1683" t="s">
        <v>3999</v>
      </c>
      <c r="H1683" t="s">
        <v>38</v>
      </c>
      <c r="I1683" t="s">
        <v>251</v>
      </c>
      <c r="J1683" t="s">
        <v>3528</v>
      </c>
      <c r="K1683">
        <v>44256</v>
      </c>
      <c r="L1683">
        <v>420.73</v>
      </c>
      <c r="M1683">
        <v>420.73</v>
      </c>
      <c r="N1683" t="s">
        <v>3998</v>
      </c>
      <c r="O1683" t="s">
        <v>37</v>
      </c>
      <c r="P1683" t="str">
        <f>TRIM(Table13_1[[#This Row],[Genre]])</f>
        <v>Biography</v>
      </c>
    </row>
    <row r="1684" spans="1:16" x14ac:dyDescent="0.3">
      <c r="A1684" t="s">
        <v>3526</v>
      </c>
      <c r="B1684" t="s">
        <v>3527</v>
      </c>
      <c r="C1684">
        <v>2016</v>
      </c>
      <c r="D1684">
        <v>2010</v>
      </c>
      <c r="E1684" t="s">
        <v>24</v>
      </c>
      <c r="F1684">
        <v>133</v>
      </c>
      <c r="G1684" t="s">
        <v>3999</v>
      </c>
      <c r="H1684" t="s">
        <v>38</v>
      </c>
      <c r="I1684" t="s">
        <v>251</v>
      </c>
      <c r="J1684" t="s">
        <v>3528</v>
      </c>
      <c r="K1684">
        <v>44256</v>
      </c>
      <c r="L1684">
        <v>420.73</v>
      </c>
      <c r="M1684">
        <v>420.73</v>
      </c>
      <c r="N1684" t="s">
        <v>3998</v>
      </c>
      <c r="O1684" t="s">
        <v>3989</v>
      </c>
      <c r="P1684" t="str">
        <f>TRIM(Table13_1[[#This Row],[Genre]])</f>
        <v>Sci-Fi</v>
      </c>
    </row>
    <row r="1685" spans="1:16" x14ac:dyDescent="0.3">
      <c r="A1685" t="s">
        <v>3529</v>
      </c>
      <c r="B1685" t="s">
        <v>3530</v>
      </c>
      <c r="C1685">
        <v>1999</v>
      </c>
      <c r="D1685">
        <v>1990</v>
      </c>
      <c r="E1685" t="s">
        <v>54</v>
      </c>
      <c r="F1685">
        <v>107</v>
      </c>
      <c r="G1685" t="s">
        <v>3997</v>
      </c>
      <c r="H1685" t="s">
        <v>412</v>
      </c>
      <c r="I1685" t="s">
        <v>547</v>
      </c>
      <c r="J1685" t="s">
        <v>3531</v>
      </c>
      <c r="K1685">
        <v>752166</v>
      </c>
      <c r="L1685">
        <v>228.38</v>
      </c>
      <c r="M1685">
        <v>228.38</v>
      </c>
      <c r="N1685" t="s">
        <v>3998</v>
      </c>
      <c r="O1685" t="s">
        <v>78</v>
      </c>
      <c r="P1685" t="str">
        <f>TRIM(Table13_1[[#This Row],[Genre]])</f>
        <v>Adventure</v>
      </c>
    </row>
    <row r="1686" spans="1:16" x14ac:dyDescent="0.3">
      <c r="A1686" t="s">
        <v>3532</v>
      </c>
      <c r="B1686" t="s">
        <v>3533</v>
      </c>
      <c r="C1686">
        <v>2017</v>
      </c>
      <c r="D1686">
        <v>2010</v>
      </c>
      <c r="E1686" t="s">
        <v>24</v>
      </c>
      <c r="F1686">
        <v>119</v>
      </c>
      <c r="G1686" t="s">
        <v>3997</v>
      </c>
      <c r="H1686" t="s">
        <v>3534</v>
      </c>
      <c r="I1686" t="s">
        <v>524</v>
      </c>
      <c r="J1686" t="s">
        <v>3535</v>
      </c>
      <c r="K1686">
        <v>570973</v>
      </c>
      <c r="L1686">
        <v>476.76</v>
      </c>
      <c r="M1686">
        <v>476.76</v>
      </c>
      <c r="N1686" t="s">
        <v>3998</v>
      </c>
      <c r="O1686" t="s">
        <v>72</v>
      </c>
      <c r="P1686" t="str">
        <f>TRIM(Table13_1[[#This Row],[Genre]])</f>
        <v>War</v>
      </c>
    </row>
    <row r="1687" spans="1:16" x14ac:dyDescent="0.3">
      <c r="A1687" t="s">
        <v>3536</v>
      </c>
      <c r="B1687" t="s">
        <v>3537</v>
      </c>
      <c r="C1687">
        <v>2012</v>
      </c>
      <c r="D1687">
        <v>2010</v>
      </c>
      <c r="E1687" t="s">
        <v>17</v>
      </c>
      <c r="F1687">
        <v>149</v>
      </c>
      <c r="G1687" t="s">
        <v>3999</v>
      </c>
      <c r="H1687" t="s">
        <v>320</v>
      </c>
      <c r="I1687" t="s">
        <v>483</v>
      </c>
      <c r="J1687" t="s">
        <v>3539</v>
      </c>
      <c r="K1687">
        <v>44779</v>
      </c>
      <c r="L1687">
        <v>160.16</v>
      </c>
      <c r="M1687">
        <v>160.16</v>
      </c>
      <c r="N1687" t="s">
        <v>4002</v>
      </c>
      <c r="O1687" t="s">
        <v>767</v>
      </c>
      <c r="P1687" t="str">
        <f>TRIM(Table13_1[[#This Row],[Genre]])</f>
        <v>Fantasy</v>
      </c>
    </row>
    <row r="1688" spans="1:16" x14ac:dyDescent="0.3">
      <c r="A1688" t="s">
        <v>3536</v>
      </c>
      <c r="B1688" t="s">
        <v>3537</v>
      </c>
      <c r="C1688">
        <v>2012</v>
      </c>
      <c r="D1688">
        <v>2010</v>
      </c>
      <c r="E1688" t="s">
        <v>17</v>
      </c>
      <c r="F1688">
        <v>149</v>
      </c>
      <c r="G1688" t="s">
        <v>3999</v>
      </c>
      <c r="H1688" t="s">
        <v>320</v>
      </c>
      <c r="I1688" t="s">
        <v>483</v>
      </c>
      <c r="J1688" t="s">
        <v>3539</v>
      </c>
      <c r="K1688">
        <v>44779</v>
      </c>
      <c r="L1688">
        <v>160.16</v>
      </c>
      <c r="M1688">
        <v>160.16</v>
      </c>
      <c r="N1688" t="s">
        <v>4002</v>
      </c>
      <c r="O1688" t="s">
        <v>3982</v>
      </c>
      <c r="P1688" t="str">
        <f>TRIM(Table13_1[[#This Row],[Genre]])</f>
        <v>Family</v>
      </c>
    </row>
    <row r="1689" spans="1:16" x14ac:dyDescent="0.3">
      <c r="A1689" t="s">
        <v>3540</v>
      </c>
      <c r="B1689" t="s">
        <v>3541</v>
      </c>
      <c r="C1689">
        <v>2001</v>
      </c>
      <c r="D1689">
        <v>2000</v>
      </c>
      <c r="E1689" t="s">
        <v>17</v>
      </c>
      <c r="F1689">
        <v>104</v>
      </c>
      <c r="G1689" t="s">
        <v>3997</v>
      </c>
      <c r="H1689" t="s">
        <v>3542</v>
      </c>
      <c r="I1689" t="s">
        <v>92</v>
      </c>
      <c r="J1689" t="s">
        <v>3543</v>
      </c>
      <c r="K1689">
        <v>152369</v>
      </c>
      <c r="L1689">
        <v>186.95</v>
      </c>
      <c r="M1689">
        <v>186.95</v>
      </c>
      <c r="N1689" t="s">
        <v>4002</v>
      </c>
      <c r="O1689" t="s">
        <v>129</v>
      </c>
      <c r="P1689" t="str">
        <f>TRIM(Table13_1[[#This Row],[Genre]])</f>
        <v>Horror</v>
      </c>
    </row>
    <row r="1690" spans="1:16" x14ac:dyDescent="0.3">
      <c r="A1690" t="s">
        <v>3540</v>
      </c>
      <c r="B1690" t="s">
        <v>3541</v>
      </c>
      <c r="C1690">
        <v>2001</v>
      </c>
      <c r="D1690">
        <v>2000</v>
      </c>
      <c r="E1690" t="s">
        <v>17</v>
      </c>
      <c r="F1690">
        <v>104</v>
      </c>
      <c r="G1690" t="s">
        <v>3997</v>
      </c>
      <c r="H1690" t="s">
        <v>3542</v>
      </c>
      <c r="I1690" t="s">
        <v>92</v>
      </c>
      <c r="J1690" t="s">
        <v>3543</v>
      </c>
      <c r="K1690">
        <v>152369</v>
      </c>
      <c r="L1690">
        <v>186.95</v>
      </c>
      <c r="M1690">
        <v>186.95</v>
      </c>
      <c r="N1690" t="s">
        <v>4002</v>
      </c>
      <c r="O1690" t="s">
        <v>3984</v>
      </c>
      <c r="P1690" t="str">
        <f>TRIM(Table13_1[[#This Row],[Genre]])</f>
        <v>Adventure</v>
      </c>
    </row>
    <row r="1691" spans="1:16" x14ac:dyDescent="0.3">
      <c r="A1691" t="s">
        <v>3544</v>
      </c>
      <c r="B1691" t="s">
        <v>3545</v>
      </c>
      <c r="C1691">
        <v>1981</v>
      </c>
      <c r="D1691">
        <v>1980</v>
      </c>
      <c r="E1691" t="s">
        <v>17</v>
      </c>
      <c r="F1691">
        <v>132</v>
      </c>
      <c r="G1691" t="s">
        <v>3999</v>
      </c>
      <c r="H1691" t="s">
        <v>3546</v>
      </c>
      <c r="I1691" t="s">
        <v>547</v>
      </c>
      <c r="J1691" t="s">
        <v>3547</v>
      </c>
      <c r="K1691">
        <v>29016</v>
      </c>
      <c r="L1691">
        <v>167.4</v>
      </c>
      <c r="M1691">
        <v>167.4</v>
      </c>
      <c r="N1691" t="s">
        <v>4002</v>
      </c>
      <c r="O1691" t="s">
        <v>767</v>
      </c>
      <c r="P1691" t="str">
        <f>TRIM(Table13_1[[#This Row],[Genre]])</f>
        <v>Fantasy</v>
      </c>
    </row>
    <row r="1692" spans="1:16" x14ac:dyDescent="0.3">
      <c r="A1692" t="s">
        <v>3544</v>
      </c>
      <c r="B1692" t="s">
        <v>3545</v>
      </c>
      <c r="C1692">
        <v>1981</v>
      </c>
      <c r="D1692">
        <v>1980</v>
      </c>
      <c r="E1692" t="s">
        <v>17</v>
      </c>
      <c r="F1692">
        <v>132</v>
      </c>
      <c r="G1692" t="s">
        <v>3999</v>
      </c>
      <c r="H1692" t="s">
        <v>3546</v>
      </c>
      <c r="I1692" t="s">
        <v>547</v>
      </c>
      <c r="J1692" t="s">
        <v>3547</v>
      </c>
      <c r="K1692">
        <v>29016</v>
      </c>
      <c r="L1692">
        <v>167.4</v>
      </c>
      <c r="M1692">
        <v>167.4</v>
      </c>
      <c r="N1692" t="s">
        <v>4002</v>
      </c>
      <c r="O1692" t="s">
        <v>3993</v>
      </c>
      <c r="P1692" t="str">
        <f>TRIM(Table13_1[[#This Row],[Genre]])</f>
        <v>Comedy</v>
      </c>
    </row>
    <row r="1693" spans="1:16" x14ac:dyDescent="0.3">
      <c r="A1693" t="s">
        <v>3548</v>
      </c>
      <c r="B1693" t="s">
        <v>3549</v>
      </c>
      <c r="C1693">
        <v>2024</v>
      </c>
      <c r="D1693">
        <v>2020</v>
      </c>
      <c r="E1693" t="s">
        <v>54</v>
      </c>
      <c r="F1693">
        <v>106</v>
      </c>
      <c r="G1693" t="s">
        <v>3997</v>
      </c>
      <c r="H1693" t="s">
        <v>852</v>
      </c>
      <c r="I1693" t="s">
        <v>315</v>
      </c>
      <c r="J1693" t="s">
        <v>3551</v>
      </c>
      <c r="K1693">
        <v>18450</v>
      </c>
      <c r="M1693">
        <v>0</v>
      </c>
      <c r="N1693" t="s">
        <v>4001</v>
      </c>
      <c r="O1693" t="s">
        <v>55</v>
      </c>
      <c r="P1693" t="str">
        <f>TRIM(Table13_1[[#This Row],[Genre]])</f>
        <v>Romance</v>
      </c>
    </row>
    <row r="1694" spans="1:16" x14ac:dyDescent="0.3">
      <c r="A1694" t="s">
        <v>3548</v>
      </c>
      <c r="B1694" t="s">
        <v>3549</v>
      </c>
      <c r="C1694">
        <v>2024</v>
      </c>
      <c r="D1694">
        <v>2020</v>
      </c>
      <c r="E1694" t="s">
        <v>54</v>
      </c>
      <c r="F1694">
        <v>106</v>
      </c>
      <c r="G1694" t="s">
        <v>3997</v>
      </c>
      <c r="H1694" t="s">
        <v>852</v>
      </c>
      <c r="I1694" t="s">
        <v>315</v>
      </c>
      <c r="J1694" t="s">
        <v>3551</v>
      </c>
      <c r="K1694">
        <v>18450</v>
      </c>
      <c r="M1694">
        <v>0</v>
      </c>
      <c r="N1694" t="s">
        <v>4001</v>
      </c>
      <c r="O1694" t="s">
        <v>3977</v>
      </c>
      <c r="P1694" t="str">
        <f>TRIM(Table13_1[[#This Row],[Genre]])</f>
        <v>Animation</v>
      </c>
    </row>
    <row r="1695" spans="1:16" x14ac:dyDescent="0.3">
      <c r="A1695" t="s">
        <v>3552</v>
      </c>
      <c r="B1695" t="s">
        <v>3553</v>
      </c>
      <c r="C1695">
        <v>2009</v>
      </c>
      <c r="D1695">
        <v>2000</v>
      </c>
      <c r="E1695" t="s">
        <v>24</v>
      </c>
      <c r="F1695">
        <v>107</v>
      </c>
      <c r="G1695" t="s">
        <v>3997</v>
      </c>
      <c r="H1695" t="s">
        <v>2391</v>
      </c>
      <c r="I1695" t="s">
        <v>718</v>
      </c>
      <c r="J1695" t="s">
        <v>3554</v>
      </c>
      <c r="K1695">
        <v>12543</v>
      </c>
      <c r="L1695">
        <v>146.87</v>
      </c>
      <c r="M1695">
        <v>146.87</v>
      </c>
      <c r="N1695" t="s">
        <v>4002</v>
      </c>
      <c r="O1695" t="s">
        <v>235</v>
      </c>
      <c r="P1695" t="str">
        <f>TRIM(Table13_1[[#This Row],[Genre]])</f>
        <v>Drama</v>
      </c>
    </row>
    <row r="1696" spans="1:16" x14ac:dyDescent="0.3">
      <c r="A1696" t="s">
        <v>3552</v>
      </c>
      <c r="B1696" t="s">
        <v>3553</v>
      </c>
      <c r="C1696">
        <v>2009</v>
      </c>
      <c r="D1696">
        <v>2000</v>
      </c>
      <c r="E1696" t="s">
        <v>24</v>
      </c>
      <c r="F1696">
        <v>107</v>
      </c>
      <c r="G1696" t="s">
        <v>3997</v>
      </c>
      <c r="H1696" t="s">
        <v>2391</v>
      </c>
      <c r="I1696" t="s">
        <v>718</v>
      </c>
      <c r="J1696" t="s">
        <v>3554</v>
      </c>
      <c r="K1696">
        <v>12543</v>
      </c>
      <c r="L1696">
        <v>146.87</v>
      </c>
      <c r="M1696">
        <v>146.87</v>
      </c>
      <c r="N1696" t="s">
        <v>4002</v>
      </c>
      <c r="O1696" t="s">
        <v>3976</v>
      </c>
      <c r="P1696" t="str">
        <f>TRIM(Table13_1[[#This Row],[Genre]])</f>
        <v>Musical</v>
      </c>
    </row>
    <row r="1697" spans="1:16" x14ac:dyDescent="0.3">
      <c r="A1697" t="s">
        <v>3555</v>
      </c>
      <c r="B1697" t="s">
        <v>3556</v>
      </c>
      <c r="C1697">
        <v>2017</v>
      </c>
      <c r="D1697">
        <v>2010</v>
      </c>
      <c r="E1697" t="s">
        <v>54</v>
      </c>
      <c r="F1697">
        <v>155</v>
      </c>
      <c r="G1697" t="s">
        <v>3999</v>
      </c>
      <c r="H1697" t="s">
        <v>124</v>
      </c>
      <c r="I1697" t="s">
        <v>251</v>
      </c>
      <c r="J1697" t="s">
        <v>3557</v>
      </c>
      <c r="K1697">
        <v>237692</v>
      </c>
      <c r="L1697">
        <v>290.58</v>
      </c>
      <c r="M1697">
        <v>290.58</v>
      </c>
      <c r="N1697" t="s">
        <v>3998</v>
      </c>
      <c r="O1697" t="s">
        <v>230</v>
      </c>
      <c r="P1697" t="str">
        <f>TRIM(Table13_1[[#This Row],[Genre]])</f>
        <v>Documentary</v>
      </c>
    </row>
    <row r="1698" spans="1:16" x14ac:dyDescent="0.3">
      <c r="A1698" t="s">
        <v>3555</v>
      </c>
      <c r="B1698" t="s">
        <v>3556</v>
      </c>
      <c r="C1698">
        <v>2017</v>
      </c>
      <c r="D1698">
        <v>2010</v>
      </c>
      <c r="E1698" t="s">
        <v>54</v>
      </c>
      <c r="F1698">
        <v>155</v>
      </c>
      <c r="G1698" t="s">
        <v>3999</v>
      </c>
      <c r="H1698" t="s">
        <v>124</v>
      </c>
      <c r="I1698" t="s">
        <v>251</v>
      </c>
      <c r="J1698" t="s">
        <v>3557</v>
      </c>
      <c r="K1698">
        <v>237692</v>
      </c>
      <c r="L1698">
        <v>290.58</v>
      </c>
      <c r="M1698">
        <v>290.58</v>
      </c>
      <c r="N1698" t="s">
        <v>3998</v>
      </c>
      <c r="O1698" t="s">
        <v>3985</v>
      </c>
      <c r="P1698" t="str">
        <f>TRIM(Table13_1[[#This Row],[Genre]])</f>
        <v>Horror</v>
      </c>
    </row>
    <row r="1699" spans="1:16" x14ac:dyDescent="0.3">
      <c r="A1699" t="s">
        <v>3558</v>
      </c>
      <c r="B1699" t="s">
        <v>3559</v>
      </c>
      <c r="C1699">
        <v>2013</v>
      </c>
      <c r="D1699">
        <v>2010</v>
      </c>
      <c r="E1699" t="s">
        <v>17</v>
      </c>
      <c r="F1699">
        <v>159</v>
      </c>
      <c r="G1699" t="s">
        <v>3999</v>
      </c>
      <c r="H1699" t="s">
        <v>728</v>
      </c>
      <c r="I1699" t="s">
        <v>593</v>
      </c>
      <c r="J1699" t="s">
        <v>3560</v>
      </c>
      <c r="K1699">
        <v>126127</v>
      </c>
      <c r="L1699">
        <v>226.56</v>
      </c>
      <c r="M1699">
        <v>226.56</v>
      </c>
      <c r="N1699" t="s">
        <v>3998</v>
      </c>
      <c r="O1699" t="s">
        <v>210</v>
      </c>
      <c r="P1699" t="str">
        <f>TRIM(Table13_1[[#This Row],[Genre]])</f>
        <v>Action</v>
      </c>
    </row>
    <row r="1700" spans="1:16" x14ac:dyDescent="0.3">
      <c r="A1700" t="s">
        <v>3558</v>
      </c>
      <c r="B1700" t="s">
        <v>3559</v>
      </c>
      <c r="C1700">
        <v>2013</v>
      </c>
      <c r="D1700">
        <v>2010</v>
      </c>
      <c r="E1700" t="s">
        <v>17</v>
      </c>
      <c r="F1700">
        <v>159</v>
      </c>
      <c r="G1700" t="s">
        <v>3999</v>
      </c>
      <c r="H1700" t="s">
        <v>728</v>
      </c>
      <c r="I1700" t="s">
        <v>593</v>
      </c>
      <c r="J1700" t="s">
        <v>3560</v>
      </c>
      <c r="K1700">
        <v>126127</v>
      </c>
      <c r="L1700">
        <v>226.56</v>
      </c>
      <c r="M1700">
        <v>226.56</v>
      </c>
      <c r="N1700" t="s">
        <v>3998</v>
      </c>
      <c r="O1700" t="s">
        <v>3985</v>
      </c>
      <c r="P1700" t="str">
        <f>TRIM(Table13_1[[#This Row],[Genre]])</f>
        <v>Horror</v>
      </c>
    </row>
    <row r="1701" spans="1:16" x14ac:dyDescent="0.3">
      <c r="A1701" t="s">
        <v>3561</v>
      </c>
      <c r="B1701" t="s">
        <v>3562</v>
      </c>
      <c r="C1701">
        <v>2023</v>
      </c>
      <c r="D1701">
        <v>2020</v>
      </c>
      <c r="E1701" t="s">
        <v>17</v>
      </c>
      <c r="F1701">
        <v>103</v>
      </c>
      <c r="G1701" t="s">
        <v>3997</v>
      </c>
      <c r="H1701" t="s">
        <v>3564</v>
      </c>
      <c r="I1701" t="s">
        <v>547</v>
      </c>
      <c r="J1701" t="s">
        <v>3565</v>
      </c>
      <c r="K1701">
        <v>42149</v>
      </c>
      <c r="L1701">
        <v>488.82</v>
      </c>
      <c r="M1701">
        <v>488.82</v>
      </c>
      <c r="N1701" t="s">
        <v>3998</v>
      </c>
      <c r="O1701" t="s">
        <v>606</v>
      </c>
      <c r="P1701" t="str">
        <f>TRIM(Table13_1[[#This Row],[Genre]])</f>
        <v>Sci-Fi</v>
      </c>
    </row>
    <row r="1702" spans="1:16" x14ac:dyDescent="0.3">
      <c r="A1702" t="s">
        <v>3561</v>
      </c>
      <c r="B1702" t="s">
        <v>3562</v>
      </c>
      <c r="C1702">
        <v>2023</v>
      </c>
      <c r="D1702">
        <v>2020</v>
      </c>
      <c r="E1702" t="s">
        <v>17</v>
      </c>
      <c r="F1702">
        <v>103</v>
      </c>
      <c r="G1702" t="s">
        <v>3997</v>
      </c>
      <c r="H1702" t="s">
        <v>3564</v>
      </c>
      <c r="I1702" t="s">
        <v>547</v>
      </c>
      <c r="J1702" t="s">
        <v>3565</v>
      </c>
      <c r="K1702">
        <v>42149</v>
      </c>
      <c r="L1702">
        <v>488.82</v>
      </c>
      <c r="M1702">
        <v>488.82</v>
      </c>
      <c r="N1702" t="s">
        <v>3998</v>
      </c>
      <c r="O1702" t="s">
        <v>3982</v>
      </c>
      <c r="P1702" t="str">
        <f>TRIM(Table13_1[[#This Row],[Genre]])</f>
        <v>Family</v>
      </c>
    </row>
    <row r="1703" spans="1:16" x14ac:dyDescent="0.3">
      <c r="A1703" t="s">
        <v>3566</v>
      </c>
      <c r="B1703" t="s">
        <v>3567</v>
      </c>
      <c r="C1703">
        <v>2014</v>
      </c>
      <c r="D1703">
        <v>2010</v>
      </c>
      <c r="E1703" t="s">
        <v>54</v>
      </c>
      <c r="F1703">
        <v>151</v>
      </c>
      <c r="G1703" t="s">
        <v>3999</v>
      </c>
      <c r="H1703" t="s">
        <v>130</v>
      </c>
      <c r="I1703" t="s">
        <v>57</v>
      </c>
      <c r="J1703" t="s">
        <v>3569</v>
      </c>
      <c r="K1703">
        <v>6657</v>
      </c>
      <c r="L1703">
        <v>455.8</v>
      </c>
      <c r="M1703">
        <v>455.8</v>
      </c>
      <c r="N1703" t="s">
        <v>3998</v>
      </c>
      <c r="O1703" t="s">
        <v>129</v>
      </c>
      <c r="P1703" t="str">
        <f>TRIM(Table13_1[[#This Row],[Genre]])</f>
        <v>Horror</v>
      </c>
    </row>
    <row r="1704" spans="1:16" x14ac:dyDescent="0.3">
      <c r="A1704" t="s">
        <v>3566</v>
      </c>
      <c r="B1704" t="s">
        <v>3567</v>
      </c>
      <c r="C1704">
        <v>2014</v>
      </c>
      <c r="D1704">
        <v>2010</v>
      </c>
      <c r="E1704" t="s">
        <v>54</v>
      </c>
      <c r="F1704">
        <v>151</v>
      </c>
      <c r="G1704" t="s">
        <v>3999</v>
      </c>
      <c r="H1704" t="s">
        <v>130</v>
      </c>
      <c r="I1704" t="s">
        <v>57</v>
      </c>
      <c r="J1704" t="s">
        <v>3569</v>
      </c>
      <c r="K1704">
        <v>6657</v>
      </c>
      <c r="L1704">
        <v>455.8</v>
      </c>
      <c r="M1704">
        <v>455.8</v>
      </c>
      <c r="N1704" t="s">
        <v>3998</v>
      </c>
      <c r="O1704" t="s">
        <v>3981</v>
      </c>
      <c r="P1704" t="str">
        <f>TRIM(Table13_1[[#This Row],[Genre]])</f>
        <v>Romance</v>
      </c>
    </row>
    <row r="1705" spans="1:16" x14ac:dyDescent="0.3">
      <c r="A1705" t="s">
        <v>3570</v>
      </c>
      <c r="B1705" t="s">
        <v>3571</v>
      </c>
      <c r="C1705">
        <v>2008</v>
      </c>
      <c r="D1705">
        <v>2000</v>
      </c>
      <c r="E1705" t="s">
        <v>54</v>
      </c>
      <c r="F1705">
        <v>126</v>
      </c>
      <c r="G1705" t="s">
        <v>3999</v>
      </c>
      <c r="H1705" t="s">
        <v>158</v>
      </c>
      <c r="I1705" t="s">
        <v>518</v>
      </c>
      <c r="J1705" t="s">
        <v>3572</v>
      </c>
      <c r="K1705">
        <v>355584</v>
      </c>
      <c r="M1705">
        <v>0</v>
      </c>
      <c r="N1705" t="s">
        <v>4001</v>
      </c>
      <c r="O1705" t="s">
        <v>157</v>
      </c>
      <c r="P1705" t="str">
        <f>TRIM(Table13_1[[#This Row],[Genre]])</f>
        <v>Animation</v>
      </c>
    </row>
    <row r="1706" spans="1:16" x14ac:dyDescent="0.3">
      <c r="A1706" t="s">
        <v>3570</v>
      </c>
      <c r="B1706" t="s">
        <v>3571</v>
      </c>
      <c r="C1706">
        <v>2008</v>
      </c>
      <c r="D1706">
        <v>2000</v>
      </c>
      <c r="E1706" t="s">
        <v>54</v>
      </c>
      <c r="F1706">
        <v>126</v>
      </c>
      <c r="G1706" t="s">
        <v>3999</v>
      </c>
      <c r="H1706" t="s">
        <v>158</v>
      </c>
      <c r="I1706" t="s">
        <v>518</v>
      </c>
      <c r="J1706" t="s">
        <v>3572</v>
      </c>
      <c r="K1706">
        <v>355584</v>
      </c>
      <c r="M1706">
        <v>0</v>
      </c>
      <c r="N1706" t="s">
        <v>4001</v>
      </c>
      <c r="O1706" t="s">
        <v>3979</v>
      </c>
      <c r="P1706" t="str">
        <f>TRIM(Table13_1[[#This Row],[Genre]])</f>
        <v>War</v>
      </c>
    </row>
    <row r="1707" spans="1:16" x14ac:dyDescent="0.3">
      <c r="A1707" t="s">
        <v>3573</v>
      </c>
      <c r="B1707" t="s">
        <v>3574</v>
      </c>
      <c r="C1707">
        <v>2016</v>
      </c>
      <c r="D1707">
        <v>2010</v>
      </c>
      <c r="E1707" t="s">
        <v>17</v>
      </c>
      <c r="F1707">
        <v>125</v>
      </c>
      <c r="G1707" t="s">
        <v>3999</v>
      </c>
      <c r="H1707" t="s">
        <v>634</v>
      </c>
      <c r="I1707" t="s">
        <v>86</v>
      </c>
      <c r="J1707" t="s">
        <v>3576</v>
      </c>
      <c r="K1707">
        <v>11830</v>
      </c>
      <c r="M1707">
        <v>0</v>
      </c>
      <c r="N1707" t="s">
        <v>4001</v>
      </c>
      <c r="O1707" t="s">
        <v>129</v>
      </c>
      <c r="P1707" t="str">
        <f>TRIM(Table13_1[[#This Row],[Genre]])</f>
        <v>Horror</v>
      </c>
    </row>
    <row r="1708" spans="1:16" x14ac:dyDescent="0.3">
      <c r="A1708" t="s">
        <v>3573</v>
      </c>
      <c r="B1708" t="s">
        <v>3574</v>
      </c>
      <c r="C1708">
        <v>2016</v>
      </c>
      <c r="D1708">
        <v>2010</v>
      </c>
      <c r="E1708" t="s">
        <v>17</v>
      </c>
      <c r="F1708">
        <v>125</v>
      </c>
      <c r="G1708" t="s">
        <v>3999</v>
      </c>
      <c r="H1708" t="s">
        <v>634</v>
      </c>
      <c r="I1708" t="s">
        <v>86</v>
      </c>
      <c r="J1708" t="s">
        <v>3576</v>
      </c>
      <c r="K1708">
        <v>11830</v>
      </c>
      <c r="M1708">
        <v>0</v>
      </c>
      <c r="N1708" t="s">
        <v>4001</v>
      </c>
      <c r="O1708" t="s">
        <v>3990</v>
      </c>
      <c r="P1708" t="str">
        <f>TRIM(Table13_1[[#This Row],[Genre]])</f>
        <v>Western</v>
      </c>
    </row>
    <row r="1709" spans="1:16" x14ac:dyDescent="0.3">
      <c r="A1709" t="s">
        <v>3573</v>
      </c>
      <c r="B1709" t="s">
        <v>3574</v>
      </c>
      <c r="C1709">
        <v>2016</v>
      </c>
      <c r="D1709">
        <v>2010</v>
      </c>
      <c r="E1709" t="s">
        <v>17</v>
      </c>
      <c r="F1709">
        <v>125</v>
      </c>
      <c r="G1709" t="s">
        <v>3999</v>
      </c>
      <c r="H1709" t="s">
        <v>634</v>
      </c>
      <c r="I1709" t="s">
        <v>86</v>
      </c>
      <c r="J1709" t="s">
        <v>3576</v>
      </c>
      <c r="K1709">
        <v>11830</v>
      </c>
      <c r="M1709">
        <v>0</v>
      </c>
      <c r="N1709" t="s">
        <v>4001</v>
      </c>
      <c r="O1709" t="s">
        <v>3993</v>
      </c>
      <c r="P1709" t="str">
        <f>TRIM(Table13_1[[#This Row],[Genre]])</f>
        <v>Comedy</v>
      </c>
    </row>
    <row r="1710" spans="1:16" x14ac:dyDescent="0.3">
      <c r="A1710" t="s">
        <v>3577</v>
      </c>
      <c r="B1710" t="s">
        <v>3578</v>
      </c>
      <c r="C1710">
        <v>2018</v>
      </c>
      <c r="D1710">
        <v>2010</v>
      </c>
      <c r="E1710" t="s">
        <v>17</v>
      </c>
      <c r="F1710">
        <v>126</v>
      </c>
      <c r="G1710" t="s">
        <v>3999</v>
      </c>
      <c r="H1710" t="s">
        <v>1382</v>
      </c>
      <c r="I1710" t="s">
        <v>131</v>
      </c>
      <c r="J1710" t="s">
        <v>3580</v>
      </c>
      <c r="K1710">
        <v>239435</v>
      </c>
      <c r="L1710">
        <v>267.36</v>
      </c>
      <c r="M1710">
        <v>267.36</v>
      </c>
      <c r="N1710" t="s">
        <v>3998</v>
      </c>
      <c r="O1710" t="s">
        <v>210</v>
      </c>
      <c r="P1710" t="str">
        <f>TRIM(Table13_1[[#This Row],[Genre]])</f>
        <v>Action</v>
      </c>
    </row>
    <row r="1711" spans="1:16" x14ac:dyDescent="0.3">
      <c r="A1711" t="s">
        <v>3577</v>
      </c>
      <c r="B1711" t="s">
        <v>3578</v>
      </c>
      <c r="C1711">
        <v>2018</v>
      </c>
      <c r="D1711">
        <v>2010</v>
      </c>
      <c r="E1711" t="s">
        <v>17</v>
      </c>
      <c r="F1711">
        <v>126</v>
      </c>
      <c r="G1711" t="s">
        <v>3999</v>
      </c>
      <c r="H1711" t="s">
        <v>1382</v>
      </c>
      <c r="I1711" t="s">
        <v>131</v>
      </c>
      <c r="J1711" t="s">
        <v>3580</v>
      </c>
      <c r="K1711">
        <v>239435</v>
      </c>
      <c r="L1711">
        <v>267.36</v>
      </c>
      <c r="M1711">
        <v>267.36</v>
      </c>
      <c r="N1711" t="s">
        <v>3998</v>
      </c>
      <c r="O1711" t="s">
        <v>3986</v>
      </c>
      <c r="P1711" t="str">
        <f>TRIM(Table13_1[[#This Row],[Genre]])</f>
        <v>Documentary</v>
      </c>
    </row>
    <row r="1712" spans="1:16" x14ac:dyDescent="0.3">
      <c r="A1712" t="s">
        <v>3577</v>
      </c>
      <c r="B1712" t="s">
        <v>3578</v>
      </c>
      <c r="C1712">
        <v>2018</v>
      </c>
      <c r="D1712">
        <v>2010</v>
      </c>
      <c r="E1712" t="s">
        <v>17</v>
      </c>
      <c r="F1712">
        <v>126</v>
      </c>
      <c r="G1712" t="s">
        <v>3999</v>
      </c>
      <c r="H1712" t="s">
        <v>1382</v>
      </c>
      <c r="I1712" t="s">
        <v>131</v>
      </c>
      <c r="J1712" t="s">
        <v>3580</v>
      </c>
      <c r="K1712">
        <v>239435</v>
      </c>
      <c r="L1712">
        <v>267.36</v>
      </c>
      <c r="M1712">
        <v>267.36</v>
      </c>
      <c r="N1712" t="s">
        <v>3998</v>
      </c>
      <c r="O1712" t="s">
        <v>3991</v>
      </c>
      <c r="P1712" t="str">
        <f>TRIM(Table13_1[[#This Row],[Genre]])</f>
        <v>Thriller</v>
      </c>
    </row>
    <row r="1713" spans="1:16" x14ac:dyDescent="0.3">
      <c r="A1713" t="s">
        <v>3581</v>
      </c>
      <c r="B1713" t="s">
        <v>3582</v>
      </c>
      <c r="C1713">
        <v>1988</v>
      </c>
      <c r="D1713">
        <v>1980</v>
      </c>
      <c r="E1713" t="s">
        <v>54</v>
      </c>
      <c r="F1713">
        <v>99</v>
      </c>
      <c r="G1713" t="s">
        <v>3997</v>
      </c>
      <c r="H1713" t="s">
        <v>431</v>
      </c>
      <c r="I1713" t="s">
        <v>74</v>
      </c>
      <c r="J1713" t="s">
        <v>3583</v>
      </c>
      <c r="K1713">
        <v>204094</v>
      </c>
      <c r="L1713">
        <v>148.25</v>
      </c>
      <c r="M1713">
        <v>148.25</v>
      </c>
      <c r="N1713" t="s">
        <v>4002</v>
      </c>
      <c r="O1713" t="s">
        <v>210</v>
      </c>
      <c r="P1713" t="str">
        <f>TRIM(Table13_1[[#This Row],[Genre]])</f>
        <v>Action</v>
      </c>
    </row>
    <row r="1714" spans="1:16" x14ac:dyDescent="0.3">
      <c r="A1714" t="s">
        <v>3581</v>
      </c>
      <c r="B1714" t="s">
        <v>3582</v>
      </c>
      <c r="C1714">
        <v>1988</v>
      </c>
      <c r="D1714">
        <v>1980</v>
      </c>
      <c r="E1714" t="s">
        <v>54</v>
      </c>
      <c r="F1714">
        <v>99</v>
      </c>
      <c r="G1714" t="s">
        <v>3997</v>
      </c>
      <c r="H1714" t="s">
        <v>431</v>
      </c>
      <c r="I1714" t="s">
        <v>74</v>
      </c>
      <c r="J1714" t="s">
        <v>3583</v>
      </c>
      <c r="K1714">
        <v>204094</v>
      </c>
      <c r="L1714">
        <v>148.25</v>
      </c>
      <c r="M1714">
        <v>148.25</v>
      </c>
      <c r="N1714" t="s">
        <v>4002</v>
      </c>
      <c r="O1714" t="s">
        <v>3984</v>
      </c>
      <c r="P1714" t="str">
        <f>TRIM(Table13_1[[#This Row],[Genre]])</f>
        <v>Adventure</v>
      </c>
    </row>
    <row r="1715" spans="1:16" x14ac:dyDescent="0.3">
      <c r="A1715" t="s">
        <v>3584</v>
      </c>
      <c r="B1715" t="s">
        <v>3585</v>
      </c>
      <c r="C1715">
        <v>2008</v>
      </c>
      <c r="D1715">
        <v>2000</v>
      </c>
      <c r="E1715" t="s">
        <v>54</v>
      </c>
      <c r="F1715">
        <v>119</v>
      </c>
      <c r="G1715" t="s">
        <v>3997</v>
      </c>
      <c r="H1715" t="s">
        <v>269</v>
      </c>
      <c r="I1715" t="s">
        <v>159</v>
      </c>
      <c r="J1715" t="s">
        <v>3586</v>
      </c>
      <c r="K1715">
        <v>103305</v>
      </c>
      <c r="L1715">
        <v>238.6</v>
      </c>
      <c r="M1715">
        <v>238.6</v>
      </c>
      <c r="N1715" t="s">
        <v>3998</v>
      </c>
      <c r="O1715" t="s">
        <v>453</v>
      </c>
      <c r="P1715" t="str">
        <f>TRIM(Table13_1[[#This Row],[Genre]])</f>
        <v>Musical</v>
      </c>
    </row>
    <row r="1716" spans="1:16" x14ac:dyDescent="0.3">
      <c r="A1716" t="s">
        <v>3584</v>
      </c>
      <c r="B1716" t="s">
        <v>3585</v>
      </c>
      <c r="C1716">
        <v>2008</v>
      </c>
      <c r="D1716">
        <v>2000</v>
      </c>
      <c r="E1716" t="s">
        <v>54</v>
      </c>
      <c r="F1716">
        <v>119</v>
      </c>
      <c r="G1716" t="s">
        <v>3997</v>
      </c>
      <c r="H1716" t="s">
        <v>269</v>
      </c>
      <c r="I1716" t="s">
        <v>159</v>
      </c>
      <c r="J1716" t="s">
        <v>3586</v>
      </c>
      <c r="K1716">
        <v>103305</v>
      </c>
      <c r="L1716">
        <v>238.6</v>
      </c>
      <c r="M1716">
        <v>238.6</v>
      </c>
      <c r="N1716" t="s">
        <v>3998</v>
      </c>
      <c r="O1716" t="s">
        <v>3981</v>
      </c>
      <c r="P1716" t="str">
        <f>TRIM(Table13_1[[#This Row],[Genre]])</f>
        <v>Romance</v>
      </c>
    </row>
    <row r="1717" spans="1:16" x14ac:dyDescent="0.3">
      <c r="A1717" t="s">
        <v>3587</v>
      </c>
      <c r="B1717" t="s">
        <v>3588</v>
      </c>
      <c r="C1717">
        <v>2001</v>
      </c>
      <c r="D1717">
        <v>2000</v>
      </c>
      <c r="E1717" t="s">
        <v>17</v>
      </c>
      <c r="F1717">
        <v>127</v>
      </c>
      <c r="G1717" t="s">
        <v>3999</v>
      </c>
      <c r="H1717" t="s">
        <v>3589</v>
      </c>
      <c r="I1717" t="s">
        <v>27</v>
      </c>
      <c r="J1717" t="s">
        <v>3590</v>
      </c>
      <c r="K1717">
        <v>116646</v>
      </c>
      <c r="L1717">
        <v>473.79</v>
      </c>
      <c r="M1717">
        <v>473.79</v>
      </c>
      <c r="N1717" t="s">
        <v>3998</v>
      </c>
      <c r="O1717" t="s">
        <v>37</v>
      </c>
      <c r="P1717" t="str">
        <f>TRIM(Table13_1[[#This Row],[Genre]])</f>
        <v>Biography</v>
      </c>
    </row>
    <row r="1718" spans="1:16" x14ac:dyDescent="0.3">
      <c r="A1718" t="s">
        <v>3587</v>
      </c>
      <c r="B1718" t="s">
        <v>3588</v>
      </c>
      <c r="C1718">
        <v>2001</v>
      </c>
      <c r="D1718">
        <v>2000</v>
      </c>
      <c r="E1718" t="s">
        <v>17</v>
      </c>
      <c r="F1718">
        <v>127</v>
      </c>
      <c r="G1718" t="s">
        <v>3999</v>
      </c>
      <c r="H1718" t="s">
        <v>3589</v>
      </c>
      <c r="I1718" t="s">
        <v>27</v>
      </c>
      <c r="J1718" t="s">
        <v>3590</v>
      </c>
      <c r="K1718">
        <v>116646</v>
      </c>
      <c r="L1718">
        <v>473.79</v>
      </c>
      <c r="M1718">
        <v>473.79</v>
      </c>
      <c r="N1718" t="s">
        <v>3998</v>
      </c>
      <c r="O1718" t="s">
        <v>3977</v>
      </c>
      <c r="P1718" t="str">
        <f>TRIM(Table13_1[[#This Row],[Genre]])</f>
        <v>Animation</v>
      </c>
    </row>
    <row r="1719" spans="1:16" x14ac:dyDescent="0.3">
      <c r="A1719" t="s">
        <v>3591</v>
      </c>
      <c r="B1719" t="s">
        <v>3592</v>
      </c>
      <c r="C1719">
        <v>2017</v>
      </c>
      <c r="D1719">
        <v>2010</v>
      </c>
      <c r="E1719" t="s">
        <v>24</v>
      </c>
      <c r="F1719">
        <v>154</v>
      </c>
      <c r="G1719" t="s">
        <v>3999</v>
      </c>
      <c r="H1719" t="s">
        <v>3594</v>
      </c>
      <c r="I1719" t="s">
        <v>137</v>
      </c>
      <c r="J1719" t="s">
        <v>3595</v>
      </c>
      <c r="K1719">
        <v>21176</v>
      </c>
      <c r="L1719">
        <v>439.59</v>
      </c>
      <c r="M1719">
        <v>439.59</v>
      </c>
      <c r="N1719" t="s">
        <v>3998</v>
      </c>
      <c r="O1719" t="s">
        <v>375</v>
      </c>
      <c r="P1719" t="str">
        <f>TRIM(Table13_1[[#This Row],[Genre]])</f>
        <v>Family</v>
      </c>
    </row>
    <row r="1720" spans="1:16" x14ac:dyDescent="0.3">
      <c r="A1720" t="s">
        <v>3591</v>
      </c>
      <c r="B1720" t="s">
        <v>3592</v>
      </c>
      <c r="C1720">
        <v>2017</v>
      </c>
      <c r="D1720">
        <v>2010</v>
      </c>
      <c r="E1720" t="s">
        <v>24</v>
      </c>
      <c r="F1720">
        <v>154</v>
      </c>
      <c r="G1720" t="s">
        <v>3999</v>
      </c>
      <c r="H1720" t="s">
        <v>3594</v>
      </c>
      <c r="I1720" t="s">
        <v>137</v>
      </c>
      <c r="J1720" t="s">
        <v>3595</v>
      </c>
      <c r="K1720">
        <v>21176</v>
      </c>
      <c r="L1720">
        <v>439.59</v>
      </c>
      <c r="M1720">
        <v>439.59</v>
      </c>
      <c r="N1720" t="s">
        <v>3998</v>
      </c>
      <c r="O1720" t="s">
        <v>3988</v>
      </c>
      <c r="P1720" t="str">
        <f>TRIM(Table13_1[[#This Row],[Genre]])</f>
        <v>Drama</v>
      </c>
    </row>
    <row r="1721" spans="1:16" x14ac:dyDescent="0.3">
      <c r="A1721" t="s">
        <v>3596</v>
      </c>
      <c r="B1721" t="s">
        <v>3597</v>
      </c>
      <c r="C1721">
        <v>2014</v>
      </c>
      <c r="D1721">
        <v>2010</v>
      </c>
      <c r="E1721" t="s">
        <v>54</v>
      </c>
      <c r="F1721">
        <v>144</v>
      </c>
      <c r="G1721" t="s">
        <v>3999</v>
      </c>
      <c r="H1721" t="s">
        <v>1363</v>
      </c>
      <c r="I1721" t="s">
        <v>368</v>
      </c>
      <c r="J1721" t="s">
        <v>3598</v>
      </c>
      <c r="K1721">
        <v>735906</v>
      </c>
      <c r="L1721">
        <v>127.12</v>
      </c>
      <c r="M1721">
        <v>127.12</v>
      </c>
      <c r="N1721" t="s">
        <v>4002</v>
      </c>
      <c r="O1721" t="s">
        <v>43</v>
      </c>
      <c r="P1721" t="str">
        <f>TRIM(Table13_1[[#This Row],[Genre]])</f>
        <v>Mystery</v>
      </c>
    </row>
    <row r="1722" spans="1:16" x14ac:dyDescent="0.3">
      <c r="A1722" t="s">
        <v>3596</v>
      </c>
      <c r="B1722" t="s">
        <v>3597</v>
      </c>
      <c r="C1722">
        <v>2014</v>
      </c>
      <c r="D1722">
        <v>2010</v>
      </c>
      <c r="E1722" t="s">
        <v>54</v>
      </c>
      <c r="F1722">
        <v>144</v>
      </c>
      <c r="G1722" t="s">
        <v>3999</v>
      </c>
      <c r="H1722" t="s">
        <v>1363</v>
      </c>
      <c r="I1722" t="s">
        <v>368</v>
      </c>
      <c r="J1722" t="s">
        <v>3598</v>
      </c>
      <c r="K1722">
        <v>735906</v>
      </c>
      <c r="L1722">
        <v>127.12</v>
      </c>
      <c r="M1722">
        <v>127.12</v>
      </c>
      <c r="N1722" t="s">
        <v>4002</v>
      </c>
      <c r="O1722" t="s">
        <v>3977</v>
      </c>
      <c r="P1722" t="str">
        <f>TRIM(Table13_1[[#This Row],[Genre]])</f>
        <v>Animation</v>
      </c>
    </row>
    <row r="1723" spans="1:16" x14ac:dyDescent="0.3">
      <c r="A1723" t="s">
        <v>3599</v>
      </c>
      <c r="B1723" t="s">
        <v>3600</v>
      </c>
      <c r="C1723">
        <v>2004</v>
      </c>
      <c r="D1723">
        <v>2000</v>
      </c>
      <c r="E1723" t="s">
        <v>24</v>
      </c>
      <c r="F1723">
        <v>127</v>
      </c>
      <c r="G1723" t="s">
        <v>3999</v>
      </c>
      <c r="H1723" t="s">
        <v>3602</v>
      </c>
      <c r="I1723" t="s">
        <v>315</v>
      </c>
      <c r="J1723" t="s">
        <v>3603</v>
      </c>
      <c r="K1723">
        <v>522116</v>
      </c>
      <c r="M1723">
        <v>0</v>
      </c>
      <c r="N1723" t="s">
        <v>4001</v>
      </c>
      <c r="O1723" t="s">
        <v>230</v>
      </c>
      <c r="P1723" t="str">
        <f>TRIM(Table13_1[[#This Row],[Genre]])</f>
        <v>Documentary</v>
      </c>
    </row>
    <row r="1724" spans="1:16" x14ac:dyDescent="0.3">
      <c r="A1724" t="s">
        <v>3599</v>
      </c>
      <c r="B1724" t="s">
        <v>3600</v>
      </c>
      <c r="C1724">
        <v>2004</v>
      </c>
      <c r="D1724">
        <v>2000</v>
      </c>
      <c r="E1724" t="s">
        <v>24</v>
      </c>
      <c r="F1724">
        <v>127</v>
      </c>
      <c r="G1724" t="s">
        <v>3999</v>
      </c>
      <c r="H1724" t="s">
        <v>3602</v>
      </c>
      <c r="I1724" t="s">
        <v>315</v>
      </c>
      <c r="J1724" t="s">
        <v>3603</v>
      </c>
      <c r="K1724">
        <v>522116</v>
      </c>
      <c r="M1724">
        <v>0</v>
      </c>
      <c r="N1724" t="s">
        <v>4001</v>
      </c>
      <c r="O1724" t="s">
        <v>3978</v>
      </c>
      <c r="P1724" t="str">
        <f>TRIM(Table13_1[[#This Row],[Genre]])</f>
        <v>Mystery</v>
      </c>
    </row>
    <row r="1725" spans="1:16" x14ac:dyDescent="0.3">
      <c r="A1725" t="s">
        <v>3599</v>
      </c>
      <c r="B1725" t="s">
        <v>3600</v>
      </c>
      <c r="C1725">
        <v>2004</v>
      </c>
      <c r="D1725">
        <v>2000</v>
      </c>
      <c r="E1725" t="s">
        <v>24</v>
      </c>
      <c r="F1725">
        <v>127</v>
      </c>
      <c r="G1725" t="s">
        <v>3999</v>
      </c>
      <c r="H1725" t="s">
        <v>3602</v>
      </c>
      <c r="I1725" t="s">
        <v>315</v>
      </c>
      <c r="J1725" t="s">
        <v>3603</v>
      </c>
      <c r="K1725">
        <v>522116</v>
      </c>
      <c r="M1725">
        <v>0</v>
      </c>
      <c r="N1725" t="s">
        <v>4001</v>
      </c>
      <c r="O1725" t="s">
        <v>3984</v>
      </c>
      <c r="P1725" t="str">
        <f>TRIM(Table13_1[[#This Row],[Genre]])</f>
        <v>Adventure</v>
      </c>
    </row>
    <row r="1726" spans="1:16" x14ac:dyDescent="0.3">
      <c r="A1726" t="s">
        <v>3604</v>
      </c>
      <c r="B1726" t="s">
        <v>3605</v>
      </c>
      <c r="C1726">
        <v>1993</v>
      </c>
      <c r="D1726">
        <v>1990</v>
      </c>
      <c r="E1726" t="s">
        <v>54</v>
      </c>
      <c r="F1726">
        <v>84</v>
      </c>
      <c r="G1726" t="s">
        <v>4000</v>
      </c>
      <c r="H1726" t="s">
        <v>673</v>
      </c>
      <c r="I1726" t="s">
        <v>125</v>
      </c>
      <c r="J1726" t="s">
        <v>3607</v>
      </c>
      <c r="K1726">
        <v>2810</v>
      </c>
      <c r="M1726">
        <v>0</v>
      </c>
      <c r="N1726" t="s">
        <v>4001</v>
      </c>
      <c r="O1726" t="s">
        <v>235</v>
      </c>
      <c r="P1726" t="str">
        <f>TRIM(Table13_1[[#This Row],[Genre]])</f>
        <v>Drama</v>
      </c>
    </row>
    <row r="1727" spans="1:16" x14ac:dyDescent="0.3">
      <c r="A1727" t="s">
        <v>3604</v>
      </c>
      <c r="B1727" t="s">
        <v>3605</v>
      </c>
      <c r="C1727">
        <v>1993</v>
      </c>
      <c r="D1727">
        <v>1990</v>
      </c>
      <c r="E1727" t="s">
        <v>54</v>
      </c>
      <c r="F1727">
        <v>84</v>
      </c>
      <c r="G1727" t="s">
        <v>4000</v>
      </c>
      <c r="H1727" t="s">
        <v>673</v>
      </c>
      <c r="I1727" t="s">
        <v>125</v>
      </c>
      <c r="J1727" t="s">
        <v>3607</v>
      </c>
      <c r="K1727">
        <v>2810</v>
      </c>
      <c r="M1727">
        <v>0</v>
      </c>
      <c r="N1727" t="s">
        <v>4001</v>
      </c>
      <c r="O1727" t="s">
        <v>3977</v>
      </c>
      <c r="P1727" t="str">
        <f>TRIM(Table13_1[[#This Row],[Genre]])</f>
        <v>Animation</v>
      </c>
    </row>
    <row r="1728" spans="1:16" x14ac:dyDescent="0.3">
      <c r="A1728" t="s">
        <v>3608</v>
      </c>
      <c r="B1728" t="s">
        <v>3609</v>
      </c>
      <c r="C1728">
        <v>2000</v>
      </c>
      <c r="D1728">
        <v>2000</v>
      </c>
      <c r="E1728" t="s">
        <v>285</v>
      </c>
      <c r="F1728">
        <v>142</v>
      </c>
      <c r="G1728" t="s">
        <v>3999</v>
      </c>
      <c r="H1728" t="s">
        <v>3610</v>
      </c>
      <c r="I1728" t="s">
        <v>368</v>
      </c>
      <c r="J1728" t="s">
        <v>3611</v>
      </c>
      <c r="K1728">
        <v>703631</v>
      </c>
      <c r="L1728">
        <v>141.05000000000001</v>
      </c>
      <c r="M1728">
        <v>141.05000000000001</v>
      </c>
      <c r="N1728" t="s">
        <v>4002</v>
      </c>
      <c r="O1728" t="s">
        <v>868</v>
      </c>
      <c r="P1728" t="str">
        <f>TRIM(Table13_1[[#This Row],[Genre]])</f>
        <v>Western</v>
      </c>
    </row>
    <row r="1729" spans="1:16" x14ac:dyDescent="0.3">
      <c r="A1729" t="s">
        <v>3612</v>
      </c>
      <c r="B1729" t="s">
        <v>3613</v>
      </c>
      <c r="C1729">
        <v>2005</v>
      </c>
      <c r="D1729">
        <v>2000</v>
      </c>
      <c r="E1729" t="s">
        <v>24</v>
      </c>
      <c r="F1729">
        <v>148</v>
      </c>
      <c r="G1729" t="s">
        <v>3999</v>
      </c>
      <c r="H1729" t="s">
        <v>158</v>
      </c>
      <c r="I1729" t="s">
        <v>20</v>
      </c>
      <c r="J1729" t="s">
        <v>3614</v>
      </c>
      <c r="K1729">
        <v>202765</v>
      </c>
      <c r="M1729">
        <v>0</v>
      </c>
      <c r="N1729" t="s">
        <v>4001</v>
      </c>
      <c r="O1729" t="s">
        <v>157</v>
      </c>
      <c r="P1729" t="str">
        <f>TRIM(Table13_1[[#This Row],[Genre]])</f>
        <v>Animation</v>
      </c>
    </row>
    <row r="1730" spans="1:16" x14ac:dyDescent="0.3">
      <c r="A1730" t="s">
        <v>3615</v>
      </c>
      <c r="B1730" t="s">
        <v>3616</v>
      </c>
      <c r="C1730">
        <v>2007</v>
      </c>
      <c r="D1730">
        <v>2000</v>
      </c>
      <c r="E1730" t="s">
        <v>54</v>
      </c>
      <c r="F1730">
        <v>152</v>
      </c>
      <c r="G1730" t="s">
        <v>3999</v>
      </c>
      <c r="H1730" t="s">
        <v>3617</v>
      </c>
      <c r="I1730" t="s">
        <v>191</v>
      </c>
      <c r="J1730" t="s">
        <v>3618</v>
      </c>
      <c r="K1730">
        <v>24619</v>
      </c>
      <c r="L1730">
        <v>415.12</v>
      </c>
      <c r="M1730">
        <v>415.12</v>
      </c>
      <c r="N1730" t="s">
        <v>3998</v>
      </c>
      <c r="O1730" t="s">
        <v>375</v>
      </c>
      <c r="P1730" t="str">
        <f>TRIM(Table13_1[[#This Row],[Genre]])</f>
        <v>Family</v>
      </c>
    </row>
    <row r="1731" spans="1:16" x14ac:dyDescent="0.3">
      <c r="A1731" t="s">
        <v>3619</v>
      </c>
      <c r="B1731" t="s">
        <v>3620</v>
      </c>
      <c r="C1731">
        <v>2010</v>
      </c>
      <c r="D1731">
        <v>2010</v>
      </c>
      <c r="E1731" t="s">
        <v>169</v>
      </c>
      <c r="F1731">
        <v>104</v>
      </c>
      <c r="G1731" t="s">
        <v>3997</v>
      </c>
      <c r="H1731" t="s">
        <v>3621</v>
      </c>
      <c r="I1731" t="s">
        <v>131</v>
      </c>
      <c r="J1731" t="s">
        <v>3622</v>
      </c>
      <c r="K1731">
        <v>4154</v>
      </c>
      <c r="L1731">
        <v>399.25</v>
      </c>
      <c r="M1731">
        <v>399.25</v>
      </c>
      <c r="N1731" t="s">
        <v>3998</v>
      </c>
      <c r="O1731" t="s">
        <v>157</v>
      </c>
      <c r="P1731" t="str">
        <f>TRIM(Table13_1[[#This Row],[Genre]])</f>
        <v>Animation</v>
      </c>
    </row>
    <row r="1732" spans="1:16" x14ac:dyDescent="0.3">
      <c r="A1732" t="s">
        <v>3619</v>
      </c>
      <c r="B1732" t="s">
        <v>3620</v>
      </c>
      <c r="C1732">
        <v>2010</v>
      </c>
      <c r="D1732">
        <v>2010</v>
      </c>
      <c r="E1732" t="s">
        <v>169</v>
      </c>
      <c r="F1732">
        <v>104</v>
      </c>
      <c r="G1732" t="s">
        <v>3997</v>
      </c>
      <c r="H1732" t="s">
        <v>3621</v>
      </c>
      <c r="I1732" t="s">
        <v>131</v>
      </c>
      <c r="J1732" t="s">
        <v>3622</v>
      </c>
      <c r="K1732">
        <v>4154</v>
      </c>
      <c r="L1732">
        <v>399.25</v>
      </c>
      <c r="M1732">
        <v>399.25</v>
      </c>
      <c r="N1732" t="s">
        <v>3998</v>
      </c>
      <c r="O1732" t="s">
        <v>3987</v>
      </c>
      <c r="P1732" t="str">
        <f>TRIM(Table13_1[[#This Row],[Genre]])</f>
        <v>Fantasy</v>
      </c>
    </row>
    <row r="1733" spans="1:16" x14ac:dyDescent="0.3">
      <c r="A1733" t="s">
        <v>3623</v>
      </c>
      <c r="B1733" t="s">
        <v>3624</v>
      </c>
      <c r="C1733">
        <v>1999</v>
      </c>
      <c r="D1733">
        <v>1990</v>
      </c>
      <c r="E1733" t="s">
        <v>17</v>
      </c>
      <c r="F1733">
        <v>102</v>
      </c>
      <c r="G1733" t="s">
        <v>3997</v>
      </c>
      <c r="H1733" t="s">
        <v>3625</v>
      </c>
      <c r="I1733" t="s">
        <v>113</v>
      </c>
      <c r="J1733" t="s">
        <v>3626</v>
      </c>
      <c r="K1733">
        <v>240209</v>
      </c>
      <c r="M1733">
        <v>0</v>
      </c>
      <c r="N1733" t="s">
        <v>4001</v>
      </c>
      <c r="O1733" t="s">
        <v>767</v>
      </c>
      <c r="P1733" t="str">
        <f>TRIM(Table13_1[[#This Row],[Genre]])</f>
        <v>Fantasy</v>
      </c>
    </row>
    <row r="1734" spans="1:16" x14ac:dyDescent="0.3">
      <c r="A1734" t="s">
        <v>3627</v>
      </c>
      <c r="B1734" t="s">
        <v>3628</v>
      </c>
      <c r="C1734">
        <v>2011</v>
      </c>
      <c r="D1734">
        <v>2010</v>
      </c>
      <c r="E1734" t="s">
        <v>17</v>
      </c>
      <c r="F1734">
        <v>154</v>
      </c>
      <c r="G1734" t="s">
        <v>3999</v>
      </c>
      <c r="H1734" t="s">
        <v>3629</v>
      </c>
      <c r="I1734" t="s">
        <v>74</v>
      </c>
      <c r="J1734" t="s">
        <v>3630</v>
      </c>
      <c r="K1734">
        <v>5322</v>
      </c>
      <c r="L1734">
        <v>341.45</v>
      </c>
      <c r="M1734">
        <v>341.45</v>
      </c>
      <c r="N1734" t="s">
        <v>3998</v>
      </c>
      <c r="O1734" t="s">
        <v>606</v>
      </c>
      <c r="P1734" t="str">
        <f>TRIM(Table13_1[[#This Row],[Genre]])</f>
        <v>Sci-Fi</v>
      </c>
    </row>
    <row r="1735" spans="1:16" x14ac:dyDescent="0.3">
      <c r="A1735" t="s">
        <v>3627</v>
      </c>
      <c r="B1735" t="s">
        <v>3628</v>
      </c>
      <c r="C1735">
        <v>2011</v>
      </c>
      <c r="D1735">
        <v>2010</v>
      </c>
      <c r="E1735" t="s">
        <v>17</v>
      </c>
      <c r="F1735">
        <v>154</v>
      </c>
      <c r="G1735" t="s">
        <v>3999</v>
      </c>
      <c r="H1735" t="s">
        <v>3629</v>
      </c>
      <c r="I1735" t="s">
        <v>74</v>
      </c>
      <c r="J1735" t="s">
        <v>3630</v>
      </c>
      <c r="K1735">
        <v>5322</v>
      </c>
      <c r="L1735">
        <v>341.45</v>
      </c>
      <c r="M1735">
        <v>341.45</v>
      </c>
      <c r="N1735" t="s">
        <v>3998</v>
      </c>
      <c r="O1735" t="s">
        <v>3985</v>
      </c>
      <c r="P1735" t="str">
        <f>TRIM(Table13_1[[#This Row],[Genre]])</f>
        <v>Horror</v>
      </c>
    </row>
    <row r="1736" spans="1:16" x14ac:dyDescent="0.3">
      <c r="A1736" t="s">
        <v>3631</v>
      </c>
      <c r="B1736" t="s">
        <v>3632</v>
      </c>
      <c r="C1736">
        <v>2017</v>
      </c>
      <c r="D1736">
        <v>2010</v>
      </c>
      <c r="E1736" t="s">
        <v>17</v>
      </c>
      <c r="F1736">
        <v>120</v>
      </c>
      <c r="G1736" t="s">
        <v>3997</v>
      </c>
      <c r="H1736" t="s">
        <v>67</v>
      </c>
      <c r="I1736" t="s">
        <v>92</v>
      </c>
      <c r="J1736" t="s">
        <v>3634</v>
      </c>
      <c r="K1736">
        <v>12116</v>
      </c>
      <c r="L1736">
        <v>458.99</v>
      </c>
      <c r="M1736">
        <v>458.99</v>
      </c>
      <c r="N1736" t="s">
        <v>3998</v>
      </c>
      <c r="O1736" t="s">
        <v>48</v>
      </c>
      <c r="P1736" t="str">
        <f>TRIM(Table13_1[[#This Row],[Genre]])</f>
        <v>Crime</v>
      </c>
    </row>
    <row r="1737" spans="1:16" x14ac:dyDescent="0.3">
      <c r="A1737" t="s">
        <v>3631</v>
      </c>
      <c r="B1737" t="s">
        <v>3632</v>
      </c>
      <c r="C1737">
        <v>2017</v>
      </c>
      <c r="D1737">
        <v>2010</v>
      </c>
      <c r="E1737" t="s">
        <v>17</v>
      </c>
      <c r="F1737">
        <v>120</v>
      </c>
      <c r="G1737" t="s">
        <v>3997</v>
      </c>
      <c r="H1737" t="s">
        <v>67</v>
      </c>
      <c r="I1737" t="s">
        <v>92</v>
      </c>
      <c r="J1737" t="s">
        <v>3634</v>
      </c>
      <c r="K1737">
        <v>12116</v>
      </c>
      <c r="L1737">
        <v>458.99</v>
      </c>
      <c r="M1737">
        <v>458.99</v>
      </c>
      <c r="N1737" t="s">
        <v>3998</v>
      </c>
      <c r="O1737" t="s">
        <v>3976</v>
      </c>
      <c r="P1737" t="str">
        <f>TRIM(Table13_1[[#This Row],[Genre]])</f>
        <v>Musical</v>
      </c>
    </row>
    <row r="1738" spans="1:16" x14ac:dyDescent="0.3">
      <c r="A1738" t="s">
        <v>3635</v>
      </c>
      <c r="B1738" t="s">
        <v>3636</v>
      </c>
      <c r="C1738">
        <v>2010</v>
      </c>
      <c r="D1738">
        <v>2010</v>
      </c>
      <c r="E1738" t="s">
        <v>24</v>
      </c>
      <c r="F1738">
        <v>104</v>
      </c>
      <c r="G1738" t="s">
        <v>3997</v>
      </c>
      <c r="H1738" t="s">
        <v>634</v>
      </c>
      <c r="I1738" t="s">
        <v>27</v>
      </c>
      <c r="J1738" t="s">
        <v>3637</v>
      </c>
      <c r="K1738">
        <v>3811</v>
      </c>
      <c r="L1738">
        <v>375.15</v>
      </c>
      <c r="M1738">
        <v>375.15</v>
      </c>
      <c r="N1738" t="s">
        <v>3998</v>
      </c>
      <c r="O1738" t="s">
        <v>129</v>
      </c>
      <c r="P1738" t="str">
        <f>TRIM(Table13_1[[#This Row],[Genre]])</f>
        <v>Horror</v>
      </c>
    </row>
    <row r="1739" spans="1:16" x14ac:dyDescent="0.3">
      <c r="A1739" t="s">
        <v>3635</v>
      </c>
      <c r="B1739" t="s">
        <v>3636</v>
      </c>
      <c r="C1739">
        <v>2010</v>
      </c>
      <c r="D1739">
        <v>2010</v>
      </c>
      <c r="E1739" t="s">
        <v>24</v>
      </c>
      <c r="F1739">
        <v>104</v>
      </c>
      <c r="G1739" t="s">
        <v>3997</v>
      </c>
      <c r="H1739" t="s">
        <v>634</v>
      </c>
      <c r="I1739" t="s">
        <v>27</v>
      </c>
      <c r="J1739" t="s">
        <v>3637</v>
      </c>
      <c r="K1739">
        <v>3811</v>
      </c>
      <c r="L1739">
        <v>375.15</v>
      </c>
      <c r="M1739">
        <v>375.15</v>
      </c>
      <c r="N1739" t="s">
        <v>3998</v>
      </c>
      <c r="O1739" t="s">
        <v>3983</v>
      </c>
      <c r="P1739" t="str">
        <f>TRIM(Table13_1[[#This Row],[Genre]])</f>
        <v>Crime</v>
      </c>
    </row>
    <row r="1740" spans="1:16" x14ac:dyDescent="0.3">
      <c r="A1740" t="s">
        <v>3638</v>
      </c>
      <c r="B1740" t="s">
        <v>3639</v>
      </c>
      <c r="C1740">
        <v>2023</v>
      </c>
      <c r="D1740">
        <v>2020</v>
      </c>
      <c r="E1740" t="s">
        <v>285</v>
      </c>
      <c r="F1740">
        <v>92</v>
      </c>
      <c r="G1740" t="s">
        <v>3997</v>
      </c>
      <c r="H1740" t="s">
        <v>130</v>
      </c>
      <c r="I1740" t="s">
        <v>147</v>
      </c>
      <c r="J1740" t="s">
        <v>3640</v>
      </c>
      <c r="K1740">
        <v>123352</v>
      </c>
      <c r="L1740">
        <v>402.95</v>
      </c>
      <c r="M1740">
        <v>402.95</v>
      </c>
      <c r="N1740" t="s">
        <v>3998</v>
      </c>
      <c r="O1740" t="s">
        <v>129</v>
      </c>
      <c r="P1740" t="str">
        <f>TRIM(Table13_1[[#This Row],[Genre]])</f>
        <v>Horror</v>
      </c>
    </row>
    <row r="1741" spans="1:16" x14ac:dyDescent="0.3">
      <c r="A1741" t="s">
        <v>3641</v>
      </c>
      <c r="B1741" t="s">
        <v>3642</v>
      </c>
      <c r="C1741">
        <v>2007</v>
      </c>
      <c r="D1741">
        <v>2000</v>
      </c>
      <c r="E1741" t="s">
        <v>17</v>
      </c>
      <c r="F1741">
        <v>104</v>
      </c>
      <c r="G1741" t="s">
        <v>3997</v>
      </c>
      <c r="H1741" t="s">
        <v>226</v>
      </c>
      <c r="I1741" t="s">
        <v>80</v>
      </c>
      <c r="J1741" t="s">
        <v>3643</v>
      </c>
      <c r="K1741">
        <v>94440</v>
      </c>
      <c r="L1741">
        <v>186.56</v>
      </c>
      <c r="M1741">
        <v>186.56</v>
      </c>
      <c r="N1741" t="s">
        <v>4002</v>
      </c>
      <c r="O1741" t="s">
        <v>1044</v>
      </c>
      <c r="P1741" t="str">
        <f>TRIM(Table13_1[[#This Row],[Genre]])</f>
        <v>Comedy</v>
      </c>
    </row>
    <row r="1742" spans="1:16" x14ac:dyDescent="0.3">
      <c r="A1742" t="s">
        <v>3641</v>
      </c>
      <c r="B1742" t="s">
        <v>3642</v>
      </c>
      <c r="C1742">
        <v>2007</v>
      </c>
      <c r="D1742">
        <v>2000</v>
      </c>
      <c r="E1742" t="s">
        <v>17</v>
      </c>
      <c r="F1742">
        <v>104</v>
      </c>
      <c r="G1742" t="s">
        <v>3997</v>
      </c>
      <c r="H1742" t="s">
        <v>226</v>
      </c>
      <c r="I1742" t="s">
        <v>80</v>
      </c>
      <c r="J1742" t="s">
        <v>3643</v>
      </c>
      <c r="K1742">
        <v>94440</v>
      </c>
      <c r="L1742">
        <v>186.56</v>
      </c>
      <c r="M1742">
        <v>186.56</v>
      </c>
      <c r="N1742" t="s">
        <v>4002</v>
      </c>
      <c r="O1742" t="s">
        <v>3979</v>
      </c>
      <c r="P1742" t="str">
        <f>TRIM(Table13_1[[#This Row],[Genre]])</f>
        <v>War</v>
      </c>
    </row>
    <row r="1743" spans="1:16" x14ac:dyDescent="0.3">
      <c r="A1743" t="s">
        <v>3644</v>
      </c>
      <c r="B1743" t="s">
        <v>3645</v>
      </c>
      <c r="C1743">
        <v>2015</v>
      </c>
      <c r="D1743">
        <v>2010</v>
      </c>
      <c r="E1743" t="s">
        <v>17</v>
      </c>
      <c r="F1743">
        <v>127</v>
      </c>
      <c r="G1743" t="s">
        <v>3999</v>
      </c>
      <c r="H1743" t="s">
        <v>3646</v>
      </c>
      <c r="I1743" t="s">
        <v>125</v>
      </c>
      <c r="J1743" t="s">
        <v>3647</v>
      </c>
      <c r="K1743">
        <v>288075</v>
      </c>
      <c r="M1743">
        <v>0</v>
      </c>
      <c r="N1743" t="s">
        <v>4001</v>
      </c>
      <c r="O1743" t="s">
        <v>453</v>
      </c>
      <c r="P1743" t="str">
        <f>TRIM(Table13_1[[#This Row],[Genre]])</f>
        <v>Musical</v>
      </c>
    </row>
    <row r="1744" spans="1:16" x14ac:dyDescent="0.3">
      <c r="A1744" t="s">
        <v>3644</v>
      </c>
      <c r="B1744" t="s">
        <v>3645</v>
      </c>
      <c r="C1744">
        <v>2015</v>
      </c>
      <c r="D1744">
        <v>2010</v>
      </c>
      <c r="E1744" t="s">
        <v>17</v>
      </c>
      <c r="F1744">
        <v>127</v>
      </c>
      <c r="G1744" t="s">
        <v>3999</v>
      </c>
      <c r="H1744" t="s">
        <v>3646</v>
      </c>
      <c r="I1744" t="s">
        <v>125</v>
      </c>
      <c r="J1744" t="s">
        <v>3647</v>
      </c>
      <c r="K1744">
        <v>288075</v>
      </c>
      <c r="M1744">
        <v>0</v>
      </c>
      <c r="N1744" t="s">
        <v>4001</v>
      </c>
      <c r="O1744" t="s">
        <v>3984</v>
      </c>
      <c r="P1744" t="str">
        <f>TRIM(Table13_1[[#This Row],[Genre]])</f>
        <v>Adventure</v>
      </c>
    </row>
    <row r="1745" spans="1:16" x14ac:dyDescent="0.3">
      <c r="A1745" t="s">
        <v>3648</v>
      </c>
      <c r="B1745" t="s">
        <v>3649</v>
      </c>
      <c r="C1745">
        <v>2019</v>
      </c>
      <c r="D1745">
        <v>2010</v>
      </c>
      <c r="E1745" t="s">
        <v>54</v>
      </c>
      <c r="F1745">
        <v>138</v>
      </c>
      <c r="G1745" t="s">
        <v>3999</v>
      </c>
      <c r="H1745" t="s">
        <v>1363</v>
      </c>
      <c r="I1745" t="s">
        <v>131</v>
      </c>
      <c r="J1745" t="s">
        <v>3651</v>
      </c>
      <c r="K1745">
        <v>42738</v>
      </c>
      <c r="M1745">
        <v>0</v>
      </c>
      <c r="N1745" t="s">
        <v>4001</v>
      </c>
      <c r="O1745" t="s">
        <v>43</v>
      </c>
      <c r="P1745" t="str">
        <f>TRIM(Table13_1[[#This Row],[Genre]])</f>
        <v>Mystery</v>
      </c>
    </row>
    <row r="1746" spans="1:16" x14ac:dyDescent="0.3">
      <c r="A1746" t="s">
        <v>3648</v>
      </c>
      <c r="B1746" t="s">
        <v>3649</v>
      </c>
      <c r="C1746">
        <v>2019</v>
      </c>
      <c r="D1746">
        <v>2010</v>
      </c>
      <c r="E1746" t="s">
        <v>54</v>
      </c>
      <c r="F1746">
        <v>138</v>
      </c>
      <c r="G1746" t="s">
        <v>3999</v>
      </c>
      <c r="H1746" t="s">
        <v>1363</v>
      </c>
      <c r="I1746" t="s">
        <v>131</v>
      </c>
      <c r="J1746" t="s">
        <v>3651</v>
      </c>
      <c r="K1746">
        <v>42738</v>
      </c>
      <c r="M1746">
        <v>0</v>
      </c>
      <c r="N1746" t="s">
        <v>4001</v>
      </c>
      <c r="O1746" t="s">
        <v>3989</v>
      </c>
      <c r="P1746" t="str">
        <f>TRIM(Table13_1[[#This Row],[Genre]])</f>
        <v>Sci-Fi</v>
      </c>
    </row>
    <row r="1747" spans="1:16" x14ac:dyDescent="0.3">
      <c r="A1747" t="s">
        <v>3652</v>
      </c>
      <c r="B1747" t="s">
        <v>3653</v>
      </c>
      <c r="C1747">
        <v>2002</v>
      </c>
      <c r="D1747">
        <v>2000</v>
      </c>
      <c r="E1747" t="s">
        <v>54</v>
      </c>
      <c r="F1747">
        <v>132</v>
      </c>
      <c r="G1747" t="s">
        <v>3999</v>
      </c>
      <c r="H1747" t="s">
        <v>3655</v>
      </c>
      <c r="I1747" t="s">
        <v>137</v>
      </c>
      <c r="J1747" t="s">
        <v>3656</v>
      </c>
      <c r="K1747">
        <v>832502</v>
      </c>
      <c r="L1747">
        <v>348.94</v>
      </c>
      <c r="M1747">
        <v>348.94</v>
      </c>
      <c r="N1747" t="s">
        <v>3998</v>
      </c>
      <c r="O1747" t="s">
        <v>78</v>
      </c>
      <c r="P1747" t="str">
        <f>TRIM(Table13_1[[#This Row],[Genre]])</f>
        <v>Adventure</v>
      </c>
    </row>
    <row r="1748" spans="1:16" x14ac:dyDescent="0.3">
      <c r="A1748" t="s">
        <v>3652</v>
      </c>
      <c r="B1748" t="s">
        <v>3653</v>
      </c>
      <c r="C1748">
        <v>2002</v>
      </c>
      <c r="D1748">
        <v>2000</v>
      </c>
      <c r="E1748" t="s">
        <v>54</v>
      </c>
      <c r="F1748">
        <v>132</v>
      </c>
      <c r="G1748" t="s">
        <v>3999</v>
      </c>
      <c r="H1748" t="s">
        <v>3655</v>
      </c>
      <c r="I1748" t="s">
        <v>137</v>
      </c>
      <c r="J1748" t="s">
        <v>3656</v>
      </c>
      <c r="K1748">
        <v>832502</v>
      </c>
      <c r="L1748">
        <v>348.94</v>
      </c>
      <c r="M1748">
        <v>348.94</v>
      </c>
      <c r="N1748" t="s">
        <v>3998</v>
      </c>
      <c r="O1748" t="s">
        <v>3991</v>
      </c>
      <c r="P1748" t="str">
        <f>TRIM(Table13_1[[#This Row],[Genre]])</f>
        <v>Thriller</v>
      </c>
    </row>
    <row r="1749" spans="1:16" x14ac:dyDescent="0.3">
      <c r="A1749" t="s">
        <v>3652</v>
      </c>
      <c r="B1749" t="s">
        <v>3653</v>
      </c>
      <c r="C1749">
        <v>2002</v>
      </c>
      <c r="D1749">
        <v>2000</v>
      </c>
      <c r="E1749" t="s">
        <v>54</v>
      </c>
      <c r="F1749">
        <v>132</v>
      </c>
      <c r="G1749" t="s">
        <v>3999</v>
      </c>
      <c r="H1749" t="s">
        <v>3655</v>
      </c>
      <c r="I1749" t="s">
        <v>137</v>
      </c>
      <c r="J1749" t="s">
        <v>3656</v>
      </c>
      <c r="K1749">
        <v>832502</v>
      </c>
      <c r="L1749">
        <v>348.94</v>
      </c>
      <c r="M1749">
        <v>348.94</v>
      </c>
      <c r="N1749" t="s">
        <v>3998</v>
      </c>
      <c r="O1749" t="s">
        <v>3993</v>
      </c>
      <c r="P1749" t="str">
        <f>TRIM(Table13_1[[#This Row],[Genre]])</f>
        <v>Comedy</v>
      </c>
    </row>
    <row r="1750" spans="1:16" x14ac:dyDescent="0.3">
      <c r="A1750" t="s">
        <v>3657</v>
      </c>
      <c r="B1750" t="s">
        <v>3658</v>
      </c>
      <c r="C1750">
        <v>2005</v>
      </c>
      <c r="D1750">
        <v>2000</v>
      </c>
      <c r="E1750" t="s">
        <v>54</v>
      </c>
      <c r="F1750">
        <v>108</v>
      </c>
      <c r="G1750" t="s">
        <v>3997</v>
      </c>
      <c r="H1750" t="s">
        <v>250</v>
      </c>
      <c r="I1750" t="s">
        <v>33</v>
      </c>
      <c r="J1750" t="s">
        <v>3660</v>
      </c>
      <c r="K1750">
        <v>221612</v>
      </c>
      <c r="L1750">
        <v>81.61</v>
      </c>
      <c r="M1750">
        <v>81.61</v>
      </c>
      <c r="N1750" t="s">
        <v>4001</v>
      </c>
      <c r="O1750" t="s">
        <v>606</v>
      </c>
      <c r="P1750" t="str">
        <f>TRIM(Table13_1[[#This Row],[Genre]])</f>
        <v>Sci-Fi</v>
      </c>
    </row>
    <row r="1751" spans="1:16" x14ac:dyDescent="0.3">
      <c r="A1751" t="s">
        <v>3657</v>
      </c>
      <c r="B1751" t="s">
        <v>3658</v>
      </c>
      <c r="C1751">
        <v>2005</v>
      </c>
      <c r="D1751">
        <v>2000</v>
      </c>
      <c r="E1751" t="s">
        <v>54</v>
      </c>
      <c r="F1751">
        <v>108</v>
      </c>
      <c r="G1751" t="s">
        <v>3997</v>
      </c>
      <c r="H1751" t="s">
        <v>250</v>
      </c>
      <c r="I1751" t="s">
        <v>33</v>
      </c>
      <c r="J1751" t="s">
        <v>3660</v>
      </c>
      <c r="K1751">
        <v>221612</v>
      </c>
      <c r="L1751">
        <v>81.61</v>
      </c>
      <c r="M1751">
        <v>81.61</v>
      </c>
      <c r="N1751" t="s">
        <v>4001</v>
      </c>
      <c r="O1751" t="s">
        <v>3992</v>
      </c>
      <c r="P1751" t="str">
        <f>TRIM(Table13_1[[#This Row],[Genre]])</f>
        <v>Biography</v>
      </c>
    </row>
    <row r="1752" spans="1:16" x14ac:dyDescent="0.3">
      <c r="A1752" t="s">
        <v>3661</v>
      </c>
      <c r="B1752" t="s">
        <v>3662</v>
      </c>
      <c r="C1752">
        <v>2012</v>
      </c>
      <c r="D1752">
        <v>2010</v>
      </c>
      <c r="E1752" t="s">
        <v>54</v>
      </c>
      <c r="F1752">
        <v>112</v>
      </c>
      <c r="G1752" t="s">
        <v>3997</v>
      </c>
      <c r="H1752" t="s">
        <v>852</v>
      </c>
      <c r="I1752" t="s">
        <v>68</v>
      </c>
      <c r="J1752" t="s">
        <v>3663</v>
      </c>
      <c r="K1752">
        <v>32202</v>
      </c>
      <c r="L1752">
        <v>63.24</v>
      </c>
      <c r="M1752">
        <v>63.24</v>
      </c>
      <c r="N1752" t="s">
        <v>4001</v>
      </c>
      <c r="O1752" t="s">
        <v>55</v>
      </c>
      <c r="P1752" t="str">
        <f>TRIM(Table13_1[[#This Row],[Genre]])</f>
        <v>Romance</v>
      </c>
    </row>
    <row r="1753" spans="1:16" x14ac:dyDescent="0.3">
      <c r="A1753" t="s">
        <v>3661</v>
      </c>
      <c r="B1753" t="s">
        <v>3662</v>
      </c>
      <c r="C1753">
        <v>2012</v>
      </c>
      <c r="D1753">
        <v>2010</v>
      </c>
      <c r="E1753" t="s">
        <v>54</v>
      </c>
      <c r="F1753">
        <v>112</v>
      </c>
      <c r="G1753" t="s">
        <v>3997</v>
      </c>
      <c r="H1753" t="s">
        <v>852</v>
      </c>
      <c r="I1753" t="s">
        <v>68</v>
      </c>
      <c r="J1753" t="s">
        <v>3663</v>
      </c>
      <c r="K1753">
        <v>32202</v>
      </c>
      <c r="L1753">
        <v>63.24</v>
      </c>
      <c r="M1753">
        <v>63.24</v>
      </c>
      <c r="N1753" t="s">
        <v>4001</v>
      </c>
      <c r="O1753" t="s">
        <v>3979</v>
      </c>
      <c r="P1753" t="str">
        <f>TRIM(Table13_1[[#This Row],[Genre]])</f>
        <v>War</v>
      </c>
    </row>
    <row r="1754" spans="1:16" x14ac:dyDescent="0.3">
      <c r="A1754" t="s">
        <v>3664</v>
      </c>
      <c r="B1754" t="s">
        <v>3665</v>
      </c>
      <c r="C1754">
        <v>2023</v>
      </c>
      <c r="D1754">
        <v>2020</v>
      </c>
      <c r="E1754" t="s">
        <v>24</v>
      </c>
      <c r="F1754">
        <v>133</v>
      </c>
      <c r="G1754" t="s">
        <v>3999</v>
      </c>
      <c r="H1754" t="s">
        <v>3666</v>
      </c>
      <c r="I1754" t="s">
        <v>147</v>
      </c>
      <c r="J1754" t="s">
        <v>3667</v>
      </c>
      <c r="K1754">
        <v>368765</v>
      </c>
      <c r="L1754">
        <v>302.52999999999997</v>
      </c>
      <c r="M1754">
        <v>302.52999999999997</v>
      </c>
      <c r="N1754" t="s">
        <v>3998</v>
      </c>
      <c r="O1754" t="s">
        <v>230</v>
      </c>
      <c r="P1754" t="str">
        <f>TRIM(Table13_1[[#This Row],[Genre]])</f>
        <v>Documentary</v>
      </c>
    </row>
    <row r="1755" spans="1:16" x14ac:dyDescent="0.3">
      <c r="A1755" t="s">
        <v>3668</v>
      </c>
      <c r="B1755" t="s">
        <v>3669</v>
      </c>
      <c r="C1755">
        <v>2021</v>
      </c>
      <c r="D1755">
        <v>2020</v>
      </c>
      <c r="E1755" t="s">
        <v>285</v>
      </c>
      <c r="F1755">
        <v>123</v>
      </c>
      <c r="G1755" t="s">
        <v>3999</v>
      </c>
      <c r="H1755" t="s">
        <v>566</v>
      </c>
      <c r="I1755" t="s">
        <v>39</v>
      </c>
      <c r="J1755" t="s">
        <v>3670</v>
      </c>
      <c r="K1755">
        <v>13940</v>
      </c>
      <c r="L1755">
        <v>242.85</v>
      </c>
      <c r="M1755">
        <v>242.85</v>
      </c>
      <c r="N1755" t="s">
        <v>3998</v>
      </c>
      <c r="O1755" t="s">
        <v>48</v>
      </c>
      <c r="P1755" t="str">
        <f>TRIM(Table13_1[[#This Row],[Genre]])</f>
        <v>Crime</v>
      </c>
    </row>
    <row r="1756" spans="1:16" x14ac:dyDescent="0.3">
      <c r="A1756" t="s">
        <v>3668</v>
      </c>
      <c r="B1756" t="s">
        <v>3669</v>
      </c>
      <c r="C1756">
        <v>2021</v>
      </c>
      <c r="D1756">
        <v>2020</v>
      </c>
      <c r="E1756" t="s">
        <v>285</v>
      </c>
      <c r="F1756">
        <v>123</v>
      </c>
      <c r="G1756" t="s">
        <v>3999</v>
      </c>
      <c r="H1756" t="s">
        <v>566</v>
      </c>
      <c r="I1756" t="s">
        <v>39</v>
      </c>
      <c r="J1756" t="s">
        <v>3670</v>
      </c>
      <c r="K1756">
        <v>13940</v>
      </c>
      <c r="L1756">
        <v>242.85</v>
      </c>
      <c r="M1756">
        <v>242.85</v>
      </c>
      <c r="N1756" t="s">
        <v>3998</v>
      </c>
      <c r="O1756" t="s">
        <v>3988</v>
      </c>
      <c r="P1756" t="str">
        <f>TRIM(Table13_1[[#This Row],[Genre]])</f>
        <v>Drama</v>
      </c>
    </row>
    <row r="1757" spans="1:16" x14ac:dyDescent="0.3">
      <c r="A1757" t="s">
        <v>3671</v>
      </c>
      <c r="B1757" t="s">
        <v>3672</v>
      </c>
      <c r="C1757">
        <v>2005</v>
      </c>
      <c r="D1757">
        <v>2000</v>
      </c>
      <c r="E1757" t="s">
        <v>24</v>
      </c>
      <c r="F1757">
        <v>134</v>
      </c>
      <c r="G1757" t="s">
        <v>3999</v>
      </c>
      <c r="H1757" t="s">
        <v>269</v>
      </c>
      <c r="I1757" t="s">
        <v>125</v>
      </c>
      <c r="J1757" t="s">
        <v>3673</v>
      </c>
      <c r="K1757">
        <v>14261</v>
      </c>
      <c r="L1757">
        <v>72.69</v>
      </c>
      <c r="M1757">
        <v>72.69</v>
      </c>
      <c r="N1757" t="s">
        <v>4001</v>
      </c>
      <c r="O1757" t="s">
        <v>453</v>
      </c>
      <c r="P1757" t="str">
        <f>TRIM(Table13_1[[#This Row],[Genre]])</f>
        <v>Musical</v>
      </c>
    </row>
    <row r="1758" spans="1:16" x14ac:dyDescent="0.3">
      <c r="A1758" t="s">
        <v>3674</v>
      </c>
      <c r="B1758" t="s">
        <v>3675</v>
      </c>
      <c r="C1758">
        <v>2010</v>
      </c>
      <c r="D1758">
        <v>2010</v>
      </c>
      <c r="E1758" t="s">
        <v>54</v>
      </c>
      <c r="F1758">
        <v>101</v>
      </c>
      <c r="G1758" t="s">
        <v>3997</v>
      </c>
      <c r="H1758" t="s">
        <v>3219</v>
      </c>
      <c r="I1758" t="s">
        <v>524</v>
      </c>
      <c r="J1758" t="s">
        <v>3676</v>
      </c>
      <c r="K1758">
        <v>13852</v>
      </c>
      <c r="M1758">
        <v>0</v>
      </c>
      <c r="N1758" t="s">
        <v>4001</v>
      </c>
      <c r="O1758" t="s">
        <v>129</v>
      </c>
      <c r="P1758" t="str">
        <f>TRIM(Table13_1[[#This Row],[Genre]])</f>
        <v>Horror</v>
      </c>
    </row>
    <row r="1759" spans="1:16" x14ac:dyDescent="0.3">
      <c r="A1759" t="s">
        <v>3674</v>
      </c>
      <c r="B1759" t="s">
        <v>3675</v>
      </c>
      <c r="C1759">
        <v>2010</v>
      </c>
      <c r="D1759">
        <v>2010</v>
      </c>
      <c r="E1759" t="s">
        <v>54</v>
      </c>
      <c r="F1759">
        <v>101</v>
      </c>
      <c r="G1759" t="s">
        <v>3997</v>
      </c>
      <c r="H1759" t="s">
        <v>3219</v>
      </c>
      <c r="I1759" t="s">
        <v>524</v>
      </c>
      <c r="J1759" t="s">
        <v>3676</v>
      </c>
      <c r="K1759">
        <v>13852</v>
      </c>
      <c r="M1759">
        <v>0</v>
      </c>
      <c r="N1759" t="s">
        <v>4001</v>
      </c>
      <c r="O1759" t="s">
        <v>3989</v>
      </c>
      <c r="P1759" t="str">
        <f>TRIM(Table13_1[[#This Row],[Genre]])</f>
        <v>Sci-Fi</v>
      </c>
    </row>
    <row r="1760" spans="1:16" x14ac:dyDescent="0.3">
      <c r="A1760" t="s">
        <v>3677</v>
      </c>
      <c r="B1760" t="s">
        <v>3678</v>
      </c>
      <c r="C1760">
        <v>2006</v>
      </c>
      <c r="D1760">
        <v>2000</v>
      </c>
      <c r="E1760" t="s">
        <v>17</v>
      </c>
      <c r="F1760">
        <v>137</v>
      </c>
      <c r="G1760" t="s">
        <v>3999</v>
      </c>
      <c r="H1760" t="s">
        <v>226</v>
      </c>
      <c r="I1760" t="s">
        <v>191</v>
      </c>
      <c r="J1760" t="s">
        <v>3679</v>
      </c>
      <c r="K1760">
        <v>72371</v>
      </c>
      <c r="L1760">
        <v>60.43</v>
      </c>
      <c r="M1760">
        <v>60.43</v>
      </c>
      <c r="N1760" t="s">
        <v>4001</v>
      </c>
      <c r="O1760" t="s">
        <v>1044</v>
      </c>
      <c r="P1760" t="str">
        <f>TRIM(Table13_1[[#This Row],[Genre]])</f>
        <v>Comedy</v>
      </c>
    </row>
    <row r="1761" spans="1:16" x14ac:dyDescent="0.3">
      <c r="A1761" t="s">
        <v>3680</v>
      </c>
      <c r="B1761" t="s">
        <v>3681</v>
      </c>
      <c r="C1761">
        <v>2012</v>
      </c>
      <c r="D1761">
        <v>2010</v>
      </c>
      <c r="E1761" t="s">
        <v>24</v>
      </c>
      <c r="F1761">
        <v>123</v>
      </c>
      <c r="G1761" t="s">
        <v>3999</v>
      </c>
      <c r="H1761" t="s">
        <v>491</v>
      </c>
      <c r="I1761" t="s">
        <v>483</v>
      </c>
      <c r="J1761" t="s">
        <v>3683</v>
      </c>
      <c r="K1761">
        <v>105904</v>
      </c>
      <c r="L1761">
        <v>358.77</v>
      </c>
      <c r="M1761">
        <v>358.77</v>
      </c>
      <c r="N1761" t="s">
        <v>3998</v>
      </c>
      <c r="O1761" t="s">
        <v>72</v>
      </c>
      <c r="P1761" t="str">
        <f>TRIM(Table13_1[[#This Row],[Genre]])</f>
        <v>War</v>
      </c>
    </row>
    <row r="1762" spans="1:16" x14ac:dyDescent="0.3">
      <c r="A1762" t="s">
        <v>3680</v>
      </c>
      <c r="B1762" t="s">
        <v>3681</v>
      </c>
      <c r="C1762">
        <v>2012</v>
      </c>
      <c r="D1762">
        <v>2010</v>
      </c>
      <c r="E1762" t="s">
        <v>24</v>
      </c>
      <c r="F1762">
        <v>123</v>
      </c>
      <c r="G1762" t="s">
        <v>3999</v>
      </c>
      <c r="H1762" t="s">
        <v>491</v>
      </c>
      <c r="I1762" t="s">
        <v>483</v>
      </c>
      <c r="J1762" t="s">
        <v>3683</v>
      </c>
      <c r="K1762">
        <v>105904</v>
      </c>
      <c r="L1762">
        <v>358.77</v>
      </c>
      <c r="M1762">
        <v>358.77</v>
      </c>
      <c r="N1762" t="s">
        <v>3998</v>
      </c>
      <c r="O1762" t="s">
        <v>3983</v>
      </c>
      <c r="P1762" t="str">
        <f>TRIM(Table13_1[[#This Row],[Genre]])</f>
        <v>Crime</v>
      </c>
    </row>
    <row r="1763" spans="1:16" x14ac:dyDescent="0.3">
      <c r="A1763" t="s">
        <v>3684</v>
      </c>
      <c r="B1763" t="s">
        <v>3685</v>
      </c>
      <c r="C1763">
        <v>2000</v>
      </c>
      <c r="D1763">
        <v>2000</v>
      </c>
      <c r="E1763" t="s">
        <v>54</v>
      </c>
      <c r="F1763">
        <v>108</v>
      </c>
      <c r="G1763" t="s">
        <v>3997</v>
      </c>
      <c r="H1763" t="s">
        <v>3687</v>
      </c>
      <c r="I1763" t="s">
        <v>483</v>
      </c>
      <c r="J1763" t="s">
        <v>3688</v>
      </c>
      <c r="K1763">
        <v>52447</v>
      </c>
      <c r="L1763">
        <v>243.38</v>
      </c>
      <c r="M1763">
        <v>243.38</v>
      </c>
      <c r="N1763" t="s">
        <v>3998</v>
      </c>
      <c r="O1763" t="s">
        <v>43</v>
      </c>
      <c r="P1763" t="str">
        <f>TRIM(Table13_1[[#This Row],[Genre]])</f>
        <v>Mystery</v>
      </c>
    </row>
    <row r="1764" spans="1:16" x14ac:dyDescent="0.3">
      <c r="A1764" t="s">
        <v>3684</v>
      </c>
      <c r="B1764" t="s">
        <v>3685</v>
      </c>
      <c r="C1764">
        <v>2000</v>
      </c>
      <c r="D1764">
        <v>2000</v>
      </c>
      <c r="E1764" t="s">
        <v>54</v>
      </c>
      <c r="F1764">
        <v>108</v>
      </c>
      <c r="G1764" t="s">
        <v>3997</v>
      </c>
      <c r="H1764" t="s">
        <v>3687</v>
      </c>
      <c r="I1764" t="s">
        <v>483</v>
      </c>
      <c r="J1764" t="s">
        <v>3688</v>
      </c>
      <c r="K1764">
        <v>52447</v>
      </c>
      <c r="L1764">
        <v>243.38</v>
      </c>
      <c r="M1764">
        <v>243.38</v>
      </c>
      <c r="N1764" t="s">
        <v>3998</v>
      </c>
      <c r="O1764" t="s">
        <v>3985</v>
      </c>
      <c r="P1764" t="str">
        <f>TRIM(Table13_1[[#This Row],[Genre]])</f>
        <v>Horror</v>
      </c>
    </row>
    <row r="1765" spans="1:16" x14ac:dyDescent="0.3">
      <c r="A1765" t="s">
        <v>3689</v>
      </c>
      <c r="B1765" t="s">
        <v>3690</v>
      </c>
      <c r="C1765">
        <v>2015</v>
      </c>
      <c r="D1765">
        <v>2010</v>
      </c>
      <c r="E1765" t="s">
        <v>293</v>
      </c>
      <c r="F1765">
        <v>97</v>
      </c>
      <c r="G1765" t="s">
        <v>3997</v>
      </c>
      <c r="H1765" t="s">
        <v>38</v>
      </c>
      <c r="I1765" t="s">
        <v>221</v>
      </c>
      <c r="J1765" t="s">
        <v>3692</v>
      </c>
      <c r="K1765">
        <v>341546</v>
      </c>
      <c r="M1765">
        <v>0</v>
      </c>
      <c r="N1765" t="s">
        <v>4001</v>
      </c>
      <c r="O1765" t="s">
        <v>37</v>
      </c>
      <c r="P1765" t="str">
        <f>TRIM(Table13_1[[#This Row],[Genre]])</f>
        <v>Biography</v>
      </c>
    </row>
    <row r="1766" spans="1:16" x14ac:dyDescent="0.3">
      <c r="A1766" t="s">
        <v>3689</v>
      </c>
      <c r="B1766" t="s">
        <v>3690</v>
      </c>
      <c r="C1766">
        <v>2015</v>
      </c>
      <c r="D1766">
        <v>2010</v>
      </c>
      <c r="E1766" t="s">
        <v>293</v>
      </c>
      <c r="F1766">
        <v>97</v>
      </c>
      <c r="G1766" t="s">
        <v>3997</v>
      </c>
      <c r="H1766" t="s">
        <v>38</v>
      </c>
      <c r="I1766" t="s">
        <v>221</v>
      </c>
      <c r="J1766" t="s">
        <v>3692</v>
      </c>
      <c r="K1766">
        <v>341546</v>
      </c>
      <c r="M1766">
        <v>0</v>
      </c>
      <c r="N1766" t="s">
        <v>4001</v>
      </c>
      <c r="O1766" t="s">
        <v>3979</v>
      </c>
      <c r="P1766" t="str">
        <f>TRIM(Table13_1[[#This Row],[Genre]])</f>
        <v>War</v>
      </c>
    </row>
    <row r="1767" spans="1:16" x14ac:dyDescent="0.3">
      <c r="A1767" t="s">
        <v>3689</v>
      </c>
      <c r="B1767" t="s">
        <v>3690</v>
      </c>
      <c r="C1767">
        <v>2015</v>
      </c>
      <c r="D1767">
        <v>2010</v>
      </c>
      <c r="E1767" t="s">
        <v>293</v>
      </c>
      <c r="F1767">
        <v>97</v>
      </c>
      <c r="G1767" t="s">
        <v>3997</v>
      </c>
      <c r="H1767" t="s">
        <v>38</v>
      </c>
      <c r="I1767" t="s">
        <v>221</v>
      </c>
      <c r="J1767" t="s">
        <v>3692</v>
      </c>
      <c r="K1767">
        <v>341546</v>
      </c>
      <c r="M1767">
        <v>0</v>
      </c>
      <c r="N1767" t="s">
        <v>4001</v>
      </c>
      <c r="O1767" t="s">
        <v>3981</v>
      </c>
      <c r="P1767" t="str">
        <f>TRIM(Table13_1[[#This Row],[Genre]])</f>
        <v>Romance</v>
      </c>
    </row>
    <row r="1768" spans="1:16" x14ac:dyDescent="0.3">
      <c r="A1768" t="s">
        <v>3693</v>
      </c>
      <c r="B1768" t="s">
        <v>3694</v>
      </c>
      <c r="C1768">
        <v>2005</v>
      </c>
      <c r="D1768">
        <v>2000</v>
      </c>
      <c r="E1768" t="s">
        <v>17</v>
      </c>
      <c r="F1768">
        <v>147</v>
      </c>
      <c r="G1768" t="s">
        <v>3999</v>
      </c>
      <c r="H1768" t="s">
        <v>158</v>
      </c>
      <c r="I1768" t="s">
        <v>159</v>
      </c>
      <c r="J1768" t="s">
        <v>3695</v>
      </c>
      <c r="K1768">
        <v>1000</v>
      </c>
      <c r="L1768">
        <v>238.95</v>
      </c>
      <c r="M1768">
        <v>238.95</v>
      </c>
      <c r="N1768" t="s">
        <v>3998</v>
      </c>
      <c r="O1768" t="s">
        <v>157</v>
      </c>
      <c r="P1768" t="str">
        <f>TRIM(Table13_1[[#This Row],[Genre]])</f>
        <v>Animation</v>
      </c>
    </row>
    <row r="1769" spans="1:16" x14ac:dyDescent="0.3">
      <c r="A1769" t="s">
        <v>3693</v>
      </c>
      <c r="B1769" t="s">
        <v>3694</v>
      </c>
      <c r="C1769">
        <v>2005</v>
      </c>
      <c r="D1769">
        <v>2000</v>
      </c>
      <c r="E1769" t="s">
        <v>17</v>
      </c>
      <c r="F1769">
        <v>147</v>
      </c>
      <c r="G1769" t="s">
        <v>3999</v>
      </c>
      <c r="H1769" t="s">
        <v>158</v>
      </c>
      <c r="I1769" t="s">
        <v>159</v>
      </c>
      <c r="J1769" t="s">
        <v>3695</v>
      </c>
      <c r="K1769">
        <v>1000</v>
      </c>
      <c r="L1769">
        <v>238.95</v>
      </c>
      <c r="M1769">
        <v>238.95</v>
      </c>
      <c r="N1769" t="s">
        <v>3998</v>
      </c>
      <c r="O1769" t="s">
        <v>3980</v>
      </c>
      <c r="P1769" t="str">
        <f>TRIM(Table13_1[[#This Row],[Genre]])</f>
        <v>Action</v>
      </c>
    </row>
    <row r="1770" spans="1:16" x14ac:dyDescent="0.3">
      <c r="A1770" t="s">
        <v>3696</v>
      </c>
      <c r="B1770" t="s">
        <v>3697</v>
      </c>
      <c r="C1770">
        <v>2019</v>
      </c>
      <c r="D1770">
        <v>2010</v>
      </c>
      <c r="E1770" t="s">
        <v>54</v>
      </c>
      <c r="F1770">
        <v>100</v>
      </c>
      <c r="G1770" t="s">
        <v>3997</v>
      </c>
      <c r="H1770" t="s">
        <v>3699</v>
      </c>
      <c r="I1770" t="s">
        <v>137</v>
      </c>
      <c r="J1770" t="s">
        <v>3700</v>
      </c>
      <c r="K1770">
        <v>23386</v>
      </c>
      <c r="L1770">
        <v>90.76</v>
      </c>
      <c r="M1770">
        <v>90.76</v>
      </c>
      <c r="N1770" t="s">
        <v>4001</v>
      </c>
      <c r="O1770" t="s">
        <v>43</v>
      </c>
      <c r="P1770" t="str">
        <f>TRIM(Table13_1[[#This Row],[Genre]])</f>
        <v>Mystery</v>
      </c>
    </row>
    <row r="1771" spans="1:16" x14ac:dyDescent="0.3">
      <c r="A1771" t="s">
        <v>3696</v>
      </c>
      <c r="B1771" t="s">
        <v>3697</v>
      </c>
      <c r="C1771">
        <v>2019</v>
      </c>
      <c r="D1771">
        <v>2010</v>
      </c>
      <c r="E1771" t="s">
        <v>54</v>
      </c>
      <c r="F1771">
        <v>100</v>
      </c>
      <c r="G1771" t="s">
        <v>3997</v>
      </c>
      <c r="H1771" t="s">
        <v>3699</v>
      </c>
      <c r="I1771" t="s">
        <v>137</v>
      </c>
      <c r="J1771" t="s">
        <v>3700</v>
      </c>
      <c r="K1771">
        <v>23386</v>
      </c>
      <c r="L1771">
        <v>90.76</v>
      </c>
      <c r="M1771">
        <v>90.76</v>
      </c>
      <c r="N1771" t="s">
        <v>4001</v>
      </c>
      <c r="O1771" t="s">
        <v>3993</v>
      </c>
      <c r="P1771" t="str">
        <f>TRIM(Table13_1[[#This Row],[Genre]])</f>
        <v>Comedy</v>
      </c>
    </row>
    <row r="1772" spans="1:16" x14ac:dyDescent="0.3">
      <c r="A1772" t="s">
        <v>3696</v>
      </c>
      <c r="B1772" t="s">
        <v>3697</v>
      </c>
      <c r="C1772">
        <v>2019</v>
      </c>
      <c r="D1772">
        <v>2010</v>
      </c>
      <c r="E1772" t="s">
        <v>54</v>
      </c>
      <c r="F1772">
        <v>100</v>
      </c>
      <c r="G1772" t="s">
        <v>3997</v>
      </c>
      <c r="H1772" t="s">
        <v>3699</v>
      </c>
      <c r="I1772" t="s">
        <v>137</v>
      </c>
      <c r="J1772" t="s">
        <v>3700</v>
      </c>
      <c r="K1772">
        <v>23386</v>
      </c>
      <c r="L1772">
        <v>90.76</v>
      </c>
      <c r="M1772">
        <v>90.76</v>
      </c>
      <c r="N1772" t="s">
        <v>4001</v>
      </c>
      <c r="O1772" t="s">
        <v>3980</v>
      </c>
      <c r="P1772" t="str">
        <f>TRIM(Table13_1[[#This Row],[Genre]])</f>
        <v>Action</v>
      </c>
    </row>
    <row r="1773" spans="1:16" x14ac:dyDescent="0.3">
      <c r="A1773" t="s">
        <v>3701</v>
      </c>
      <c r="B1773" t="s">
        <v>3702</v>
      </c>
      <c r="C1773">
        <v>2020</v>
      </c>
      <c r="D1773">
        <v>2020</v>
      </c>
      <c r="E1773" t="s">
        <v>24</v>
      </c>
      <c r="F1773">
        <v>107</v>
      </c>
      <c r="G1773" t="s">
        <v>3997</v>
      </c>
      <c r="H1773" t="s">
        <v>634</v>
      </c>
      <c r="I1773" t="s">
        <v>153</v>
      </c>
      <c r="J1773" t="s">
        <v>3703</v>
      </c>
      <c r="K1773">
        <v>702937</v>
      </c>
      <c r="L1773">
        <v>23.67</v>
      </c>
      <c r="M1773">
        <v>23.67</v>
      </c>
      <c r="N1773" t="s">
        <v>4001</v>
      </c>
      <c r="O1773" t="s">
        <v>129</v>
      </c>
      <c r="P1773" t="str">
        <f>TRIM(Table13_1[[#This Row],[Genre]])</f>
        <v>Horror</v>
      </c>
    </row>
    <row r="1774" spans="1:16" x14ac:dyDescent="0.3">
      <c r="A1774" t="s">
        <v>3701</v>
      </c>
      <c r="B1774" t="s">
        <v>3702</v>
      </c>
      <c r="C1774">
        <v>2020</v>
      </c>
      <c r="D1774">
        <v>2020</v>
      </c>
      <c r="E1774" t="s">
        <v>24</v>
      </c>
      <c r="F1774">
        <v>107</v>
      </c>
      <c r="G1774" t="s">
        <v>3997</v>
      </c>
      <c r="H1774" t="s">
        <v>634</v>
      </c>
      <c r="I1774" t="s">
        <v>153</v>
      </c>
      <c r="J1774" t="s">
        <v>3703</v>
      </c>
      <c r="K1774">
        <v>702937</v>
      </c>
      <c r="L1774">
        <v>23.67</v>
      </c>
      <c r="M1774">
        <v>23.67</v>
      </c>
      <c r="N1774" t="s">
        <v>4001</v>
      </c>
      <c r="O1774" t="s">
        <v>3987</v>
      </c>
      <c r="P1774" t="str">
        <f>TRIM(Table13_1[[#This Row],[Genre]])</f>
        <v>Fantasy</v>
      </c>
    </row>
    <row r="1775" spans="1:16" x14ac:dyDescent="0.3">
      <c r="A1775" t="s">
        <v>3704</v>
      </c>
      <c r="B1775" t="s">
        <v>3705</v>
      </c>
      <c r="C1775">
        <v>2007</v>
      </c>
      <c r="D1775">
        <v>2000</v>
      </c>
      <c r="E1775" t="s">
        <v>54</v>
      </c>
      <c r="F1775">
        <v>125</v>
      </c>
      <c r="G1775" t="s">
        <v>3999</v>
      </c>
      <c r="H1775" t="s">
        <v>85</v>
      </c>
      <c r="I1775" t="s">
        <v>165</v>
      </c>
      <c r="J1775" t="s">
        <v>3706</v>
      </c>
      <c r="K1775">
        <v>120528</v>
      </c>
      <c r="L1775">
        <v>294.67</v>
      </c>
      <c r="M1775">
        <v>294.67</v>
      </c>
      <c r="N1775" t="s">
        <v>3998</v>
      </c>
      <c r="O1775" t="s">
        <v>767</v>
      </c>
      <c r="P1775" t="str">
        <f>TRIM(Table13_1[[#This Row],[Genre]])</f>
        <v>Fantasy</v>
      </c>
    </row>
    <row r="1776" spans="1:16" x14ac:dyDescent="0.3">
      <c r="A1776" t="s">
        <v>3704</v>
      </c>
      <c r="B1776" t="s">
        <v>3705</v>
      </c>
      <c r="C1776">
        <v>2007</v>
      </c>
      <c r="D1776">
        <v>2000</v>
      </c>
      <c r="E1776" t="s">
        <v>54</v>
      </c>
      <c r="F1776">
        <v>125</v>
      </c>
      <c r="G1776" t="s">
        <v>3999</v>
      </c>
      <c r="H1776" t="s">
        <v>85</v>
      </c>
      <c r="I1776" t="s">
        <v>165</v>
      </c>
      <c r="J1776" t="s">
        <v>3706</v>
      </c>
      <c r="K1776">
        <v>120528</v>
      </c>
      <c r="L1776">
        <v>294.67</v>
      </c>
      <c r="M1776">
        <v>294.67</v>
      </c>
      <c r="N1776" t="s">
        <v>3998</v>
      </c>
      <c r="O1776" t="s">
        <v>3993</v>
      </c>
      <c r="P1776" t="str">
        <f>TRIM(Table13_1[[#This Row],[Genre]])</f>
        <v>Comedy</v>
      </c>
    </row>
    <row r="1777" spans="1:16" x14ac:dyDescent="0.3">
      <c r="A1777" t="s">
        <v>3707</v>
      </c>
      <c r="B1777" t="s">
        <v>3708</v>
      </c>
      <c r="C1777">
        <v>2008</v>
      </c>
      <c r="D1777">
        <v>2000</v>
      </c>
      <c r="E1777" t="s">
        <v>293</v>
      </c>
      <c r="F1777">
        <v>129</v>
      </c>
      <c r="G1777" t="s">
        <v>3999</v>
      </c>
      <c r="H1777" t="s">
        <v>320</v>
      </c>
      <c r="I1777" t="s">
        <v>236</v>
      </c>
      <c r="J1777" t="s">
        <v>3710</v>
      </c>
      <c r="K1777">
        <v>213685</v>
      </c>
      <c r="M1777">
        <v>0</v>
      </c>
      <c r="N1777" t="s">
        <v>4001</v>
      </c>
      <c r="O1777" t="s">
        <v>767</v>
      </c>
      <c r="P1777" t="str">
        <f>TRIM(Table13_1[[#This Row],[Genre]])</f>
        <v>Fantasy</v>
      </c>
    </row>
    <row r="1778" spans="1:16" x14ac:dyDescent="0.3">
      <c r="A1778" t="s">
        <v>3707</v>
      </c>
      <c r="B1778" t="s">
        <v>3708</v>
      </c>
      <c r="C1778">
        <v>2008</v>
      </c>
      <c r="D1778">
        <v>2000</v>
      </c>
      <c r="E1778" t="s">
        <v>293</v>
      </c>
      <c r="F1778">
        <v>129</v>
      </c>
      <c r="G1778" t="s">
        <v>3999</v>
      </c>
      <c r="H1778" t="s">
        <v>320</v>
      </c>
      <c r="I1778" t="s">
        <v>236</v>
      </c>
      <c r="J1778" t="s">
        <v>3710</v>
      </c>
      <c r="K1778">
        <v>213685</v>
      </c>
      <c r="M1778">
        <v>0</v>
      </c>
      <c r="N1778" t="s">
        <v>4001</v>
      </c>
      <c r="O1778" t="s">
        <v>3990</v>
      </c>
      <c r="P1778" t="str">
        <f>TRIM(Table13_1[[#This Row],[Genre]])</f>
        <v>Western</v>
      </c>
    </row>
    <row r="1779" spans="1:16" x14ac:dyDescent="0.3">
      <c r="A1779" t="s">
        <v>3711</v>
      </c>
      <c r="B1779" t="s">
        <v>3712</v>
      </c>
      <c r="C1779">
        <v>2003</v>
      </c>
      <c r="D1779">
        <v>2000</v>
      </c>
      <c r="E1779" t="s">
        <v>54</v>
      </c>
      <c r="F1779">
        <v>138</v>
      </c>
      <c r="G1779" t="s">
        <v>3999</v>
      </c>
      <c r="H1779" t="s">
        <v>2547</v>
      </c>
      <c r="I1779" t="s">
        <v>103</v>
      </c>
      <c r="J1779" t="s">
        <v>3713</v>
      </c>
      <c r="K1779">
        <v>1298</v>
      </c>
      <c r="L1779">
        <v>371.58</v>
      </c>
      <c r="M1779">
        <v>371.58</v>
      </c>
      <c r="N1779" t="s">
        <v>3998</v>
      </c>
      <c r="O1779" t="s">
        <v>1044</v>
      </c>
      <c r="P1779" t="str">
        <f>TRIM(Table13_1[[#This Row],[Genre]])</f>
        <v>Comedy</v>
      </c>
    </row>
    <row r="1780" spans="1:16" x14ac:dyDescent="0.3">
      <c r="A1780" t="s">
        <v>3711</v>
      </c>
      <c r="B1780" t="s">
        <v>3712</v>
      </c>
      <c r="C1780">
        <v>2003</v>
      </c>
      <c r="D1780">
        <v>2000</v>
      </c>
      <c r="E1780" t="s">
        <v>54</v>
      </c>
      <c r="F1780">
        <v>138</v>
      </c>
      <c r="G1780" t="s">
        <v>3999</v>
      </c>
      <c r="H1780" t="s">
        <v>2547</v>
      </c>
      <c r="I1780" t="s">
        <v>103</v>
      </c>
      <c r="J1780" t="s">
        <v>3713</v>
      </c>
      <c r="K1780">
        <v>1298</v>
      </c>
      <c r="L1780">
        <v>371.58</v>
      </c>
      <c r="M1780">
        <v>371.58</v>
      </c>
      <c r="N1780" t="s">
        <v>3998</v>
      </c>
      <c r="O1780" t="s">
        <v>3980</v>
      </c>
      <c r="P1780" t="str">
        <f>TRIM(Table13_1[[#This Row],[Genre]])</f>
        <v>Action</v>
      </c>
    </row>
    <row r="1781" spans="1:16" x14ac:dyDescent="0.3">
      <c r="A1781" t="s">
        <v>3714</v>
      </c>
      <c r="B1781" t="s">
        <v>3715</v>
      </c>
      <c r="C1781">
        <v>2021</v>
      </c>
      <c r="D1781">
        <v>2020</v>
      </c>
      <c r="E1781" t="s">
        <v>24</v>
      </c>
      <c r="F1781">
        <v>101</v>
      </c>
      <c r="G1781" t="s">
        <v>3997</v>
      </c>
      <c r="H1781" t="s">
        <v>395</v>
      </c>
      <c r="I1781" t="s">
        <v>483</v>
      </c>
      <c r="J1781" t="s">
        <v>3717</v>
      </c>
      <c r="K1781">
        <v>22583</v>
      </c>
      <c r="M1781">
        <v>0</v>
      </c>
      <c r="N1781" t="s">
        <v>4001</v>
      </c>
      <c r="O1781" t="s">
        <v>277</v>
      </c>
      <c r="P1781" t="str">
        <f>TRIM(Table13_1[[#This Row],[Genre]])</f>
        <v>Thriller</v>
      </c>
    </row>
    <row r="1782" spans="1:16" x14ac:dyDescent="0.3">
      <c r="A1782" t="s">
        <v>3714</v>
      </c>
      <c r="B1782" t="s">
        <v>3715</v>
      </c>
      <c r="C1782">
        <v>2021</v>
      </c>
      <c r="D1782">
        <v>2020</v>
      </c>
      <c r="E1782" t="s">
        <v>24</v>
      </c>
      <c r="F1782">
        <v>101</v>
      </c>
      <c r="G1782" t="s">
        <v>3997</v>
      </c>
      <c r="H1782" t="s">
        <v>395</v>
      </c>
      <c r="I1782" t="s">
        <v>483</v>
      </c>
      <c r="J1782" t="s">
        <v>3717</v>
      </c>
      <c r="K1782">
        <v>22583</v>
      </c>
      <c r="M1782">
        <v>0</v>
      </c>
      <c r="N1782" t="s">
        <v>4001</v>
      </c>
      <c r="O1782" t="s">
        <v>3980</v>
      </c>
      <c r="P1782" t="str">
        <f>TRIM(Table13_1[[#This Row],[Genre]])</f>
        <v>Action</v>
      </c>
    </row>
    <row r="1783" spans="1:16" x14ac:dyDescent="0.3">
      <c r="A1783" t="s">
        <v>3714</v>
      </c>
      <c r="B1783" t="s">
        <v>3715</v>
      </c>
      <c r="C1783">
        <v>2021</v>
      </c>
      <c r="D1783">
        <v>2020</v>
      </c>
      <c r="E1783" t="s">
        <v>24</v>
      </c>
      <c r="F1783">
        <v>101</v>
      </c>
      <c r="G1783" t="s">
        <v>3997</v>
      </c>
      <c r="H1783" t="s">
        <v>395</v>
      </c>
      <c r="I1783" t="s">
        <v>483</v>
      </c>
      <c r="J1783" t="s">
        <v>3717</v>
      </c>
      <c r="K1783">
        <v>22583</v>
      </c>
      <c r="M1783">
        <v>0</v>
      </c>
      <c r="N1783" t="s">
        <v>4001</v>
      </c>
      <c r="O1783" t="s">
        <v>3989</v>
      </c>
      <c r="P1783" t="str">
        <f>TRIM(Table13_1[[#This Row],[Genre]])</f>
        <v>Sci-Fi</v>
      </c>
    </row>
    <row r="1784" spans="1:16" x14ac:dyDescent="0.3">
      <c r="A1784" t="s">
        <v>3718</v>
      </c>
      <c r="B1784" t="s">
        <v>3719</v>
      </c>
      <c r="C1784">
        <v>2014</v>
      </c>
      <c r="D1784">
        <v>2010</v>
      </c>
      <c r="E1784" t="s">
        <v>24</v>
      </c>
      <c r="F1784">
        <v>118</v>
      </c>
      <c r="G1784" t="s">
        <v>3997</v>
      </c>
      <c r="H1784" t="s">
        <v>3721</v>
      </c>
      <c r="I1784" t="s">
        <v>80</v>
      </c>
      <c r="J1784" t="s">
        <v>3722</v>
      </c>
      <c r="K1784">
        <v>15021</v>
      </c>
      <c r="M1784">
        <v>0</v>
      </c>
      <c r="N1784" t="s">
        <v>4001</v>
      </c>
      <c r="O1784" t="s">
        <v>37</v>
      </c>
      <c r="P1784" t="str">
        <f>TRIM(Table13_1[[#This Row],[Genre]])</f>
        <v>Biography</v>
      </c>
    </row>
    <row r="1785" spans="1:16" x14ac:dyDescent="0.3">
      <c r="A1785" t="s">
        <v>3718</v>
      </c>
      <c r="B1785" t="s">
        <v>3719</v>
      </c>
      <c r="C1785">
        <v>2014</v>
      </c>
      <c r="D1785">
        <v>2010</v>
      </c>
      <c r="E1785" t="s">
        <v>24</v>
      </c>
      <c r="F1785">
        <v>118</v>
      </c>
      <c r="G1785" t="s">
        <v>3997</v>
      </c>
      <c r="H1785" t="s">
        <v>3721</v>
      </c>
      <c r="I1785" t="s">
        <v>80</v>
      </c>
      <c r="J1785" t="s">
        <v>3722</v>
      </c>
      <c r="K1785">
        <v>15021</v>
      </c>
      <c r="M1785">
        <v>0</v>
      </c>
      <c r="N1785" t="s">
        <v>4001</v>
      </c>
      <c r="O1785" t="s">
        <v>3978</v>
      </c>
      <c r="P1785" t="str">
        <f>TRIM(Table13_1[[#This Row],[Genre]])</f>
        <v>Mystery</v>
      </c>
    </row>
    <row r="1786" spans="1:16" x14ac:dyDescent="0.3">
      <c r="A1786" t="s">
        <v>3718</v>
      </c>
      <c r="B1786" t="s">
        <v>3719</v>
      </c>
      <c r="C1786">
        <v>2014</v>
      </c>
      <c r="D1786">
        <v>2010</v>
      </c>
      <c r="E1786" t="s">
        <v>24</v>
      </c>
      <c r="F1786">
        <v>118</v>
      </c>
      <c r="G1786" t="s">
        <v>3997</v>
      </c>
      <c r="H1786" t="s">
        <v>3721</v>
      </c>
      <c r="I1786" t="s">
        <v>80</v>
      </c>
      <c r="J1786" t="s">
        <v>3722</v>
      </c>
      <c r="K1786">
        <v>15021</v>
      </c>
      <c r="M1786">
        <v>0</v>
      </c>
      <c r="N1786" t="s">
        <v>4001</v>
      </c>
      <c r="O1786" t="s">
        <v>3993</v>
      </c>
      <c r="P1786" t="str">
        <f>TRIM(Table13_1[[#This Row],[Genre]])</f>
        <v>Comedy</v>
      </c>
    </row>
    <row r="1787" spans="1:16" x14ac:dyDescent="0.3">
      <c r="A1787" t="s">
        <v>3723</v>
      </c>
      <c r="B1787" t="s">
        <v>3724</v>
      </c>
      <c r="C1787">
        <v>1998</v>
      </c>
      <c r="D1787">
        <v>1990</v>
      </c>
      <c r="E1787" t="s">
        <v>54</v>
      </c>
      <c r="F1787">
        <v>158</v>
      </c>
      <c r="G1787" t="s">
        <v>3999</v>
      </c>
      <c r="H1787" t="s">
        <v>220</v>
      </c>
      <c r="I1787" t="s">
        <v>368</v>
      </c>
      <c r="J1787" t="s">
        <v>3726</v>
      </c>
      <c r="K1787">
        <v>139309</v>
      </c>
      <c r="L1787">
        <v>44.74</v>
      </c>
      <c r="M1787">
        <v>44.74</v>
      </c>
      <c r="N1787" t="s">
        <v>4001</v>
      </c>
      <c r="O1787" t="s">
        <v>606</v>
      </c>
      <c r="P1787" t="str">
        <f>TRIM(Table13_1[[#This Row],[Genre]])</f>
        <v>Sci-Fi</v>
      </c>
    </row>
    <row r="1788" spans="1:16" x14ac:dyDescent="0.3">
      <c r="A1788" t="s">
        <v>3723</v>
      </c>
      <c r="B1788" t="s">
        <v>3724</v>
      </c>
      <c r="C1788">
        <v>1998</v>
      </c>
      <c r="D1788">
        <v>1990</v>
      </c>
      <c r="E1788" t="s">
        <v>54</v>
      </c>
      <c r="F1788">
        <v>158</v>
      </c>
      <c r="G1788" t="s">
        <v>3999</v>
      </c>
      <c r="H1788" t="s">
        <v>220</v>
      </c>
      <c r="I1788" t="s">
        <v>368</v>
      </c>
      <c r="J1788" t="s">
        <v>3726</v>
      </c>
      <c r="K1788">
        <v>139309</v>
      </c>
      <c r="L1788">
        <v>44.74</v>
      </c>
      <c r="M1788">
        <v>44.74</v>
      </c>
      <c r="N1788" t="s">
        <v>4001</v>
      </c>
      <c r="O1788" t="s">
        <v>3980</v>
      </c>
      <c r="P1788" t="str">
        <f>TRIM(Table13_1[[#This Row],[Genre]])</f>
        <v>Action</v>
      </c>
    </row>
    <row r="1789" spans="1:16" x14ac:dyDescent="0.3">
      <c r="A1789" t="s">
        <v>3727</v>
      </c>
      <c r="B1789" t="s">
        <v>3728</v>
      </c>
      <c r="C1789">
        <v>2014</v>
      </c>
      <c r="D1789">
        <v>2010</v>
      </c>
      <c r="E1789" t="s">
        <v>54</v>
      </c>
      <c r="F1789">
        <v>105</v>
      </c>
      <c r="G1789" t="s">
        <v>3997</v>
      </c>
      <c r="H1789" t="s">
        <v>2868</v>
      </c>
      <c r="I1789" t="s">
        <v>191</v>
      </c>
      <c r="J1789" t="s">
        <v>3729</v>
      </c>
      <c r="K1789">
        <v>5796</v>
      </c>
      <c r="L1789">
        <v>255.32</v>
      </c>
      <c r="M1789">
        <v>255.32</v>
      </c>
      <c r="N1789" t="s">
        <v>3998</v>
      </c>
      <c r="O1789" t="s">
        <v>375</v>
      </c>
      <c r="P1789" t="str">
        <f>TRIM(Table13_1[[#This Row],[Genre]])</f>
        <v>Family</v>
      </c>
    </row>
    <row r="1790" spans="1:16" x14ac:dyDescent="0.3">
      <c r="A1790" t="s">
        <v>3730</v>
      </c>
      <c r="B1790" t="s">
        <v>3731</v>
      </c>
      <c r="C1790">
        <v>2000</v>
      </c>
      <c r="D1790">
        <v>2000</v>
      </c>
      <c r="E1790" t="s">
        <v>293</v>
      </c>
      <c r="F1790">
        <v>129</v>
      </c>
      <c r="G1790" t="s">
        <v>3999</v>
      </c>
      <c r="H1790" t="s">
        <v>435</v>
      </c>
      <c r="I1790" t="s">
        <v>547</v>
      </c>
      <c r="J1790" t="s">
        <v>3733</v>
      </c>
      <c r="K1790">
        <v>103930</v>
      </c>
      <c r="L1790">
        <v>189.98</v>
      </c>
      <c r="M1790">
        <v>189.98</v>
      </c>
      <c r="N1790" t="s">
        <v>4002</v>
      </c>
      <c r="O1790" t="s">
        <v>453</v>
      </c>
      <c r="P1790" t="str">
        <f>TRIM(Table13_1[[#This Row],[Genre]])</f>
        <v>Musical</v>
      </c>
    </row>
    <row r="1791" spans="1:16" x14ac:dyDescent="0.3">
      <c r="A1791" t="s">
        <v>3730</v>
      </c>
      <c r="B1791" t="s">
        <v>3731</v>
      </c>
      <c r="C1791">
        <v>2000</v>
      </c>
      <c r="D1791">
        <v>2000</v>
      </c>
      <c r="E1791" t="s">
        <v>293</v>
      </c>
      <c r="F1791">
        <v>129</v>
      </c>
      <c r="G1791" t="s">
        <v>3999</v>
      </c>
      <c r="H1791" t="s">
        <v>435</v>
      </c>
      <c r="I1791" t="s">
        <v>547</v>
      </c>
      <c r="J1791" t="s">
        <v>3733</v>
      </c>
      <c r="K1791">
        <v>103930</v>
      </c>
      <c r="L1791">
        <v>189.98</v>
      </c>
      <c r="M1791">
        <v>189.98</v>
      </c>
      <c r="N1791" t="s">
        <v>4002</v>
      </c>
      <c r="O1791" t="s">
        <v>3979</v>
      </c>
      <c r="P1791" t="str">
        <f>TRIM(Table13_1[[#This Row],[Genre]])</f>
        <v>War</v>
      </c>
    </row>
    <row r="1792" spans="1:16" x14ac:dyDescent="0.3">
      <c r="A1792" t="s">
        <v>3734</v>
      </c>
      <c r="B1792" t="s">
        <v>3735</v>
      </c>
      <c r="C1792">
        <v>2011</v>
      </c>
      <c r="D1792">
        <v>2010</v>
      </c>
      <c r="E1792" t="s">
        <v>54</v>
      </c>
      <c r="F1792">
        <v>112</v>
      </c>
      <c r="G1792" t="s">
        <v>3997</v>
      </c>
      <c r="H1792" t="s">
        <v>1155</v>
      </c>
      <c r="I1792" t="s">
        <v>74</v>
      </c>
      <c r="J1792" t="s">
        <v>3737</v>
      </c>
      <c r="K1792">
        <v>61293</v>
      </c>
      <c r="M1792">
        <v>0</v>
      </c>
      <c r="N1792" t="s">
        <v>4001</v>
      </c>
      <c r="O1792" t="s">
        <v>72</v>
      </c>
      <c r="P1792" t="str">
        <f>TRIM(Table13_1[[#This Row],[Genre]])</f>
        <v>War</v>
      </c>
    </row>
    <row r="1793" spans="1:16" x14ac:dyDescent="0.3">
      <c r="A1793" t="s">
        <v>3734</v>
      </c>
      <c r="B1793" t="s">
        <v>3735</v>
      </c>
      <c r="C1793">
        <v>2011</v>
      </c>
      <c r="D1793">
        <v>2010</v>
      </c>
      <c r="E1793" t="s">
        <v>54</v>
      </c>
      <c r="F1793">
        <v>112</v>
      </c>
      <c r="G1793" t="s">
        <v>3997</v>
      </c>
      <c r="H1793" t="s">
        <v>1155</v>
      </c>
      <c r="I1793" t="s">
        <v>74</v>
      </c>
      <c r="J1793" t="s">
        <v>3737</v>
      </c>
      <c r="K1793">
        <v>61293</v>
      </c>
      <c r="M1793">
        <v>0</v>
      </c>
      <c r="N1793" t="s">
        <v>4001</v>
      </c>
      <c r="O1793" t="s">
        <v>3980</v>
      </c>
      <c r="P1793" t="str">
        <f>TRIM(Table13_1[[#This Row],[Genre]])</f>
        <v>Action</v>
      </c>
    </row>
    <row r="1794" spans="1:16" x14ac:dyDescent="0.3">
      <c r="A1794" t="s">
        <v>3738</v>
      </c>
      <c r="B1794" t="s">
        <v>3739</v>
      </c>
      <c r="C1794">
        <v>1996</v>
      </c>
      <c r="D1794">
        <v>1990</v>
      </c>
      <c r="E1794" t="s">
        <v>17</v>
      </c>
      <c r="F1794">
        <v>124</v>
      </c>
      <c r="G1794" t="s">
        <v>3999</v>
      </c>
      <c r="H1794" t="s">
        <v>278</v>
      </c>
      <c r="I1794" t="s">
        <v>608</v>
      </c>
      <c r="J1794" t="s">
        <v>3740</v>
      </c>
      <c r="K1794">
        <v>7250</v>
      </c>
      <c r="M1794">
        <v>0</v>
      </c>
      <c r="N1794" t="s">
        <v>4001</v>
      </c>
      <c r="O1794" t="s">
        <v>277</v>
      </c>
      <c r="P1794" t="str">
        <f>TRIM(Table13_1[[#This Row],[Genre]])</f>
        <v>Thriller</v>
      </c>
    </row>
    <row r="1795" spans="1:16" x14ac:dyDescent="0.3">
      <c r="A1795" t="s">
        <v>3738</v>
      </c>
      <c r="B1795" t="s">
        <v>3739</v>
      </c>
      <c r="C1795">
        <v>1996</v>
      </c>
      <c r="D1795">
        <v>1990</v>
      </c>
      <c r="E1795" t="s">
        <v>17</v>
      </c>
      <c r="F1795">
        <v>124</v>
      </c>
      <c r="G1795" t="s">
        <v>3999</v>
      </c>
      <c r="H1795" t="s">
        <v>278</v>
      </c>
      <c r="I1795" t="s">
        <v>608</v>
      </c>
      <c r="J1795" t="s">
        <v>3740</v>
      </c>
      <c r="K1795">
        <v>7250</v>
      </c>
      <c r="M1795">
        <v>0</v>
      </c>
      <c r="N1795" t="s">
        <v>4001</v>
      </c>
      <c r="O1795" t="s">
        <v>3988</v>
      </c>
      <c r="P1795" t="str">
        <f>TRIM(Table13_1[[#This Row],[Genre]])</f>
        <v>Drama</v>
      </c>
    </row>
    <row r="1796" spans="1:16" x14ac:dyDescent="0.3">
      <c r="A1796" t="s">
        <v>3741</v>
      </c>
      <c r="B1796" t="s">
        <v>3742</v>
      </c>
      <c r="C1796">
        <v>2002</v>
      </c>
      <c r="D1796">
        <v>2000</v>
      </c>
      <c r="E1796" t="s">
        <v>17</v>
      </c>
      <c r="F1796">
        <v>122</v>
      </c>
      <c r="G1796" t="s">
        <v>3999</v>
      </c>
      <c r="H1796" t="s">
        <v>561</v>
      </c>
      <c r="I1796" t="s">
        <v>119</v>
      </c>
      <c r="J1796" t="s">
        <v>3743</v>
      </c>
      <c r="K1796">
        <v>237718</v>
      </c>
      <c r="L1796">
        <v>438.34</v>
      </c>
      <c r="M1796">
        <v>438.34</v>
      </c>
      <c r="N1796" t="s">
        <v>3998</v>
      </c>
      <c r="O1796" t="s">
        <v>37</v>
      </c>
      <c r="P1796" t="str">
        <f>TRIM(Table13_1[[#This Row],[Genre]])</f>
        <v>Biography</v>
      </c>
    </row>
    <row r="1797" spans="1:16" x14ac:dyDescent="0.3">
      <c r="A1797" t="s">
        <v>3741</v>
      </c>
      <c r="B1797" t="s">
        <v>3742</v>
      </c>
      <c r="C1797">
        <v>2002</v>
      </c>
      <c r="D1797">
        <v>2000</v>
      </c>
      <c r="E1797" t="s">
        <v>17</v>
      </c>
      <c r="F1797">
        <v>122</v>
      </c>
      <c r="G1797" t="s">
        <v>3999</v>
      </c>
      <c r="H1797" t="s">
        <v>561</v>
      </c>
      <c r="I1797" t="s">
        <v>119</v>
      </c>
      <c r="J1797" t="s">
        <v>3743</v>
      </c>
      <c r="K1797">
        <v>237718</v>
      </c>
      <c r="L1797">
        <v>438.34</v>
      </c>
      <c r="M1797">
        <v>438.34</v>
      </c>
      <c r="N1797" t="s">
        <v>3998</v>
      </c>
      <c r="O1797" t="s">
        <v>3990</v>
      </c>
      <c r="P1797" t="str">
        <f>TRIM(Table13_1[[#This Row],[Genre]])</f>
        <v>Western</v>
      </c>
    </row>
    <row r="1798" spans="1:16" x14ac:dyDescent="0.3">
      <c r="A1798" t="s">
        <v>3744</v>
      </c>
      <c r="B1798" t="s">
        <v>3745</v>
      </c>
      <c r="C1798">
        <v>2003</v>
      </c>
      <c r="D1798">
        <v>2000</v>
      </c>
      <c r="E1798" t="s">
        <v>24</v>
      </c>
      <c r="F1798">
        <v>106</v>
      </c>
      <c r="G1798" t="s">
        <v>3997</v>
      </c>
      <c r="H1798" t="s">
        <v>201</v>
      </c>
      <c r="I1798" t="s">
        <v>137</v>
      </c>
      <c r="J1798" t="s">
        <v>3746</v>
      </c>
      <c r="K1798">
        <v>52856</v>
      </c>
      <c r="L1798">
        <v>131.13</v>
      </c>
      <c r="M1798">
        <v>131.13</v>
      </c>
      <c r="N1798" t="s">
        <v>4002</v>
      </c>
      <c r="O1798" t="s">
        <v>235</v>
      </c>
      <c r="P1798" t="str">
        <f>TRIM(Table13_1[[#This Row],[Genre]])</f>
        <v>Drama</v>
      </c>
    </row>
    <row r="1799" spans="1:16" x14ac:dyDescent="0.3">
      <c r="A1799" t="s">
        <v>3747</v>
      </c>
      <c r="B1799" t="s">
        <v>3748</v>
      </c>
      <c r="C1799">
        <v>2013</v>
      </c>
      <c r="D1799">
        <v>2010</v>
      </c>
      <c r="E1799" t="s">
        <v>17</v>
      </c>
      <c r="F1799">
        <v>165</v>
      </c>
      <c r="G1799" t="s">
        <v>3999</v>
      </c>
      <c r="H1799" t="s">
        <v>102</v>
      </c>
      <c r="I1799" t="s">
        <v>718</v>
      </c>
      <c r="J1799" t="s">
        <v>3749</v>
      </c>
      <c r="K1799">
        <v>5074</v>
      </c>
      <c r="M1799">
        <v>0</v>
      </c>
      <c r="N1799" t="s">
        <v>4001</v>
      </c>
      <c r="O1799" t="s">
        <v>868</v>
      </c>
      <c r="P1799" t="str">
        <f>TRIM(Table13_1[[#This Row],[Genre]])</f>
        <v>Western</v>
      </c>
    </row>
    <row r="1800" spans="1:16" x14ac:dyDescent="0.3">
      <c r="A1800" t="s">
        <v>3747</v>
      </c>
      <c r="B1800" t="s">
        <v>3748</v>
      </c>
      <c r="C1800">
        <v>2013</v>
      </c>
      <c r="D1800">
        <v>2010</v>
      </c>
      <c r="E1800" t="s">
        <v>17</v>
      </c>
      <c r="F1800">
        <v>165</v>
      </c>
      <c r="G1800" t="s">
        <v>3999</v>
      </c>
      <c r="H1800" t="s">
        <v>102</v>
      </c>
      <c r="I1800" t="s">
        <v>718</v>
      </c>
      <c r="J1800" t="s">
        <v>3749</v>
      </c>
      <c r="K1800">
        <v>5074</v>
      </c>
      <c r="M1800">
        <v>0</v>
      </c>
      <c r="N1800" t="s">
        <v>4001</v>
      </c>
      <c r="O1800" t="s">
        <v>3993</v>
      </c>
      <c r="P1800" t="str">
        <f>TRIM(Table13_1[[#This Row],[Genre]])</f>
        <v>Comedy</v>
      </c>
    </row>
    <row r="1801" spans="1:16" x14ac:dyDescent="0.3">
      <c r="A1801" t="s">
        <v>3750</v>
      </c>
      <c r="B1801" t="s">
        <v>3751</v>
      </c>
      <c r="C1801">
        <v>2010</v>
      </c>
      <c r="D1801">
        <v>2010</v>
      </c>
      <c r="E1801" t="s">
        <v>293</v>
      </c>
      <c r="F1801">
        <v>98</v>
      </c>
      <c r="G1801" t="s">
        <v>3997</v>
      </c>
      <c r="H1801" t="s">
        <v>130</v>
      </c>
      <c r="I1801" t="s">
        <v>74</v>
      </c>
      <c r="J1801" t="s">
        <v>3752</v>
      </c>
      <c r="K1801">
        <v>654585</v>
      </c>
      <c r="M1801">
        <v>0</v>
      </c>
      <c r="N1801" t="s">
        <v>4001</v>
      </c>
      <c r="O1801" t="s">
        <v>129</v>
      </c>
      <c r="P1801" t="str">
        <f>TRIM(Table13_1[[#This Row],[Genre]])</f>
        <v>Horror</v>
      </c>
    </row>
    <row r="1802" spans="1:16" x14ac:dyDescent="0.3">
      <c r="A1802" t="s">
        <v>3753</v>
      </c>
      <c r="B1802" t="s">
        <v>3754</v>
      </c>
      <c r="C1802">
        <v>2018</v>
      </c>
      <c r="D1802">
        <v>2010</v>
      </c>
      <c r="E1802" t="s">
        <v>24</v>
      </c>
      <c r="F1802">
        <v>138</v>
      </c>
      <c r="G1802" t="s">
        <v>3999</v>
      </c>
      <c r="H1802" t="s">
        <v>124</v>
      </c>
      <c r="I1802" t="s">
        <v>103</v>
      </c>
      <c r="J1802" t="s">
        <v>3755</v>
      </c>
      <c r="K1802">
        <v>4267</v>
      </c>
      <c r="L1802">
        <v>462.3</v>
      </c>
      <c r="M1802">
        <v>462.3</v>
      </c>
      <c r="N1802" t="s">
        <v>3998</v>
      </c>
      <c r="O1802" t="s">
        <v>230</v>
      </c>
      <c r="P1802" t="str">
        <f>TRIM(Table13_1[[#This Row],[Genre]])</f>
        <v>Documentary</v>
      </c>
    </row>
    <row r="1803" spans="1:16" x14ac:dyDescent="0.3">
      <c r="A1803" t="s">
        <v>3753</v>
      </c>
      <c r="B1803" t="s">
        <v>3754</v>
      </c>
      <c r="C1803">
        <v>2018</v>
      </c>
      <c r="D1803">
        <v>2010</v>
      </c>
      <c r="E1803" t="s">
        <v>24</v>
      </c>
      <c r="F1803">
        <v>138</v>
      </c>
      <c r="G1803" t="s">
        <v>3999</v>
      </c>
      <c r="H1803" t="s">
        <v>124</v>
      </c>
      <c r="I1803" t="s">
        <v>103</v>
      </c>
      <c r="J1803" t="s">
        <v>3755</v>
      </c>
      <c r="K1803">
        <v>4267</v>
      </c>
      <c r="L1803">
        <v>462.3</v>
      </c>
      <c r="M1803">
        <v>462.3</v>
      </c>
      <c r="N1803" t="s">
        <v>3998</v>
      </c>
      <c r="O1803" t="s">
        <v>3980</v>
      </c>
      <c r="P1803" t="str">
        <f>TRIM(Table13_1[[#This Row],[Genre]])</f>
        <v>Action</v>
      </c>
    </row>
    <row r="1804" spans="1:16" x14ac:dyDescent="0.3">
      <c r="A1804" t="s">
        <v>3753</v>
      </c>
      <c r="B1804" t="s">
        <v>3754</v>
      </c>
      <c r="C1804">
        <v>2018</v>
      </c>
      <c r="D1804">
        <v>2010</v>
      </c>
      <c r="E1804" t="s">
        <v>24</v>
      </c>
      <c r="F1804">
        <v>138</v>
      </c>
      <c r="G1804" t="s">
        <v>3999</v>
      </c>
      <c r="H1804" t="s">
        <v>124</v>
      </c>
      <c r="I1804" t="s">
        <v>103</v>
      </c>
      <c r="J1804" t="s">
        <v>3755</v>
      </c>
      <c r="K1804">
        <v>4267</v>
      </c>
      <c r="L1804">
        <v>462.3</v>
      </c>
      <c r="M1804">
        <v>462.3</v>
      </c>
      <c r="N1804" t="s">
        <v>3998</v>
      </c>
      <c r="O1804" t="s">
        <v>3990</v>
      </c>
      <c r="P1804" t="str">
        <f>TRIM(Table13_1[[#This Row],[Genre]])</f>
        <v>Western</v>
      </c>
    </row>
    <row r="1805" spans="1:16" x14ac:dyDescent="0.3">
      <c r="A1805" t="s">
        <v>3756</v>
      </c>
      <c r="B1805" t="s">
        <v>3757</v>
      </c>
      <c r="C1805">
        <v>2013</v>
      </c>
      <c r="D1805">
        <v>2010</v>
      </c>
      <c r="E1805" t="s">
        <v>17</v>
      </c>
      <c r="F1805">
        <v>143</v>
      </c>
      <c r="G1805" t="s">
        <v>3999</v>
      </c>
      <c r="H1805" t="s">
        <v>1709</v>
      </c>
      <c r="I1805" t="s">
        <v>137</v>
      </c>
      <c r="J1805" t="s">
        <v>3758</v>
      </c>
      <c r="K1805">
        <v>25890</v>
      </c>
      <c r="L1805">
        <v>192.69</v>
      </c>
      <c r="M1805">
        <v>192.69</v>
      </c>
      <c r="N1805" t="s">
        <v>4002</v>
      </c>
      <c r="O1805" t="s">
        <v>37</v>
      </c>
      <c r="P1805" t="str">
        <f>TRIM(Table13_1[[#This Row],[Genre]])</f>
        <v>Biography</v>
      </c>
    </row>
    <row r="1806" spans="1:16" x14ac:dyDescent="0.3">
      <c r="A1806" t="s">
        <v>3759</v>
      </c>
      <c r="B1806" t="s">
        <v>3760</v>
      </c>
      <c r="C1806">
        <v>1988</v>
      </c>
      <c r="D1806">
        <v>1980</v>
      </c>
      <c r="E1806" t="s">
        <v>54</v>
      </c>
      <c r="F1806">
        <v>73</v>
      </c>
      <c r="G1806" t="s">
        <v>4000</v>
      </c>
      <c r="H1806" t="s">
        <v>1363</v>
      </c>
      <c r="I1806" t="s">
        <v>57</v>
      </c>
      <c r="J1806" t="s">
        <v>3761</v>
      </c>
      <c r="K1806">
        <v>279144</v>
      </c>
      <c r="L1806">
        <v>219.05</v>
      </c>
      <c r="M1806">
        <v>219.05</v>
      </c>
      <c r="N1806" t="s">
        <v>3998</v>
      </c>
      <c r="O1806" t="s">
        <v>43</v>
      </c>
      <c r="P1806" t="str">
        <f>TRIM(Table13_1[[#This Row],[Genre]])</f>
        <v>Mystery</v>
      </c>
    </row>
    <row r="1807" spans="1:16" x14ac:dyDescent="0.3">
      <c r="A1807" t="s">
        <v>3759</v>
      </c>
      <c r="B1807" t="s">
        <v>3760</v>
      </c>
      <c r="C1807">
        <v>1988</v>
      </c>
      <c r="D1807">
        <v>1980</v>
      </c>
      <c r="E1807" t="s">
        <v>54</v>
      </c>
      <c r="F1807">
        <v>73</v>
      </c>
      <c r="G1807" t="s">
        <v>4000</v>
      </c>
      <c r="H1807" t="s">
        <v>1363</v>
      </c>
      <c r="I1807" t="s">
        <v>57</v>
      </c>
      <c r="J1807" t="s">
        <v>3761</v>
      </c>
      <c r="K1807">
        <v>279144</v>
      </c>
      <c r="L1807">
        <v>219.05</v>
      </c>
      <c r="M1807">
        <v>219.05</v>
      </c>
      <c r="N1807" t="s">
        <v>3998</v>
      </c>
      <c r="O1807" t="s">
        <v>3992</v>
      </c>
      <c r="P1807" t="str">
        <f>TRIM(Table13_1[[#This Row],[Genre]])</f>
        <v>Biography</v>
      </c>
    </row>
    <row r="1808" spans="1:16" x14ac:dyDescent="0.3">
      <c r="A1808" t="s">
        <v>3762</v>
      </c>
      <c r="B1808" t="s">
        <v>3763</v>
      </c>
      <c r="C1808">
        <v>2005</v>
      </c>
      <c r="D1808">
        <v>2000</v>
      </c>
      <c r="E1808" t="s">
        <v>54</v>
      </c>
      <c r="F1808">
        <v>149</v>
      </c>
      <c r="G1808" t="s">
        <v>3999</v>
      </c>
      <c r="H1808" t="s">
        <v>1619</v>
      </c>
      <c r="I1808" t="s">
        <v>63</v>
      </c>
      <c r="J1808" t="s">
        <v>3765</v>
      </c>
      <c r="K1808">
        <v>17279</v>
      </c>
      <c r="L1808">
        <v>166.41</v>
      </c>
      <c r="M1808">
        <v>166.41</v>
      </c>
      <c r="N1808" t="s">
        <v>4002</v>
      </c>
      <c r="O1808" t="s">
        <v>453</v>
      </c>
      <c r="P1808" t="str">
        <f>TRIM(Table13_1[[#This Row],[Genre]])</f>
        <v>Musical</v>
      </c>
    </row>
    <row r="1809" spans="1:16" x14ac:dyDescent="0.3">
      <c r="A1809" t="s">
        <v>3762</v>
      </c>
      <c r="B1809" t="s">
        <v>3763</v>
      </c>
      <c r="C1809">
        <v>2005</v>
      </c>
      <c r="D1809">
        <v>2000</v>
      </c>
      <c r="E1809" t="s">
        <v>54</v>
      </c>
      <c r="F1809">
        <v>149</v>
      </c>
      <c r="G1809" t="s">
        <v>3999</v>
      </c>
      <c r="H1809" t="s">
        <v>1619</v>
      </c>
      <c r="I1809" t="s">
        <v>63</v>
      </c>
      <c r="J1809" t="s">
        <v>3765</v>
      </c>
      <c r="K1809">
        <v>17279</v>
      </c>
      <c r="L1809">
        <v>166.41</v>
      </c>
      <c r="M1809">
        <v>166.41</v>
      </c>
      <c r="N1809" t="s">
        <v>4002</v>
      </c>
      <c r="O1809" t="s">
        <v>3982</v>
      </c>
      <c r="P1809" t="str">
        <f>TRIM(Table13_1[[#This Row],[Genre]])</f>
        <v>Family</v>
      </c>
    </row>
    <row r="1810" spans="1:16" x14ac:dyDescent="0.3">
      <c r="A1810" t="s">
        <v>3762</v>
      </c>
      <c r="B1810" t="s">
        <v>3763</v>
      </c>
      <c r="C1810">
        <v>2005</v>
      </c>
      <c r="D1810">
        <v>2000</v>
      </c>
      <c r="E1810" t="s">
        <v>54</v>
      </c>
      <c r="F1810">
        <v>149</v>
      </c>
      <c r="G1810" t="s">
        <v>3999</v>
      </c>
      <c r="H1810" t="s">
        <v>1619</v>
      </c>
      <c r="I1810" t="s">
        <v>63</v>
      </c>
      <c r="J1810" t="s">
        <v>3765</v>
      </c>
      <c r="K1810">
        <v>17279</v>
      </c>
      <c r="L1810">
        <v>166.41</v>
      </c>
      <c r="M1810">
        <v>166.41</v>
      </c>
      <c r="N1810" t="s">
        <v>4002</v>
      </c>
      <c r="O1810" t="s">
        <v>3984</v>
      </c>
      <c r="P1810" t="str">
        <f>TRIM(Table13_1[[#This Row],[Genre]])</f>
        <v>Adventure</v>
      </c>
    </row>
    <row r="1811" spans="1:16" x14ac:dyDescent="0.3">
      <c r="A1811" t="s">
        <v>3766</v>
      </c>
      <c r="B1811" t="s">
        <v>3767</v>
      </c>
      <c r="C1811">
        <v>2010</v>
      </c>
      <c r="D1811">
        <v>2010</v>
      </c>
      <c r="E1811" t="s">
        <v>17</v>
      </c>
      <c r="F1811">
        <v>126</v>
      </c>
      <c r="G1811" t="s">
        <v>3999</v>
      </c>
      <c r="H1811" t="s">
        <v>320</v>
      </c>
      <c r="I1811" t="s">
        <v>103</v>
      </c>
      <c r="J1811" t="s">
        <v>3768</v>
      </c>
      <c r="K1811">
        <v>69079</v>
      </c>
      <c r="M1811">
        <v>0</v>
      </c>
      <c r="N1811" t="s">
        <v>4001</v>
      </c>
      <c r="O1811" t="s">
        <v>767</v>
      </c>
      <c r="P1811" t="str">
        <f>TRIM(Table13_1[[#This Row],[Genre]])</f>
        <v>Fantasy</v>
      </c>
    </row>
    <row r="1812" spans="1:16" x14ac:dyDescent="0.3">
      <c r="A1812" t="s">
        <v>3769</v>
      </c>
      <c r="B1812" t="s">
        <v>3770</v>
      </c>
      <c r="C1812">
        <v>2006</v>
      </c>
      <c r="D1812">
        <v>2000</v>
      </c>
      <c r="E1812" t="s">
        <v>54</v>
      </c>
      <c r="F1812">
        <v>133</v>
      </c>
      <c r="G1812" t="s">
        <v>3999</v>
      </c>
      <c r="H1812" t="s">
        <v>1207</v>
      </c>
      <c r="I1812" t="s">
        <v>326</v>
      </c>
      <c r="J1812" t="s">
        <v>3772</v>
      </c>
      <c r="K1812">
        <v>290082</v>
      </c>
      <c r="L1812">
        <v>161.81</v>
      </c>
      <c r="M1812">
        <v>161.81</v>
      </c>
      <c r="N1812" t="s">
        <v>4002</v>
      </c>
      <c r="O1812" t="s">
        <v>55</v>
      </c>
      <c r="P1812" t="str">
        <f>TRIM(Table13_1[[#This Row],[Genre]])</f>
        <v>Romance</v>
      </c>
    </row>
    <row r="1813" spans="1:16" x14ac:dyDescent="0.3">
      <c r="A1813" t="s">
        <v>3769</v>
      </c>
      <c r="B1813" t="s">
        <v>3770</v>
      </c>
      <c r="C1813">
        <v>2006</v>
      </c>
      <c r="D1813">
        <v>2000</v>
      </c>
      <c r="E1813" t="s">
        <v>54</v>
      </c>
      <c r="F1813">
        <v>133</v>
      </c>
      <c r="G1813" t="s">
        <v>3999</v>
      </c>
      <c r="H1813" t="s">
        <v>1207</v>
      </c>
      <c r="I1813" t="s">
        <v>326</v>
      </c>
      <c r="J1813" t="s">
        <v>3772</v>
      </c>
      <c r="K1813">
        <v>290082</v>
      </c>
      <c r="L1813">
        <v>161.81</v>
      </c>
      <c r="M1813">
        <v>161.81</v>
      </c>
      <c r="N1813" t="s">
        <v>4002</v>
      </c>
      <c r="O1813" t="s">
        <v>3978</v>
      </c>
      <c r="P1813" t="str">
        <f>TRIM(Table13_1[[#This Row],[Genre]])</f>
        <v>Mystery</v>
      </c>
    </row>
    <row r="1814" spans="1:16" x14ac:dyDescent="0.3">
      <c r="A1814" t="s">
        <v>3773</v>
      </c>
      <c r="B1814" t="s">
        <v>3774</v>
      </c>
      <c r="C1814">
        <v>1996</v>
      </c>
      <c r="D1814">
        <v>1990</v>
      </c>
      <c r="E1814" t="s">
        <v>17</v>
      </c>
      <c r="F1814">
        <v>144</v>
      </c>
      <c r="G1814" t="s">
        <v>3999</v>
      </c>
      <c r="H1814" t="s">
        <v>962</v>
      </c>
      <c r="I1814" t="s">
        <v>159</v>
      </c>
      <c r="J1814" t="s">
        <v>3775</v>
      </c>
      <c r="K1814">
        <v>24365</v>
      </c>
      <c r="M1814">
        <v>0</v>
      </c>
      <c r="N1814" t="s">
        <v>4001</v>
      </c>
      <c r="O1814" t="s">
        <v>767</v>
      </c>
      <c r="P1814" t="str">
        <f>TRIM(Table13_1[[#This Row],[Genre]])</f>
        <v>Fantasy</v>
      </c>
    </row>
    <row r="1815" spans="1:16" x14ac:dyDescent="0.3">
      <c r="A1815" t="s">
        <v>3773</v>
      </c>
      <c r="B1815" t="s">
        <v>3774</v>
      </c>
      <c r="C1815">
        <v>1996</v>
      </c>
      <c r="D1815">
        <v>1990</v>
      </c>
      <c r="E1815" t="s">
        <v>17</v>
      </c>
      <c r="F1815">
        <v>144</v>
      </c>
      <c r="G1815" t="s">
        <v>3999</v>
      </c>
      <c r="H1815" t="s">
        <v>962</v>
      </c>
      <c r="I1815" t="s">
        <v>159</v>
      </c>
      <c r="J1815" t="s">
        <v>3775</v>
      </c>
      <c r="K1815">
        <v>24365</v>
      </c>
      <c r="M1815">
        <v>0</v>
      </c>
      <c r="N1815" t="s">
        <v>4001</v>
      </c>
      <c r="O1815" t="s">
        <v>3978</v>
      </c>
      <c r="P1815" t="str">
        <f>TRIM(Table13_1[[#This Row],[Genre]])</f>
        <v>Mystery</v>
      </c>
    </row>
    <row r="1816" spans="1:16" x14ac:dyDescent="0.3">
      <c r="A1816" t="s">
        <v>3776</v>
      </c>
      <c r="B1816" t="s">
        <v>3777</v>
      </c>
      <c r="C1816">
        <v>1987</v>
      </c>
      <c r="D1816">
        <v>1980</v>
      </c>
      <c r="E1816" t="s">
        <v>24</v>
      </c>
      <c r="F1816">
        <v>97</v>
      </c>
      <c r="G1816" t="s">
        <v>3997</v>
      </c>
      <c r="H1816" t="s">
        <v>435</v>
      </c>
      <c r="I1816" t="s">
        <v>524</v>
      </c>
      <c r="J1816" t="s">
        <v>3778</v>
      </c>
      <c r="K1816">
        <v>244186</v>
      </c>
      <c r="M1816">
        <v>0</v>
      </c>
      <c r="N1816" t="s">
        <v>4001</v>
      </c>
      <c r="O1816" t="s">
        <v>453</v>
      </c>
      <c r="P1816" t="str">
        <f>TRIM(Table13_1[[#This Row],[Genre]])</f>
        <v>Musical</v>
      </c>
    </row>
    <row r="1817" spans="1:16" x14ac:dyDescent="0.3">
      <c r="A1817" t="s">
        <v>3776</v>
      </c>
      <c r="B1817" t="s">
        <v>3777</v>
      </c>
      <c r="C1817">
        <v>1987</v>
      </c>
      <c r="D1817">
        <v>1980</v>
      </c>
      <c r="E1817" t="s">
        <v>24</v>
      </c>
      <c r="F1817">
        <v>97</v>
      </c>
      <c r="G1817" t="s">
        <v>3997</v>
      </c>
      <c r="H1817" t="s">
        <v>435</v>
      </c>
      <c r="I1817" t="s">
        <v>524</v>
      </c>
      <c r="J1817" t="s">
        <v>3778</v>
      </c>
      <c r="K1817">
        <v>244186</v>
      </c>
      <c r="M1817">
        <v>0</v>
      </c>
      <c r="N1817" t="s">
        <v>4001</v>
      </c>
      <c r="O1817" t="s">
        <v>3992</v>
      </c>
      <c r="P1817" t="str">
        <f>TRIM(Table13_1[[#This Row],[Genre]])</f>
        <v>Biography</v>
      </c>
    </row>
    <row r="1818" spans="1:16" x14ac:dyDescent="0.3">
      <c r="A1818" t="s">
        <v>3779</v>
      </c>
      <c r="B1818" t="s">
        <v>3780</v>
      </c>
      <c r="C1818">
        <v>2017</v>
      </c>
      <c r="D1818">
        <v>2010</v>
      </c>
      <c r="E1818" t="s">
        <v>17</v>
      </c>
      <c r="F1818">
        <v>124</v>
      </c>
      <c r="G1818" t="s">
        <v>3999</v>
      </c>
      <c r="H1818" t="s">
        <v>566</v>
      </c>
      <c r="I1818" t="s">
        <v>147</v>
      </c>
      <c r="J1818" t="s">
        <v>3782</v>
      </c>
      <c r="K1818">
        <v>98353</v>
      </c>
      <c r="M1818">
        <v>0</v>
      </c>
      <c r="N1818" t="s">
        <v>4001</v>
      </c>
      <c r="O1818" t="s">
        <v>48</v>
      </c>
      <c r="P1818" t="str">
        <f>TRIM(Table13_1[[#This Row],[Genre]])</f>
        <v>Crime</v>
      </c>
    </row>
    <row r="1819" spans="1:16" x14ac:dyDescent="0.3">
      <c r="A1819" t="s">
        <v>3779</v>
      </c>
      <c r="B1819" t="s">
        <v>3780</v>
      </c>
      <c r="C1819">
        <v>2017</v>
      </c>
      <c r="D1819">
        <v>2010</v>
      </c>
      <c r="E1819" t="s">
        <v>17</v>
      </c>
      <c r="F1819">
        <v>124</v>
      </c>
      <c r="G1819" t="s">
        <v>3999</v>
      </c>
      <c r="H1819" t="s">
        <v>566</v>
      </c>
      <c r="I1819" t="s">
        <v>147</v>
      </c>
      <c r="J1819" t="s">
        <v>3782</v>
      </c>
      <c r="K1819">
        <v>98353</v>
      </c>
      <c r="M1819">
        <v>0</v>
      </c>
      <c r="N1819" t="s">
        <v>4001</v>
      </c>
      <c r="O1819" t="s">
        <v>3982</v>
      </c>
      <c r="P1819" t="str">
        <f>TRIM(Table13_1[[#This Row],[Genre]])</f>
        <v>Family</v>
      </c>
    </row>
    <row r="1820" spans="1:16" x14ac:dyDescent="0.3">
      <c r="A1820" t="s">
        <v>3783</v>
      </c>
      <c r="B1820" t="s">
        <v>3784</v>
      </c>
      <c r="C1820">
        <v>2000</v>
      </c>
      <c r="D1820">
        <v>2000</v>
      </c>
      <c r="E1820" t="s">
        <v>293</v>
      </c>
      <c r="F1820">
        <v>98</v>
      </c>
      <c r="G1820" t="s">
        <v>3997</v>
      </c>
      <c r="H1820" t="s">
        <v>3785</v>
      </c>
      <c r="I1820" t="s">
        <v>236</v>
      </c>
      <c r="J1820" t="s">
        <v>3786</v>
      </c>
      <c r="K1820">
        <v>21208</v>
      </c>
      <c r="L1820">
        <v>88.02</v>
      </c>
      <c r="M1820">
        <v>88.02</v>
      </c>
      <c r="N1820" t="s">
        <v>4001</v>
      </c>
      <c r="O1820" t="s">
        <v>72</v>
      </c>
      <c r="P1820" t="str">
        <f>TRIM(Table13_1[[#This Row],[Genre]])</f>
        <v>War</v>
      </c>
    </row>
    <row r="1821" spans="1:16" x14ac:dyDescent="0.3">
      <c r="A1821" t="s">
        <v>3783</v>
      </c>
      <c r="B1821" t="s">
        <v>3784</v>
      </c>
      <c r="C1821">
        <v>2000</v>
      </c>
      <c r="D1821">
        <v>2000</v>
      </c>
      <c r="E1821" t="s">
        <v>293</v>
      </c>
      <c r="F1821">
        <v>98</v>
      </c>
      <c r="G1821" t="s">
        <v>3997</v>
      </c>
      <c r="H1821" t="s">
        <v>3785</v>
      </c>
      <c r="I1821" t="s">
        <v>236</v>
      </c>
      <c r="J1821" t="s">
        <v>3786</v>
      </c>
      <c r="K1821">
        <v>21208</v>
      </c>
      <c r="L1821">
        <v>88.02</v>
      </c>
      <c r="M1821">
        <v>88.02</v>
      </c>
      <c r="N1821" t="s">
        <v>4001</v>
      </c>
      <c r="O1821" t="s">
        <v>3978</v>
      </c>
      <c r="P1821" t="str">
        <f>TRIM(Table13_1[[#This Row],[Genre]])</f>
        <v>Mystery</v>
      </c>
    </row>
    <row r="1822" spans="1:16" x14ac:dyDescent="0.3">
      <c r="A1822" t="s">
        <v>3787</v>
      </c>
      <c r="B1822" t="s">
        <v>3788</v>
      </c>
      <c r="C1822">
        <v>2006</v>
      </c>
      <c r="D1822">
        <v>2000</v>
      </c>
      <c r="E1822" t="s">
        <v>293</v>
      </c>
      <c r="F1822">
        <v>132</v>
      </c>
      <c r="G1822" t="s">
        <v>3999</v>
      </c>
      <c r="H1822" t="s">
        <v>3789</v>
      </c>
      <c r="I1822" t="s">
        <v>63</v>
      </c>
      <c r="J1822" t="s">
        <v>3790</v>
      </c>
      <c r="K1822">
        <v>20116</v>
      </c>
      <c r="L1822">
        <v>439.94</v>
      </c>
      <c r="M1822">
        <v>439.94</v>
      </c>
      <c r="N1822" t="s">
        <v>3998</v>
      </c>
      <c r="O1822" t="s">
        <v>55</v>
      </c>
      <c r="P1822" t="str">
        <f>TRIM(Table13_1[[#This Row],[Genre]])</f>
        <v>Romance</v>
      </c>
    </row>
    <row r="1823" spans="1:16" x14ac:dyDescent="0.3">
      <c r="A1823" t="s">
        <v>3791</v>
      </c>
      <c r="B1823" t="s">
        <v>3792</v>
      </c>
      <c r="C1823">
        <v>2001</v>
      </c>
      <c r="D1823">
        <v>2000</v>
      </c>
      <c r="E1823" t="s">
        <v>17</v>
      </c>
      <c r="F1823">
        <v>128</v>
      </c>
      <c r="G1823" t="s">
        <v>3999</v>
      </c>
      <c r="H1823" t="s">
        <v>3793</v>
      </c>
      <c r="I1823" t="s">
        <v>315</v>
      </c>
      <c r="J1823" t="s">
        <v>3794</v>
      </c>
      <c r="K1823">
        <v>11046</v>
      </c>
      <c r="M1823">
        <v>0</v>
      </c>
      <c r="N1823" t="s">
        <v>4001</v>
      </c>
      <c r="O1823" t="s">
        <v>48</v>
      </c>
      <c r="P1823" t="str">
        <f>TRIM(Table13_1[[#This Row],[Genre]])</f>
        <v>Crime</v>
      </c>
    </row>
    <row r="1824" spans="1:16" x14ac:dyDescent="0.3">
      <c r="A1824" t="s">
        <v>3791</v>
      </c>
      <c r="B1824" t="s">
        <v>3792</v>
      </c>
      <c r="C1824">
        <v>2001</v>
      </c>
      <c r="D1824">
        <v>2000</v>
      </c>
      <c r="E1824" t="s">
        <v>17</v>
      </c>
      <c r="F1824">
        <v>128</v>
      </c>
      <c r="G1824" t="s">
        <v>3999</v>
      </c>
      <c r="H1824" t="s">
        <v>3793</v>
      </c>
      <c r="I1824" t="s">
        <v>315</v>
      </c>
      <c r="J1824" t="s">
        <v>3794</v>
      </c>
      <c r="K1824">
        <v>11046</v>
      </c>
      <c r="M1824">
        <v>0</v>
      </c>
      <c r="N1824" t="s">
        <v>4001</v>
      </c>
      <c r="O1824" t="s">
        <v>3988</v>
      </c>
      <c r="P1824" t="str">
        <f>TRIM(Table13_1[[#This Row],[Genre]])</f>
        <v>Drama</v>
      </c>
    </row>
    <row r="1825" spans="1:16" x14ac:dyDescent="0.3">
      <c r="A1825" t="s">
        <v>3795</v>
      </c>
      <c r="B1825" t="s">
        <v>3796</v>
      </c>
      <c r="C1825">
        <v>2008</v>
      </c>
      <c r="D1825">
        <v>2000</v>
      </c>
      <c r="E1825" t="s">
        <v>24</v>
      </c>
      <c r="F1825">
        <v>116</v>
      </c>
      <c r="G1825" t="s">
        <v>3997</v>
      </c>
      <c r="H1825" t="s">
        <v>552</v>
      </c>
      <c r="I1825" t="s">
        <v>165</v>
      </c>
      <c r="J1825" t="s">
        <v>3797</v>
      </c>
      <c r="K1825">
        <v>28660</v>
      </c>
      <c r="M1825">
        <v>0</v>
      </c>
      <c r="N1825" t="s">
        <v>4001</v>
      </c>
      <c r="O1825" t="s">
        <v>48</v>
      </c>
      <c r="P1825" t="str">
        <f>TRIM(Table13_1[[#This Row],[Genre]])</f>
        <v>Crime</v>
      </c>
    </row>
    <row r="1826" spans="1:16" x14ac:dyDescent="0.3">
      <c r="A1826" t="s">
        <v>3795</v>
      </c>
      <c r="B1826" t="s">
        <v>3796</v>
      </c>
      <c r="C1826">
        <v>2008</v>
      </c>
      <c r="D1826">
        <v>2000</v>
      </c>
      <c r="E1826" t="s">
        <v>24</v>
      </c>
      <c r="F1826">
        <v>116</v>
      </c>
      <c r="G1826" t="s">
        <v>3997</v>
      </c>
      <c r="H1826" t="s">
        <v>552</v>
      </c>
      <c r="I1826" t="s">
        <v>165</v>
      </c>
      <c r="J1826" t="s">
        <v>3797</v>
      </c>
      <c r="K1826">
        <v>28660</v>
      </c>
      <c r="M1826">
        <v>0</v>
      </c>
      <c r="N1826" t="s">
        <v>4001</v>
      </c>
      <c r="O1826" t="s">
        <v>3991</v>
      </c>
      <c r="P1826" t="str">
        <f>TRIM(Table13_1[[#This Row],[Genre]])</f>
        <v>Thriller</v>
      </c>
    </row>
    <row r="1827" spans="1:16" x14ac:dyDescent="0.3">
      <c r="A1827" t="s">
        <v>3798</v>
      </c>
      <c r="B1827" t="s">
        <v>3799</v>
      </c>
      <c r="C1827">
        <v>2017</v>
      </c>
      <c r="D1827">
        <v>2010</v>
      </c>
      <c r="E1827" t="s">
        <v>54</v>
      </c>
      <c r="F1827">
        <v>138</v>
      </c>
      <c r="G1827" t="s">
        <v>3999</v>
      </c>
      <c r="H1827" t="s">
        <v>320</v>
      </c>
      <c r="I1827" t="s">
        <v>119</v>
      </c>
      <c r="J1827" t="s">
        <v>3800</v>
      </c>
      <c r="K1827">
        <v>13569</v>
      </c>
      <c r="L1827">
        <v>19.3</v>
      </c>
      <c r="M1827">
        <v>19.3</v>
      </c>
      <c r="N1827" t="s">
        <v>4001</v>
      </c>
      <c r="O1827" t="s">
        <v>767</v>
      </c>
      <c r="P1827" t="str">
        <f>TRIM(Table13_1[[#This Row],[Genre]])</f>
        <v>Fantasy</v>
      </c>
    </row>
    <row r="1828" spans="1:16" x14ac:dyDescent="0.3">
      <c r="A1828" t="s">
        <v>3798</v>
      </c>
      <c r="B1828" t="s">
        <v>3799</v>
      </c>
      <c r="C1828">
        <v>2017</v>
      </c>
      <c r="D1828">
        <v>2010</v>
      </c>
      <c r="E1828" t="s">
        <v>54</v>
      </c>
      <c r="F1828">
        <v>138</v>
      </c>
      <c r="G1828" t="s">
        <v>3999</v>
      </c>
      <c r="H1828" t="s">
        <v>320</v>
      </c>
      <c r="I1828" t="s">
        <v>119</v>
      </c>
      <c r="J1828" t="s">
        <v>3800</v>
      </c>
      <c r="K1828">
        <v>13569</v>
      </c>
      <c r="L1828">
        <v>19.3</v>
      </c>
      <c r="M1828">
        <v>19.3</v>
      </c>
      <c r="N1828" t="s">
        <v>4001</v>
      </c>
      <c r="O1828" t="s">
        <v>3990</v>
      </c>
      <c r="P1828" t="str">
        <f>TRIM(Table13_1[[#This Row],[Genre]])</f>
        <v>Western</v>
      </c>
    </row>
    <row r="1829" spans="1:16" x14ac:dyDescent="0.3">
      <c r="A1829" t="s">
        <v>3801</v>
      </c>
      <c r="B1829" t="s">
        <v>3802</v>
      </c>
      <c r="C1829">
        <v>2016</v>
      </c>
      <c r="D1829">
        <v>2010</v>
      </c>
      <c r="E1829" t="s">
        <v>17</v>
      </c>
      <c r="F1829">
        <v>98</v>
      </c>
      <c r="G1829" t="s">
        <v>3997</v>
      </c>
      <c r="H1829" t="s">
        <v>1556</v>
      </c>
      <c r="I1829" t="s">
        <v>57</v>
      </c>
      <c r="J1829" t="s">
        <v>3803</v>
      </c>
      <c r="K1829">
        <v>204195</v>
      </c>
      <c r="M1829">
        <v>0</v>
      </c>
      <c r="N1829" t="s">
        <v>4001</v>
      </c>
      <c r="O1829" t="s">
        <v>72</v>
      </c>
      <c r="P1829" t="str">
        <f>TRIM(Table13_1[[#This Row],[Genre]])</f>
        <v>War</v>
      </c>
    </row>
    <row r="1830" spans="1:16" x14ac:dyDescent="0.3">
      <c r="A1830" t="s">
        <v>3801</v>
      </c>
      <c r="B1830" t="s">
        <v>3802</v>
      </c>
      <c r="C1830">
        <v>2016</v>
      </c>
      <c r="D1830">
        <v>2010</v>
      </c>
      <c r="E1830" t="s">
        <v>17</v>
      </c>
      <c r="F1830">
        <v>98</v>
      </c>
      <c r="G1830" t="s">
        <v>3997</v>
      </c>
      <c r="H1830" t="s">
        <v>1556</v>
      </c>
      <c r="I1830" t="s">
        <v>57</v>
      </c>
      <c r="J1830" t="s">
        <v>3803</v>
      </c>
      <c r="K1830">
        <v>204195</v>
      </c>
      <c r="M1830">
        <v>0</v>
      </c>
      <c r="N1830" t="s">
        <v>4001</v>
      </c>
      <c r="O1830" t="s">
        <v>3988</v>
      </c>
      <c r="P1830" t="str">
        <f>TRIM(Table13_1[[#This Row],[Genre]])</f>
        <v>Drama</v>
      </c>
    </row>
    <row r="1831" spans="1:16" x14ac:dyDescent="0.3">
      <c r="A1831" t="s">
        <v>3804</v>
      </c>
      <c r="B1831" t="s">
        <v>3805</v>
      </c>
      <c r="C1831">
        <v>2016</v>
      </c>
      <c r="D1831">
        <v>2010</v>
      </c>
      <c r="E1831" t="s">
        <v>54</v>
      </c>
      <c r="F1831">
        <v>161</v>
      </c>
      <c r="G1831" t="s">
        <v>3999</v>
      </c>
      <c r="H1831" t="s">
        <v>1288</v>
      </c>
      <c r="I1831" t="s">
        <v>113</v>
      </c>
      <c r="J1831" t="s">
        <v>3806</v>
      </c>
      <c r="K1831">
        <v>78992</v>
      </c>
      <c r="L1831">
        <v>287.2</v>
      </c>
      <c r="M1831">
        <v>287.2</v>
      </c>
      <c r="N1831" t="s">
        <v>3998</v>
      </c>
      <c r="O1831" t="s">
        <v>230</v>
      </c>
      <c r="P1831" t="str">
        <f>TRIM(Table13_1[[#This Row],[Genre]])</f>
        <v>Documentary</v>
      </c>
    </row>
    <row r="1832" spans="1:16" x14ac:dyDescent="0.3">
      <c r="A1832" t="s">
        <v>3804</v>
      </c>
      <c r="B1832" t="s">
        <v>3805</v>
      </c>
      <c r="C1832">
        <v>2016</v>
      </c>
      <c r="D1832">
        <v>2010</v>
      </c>
      <c r="E1832" t="s">
        <v>54</v>
      </c>
      <c r="F1832">
        <v>161</v>
      </c>
      <c r="G1832" t="s">
        <v>3999</v>
      </c>
      <c r="H1832" t="s">
        <v>1288</v>
      </c>
      <c r="I1832" t="s">
        <v>113</v>
      </c>
      <c r="J1832" t="s">
        <v>3806</v>
      </c>
      <c r="K1832">
        <v>78992</v>
      </c>
      <c r="L1832">
        <v>287.2</v>
      </c>
      <c r="M1832">
        <v>287.2</v>
      </c>
      <c r="N1832" t="s">
        <v>3998</v>
      </c>
      <c r="O1832" t="s">
        <v>3978</v>
      </c>
      <c r="P1832" t="str">
        <f>TRIM(Table13_1[[#This Row],[Genre]])</f>
        <v>Mystery</v>
      </c>
    </row>
    <row r="1833" spans="1:16" x14ac:dyDescent="0.3">
      <c r="A1833" t="s">
        <v>3804</v>
      </c>
      <c r="B1833" t="s">
        <v>3805</v>
      </c>
      <c r="C1833">
        <v>2016</v>
      </c>
      <c r="D1833">
        <v>2010</v>
      </c>
      <c r="E1833" t="s">
        <v>54</v>
      </c>
      <c r="F1833">
        <v>161</v>
      </c>
      <c r="G1833" t="s">
        <v>3999</v>
      </c>
      <c r="H1833" t="s">
        <v>1288</v>
      </c>
      <c r="I1833" t="s">
        <v>113</v>
      </c>
      <c r="J1833" t="s">
        <v>3806</v>
      </c>
      <c r="K1833">
        <v>78992</v>
      </c>
      <c r="L1833">
        <v>287.2</v>
      </c>
      <c r="M1833">
        <v>287.2</v>
      </c>
      <c r="N1833" t="s">
        <v>3998</v>
      </c>
      <c r="O1833" t="s">
        <v>3976</v>
      </c>
      <c r="P1833" t="str">
        <f>TRIM(Table13_1[[#This Row],[Genre]])</f>
        <v>Musical</v>
      </c>
    </row>
    <row r="1834" spans="1:16" x14ac:dyDescent="0.3">
      <c r="A1834" t="s">
        <v>3807</v>
      </c>
      <c r="B1834" t="s">
        <v>3808</v>
      </c>
      <c r="C1834">
        <v>2022</v>
      </c>
      <c r="D1834">
        <v>2020</v>
      </c>
      <c r="E1834" t="s">
        <v>169</v>
      </c>
      <c r="F1834">
        <v>114</v>
      </c>
      <c r="G1834" t="s">
        <v>3997</v>
      </c>
      <c r="H1834" t="s">
        <v>3810</v>
      </c>
      <c r="I1834" t="s">
        <v>518</v>
      </c>
      <c r="J1834" t="s">
        <v>3811</v>
      </c>
      <c r="K1834">
        <v>41414</v>
      </c>
      <c r="M1834">
        <v>0</v>
      </c>
      <c r="N1834" t="s">
        <v>4001</v>
      </c>
      <c r="O1834" t="s">
        <v>230</v>
      </c>
      <c r="P1834" t="str">
        <f>TRIM(Table13_1[[#This Row],[Genre]])</f>
        <v>Documentary</v>
      </c>
    </row>
    <row r="1835" spans="1:16" x14ac:dyDescent="0.3">
      <c r="A1835" t="s">
        <v>3807</v>
      </c>
      <c r="B1835" t="s">
        <v>3808</v>
      </c>
      <c r="C1835">
        <v>2022</v>
      </c>
      <c r="D1835">
        <v>2020</v>
      </c>
      <c r="E1835" t="s">
        <v>169</v>
      </c>
      <c r="F1835">
        <v>114</v>
      </c>
      <c r="G1835" t="s">
        <v>3997</v>
      </c>
      <c r="H1835" t="s">
        <v>3810</v>
      </c>
      <c r="I1835" t="s">
        <v>518</v>
      </c>
      <c r="J1835" t="s">
        <v>3811</v>
      </c>
      <c r="K1835">
        <v>41414</v>
      </c>
      <c r="M1835">
        <v>0</v>
      </c>
      <c r="N1835" t="s">
        <v>4001</v>
      </c>
      <c r="O1835" t="s">
        <v>3989</v>
      </c>
      <c r="P1835" t="str">
        <f>TRIM(Table13_1[[#This Row],[Genre]])</f>
        <v>Sci-Fi</v>
      </c>
    </row>
    <row r="1836" spans="1:16" x14ac:dyDescent="0.3">
      <c r="A1836" t="s">
        <v>3807</v>
      </c>
      <c r="B1836" t="s">
        <v>3808</v>
      </c>
      <c r="C1836">
        <v>2022</v>
      </c>
      <c r="D1836">
        <v>2020</v>
      </c>
      <c r="E1836" t="s">
        <v>169</v>
      </c>
      <c r="F1836">
        <v>114</v>
      </c>
      <c r="G1836" t="s">
        <v>3997</v>
      </c>
      <c r="H1836" t="s">
        <v>3810</v>
      </c>
      <c r="I1836" t="s">
        <v>518</v>
      </c>
      <c r="J1836" t="s">
        <v>3811</v>
      </c>
      <c r="K1836">
        <v>41414</v>
      </c>
      <c r="M1836">
        <v>0</v>
      </c>
      <c r="N1836" t="s">
        <v>4001</v>
      </c>
      <c r="O1836" t="s">
        <v>3991</v>
      </c>
      <c r="P1836" t="str">
        <f>TRIM(Table13_1[[#This Row],[Genre]])</f>
        <v>Thriller</v>
      </c>
    </row>
    <row r="1837" spans="1:16" x14ac:dyDescent="0.3">
      <c r="A1837" t="s">
        <v>3812</v>
      </c>
      <c r="B1837" t="s">
        <v>3813</v>
      </c>
      <c r="C1837">
        <v>2023</v>
      </c>
      <c r="D1837">
        <v>2020</v>
      </c>
      <c r="E1837" t="s">
        <v>24</v>
      </c>
      <c r="F1837">
        <v>92</v>
      </c>
      <c r="G1837" t="s">
        <v>3997</v>
      </c>
      <c r="H1837" t="s">
        <v>3814</v>
      </c>
      <c r="I1837" t="s">
        <v>165</v>
      </c>
      <c r="J1837" t="s">
        <v>3815</v>
      </c>
      <c r="K1837">
        <v>317753</v>
      </c>
      <c r="M1837">
        <v>0</v>
      </c>
      <c r="N1837" t="s">
        <v>4001</v>
      </c>
      <c r="O1837" t="s">
        <v>606</v>
      </c>
      <c r="P1837" t="str">
        <f>TRIM(Table13_1[[#This Row],[Genre]])</f>
        <v>Sci-Fi</v>
      </c>
    </row>
    <row r="1838" spans="1:16" x14ac:dyDescent="0.3">
      <c r="A1838" t="s">
        <v>3812</v>
      </c>
      <c r="B1838" t="s">
        <v>3813</v>
      </c>
      <c r="C1838">
        <v>2023</v>
      </c>
      <c r="D1838">
        <v>2020</v>
      </c>
      <c r="E1838" t="s">
        <v>24</v>
      </c>
      <c r="F1838">
        <v>92</v>
      </c>
      <c r="G1838" t="s">
        <v>3997</v>
      </c>
      <c r="H1838" t="s">
        <v>3814</v>
      </c>
      <c r="I1838" t="s">
        <v>165</v>
      </c>
      <c r="J1838" t="s">
        <v>3815</v>
      </c>
      <c r="K1838">
        <v>317753</v>
      </c>
      <c r="M1838">
        <v>0</v>
      </c>
      <c r="N1838" t="s">
        <v>4001</v>
      </c>
      <c r="O1838" t="s">
        <v>3991</v>
      </c>
      <c r="P1838" t="str">
        <f>TRIM(Table13_1[[#This Row],[Genre]])</f>
        <v>Thriller</v>
      </c>
    </row>
    <row r="1839" spans="1:16" x14ac:dyDescent="0.3">
      <c r="A1839" t="s">
        <v>3816</v>
      </c>
      <c r="B1839" t="s">
        <v>3817</v>
      </c>
      <c r="C1839">
        <v>2012</v>
      </c>
      <c r="D1839">
        <v>2010</v>
      </c>
      <c r="E1839" t="s">
        <v>24</v>
      </c>
      <c r="F1839">
        <v>118</v>
      </c>
      <c r="G1839" t="s">
        <v>3997</v>
      </c>
      <c r="H1839" t="s">
        <v>3818</v>
      </c>
      <c r="I1839" t="s">
        <v>718</v>
      </c>
      <c r="J1839" t="s">
        <v>3819</v>
      </c>
      <c r="K1839">
        <v>35047</v>
      </c>
      <c r="L1839">
        <v>482.45</v>
      </c>
      <c r="M1839">
        <v>482.45</v>
      </c>
      <c r="N1839" t="s">
        <v>3998</v>
      </c>
      <c r="O1839" t="s">
        <v>72</v>
      </c>
      <c r="P1839" t="str">
        <f>TRIM(Table13_1[[#This Row],[Genre]])</f>
        <v>War</v>
      </c>
    </row>
    <row r="1840" spans="1:16" x14ac:dyDescent="0.3">
      <c r="A1840" t="s">
        <v>3820</v>
      </c>
      <c r="B1840" t="s">
        <v>3821</v>
      </c>
      <c r="C1840">
        <v>2003</v>
      </c>
      <c r="D1840">
        <v>2000</v>
      </c>
      <c r="E1840" t="s">
        <v>54</v>
      </c>
      <c r="F1840">
        <v>119</v>
      </c>
      <c r="G1840" t="s">
        <v>3997</v>
      </c>
      <c r="H1840" t="s">
        <v>3823</v>
      </c>
      <c r="I1840" t="s">
        <v>92</v>
      </c>
      <c r="J1840" t="s">
        <v>3824</v>
      </c>
      <c r="K1840">
        <v>343557</v>
      </c>
      <c r="L1840">
        <v>181.18</v>
      </c>
      <c r="M1840">
        <v>181.18</v>
      </c>
      <c r="N1840" t="s">
        <v>4002</v>
      </c>
      <c r="O1840" t="s">
        <v>606</v>
      </c>
      <c r="P1840" t="str">
        <f>TRIM(Table13_1[[#This Row],[Genre]])</f>
        <v>Sci-Fi</v>
      </c>
    </row>
    <row r="1841" spans="1:16" x14ac:dyDescent="0.3">
      <c r="A1841" t="s">
        <v>3820</v>
      </c>
      <c r="B1841" t="s">
        <v>3821</v>
      </c>
      <c r="C1841">
        <v>2003</v>
      </c>
      <c r="D1841">
        <v>2000</v>
      </c>
      <c r="E1841" t="s">
        <v>54</v>
      </c>
      <c r="F1841">
        <v>119</v>
      </c>
      <c r="G1841" t="s">
        <v>3997</v>
      </c>
      <c r="H1841" t="s">
        <v>3823</v>
      </c>
      <c r="I1841" t="s">
        <v>92</v>
      </c>
      <c r="J1841" t="s">
        <v>3824</v>
      </c>
      <c r="K1841">
        <v>343557</v>
      </c>
      <c r="L1841">
        <v>181.18</v>
      </c>
      <c r="M1841">
        <v>181.18</v>
      </c>
      <c r="N1841" t="s">
        <v>4002</v>
      </c>
      <c r="O1841" t="s">
        <v>3981</v>
      </c>
      <c r="P1841" t="str">
        <f>TRIM(Table13_1[[#This Row],[Genre]])</f>
        <v>Romance</v>
      </c>
    </row>
    <row r="1842" spans="1:16" x14ac:dyDescent="0.3">
      <c r="A1842" t="s">
        <v>3820</v>
      </c>
      <c r="B1842" t="s">
        <v>3821</v>
      </c>
      <c r="C1842">
        <v>2003</v>
      </c>
      <c r="D1842">
        <v>2000</v>
      </c>
      <c r="E1842" t="s">
        <v>54</v>
      </c>
      <c r="F1842">
        <v>119</v>
      </c>
      <c r="G1842" t="s">
        <v>3997</v>
      </c>
      <c r="H1842" t="s">
        <v>3823</v>
      </c>
      <c r="I1842" t="s">
        <v>92</v>
      </c>
      <c r="J1842" t="s">
        <v>3824</v>
      </c>
      <c r="K1842">
        <v>343557</v>
      </c>
      <c r="L1842">
        <v>181.18</v>
      </c>
      <c r="M1842">
        <v>181.18</v>
      </c>
      <c r="N1842" t="s">
        <v>4002</v>
      </c>
      <c r="O1842" t="s">
        <v>3990</v>
      </c>
      <c r="P1842" t="str">
        <f>TRIM(Table13_1[[#This Row],[Genre]])</f>
        <v>Western</v>
      </c>
    </row>
    <row r="1843" spans="1:16" x14ac:dyDescent="0.3">
      <c r="A1843" t="s">
        <v>3825</v>
      </c>
      <c r="B1843" t="s">
        <v>3826</v>
      </c>
      <c r="C1843">
        <v>2002</v>
      </c>
      <c r="D1843">
        <v>2000</v>
      </c>
      <c r="E1843" t="s">
        <v>169</v>
      </c>
      <c r="F1843">
        <v>112</v>
      </c>
      <c r="G1843" t="s">
        <v>3997</v>
      </c>
      <c r="H1843" t="s">
        <v>3827</v>
      </c>
      <c r="I1843" t="s">
        <v>103</v>
      </c>
      <c r="J1843" t="s">
        <v>3828</v>
      </c>
      <c r="K1843">
        <v>14962</v>
      </c>
      <c r="L1843">
        <v>172.72</v>
      </c>
      <c r="M1843">
        <v>172.72</v>
      </c>
      <c r="N1843" t="s">
        <v>4002</v>
      </c>
      <c r="O1843" t="s">
        <v>78</v>
      </c>
      <c r="P1843" t="str">
        <f>TRIM(Table13_1[[#This Row],[Genre]])</f>
        <v>Adventure</v>
      </c>
    </row>
    <row r="1844" spans="1:16" x14ac:dyDescent="0.3">
      <c r="A1844" t="s">
        <v>3829</v>
      </c>
      <c r="B1844" t="s">
        <v>3830</v>
      </c>
      <c r="C1844">
        <v>1997</v>
      </c>
      <c r="D1844">
        <v>1990</v>
      </c>
      <c r="E1844" t="s">
        <v>24</v>
      </c>
      <c r="F1844">
        <v>135</v>
      </c>
      <c r="G1844" t="s">
        <v>3999</v>
      </c>
      <c r="H1844" t="s">
        <v>629</v>
      </c>
      <c r="I1844" t="s">
        <v>524</v>
      </c>
      <c r="J1844" t="s">
        <v>3831</v>
      </c>
      <c r="K1844">
        <v>135271</v>
      </c>
      <c r="L1844">
        <v>296.61</v>
      </c>
      <c r="M1844">
        <v>296.61</v>
      </c>
      <c r="N1844" t="s">
        <v>3998</v>
      </c>
      <c r="O1844" t="s">
        <v>157</v>
      </c>
      <c r="P1844" t="str">
        <f>TRIM(Table13_1[[#This Row],[Genre]])</f>
        <v>Animation</v>
      </c>
    </row>
    <row r="1845" spans="1:16" x14ac:dyDescent="0.3">
      <c r="A1845" t="s">
        <v>3829</v>
      </c>
      <c r="B1845" t="s">
        <v>3830</v>
      </c>
      <c r="C1845">
        <v>1997</v>
      </c>
      <c r="D1845">
        <v>1990</v>
      </c>
      <c r="E1845" t="s">
        <v>24</v>
      </c>
      <c r="F1845">
        <v>135</v>
      </c>
      <c r="G1845" t="s">
        <v>3999</v>
      </c>
      <c r="H1845" t="s">
        <v>629</v>
      </c>
      <c r="I1845" t="s">
        <v>524</v>
      </c>
      <c r="J1845" t="s">
        <v>3831</v>
      </c>
      <c r="K1845">
        <v>135271</v>
      </c>
      <c r="L1845">
        <v>296.61</v>
      </c>
      <c r="M1845">
        <v>296.61</v>
      </c>
      <c r="N1845" t="s">
        <v>3998</v>
      </c>
      <c r="O1845" t="s">
        <v>3989</v>
      </c>
      <c r="P1845" t="str">
        <f>TRIM(Table13_1[[#This Row],[Genre]])</f>
        <v>Sci-Fi</v>
      </c>
    </row>
    <row r="1846" spans="1:16" x14ac:dyDescent="0.3">
      <c r="A1846" t="s">
        <v>3832</v>
      </c>
      <c r="B1846" t="s">
        <v>3833</v>
      </c>
      <c r="C1846">
        <v>2022</v>
      </c>
      <c r="D1846">
        <v>2020</v>
      </c>
      <c r="E1846" t="s">
        <v>24</v>
      </c>
      <c r="F1846">
        <v>135</v>
      </c>
      <c r="G1846" t="s">
        <v>3999</v>
      </c>
      <c r="H1846" t="s">
        <v>3835</v>
      </c>
      <c r="I1846" t="s">
        <v>236</v>
      </c>
      <c r="J1846" t="s">
        <v>3836</v>
      </c>
      <c r="K1846">
        <v>12326</v>
      </c>
      <c r="L1846">
        <v>372.15</v>
      </c>
      <c r="M1846">
        <v>372.15</v>
      </c>
      <c r="N1846" t="s">
        <v>3998</v>
      </c>
      <c r="O1846" t="s">
        <v>767</v>
      </c>
      <c r="P1846" t="str">
        <f>TRIM(Table13_1[[#This Row],[Genre]])</f>
        <v>Fantasy</v>
      </c>
    </row>
    <row r="1847" spans="1:16" x14ac:dyDescent="0.3">
      <c r="A1847" t="s">
        <v>3832</v>
      </c>
      <c r="B1847" t="s">
        <v>3833</v>
      </c>
      <c r="C1847">
        <v>2022</v>
      </c>
      <c r="D1847">
        <v>2020</v>
      </c>
      <c r="E1847" t="s">
        <v>24</v>
      </c>
      <c r="F1847">
        <v>135</v>
      </c>
      <c r="G1847" t="s">
        <v>3999</v>
      </c>
      <c r="H1847" t="s">
        <v>3835</v>
      </c>
      <c r="I1847" t="s">
        <v>236</v>
      </c>
      <c r="J1847" t="s">
        <v>3836</v>
      </c>
      <c r="K1847">
        <v>12326</v>
      </c>
      <c r="L1847">
        <v>372.15</v>
      </c>
      <c r="M1847">
        <v>372.15</v>
      </c>
      <c r="N1847" t="s">
        <v>3998</v>
      </c>
      <c r="O1847" t="s">
        <v>3984</v>
      </c>
      <c r="P1847" t="str">
        <f>TRIM(Table13_1[[#This Row],[Genre]])</f>
        <v>Adventure</v>
      </c>
    </row>
    <row r="1848" spans="1:16" x14ac:dyDescent="0.3">
      <c r="A1848" t="s">
        <v>3832</v>
      </c>
      <c r="B1848" t="s">
        <v>3833</v>
      </c>
      <c r="C1848">
        <v>2022</v>
      </c>
      <c r="D1848">
        <v>2020</v>
      </c>
      <c r="E1848" t="s">
        <v>24</v>
      </c>
      <c r="F1848">
        <v>135</v>
      </c>
      <c r="G1848" t="s">
        <v>3999</v>
      </c>
      <c r="H1848" t="s">
        <v>3835</v>
      </c>
      <c r="I1848" t="s">
        <v>236</v>
      </c>
      <c r="J1848" t="s">
        <v>3836</v>
      </c>
      <c r="K1848">
        <v>12326</v>
      </c>
      <c r="L1848">
        <v>372.15</v>
      </c>
      <c r="M1848">
        <v>372.15</v>
      </c>
      <c r="N1848" t="s">
        <v>3998</v>
      </c>
      <c r="O1848" t="s">
        <v>3978</v>
      </c>
      <c r="P1848" t="str">
        <f>TRIM(Table13_1[[#This Row],[Genre]])</f>
        <v>Mystery</v>
      </c>
    </row>
    <row r="1849" spans="1:16" x14ac:dyDescent="0.3">
      <c r="A1849" t="s">
        <v>3837</v>
      </c>
      <c r="B1849" t="s">
        <v>3838</v>
      </c>
      <c r="C1849">
        <v>1991</v>
      </c>
      <c r="D1849">
        <v>1990</v>
      </c>
      <c r="E1849" t="s">
        <v>54</v>
      </c>
      <c r="F1849">
        <v>83</v>
      </c>
      <c r="G1849" t="s">
        <v>4000</v>
      </c>
      <c r="H1849" t="s">
        <v>3840</v>
      </c>
      <c r="I1849" t="s">
        <v>125</v>
      </c>
      <c r="J1849" t="s">
        <v>3841</v>
      </c>
      <c r="K1849">
        <v>64352</v>
      </c>
      <c r="L1849">
        <v>16.14</v>
      </c>
      <c r="M1849">
        <v>16.14</v>
      </c>
      <c r="N1849" t="s">
        <v>4001</v>
      </c>
      <c r="O1849" t="s">
        <v>157</v>
      </c>
      <c r="P1849" t="str">
        <f>TRIM(Table13_1[[#This Row],[Genre]])</f>
        <v>Animation</v>
      </c>
    </row>
    <row r="1850" spans="1:16" x14ac:dyDescent="0.3">
      <c r="A1850" t="s">
        <v>3837</v>
      </c>
      <c r="B1850" t="s">
        <v>3838</v>
      </c>
      <c r="C1850">
        <v>1991</v>
      </c>
      <c r="D1850">
        <v>1990</v>
      </c>
      <c r="E1850" t="s">
        <v>54</v>
      </c>
      <c r="F1850">
        <v>83</v>
      </c>
      <c r="G1850" t="s">
        <v>4000</v>
      </c>
      <c r="H1850" t="s">
        <v>3840</v>
      </c>
      <c r="I1850" t="s">
        <v>125</v>
      </c>
      <c r="J1850" t="s">
        <v>3841</v>
      </c>
      <c r="K1850">
        <v>64352</v>
      </c>
      <c r="L1850">
        <v>16.14</v>
      </c>
      <c r="M1850">
        <v>16.14</v>
      </c>
      <c r="N1850" t="s">
        <v>4001</v>
      </c>
      <c r="O1850" t="s">
        <v>3986</v>
      </c>
      <c r="P1850" t="str">
        <f>TRIM(Table13_1[[#This Row],[Genre]])</f>
        <v>Documentary</v>
      </c>
    </row>
    <row r="1851" spans="1:16" x14ac:dyDescent="0.3">
      <c r="A1851" t="s">
        <v>3842</v>
      </c>
      <c r="B1851" t="s">
        <v>3843</v>
      </c>
      <c r="C1851">
        <v>2012</v>
      </c>
      <c r="D1851">
        <v>2010</v>
      </c>
      <c r="E1851" t="s">
        <v>17</v>
      </c>
      <c r="F1851">
        <v>115</v>
      </c>
      <c r="G1851" t="s">
        <v>3997</v>
      </c>
      <c r="H1851" t="s">
        <v>3844</v>
      </c>
      <c r="I1851" t="s">
        <v>80</v>
      </c>
      <c r="J1851" t="s">
        <v>3845</v>
      </c>
      <c r="K1851">
        <v>33232</v>
      </c>
      <c r="L1851">
        <v>309.91000000000003</v>
      </c>
      <c r="M1851">
        <v>309.91000000000003</v>
      </c>
      <c r="N1851" t="s">
        <v>3998</v>
      </c>
      <c r="O1851" t="s">
        <v>55</v>
      </c>
      <c r="P1851" t="str">
        <f>TRIM(Table13_1[[#This Row],[Genre]])</f>
        <v>Romance</v>
      </c>
    </row>
    <row r="1852" spans="1:16" x14ac:dyDescent="0.3">
      <c r="A1852" t="s">
        <v>3846</v>
      </c>
      <c r="B1852" t="s">
        <v>3847</v>
      </c>
      <c r="C1852">
        <v>2024</v>
      </c>
      <c r="D1852">
        <v>2020</v>
      </c>
      <c r="E1852" t="s">
        <v>54</v>
      </c>
      <c r="F1852">
        <v>117</v>
      </c>
      <c r="G1852" t="s">
        <v>3997</v>
      </c>
      <c r="H1852" t="s">
        <v>231</v>
      </c>
      <c r="I1852" t="s">
        <v>153</v>
      </c>
      <c r="J1852" t="s">
        <v>3848</v>
      </c>
      <c r="K1852">
        <v>45991</v>
      </c>
      <c r="L1852">
        <v>160.53</v>
      </c>
      <c r="M1852">
        <v>160.53</v>
      </c>
      <c r="N1852" t="s">
        <v>4002</v>
      </c>
      <c r="O1852" t="s">
        <v>230</v>
      </c>
      <c r="P1852" t="str">
        <f>TRIM(Table13_1[[#This Row],[Genre]])</f>
        <v>Documentary</v>
      </c>
    </row>
    <row r="1853" spans="1:16" x14ac:dyDescent="0.3">
      <c r="A1853" t="s">
        <v>3846</v>
      </c>
      <c r="B1853" t="s">
        <v>3847</v>
      </c>
      <c r="C1853">
        <v>2024</v>
      </c>
      <c r="D1853">
        <v>2020</v>
      </c>
      <c r="E1853" t="s">
        <v>54</v>
      </c>
      <c r="F1853">
        <v>117</v>
      </c>
      <c r="G1853" t="s">
        <v>3997</v>
      </c>
      <c r="H1853" t="s">
        <v>231</v>
      </c>
      <c r="I1853" t="s">
        <v>153</v>
      </c>
      <c r="J1853" t="s">
        <v>3848</v>
      </c>
      <c r="K1853">
        <v>45991</v>
      </c>
      <c r="L1853">
        <v>160.53</v>
      </c>
      <c r="M1853">
        <v>160.53</v>
      </c>
      <c r="N1853" t="s">
        <v>4002</v>
      </c>
      <c r="O1853" t="s">
        <v>3976</v>
      </c>
      <c r="P1853" t="str">
        <f>TRIM(Table13_1[[#This Row],[Genre]])</f>
        <v>Musical</v>
      </c>
    </row>
    <row r="1854" spans="1:16" x14ac:dyDescent="0.3">
      <c r="A1854" t="s">
        <v>3849</v>
      </c>
      <c r="B1854" t="s">
        <v>3850</v>
      </c>
      <c r="C1854">
        <v>2021</v>
      </c>
      <c r="D1854">
        <v>2020</v>
      </c>
      <c r="E1854" t="s">
        <v>17</v>
      </c>
      <c r="F1854">
        <v>128</v>
      </c>
      <c r="G1854" t="s">
        <v>3999</v>
      </c>
      <c r="H1854" t="s">
        <v>250</v>
      </c>
      <c r="I1854" t="s">
        <v>20</v>
      </c>
      <c r="J1854" t="s">
        <v>3851</v>
      </c>
      <c r="K1854">
        <v>280332</v>
      </c>
      <c r="L1854">
        <v>242.51</v>
      </c>
      <c r="M1854">
        <v>242.51</v>
      </c>
      <c r="N1854" t="s">
        <v>3998</v>
      </c>
      <c r="O1854" t="s">
        <v>606</v>
      </c>
      <c r="P1854" t="str">
        <f>TRIM(Table13_1[[#This Row],[Genre]])</f>
        <v>Sci-Fi</v>
      </c>
    </row>
    <row r="1855" spans="1:16" x14ac:dyDescent="0.3">
      <c r="A1855" t="s">
        <v>3852</v>
      </c>
      <c r="B1855" t="s">
        <v>3853</v>
      </c>
      <c r="C1855">
        <v>2002</v>
      </c>
      <c r="D1855">
        <v>2000</v>
      </c>
      <c r="E1855" t="s">
        <v>54</v>
      </c>
      <c r="F1855">
        <v>126</v>
      </c>
      <c r="G1855" t="s">
        <v>3999</v>
      </c>
      <c r="H1855" t="s">
        <v>3855</v>
      </c>
      <c r="I1855" t="s">
        <v>33</v>
      </c>
      <c r="J1855" t="s">
        <v>3856</v>
      </c>
      <c r="K1855">
        <v>7924</v>
      </c>
      <c r="M1855">
        <v>0</v>
      </c>
      <c r="N1855" t="s">
        <v>4001</v>
      </c>
      <c r="O1855" t="s">
        <v>1044</v>
      </c>
      <c r="P1855" t="str">
        <f>TRIM(Table13_1[[#This Row],[Genre]])</f>
        <v>Comedy</v>
      </c>
    </row>
    <row r="1856" spans="1:16" x14ac:dyDescent="0.3">
      <c r="A1856" t="s">
        <v>3852</v>
      </c>
      <c r="B1856" t="s">
        <v>3853</v>
      </c>
      <c r="C1856">
        <v>2002</v>
      </c>
      <c r="D1856">
        <v>2000</v>
      </c>
      <c r="E1856" t="s">
        <v>54</v>
      </c>
      <c r="F1856">
        <v>126</v>
      </c>
      <c r="G1856" t="s">
        <v>3999</v>
      </c>
      <c r="H1856" t="s">
        <v>3855</v>
      </c>
      <c r="I1856" t="s">
        <v>33</v>
      </c>
      <c r="J1856" t="s">
        <v>3856</v>
      </c>
      <c r="K1856">
        <v>7924</v>
      </c>
      <c r="M1856">
        <v>0</v>
      </c>
      <c r="N1856" t="s">
        <v>4001</v>
      </c>
      <c r="O1856" t="s">
        <v>3981</v>
      </c>
      <c r="P1856" t="str">
        <f>TRIM(Table13_1[[#This Row],[Genre]])</f>
        <v>Romance</v>
      </c>
    </row>
    <row r="1857" spans="1:16" x14ac:dyDescent="0.3">
      <c r="A1857" t="s">
        <v>3852</v>
      </c>
      <c r="B1857" t="s">
        <v>3853</v>
      </c>
      <c r="C1857">
        <v>2002</v>
      </c>
      <c r="D1857">
        <v>2000</v>
      </c>
      <c r="E1857" t="s">
        <v>54</v>
      </c>
      <c r="F1857">
        <v>126</v>
      </c>
      <c r="G1857" t="s">
        <v>3999</v>
      </c>
      <c r="H1857" t="s">
        <v>3855</v>
      </c>
      <c r="I1857" t="s">
        <v>33</v>
      </c>
      <c r="J1857" t="s">
        <v>3856</v>
      </c>
      <c r="K1857">
        <v>7924</v>
      </c>
      <c r="M1857">
        <v>0</v>
      </c>
      <c r="N1857" t="s">
        <v>4001</v>
      </c>
      <c r="O1857" t="s">
        <v>3976</v>
      </c>
      <c r="P1857" t="str">
        <f>TRIM(Table13_1[[#This Row],[Genre]])</f>
        <v>Musical</v>
      </c>
    </row>
    <row r="1858" spans="1:16" x14ac:dyDescent="0.3">
      <c r="A1858" t="s">
        <v>3857</v>
      </c>
      <c r="B1858" t="s">
        <v>3858</v>
      </c>
      <c r="C1858">
        <v>2018</v>
      </c>
      <c r="D1858">
        <v>2010</v>
      </c>
      <c r="E1858" t="s">
        <v>285</v>
      </c>
      <c r="F1858">
        <v>106</v>
      </c>
      <c r="G1858" t="s">
        <v>3997</v>
      </c>
      <c r="H1858" t="s">
        <v>3859</v>
      </c>
      <c r="I1858" t="s">
        <v>103</v>
      </c>
      <c r="J1858" t="s">
        <v>3860</v>
      </c>
      <c r="K1858">
        <v>128901</v>
      </c>
      <c r="M1858">
        <v>0</v>
      </c>
      <c r="N1858" t="s">
        <v>4001</v>
      </c>
      <c r="O1858" t="s">
        <v>55</v>
      </c>
      <c r="P1858" t="str">
        <f>TRIM(Table13_1[[#This Row],[Genre]])</f>
        <v>Romance</v>
      </c>
    </row>
    <row r="1859" spans="1:16" x14ac:dyDescent="0.3">
      <c r="A1859" t="s">
        <v>3857</v>
      </c>
      <c r="B1859" t="s">
        <v>3858</v>
      </c>
      <c r="C1859">
        <v>2018</v>
      </c>
      <c r="D1859">
        <v>2010</v>
      </c>
      <c r="E1859" t="s">
        <v>285</v>
      </c>
      <c r="F1859">
        <v>106</v>
      </c>
      <c r="G1859" t="s">
        <v>3997</v>
      </c>
      <c r="H1859" t="s">
        <v>3859</v>
      </c>
      <c r="I1859" t="s">
        <v>103</v>
      </c>
      <c r="J1859" t="s">
        <v>3860</v>
      </c>
      <c r="K1859">
        <v>128901</v>
      </c>
      <c r="M1859">
        <v>0</v>
      </c>
      <c r="N1859" t="s">
        <v>4001</v>
      </c>
      <c r="O1859" t="s">
        <v>3991</v>
      </c>
      <c r="P1859" t="str">
        <f>TRIM(Table13_1[[#This Row],[Genre]])</f>
        <v>Thriller</v>
      </c>
    </row>
    <row r="1860" spans="1:16" x14ac:dyDescent="0.3">
      <c r="A1860" t="s">
        <v>3861</v>
      </c>
      <c r="B1860" t="s">
        <v>3862</v>
      </c>
      <c r="C1860">
        <v>2005</v>
      </c>
      <c r="D1860">
        <v>2000</v>
      </c>
      <c r="E1860" t="s">
        <v>24</v>
      </c>
      <c r="F1860">
        <v>142</v>
      </c>
      <c r="G1860" t="s">
        <v>3999</v>
      </c>
      <c r="H1860" t="s">
        <v>3864</v>
      </c>
      <c r="I1860" t="s">
        <v>63</v>
      </c>
      <c r="J1860" t="s">
        <v>3865</v>
      </c>
      <c r="K1860">
        <v>34764</v>
      </c>
      <c r="L1860">
        <v>465.86</v>
      </c>
      <c r="M1860">
        <v>465.86</v>
      </c>
      <c r="N1860" t="s">
        <v>3998</v>
      </c>
      <c r="O1860" t="s">
        <v>606</v>
      </c>
      <c r="P1860" t="str">
        <f>TRIM(Table13_1[[#This Row],[Genre]])</f>
        <v>Sci-Fi</v>
      </c>
    </row>
    <row r="1861" spans="1:16" x14ac:dyDescent="0.3">
      <c r="A1861" t="s">
        <v>3861</v>
      </c>
      <c r="B1861" t="s">
        <v>3862</v>
      </c>
      <c r="C1861">
        <v>2005</v>
      </c>
      <c r="D1861">
        <v>2000</v>
      </c>
      <c r="E1861" t="s">
        <v>24</v>
      </c>
      <c r="F1861">
        <v>142</v>
      </c>
      <c r="G1861" t="s">
        <v>3999</v>
      </c>
      <c r="H1861" t="s">
        <v>3864</v>
      </c>
      <c r="I1861" t="s">
        <v>63</v>
      </c>
      <c r="J1861" t="s">
        <v>3865</v>
      </c>
      <c r="K1861">
        <v>34764</v>
      </c>
      <c r="L1861">
        <v>465.86</v>
      </c>
      <c r="M1861">
        <v>465.86</v>
      </c>
      <c r="N1861" t="s">
        <v>3998</v>
      </c>
      <c r="O1861" t="s">
        <v>3993</v>
      </c>
      <c r="P1861" t="str">
        <f>TRIM(Table13_1[[#This Row],[Genre]])</f>
        <v>Comedy</v>
      </c>
    </row>
    <row r="1862" spans="1:16" x14ac:dyDescent="0.3">
      <c r="A1862" t="s">
        <v>3861</v>
      </c>
      <c r="B1862" t="s">
        <v>3862</v>
      </c>
      <c r="C1862">
        <v>2005</v>
      </c>
      <c r="D1862">
        <v>2000</v>
      </c>
      <c r="E1862" t="s">
        <v>24</v>
      </c>
      <c r="F1862">
        <v>142</v>
      </c>
      <c r="G1862" t="s">
        <v>3999</v>
      </c>
      <c r="H1862" t="s">
        <v>3864</v>
      </c>
      <c r="I1862" t="s">
        <v>63</v>
      </c>
      <c r="J1862" t="s">
        <v>3865</v>
      </c>
      <c r="K1862">
        <v>34764</v>
      </c>
      <c r="L1862">
        <v>465.86</v>
      </c>
      <c r="M1862">
        <v>465.86</v>
      </c>
      <c r="N1862" t="s">
        <v>3998</v>
      </c>
      <c r="O1862" t="s">
        <v>3978</v>
      </c>
      <c r="P1862" t="str">
        <f>TRIM(Table13_1[[#This Row],[Genre]])</f>
        <v>Mystery</v>
      </c>
    </row>
    <row r="1863" spans="1:16" x14ac:dyDescent="0.3">
      <c r="A1863" t="s">
        <v>3866</v>
      </c>
      <c r="B1863" t="s">
        <v>3867</v>
      </c>
      <c r="C1863">
        <v>2000</v>
      </c>
      <c r="D1863">
        <v>2000</v>
      </c>
      <c r="E1863" t="s">
        <v>24</v>
      </c>
      <c r="F1863">
        <v>143</v>
      </c>
      <c r="G1863" t="s">
        <v>3999</v>
      </c>
      <c r="H1863" t="s">
        <v>1067</v>
      </c>
      <c r="I1863" t="s">
        <v>20</v>
      </c>
      <c r="J1863" t="s">
        <v>3868</v>
      </c>
      <c r="K1863">
        <v>96710</v>
      </c>
      <c r="L1863">
        <v>102.04</v>
      </c>
      <c r="M1863">
        <v>102.04</v>
      </c>
      <c r="N1863" t="s">
        <v>4002</v>
      </c>
      <c r="O1863" t="s">
        <v>72</v>
      </c>
      <c r="P1863" t="str">
        <f>TRIM(Table13_1[[#This Row],[Genre]])</f>
        <v>War</v>
      </c>
    </row>
    <row r="1864" spans="1:16" x14ac:dyDescent="0.3">
      <c r="A1864" t="s">
        <v>3869</v>
      </c>
      <c r="B1864" t="s">
        <v>3870</v>
      </c>
      <c r="C1864">
        <v>2022</v>
      </c>
      <c r="D1864">
        <v>2020</v>
      </c>
      <c r="E1864" t="s">
        <v>54</v>
      </c>
      <c r="F1864">
        <v>122</v>
      </c>
      <c r="G1864" t="s">
        <v>3999</v>
      </c>
      <c r="H1864" t="s">
        <v>3358</v>
      </c>
      <c r="I1864" t="s">
        <v>593</v>
      </c>
      <c r="J1864" t="s">
        <v>3871</v>
      </c>
      <c r="K1864">
        <v>97221</v>
      </c>
      <c r="L1864">
        <v>465.03</v>
      </c>
      <c r="M1864">
        <v>465.03</v>
      </c>
      <c r="N1864" t="s">
        <v>3998</v>
      </c>
      <c r="O1864" t="s">
        <v>230</v>
      </c>
      <c r="P1864" t="str">
        <f>TRIM(Table13_1[[#This Row],[Genre]])</f>
        <v>Documentary</v>
      </c>
    </row>
    <row r="1865" spans="1:16" x14ac:dyDescent="0.3">
      <c r="A1865" t="s">
        <v>3869</v>
      </c>
      <c r="B1865" t="s">
        <v>3870</v>
      </c>
      <c r="C1865">
        <v>2022</v>
      </c>
      <c r="D1865">
        <v>2020</v>
      </c>
      <c r="E1865" t="s">
        <v>54</v>
      </c>
      <c r="F1865">
        <v>122</v>
      </c>
      <c r="G1865" t="s">
        <v>3999</v>
      </c>
      <c r="H1865" t="s">
        <v>3358</v>
      </c>
      <c r="I1865" t="s">
        <v>593</v>
      </c>
      <c r="J1865" t="s">
        <v>3871</v>
      </c>
      <c r="K1865">
        <v>97221</v>
      </c>
      <c r="L1865">
        <v>465.03</v>
      </c>
      <c r="M1865">
        <v>465.03</v>
      </c>
      <c r="N1865" t="s">
        <v>3998</v>
      </c>
      <c r="O1865" t="s">
        <v>3982</v>
      </c>
      <c r="P1865" t="str">
        <f>TRIM(Table13_1[[#This Row],[Genre]])</f>
        <v>Family</v>
      </c>
    </row>
    <row r="1866" spans="1:16" x14ac:dyDescent="0.3">
      <c r="A1866" t="s">
        <v>3872</v>
      </c>
      <c r="B1866" t="s">
        <v>3873</v>
      </c>
      <c r="C1866">
        <v>2007</v>
      </c>
      <c r="D1866">
        <v>2000</v>
      </c>
      <c r="E1866" t="s">
        <v>17</v>
      </c>
      <c r="F1866">
        <v>131</v>
      </c>
      <c r="G1866" t="s">
        <v>3999</v>
      </c>
      <c r="H1866" t="s">
        <v>85</v>
      </c>
      <c r="I1866" t="s">
        <v>63</v>
      </c>
      <c r="J1866" t="s">
        <v>3874</v>
      </c>
      <c r="K1866">
        <v>34910</v>
      </c>
      <c r="L1866">
        <v>430.32</v>
      </c>
      <c r="M1866">
        <v>430.32</v>
      </c>
      <c r="N1866" t="s">
        <v>3998</v>
      </c>
      <c r="O1866" t="s">
        <v>767</v>
      </c>
      <c r="P1866" t="str">
        <f>TRIM(Table13_1[[#This Row],[Genre]])</f>
        <v>Fantasy</v>
      </c>
    </row>
    <row r="1867" spans="1:16" x14ac:dyDescent="0.3">
      <c r="A1867" t="s">
        <v>3872</v>
      </c>
      <c r="B1867" t="s">
        <v>3873</v>
      </c>
      <c r="C1867">
        <v>2007</v>
      </c>
      <c r="D1867">
        <v>2000</v>
      </c>
      <c r="E1867" t="s">
        <v>17</v>
      </c>
      <c r="F1867">
        <v>131</v>
      </c>
      <c r="G1867" t="s">
        <v>3999</v>
      </c>
      <c r="H1867" t="s">
        <v>85</v>
      </c>
      <c r="I1867" t="s">
        <v>63</v>
      </c>
      <c r="J1867" t="s">
        <v>3874</v>
      </c>
      <c r="K1867">
        <v>34910</v>
      </c>
      <c r="L1867">
        <v>430.32</v>
      </c>
      <c r="M1867">
        <v>430.32</v>
      </c>
      <c r="N1867" t="s">
        <v>3998</v>
      </c>
      <c r="O1867" t="s">
        <v>3978</v>
      </c>
      <c r="P1867" t="str">
        <f>TRIM(Table13_1[[#This Row],[Genre]])</f>
        <v>Mystery</v>
      </c>
    </row>
    <row r="1868" spans="1:16" x14ac:dyDescent="0.3">
      <c r="A1868" t="s">
        <v>3875</v>
      </c>
      <c r="B1868" t="s">
        <v>3876</v>
      </c>
      <c r="C1868">
        <v>2005</v>
      </c>
      <c r="D1868">
        <v>2000</v>
      </c>
      <c r="E1868" t="s">
        <v>17</v>
      </c>
      <c r="F1868">
        <v>108</v>
      </c>
      <c r="G1868" t="s">
        <v>3997</v>
      </c>
      <c r="H1868" t="s">
        <v>3877</v>
      </c>
      <c r="I1868" t="s">
        <v>137</v>
      </c>
      <c r="J1868" t="s">
        <v>3878</v>
      </c>
      <c r="K1868">
        <v>89777</v>
      </c>
      <c r="L1868">
        <v>498</v>
      </c>
      <c r="M1868">
        <v>498</v>
      </c>
      <c r="N1868" t="s">
        <v>3998</v>
      </c>
      <c r="O1868" t="s">
        <v>43</v>
      </c>
      <c r="P1868" t="str">
        <f>TRIM(Table13_1[[#This Row],[Genre]])</f>
        <v>Mystery</v>
      </c>
    </row>
    <row r="1869" spans="1:16" x14ac:dyDescent="0.3">
      <c r="A1869" t="s">
        <v>3875</v>
      </c>
      <c r="B1869" t="s">
        <v>3876</v>
      </c>
      <c r="C1869">
        <v>2005</v>
      </c>
      <c r="D1869">
        <v>2000</v>
      </c>
      <c r="E1869" t="s">
        <v>17</v>
      </c>
      <c r="F1869">
        <v>108</v>
      </c>
      <c r="G1869" t="s">
        <v>3997</v>
      </c>
      <c r="H1869" t="s">
        <v>3877</v>
      </c>
      <c r="I1869" t="s">
        <v>137</v>
      </c>
      <c r="J1869" t="s">
        <v>3878</v>
      </c>
      <c r="K1869">
        <v>89777</v>
      </c>
      <c r="L1869">
        <v>498</v>
      </c>
      <c r="M1869">
        <v>498</v>
      </c>
      <c r="N1869" t="s">
        <v>3998</v>
      </c>
      <c r="O1869" t="s">
        <v>3987</v>
      </c>
      <c r="P1869" t="str">
        <f>TRIM(Table13_1[[#This Row],[Genre]])</f>
        <v>Fantasy</v>
      </c>
    </row>
    <row r="1870" spans="1:16" x14ac:dyDescent="0.3">
      <c r="A1870" t="s">
        <v>3879</v>
      </c>
      <c r="B1870" t="s">
        <v>3880</v>
      </c>
      <c r="C1870">
        <v>2001</v>
      </c>
      <c r="D1870">
        <v>2000</v>
      </c>
      <c r="E1870" t="s">
        <v>17</v>
      </c>
      <c r="F1870">
        <v>96</v>
      </c>
      <c r="G1870" t="s">
        <v>3997</v>
      </c>
      <c r="H1870" t="s">
        <v>85</v>
      </c>
      <c r="I1870" t="s">
        <v>251</v>
      </c>
      <c r="J1870" t="s">
        <v>3881</v>
      </c>
      <c r="K1870">
        <v>134887</v>
      </c>
      <c r="M1870">
        <v>0</v>
      </c>
      <c r="N1870" t="s">
        <v>4001</v>
      </c>
      <c r="O1870" t="s">
        <v>767</v>
      </c>
      <c r="P1870" t="str">
        <f>TRIM(Table13_1[[#This Row],[Genre]])</f>
        <v>Fantasy</v>
      </c>
    </row>
    <row r="1871" spans="1:16" x14ac:dyDescent="0.3">
      <c r="A1871" t="s">
        <v>3879</v>
      </c>
      <c r="B1871" t="s">
        <v>3880</v>
      </c>
      <c r="C1871">
        <v>2001</v>
      </c>
      <c r="D1871">
        <v>2000</v>
      </c>
      <c r="E1871" t="s">
        <v>17</v>
      </c>
      <c r="F1871">
        <v>96</v>
      </c>
      <c r="G1871" t="s">
        <v>3997</v>
      </c>
      <c r="H1871" t="s">
        <v>85</v>
      </c>
      <c r="I1871" t="s">
        <v>251</v>
      </c>
      <c r="J1871" t="s">
        <v>3881</v>
      </c>
      <c r="K1871">
        <v>134887</v>
      </c>
      <c r="M1871">
        <v>0</v>
      </c>
      <c r="N1871" t="s">
        <v>4001</v>
      </c>
      <c r="O1871" t="s">
        <v>3982</v>
      </c>
      <c r="P1871" t="str">
        <f>TRIM(Table13_1[[#This Row],[Genre]])</f>
        <v>Family</v>
      </c>
    </row>
    <row r="1872" spans="1:16" x14ac:dyDescent="0.3">
      <c r="A1872" t="s">
        <v>3882</v>
      </c>
      <c r="B1872" t="s">
        <v>3883</v>
      </c>
      <c r="C1872">
        <v>2010</v>
      </c>
      <c r="D1872">
        <v>2010</v>
      </c>
      <c r="E1872" t="s">
        <v>54</v>
      </c>
      <c r="F1872">
        <v>89</v>
      </c>
      <c r="G1872" t="s">
        <v>4000</v>
      </c>
      <c r="H1872" t="s">
        <v>3884</v>
      </c>
      <c r="I1872" t="s">
        <v>221</v>
      </c>
      <c r="J1872" t="s">
        <v>3885</v>
      </c>
      <c r="K1872">
        <v>5562</v>
      </c>
      <c r="L1872">
        <v>230.26</v>
      </c>
      <c r="M1872">
        <v>230.26</v>
      </c>
      <c r="N1872" t="s">
        <v>3998</v>
      </c>
      <c r="O1872" t="s">
        <v>375</v>
      </c>
      <c r="P1872" t="str">
        <f>TRIM(Table13_1[[#This Row],[Genre]])</f>
        <v>Family</v>
      </c>
    </row>
    <row r="1873" spans="1:16" x14ac:dyDescent="0.3">
      <c r="A1873" t="s">
        <v>3886</v>
      </c>
      <c r="B1873" t="s">
        <v>3887</v>
      </c>
      <c r="C1873">
        <v>2008</v>
      </c>
      <c r="D1873">
        <v>2000</v>
      </c>
      <c r="E1873" t="s">
        <v>24</v>
      </c>
      <c r="F1873">
        <v>105</v>
      </c>
      <c r="G1873" t="s">
        <v>3997</v>
      </c>
      <c r="H1873" t="s">
        <v>3888</v>
      </c>
      <c r="I1873" t="s">
        <v>368</v>
      </c>
      <c r="J1873" t="s">
        <v>3889</v>
      </c>
      <c r="K1873">
        <v>52890</v>
      </c>
      <c r="M1873">
        <v>0</v>
      </c>
      <c r="N1873" t="s">
        <v>4001</v>
      </c>
      <c r="O1873" t="s">
        <v>767</v>
      </c>
      <c r="P1873" t="str">
        <f>TRIM(Table13_1[[#This Row],[Genre]])</f>
        <v>Fantasy</v>
      </c>
    </row>
    <row r="1874" spans="1:16" x14ac:dyDescent="0.3">
      <c r="A1874" t="s">
        <v>3886</v>
      </c>
      <c r="B1874" t="s">
        <v>3887</v>
      </c>
      <c r="C1874">
        <v>2008</v>
      </c>
      <c r="D1874">
        <v>2000</v>
      </c>
      <c r="E1874" t="s">
        <v>24</v>
      </c>
      <c r="F1874">
        <v>105</v>
      </c>
      <c r="G1874" t="s">
        <v>3997</v>
      </c>
      <c r="H1874" t="s">
        <v>3888</v>
      </c>
      <c r="I1874" t="s">
        <v>368</v>
      </c>
      <c r="J1874" t="s">
        <v>3889</v>
      </c>
      <c r="K1874">
        <v>52890</v>
      </c>
      <c r="M1874">
        <v>0</v>
      </c>
      <c r="N1874" t="s">
        <v>4001</v>
      </c>
      <c r="O1874" t="s">
        <v>3978</v>
      </c>
      <c r="P1874" t="str">
        <f>TRIM(Table13_1[[#This Row],[Genre]])</f>
        <v>Mystery</v>
      </c>
    </row>
    <row r="1875" spans="1:16" x14ac:dyDescent="0.3">
      <c r="A1875" t="s">
        <v>3890</v>
      </c>
      <c r="B1875" t="s">
        <v>3891</v>
      </c>
      <c r="C1875">
        <v>1989</v>
      </c>
      <c r="D1875">
        <v>1980</v>
      </c>
      <c r="E1875" t="s">
        <v>17</v>
      </c>
      <c r="F1875">
        <v>99</v>
      </c>
      <c r="G1875" t="s">
        <v>3997</v>
      </c>
      <c r="H1875" t="s">
        <v>102</v>
      </c>
      <c r="I1875" t="s">
        <v>196</v>
      </c>
      <c r="J1875" t="s">
        <v>3892</v>
      </c>
      <c r="K1875">
        <v>21202</v>
      </c>
      <c r="L1875">
        <v>203.59</v>
      </c>
      <c r="M1875">
        <v>203.59</v>
      </c>
      <c r="N1875" t="s">
        <v>3998</v>
      </c>
      <c r="O1875" t="s">
        <v>868</v>
      </c>
      <c r="P1875" t="str">
        <f>TRIM(Table13_1[[#This Row],[Genre]])</f>
        <v>Western</v>
      </c>
    </row>
    <row r="1876" spans="1:16" x14ac:dyDescent="0.3">
      <c r="A1876" t="s">
        <v>3890</v>
      </c>
      <c r="B1876" t="s">
        <v>3891</v>
      </c>
      <c r="C1876">
        <v>1989</v>
      </c>
      <c r="D1876">
        <v>1980</v>
      </c>
      <c r="E1876" t="s">
        <v>17</v>
      </c>
      <c r="F1876">
        <v>99</v>
      </c>
      <c r="G1876" t="s">
        <v>3997</v>
      </c>
      <c r="H1876" t="s">
        <v>102</v>
      </c>
      <c r="I1876" t="s">
        <v>196</v>
      </c>
      <c r="J1876" t="s">
        <v>3892</v>
      </c>
      <c r="K1876">
        <v>21202</v>
      </c>
      <c r="L1876">
        <v>203.59</v>
      </c>
      <c r="M1876">
        <v>203.59</v>
      </c>
      <c r="N1876" t="s">
        <v>3998</v>
      </c>
      <c r="O1876" t="s">
        <v>3993</v>
      </c>
      <c r="P1876" t="str">
        <f>TRIM(Table13_1[[#This Row],[Genre]])</f>
        <v>Comedy</v>
      </c>
    </row>
    <row r="1877" spans="1:16" x14ac:dyDescent="0.3">
      <c r="A1877" t="s">
        <v>3893</v>
      </c>
      <c r="B1877" t="s">
        <v>3894</v>
      </c>
      <c r="C1877">
        <v>2018</v>
      </c>
      <c r="D1877">
        <v>2010</v>
      </c>
      <c r="E1877" t="s">
        <v>24</v>
      </c>
      <c r="F1877">
        <v>88</v>
      </c>
      <c r="G1877" t="s">
        <v>4000</v>
      </c>
      <c r="H1877" t="s">
        <v>102</v>
      </c>
      <c r="I1877" t="s">
        <v>524</v>
      </c>
      <c r="J1877" t="s">
        <v>3895</v>
      </c>
      <c r="K1877">
        <v>990978</v>
      </c>
      <c r="M1877">
        <v>0</v>
      </c>
      <c r="N1877" t="s">
        <v>4001</v>
      </c>
      <c r="O1877" t="s">
        <v>868</v>
      </c>
      <c r="P1877" t="str">
        <f>TRIM(Table13_1[[#This Row],[Genre]])</f>
        <v>Western</v>
      </c>
    </row>
    <row r="1878" spans="1:16" x14ac:dyDescent="0.3">
      <c r="A1878" t="s">
        <v>3896</v>
      </c>
      <c r="B1878" t="s">
        <v>3897</v>
      </c>
      <c r="C1878">
        <v>2018</v>
      </c>
      <c r="D1878">
        <v>2010</v>
      </c>
      <c r="E1878" t="s">
        <v>54</v>
      </c>
      <c r="F1878">
        <v>136</v>
      </c>
      <c r="G1878" t="s">
        <v>3999</v>
      </c>
      <c r="H1878" t="s">
        <v>3898</v>
      </c>
      <c r="I1878" t="s">
        <v>20</v>
      </c>
      <c r="J1878" t="s">
        <v>3899</v>
      </c>
      <c r="K1878">
        <v>104933</v>
      </c>
      <c r="L1878">
        <v>174.47</v>
      </c>
      <c r="M1878">
        <v>174.47</v>
      </c>
      <c r="N1878" t="s">
        <v>4002</v>
      </c>
      <c r="O1878" t="s">
        <v>43</v>
      </c>
      <c r="P1878" t="str">
        <f>TRIM(Table13_1[[#This Row],[Genre]])</f>
        <v>Mystery</v>
      </c>
    </row>
    <row r="1879" spans="1:16" x14ac:dyDescent="0.3">
      <c r="A1879" t="s">
        <v>3900</v>
      </c>
      <c r="B1879" t="s">
        <v>3901</v>
      </c>
      <c r="C1879">
        <v>2005</v>
      </c>
      <c r="D1879">
        <v>2000</v>
      </c>
      <c r="E1879" t="s">
        <v>24</v>
      </c>
      <c r="F1879">
        <v>124</v>
      </c>
      <c r="G1879" t="s">
        <v>3999</v>
      </c>
      <c r="H1879" t="s">
        <v>158</v>
      </c>
      <c r="I1879" t="s">
        <v>196</v>
      </c>
      <c r="J1879" t="s">
        <v>3902</v>
      </c>
      <c r="K1879">
        <v>41325</v>
      </c>
      <c r="L1879">
        <v>201.78</v>
      </c>
      <c r="M1879">
        <v>201.78</v>
      </c>
      <c r="N1879" t="s">
        <v>3998</v>
      </c>
      <c r="O1879" t="s">
        <v>157</v>
      </c>
      <c r="P1879" t="str">
        <f>TRIM(Table13_1[[#This Row],[Genre]])</f>
        <v>Animation</v>
      </c>
    </row>
    <row r="1880" spans="1:16" x14ac:dyDescent="0.3">
      <c r="A1880" t="s">
        <v>3900</v>
      </c>
      <c r="B1880" t="s">
        <v>3901</v>
      </c>
      <c r="C1880">
        <v>2005</v>
      </c>
      <c r="D1880">
        <v>2000</v>
      </c>
      <c r="E1880" t="s">
        <v>24</v>
      </c>
      <c r="F1880">
        <v>124</v>
      </c>
      <c r="G1880" t="s">
        <v>3999</v>
      </c>
      <c r="H1880" t="s">
        <v>158</v>
      </c>
      <c r="I1880" t="s">
        <v>196</v>
      </c>
      <c r="J1880" t="s">
        <v>3902</v>
      </c>
      <c r="K1880">
        <v>41325</v>
      </c>
      <c r="L1880">
        <v>201.78</v>
      </c>
      <c r="M1880">
        <v>201.78</v>
      </c>
      <c r="N1880" t="s">
        <v>3998</v>
      </c>
      <c r="O1880" t="s">
        <v>3992</v>
      </c>
      <c r="P1880" t="str">
        <f>TRIM(Table13_1[[#This Row],[Genre]])</f>
        <v>Biography</v>
      </c>
    </row>
    <row r="1881" spans="1:16" x14ac:dyDescent="0.3">
      <c r="A1881" t="s">
        <v>3903</v>
      </c>
      <c r="B1881" t="s">
        <v>3904</v>
      </c>
      <c r="C1881">
        <v>2024</v>
      </c>
      <c r="D1881">
        <v>2020</v>
      </c>
      <c r="E1881" t="s">
        <v>293</v>
      </c>
      <c r="F1881">
        <v>114</v>
      </c>
      <c r="G1881" t="s">
        <v>3997</v>
      </c>
      <c r="H1881" t="s">
        <v>305</v>
      </c>
      <c r="I1881" t="s">
        <v>251</v>
      </c>
      <c r="J1881" t="s">
        <v>3905</v>
      </c>
      <c r="K1881">
        <v>155302</v>
      </c>
      <c r="L1881">
        <v>230.34</v>
      </c>
      <c r="M1881">
        <v>230.34</v>
      </c>
      <c r="N1881" t="s">
        <v>3998</v>
      </c>
      <c r="O1881" t="s">
        <v>78</v>
      </c>
      <c r="P1881" t="str">
        <f>TRIM(Table13_1[[#This Row],[Genre]])</f>
        <v>Adventure</v>
      </c>
    </row>
    <row r="1882" spans="1:16" x14ac:dyDescent="0.3">
      <c r="A1882" t="s">
        <v>3903</v>
      </c>
      <c r="B1882" t="s">
        <v>3904</v>
      </c>
      <c r="C1882">
        <v>2024</v>
      </c>
      <c r="D1882">
        <v>2020</v>
      </c>
      <c r="E1882" t="s">
        <v>293</v>
      </c>
      <c r="F1882">
        <v>114</v>
      </c>
      <c r="G1882" t="s">
        <v>3997</v>
      </c>
      <c r="H1882" t="s">
        <v>305</v>
      </c>
      <c r="I1882" t="s">
        <v>251</v>
      </c>
      <c r="J1882" t="s">
        <v>3905</v>
      </c>
      <c r="K1882">
        <v>155302</v>
      </c>
      <c r="L1882">
        <v>230.34</v>
      </c>
      <c r="M1882">
        <v>230.34</v>
      </c>
      <c r="N1882" t="s">
        <v>3998</v>
      </c>
      <c r="O1882" t="s">
        <v>3980</v>
      </c>
      <c r="P1882" t="str">
        <f>TRIM(Table13_1[[#This Row],[Genre]])</f>
        <v>Action</v>
      </c>
    </row>
    <row r="1883" spans="1:16" x14ac:dyDescent="0.3">
      <c r="A1883" t="s">
        <v>3906</v>
      </c>
      <c r="B1883" t="s">
        <v>3907</v>
      </c>
      <c r="C1883">
        <v>1983</v>
      </c>
      <c r="D1883">
        <v>1980</v>
      </c>
      <c r="E1883" t="s">
        <v>17</v>
      </c>
      <c r="F1883">
        <v>108</v>
      </c>
      <c r="G1883" t="s">
        <v>3997</v>
      </c>
      <c r="H1883" t="s">
        <v>798</v>
      </c>
      <c r="I1883" t="s">
        <v>191</v>
      </c>
      <c r="J1883" t="s">
        <v>3908</v>
      </c>
      <c r="K1883">
        <v>16326</v>
      </c>
      <c r="L1883">
        <v>184.66</v>
      </c>
      <c r="M1883">
        <v>184.66</v>
      </c>
      <c r="N1883" t="s">
        <v>4002</v>
      </c>
      <c r="O1883" t="s">
        <v>230</v>
      </c>
      <c r="P1883" t="str">
        <f>TRIM(Table13_1[[#This Row],[Genre]])</f>
        <v>Documentary</v>
      </c>
    </row>
    <row r="1884" spans="1:16" x14ac:dyDescent="0.3">
      <c r="A1884" t="s">
        <v>3906</v>
      </c>
      <c r="B1884" t="s">
        <v>3907</v>
      </c>
      <c r="C1884">
        <v>1983</v>
      </c>
      <c r="D1884">
        <v>1980</v>
      </c>
      <c r="E1884" t="s">
        <v>17</v>
      </c>
      <c r="F1884">
        <v>108</v>
      </c>
      <c r="G1884" t="s">
        <v>3997</v>
      </c>
      <c r="H1884" t="s">
        <v>798</v>
      </c>
      <c r="I1884" t="s">
        <v>191</v>
      </c>
      <c r="J1884" t="s">
        <v>3908</v>
      </c>
      <c r="K1884">
        <v>16326</v>
      </c>
      <c r="L1884">
        <v>184.66</v>
      </c>
      <c r="M1884">
        <v>184.66</v>
      </c>
      <c r="N1884" t="s">
        <v>4002</v>
      </c>
      <c r="O1884" t="s">
        <v>3983</v>
      </c>
      <c r="P1884" t="str">
        <f>TRIM(Table13_1[[#This Row],[Genre]])</f>
        <v>Crime</v>
      </c>
    </row>
    <row r="1885" spans="1:16" x14ac:dyDescent="0.3">
      <c r="A1885" t="s">
        <v>3909</v>
      </c>
      <c r="B1885" t="s">
        <v>3910</v>
      </c>
      <c r="C1885">
        <v>2002</v>
      </c>
      <c r="D1885">
        <v>2000</v>
      </c>
      <c r="E1885" t="s">
        <v>54</v>
      </c>
      <c r="F1885">
        <v>102</v>
      </c>
      <c r="G1885" t="s">
        <v>3997</v>
      </c>
      <c r="H1885" t="s">
        <v>852</v>
      </c>
      <c r="I1885" t="s">
        <v>547</v>
      </c>
      <c r="J1885" t="s">
        <v>3911</v>
      </c>
      <c r="K1885">
        <v>20358</v>
      </c>
      <c r="M1885">
        <v>0</v>
      </c>
      <c r="N1885" t="s">
        <v>4001</v>
      </c>
      <c r="O1885" t="s">
        <v>55</v>
      </c>
      <c r="P1885" t="str">
        <f>TRIM(Table13_1[[#This Row],[Genre]])</f>
        <v>Romance</v>
      </c>
    </row>
    <row r="1886" spans="1:16" x14ac:dyDescent="0.3">
      <c r="A1886" t="s">
        <v>3912</v>
      </c>
      <c r="B1886" t="s">
        <v>3913</v>
      </c>
      <c r="C1886">
        <v>2010</v>
      </c>
      <c r="D1886">
        <v>2010</v>
      </c>
      <c r="E1886" t="s">
        <v>24</v>
      </c>
      <c r="F1886">
        <v>75</v>
      </c>
      <c r="G1886" t="s">
        <v>4000</v>
      </c>
      <c r="H1886" t="s">
        <v>3914</v>
      </c>
      <c r="I1886" t="s">
        <v>92</v>
      </c>
      <c r="J1886" t="s">
        <v>3915</v>
      </c>
      <c r="K1886">
        <v>24093</v>
      </c>
      <c r="M1886">
        <v>0</v>
      </c>
      <c r="N1886" t="s">
        <v>4001</v>
      </c>
      <c r="O1886" t="s">
        <v>230</v>
      </c>
      <c r="P1886" t="str">
        <f>TRIM(Table13_1[[#This Row],[Genre]])</f>
        <v>Documentary</v>
      </c>
    </row>
    <row r="1887" spans="1:16" x14ac:dyDescent="0.3">
      <c r="A1887" t="s">
        <v>3916</v>
      </c>
      <c r="B1887" t="s">
        <v>3917</v>
      </c>
      <c r="C1887">
        <v>2008</v>
      </c>
      <c r="D1887">
        <v>2000</v>
      </c>
      <c r="E1887" t="s">
        <v>169</v>
      </c>
      <c r="F1887">
        <v>129</v>
      </c>
      <c r="G1887" t="s">
        <v>3999</v>
      </c>
      <c r="H1887" t="s">
        <v>19</v>
      </c>
      <c r="I1887" t="s">
        <v>125</v>
      </c>
      <c r="J1887" t="s">
        <v>3918</v>
      </c>
      <c r="K1887">
        <v>24911</v>
      </c>
      <c r="L1887">
        <v>486.51</v>
      </c>
      <c r="M1887">
        <v>486.51</v>
      </c>
      <c r="N1887" t="s">
        <v>3998</v>
      </c>
      <c r="O1887" t="s">
        <v>210</v>
      </c>
      <c r="P1887" t="str">
        <f>TRIM(Table13_1[[#This Row],[Genre]])</f>
        <v>Action</v>
      </c>
    </row>
    <row r="1888" spans="1:16" x14ac:dyDescent="0.3">
      <c r="A1888" t="s">
        <v>3916</v>
      </c>
      <c r="B1888" t="s">
        <v>3917</v>
      </c>
      <c r="C1888">
        <v>2008</v>
      </c>
      <c r="D1888">
        <v>2000</v>
      </c>
      <c r="E1888" t="s">
        <v>169</v>
      </c>
      <c r="F1888">
        <v>129</v>
      </c>
      <c r="G1888" t="s">
        <v>3999</v>
      </c>
      <c r="H1888" t="s">
        <v>19</v>
      </c>
      <c r="I1888" t="s">
        <v>125</v>
      </c>
      <c r="J1888" t="s">
        <v>3918</v>
      </c>
      <c r="K1888">
        <v>24911</v>
      </c>
      <c r="L1888">
        <v>486.51</v>
      </c>
      <c r="M1888">
        <v>486.51</v>
      </c>
      <c r="N1888" t="s">
        <v>3998</v>
      </c>
      <c r="O1888" t="s">
        <v>3978</v>
      </c>
      <c r="P1888" t="str">
        <f>TRIM(Table13_1[[#This Row],[Genre]])</f>
        <v>Mystery</v>
      </c>
    </row>
    <row r="1889" spans="1:16" x14ac:dyDescent="0.3">
      <c r="A1889" t="s">
        <v>3919</v>
      </c>
      <c r="B1889" t="s">
        <v>3920</v>
      </c>
      <c r="C1889">
        <v>2023</v>
      </c>
      <c r="D1889">
        <v>2020</v>
      </c>
      <c r="E1889" t="s">
        <v>17</v>
      </c>
      <c r="F1889">
        <v>198</v>
      </c>
      <c r="G1889" t="s">
        <v>3999</v>
      </c>
      <c r="H1889" t="s">
        <v>314</v>
      </c>
      <c r="I1889" t="s">
        <v>315</v>
      </c>
      <c r="J1889" t="s">
        <v>3921</v>
      </c>
      <c r="K1889">
        <v>795753</v>
      </c>
      <c r="L1889">
        <v>349.91</v>
      </c>
      <c r="M1889">
        <v>349.91</v>
      </c>
      <c r="N1889" t="s">
        <v>3998</v>
      </c>
      <c r="O1889" t="s">
        <v>606</v>
      </c>
      <c r="P1889" t="str">
        <f>TRIM(Table13_1[[#This Row],[Genre]])</f>
        <v>Sci-Fi</v>
      </c>
    </row>
    <row r="1890" spans="1:16" x14ac:dyDescent="0.3">
      <c r="A1890" t="s">
        <v>3922</v>
      </c>
      <c r="B1890" t="s">
        <v>3923</v>
      </c>
      <c r="C1890">
        <v>1988</v>
      </c>
      <c r="D1890">
        <v>1980</v>
      </c>
      <c r="E1890" t="s">
        <v>17</v>
      </c>
      <c r="F1890">
        <v>119</v>
      </c>
      <c r="G1890" t="s">
        <v>3997</v>
      </c>
      <c r="H1890" t="s">
        <v>152</v>
      </c>
      <c r="I1890" t="s">
        <v>153</v>
      </c>
      <c r="J1890" t="s">
        <v>3925</v>
      </c>
      <c r="K1890">
        <v>31429</v>
      </c>
      <c r="L1890">
        <v>142.57</v>
      </c>
      <c r="M1890">
        <v>142.57</v>
      </c>
      <c r="N1890" t="s">
        <v>4002</v>
      </c>
      <c r="O1890" t="s">
        <v>210</v>
      </c>
      <c r="P1890" t="str">
        <f>TRIM(Table13_1[[#This Row],[Genre]])</f>
        <v>Action</v>
      </c>
    </row>
    <row r="1891" spans="1:16" x14ac:dyDescent="0.3">
      <c r="A1891" t="s">
        <v>3922</v>
      </c>
      <c r="B1891" t="s">
        <v>3923</v>
      </c>
      <c r="C1891">
        <v>1988</v>
      </c>
      <c r="D1891">
        <v>1980</v>
      </c>
      <c r="E1891" t="s">
        <v>17</v>
      </c>
      <c r="F1891">
        <v>119</v>
      </c>
      <c r="G1891" t="s">
        <v>3997</v>
      </c>
      <c r="H1891" t="s">
        <v>152</v>
      </c>
      <c r="I1891" t="s">
        <v>153</v>
      </c>
      <c r="J1891" t="s">
        <v>3925</v>
      </c>
      <c r="K1891">
        <v>31429</v>
      </c>
      <c r="L1891">
        <v>142.57</v>
      </c>
      <c r="M1891">
        <v>142.57</v>
      </c>
      <c r="N1891" t="s">
        <v>4002</v>
      </c>
      <c r="O1891" t="s">
        <v>3989</v>
      </c>
      <c r="P1891" t="str">
        <f>TRIM(Table13_1[[#This Row],[Genre]])</f>
        <v>Sci-Fi</v>
      </c>
    </row>
    <row r="1892" spans="1:16" x14ac:dyDescent="0.3">
      <c r="A1892" t="s">
        <v>3922</v>
      </c>
      <c r="B1892" t="s">
        <v>3923</v>
      </c>
      <c r="C1892">
        <v>1988</v>
      </c>
      <c r="D1892">
        <v>1980</v>
      </c>
      <c r="E1892" t="s">
        <v>17</v>
      </c>
      <c r="F1892">
        <v>119</v>
      </c>
      <c r="G1892" t="s">
        <v>3997</v>
      </c>
      <c r="H1892" t="s">
        <v>152</v>
      </c>
      <c r="I1892" t="s">
        <v>153</v>
      </c>
      <c r="J1892" t="s">
        <v>3925</v>
      </c>
      <c r="K1892">
        <v>31429</v>
      </c>
      <c r="L1892">
        <v>142.57</v>
      </c>
      <c r="M1892">
        <v>142.57</v>
      </c>
      <c r="N1892" t="s">
        <v>4002</v>
      </c>
      <c r="O1892" t="s">
        <v>3978</v>
      </c>
      <c r="P1892" t="str">
        <f>TRIM(Table13_1[[#This Row],[Genre]])</f>
        <v>Mystery</v>
      </c>
    </row>
    <row r="1893" spans="1:16" x14ac:dyDescent="0.3">
      <c r="A1893" t="s">
        <v>3926</v>
      </c>
      <c r="B1893" t="s">
        <v>3927</v>
      </c>
      <c r="C1893">
        <v>2020</v>
      </c>
      <c r="D1893">
        <v>2020</v>
      </c>
      <c r="E1893" t="s">
        <v>54</v>
      </c>
      <c r="F1893">
        <v>109</v>
      </c>
      <c r="G1893" t="s">
        <v>3997</v>
      </c>
      <c r="H1893" t="s">
        <v>3099</v>
      </c>
      <c r="I1893" t="s">
        <v>524</v>
      </c>
      <c r="J1893" t="s">
        <v>3928</v>
      </c>
      <c r="K1893">
        <v>310434</v>
      </c>
      <c r="L1893">
        <v>30.48</v>
      </c>
      <c r="M1893">
        <v>30.48</v>
      </c>
      <c r="N1893" t="s">
        <v>4001</v>
      </c>
      <c r="O1893" t="s">
        <v>606</v>
      </c>
      <c r="P1893" t="str">
        <f>TRIM(Table13_1[[#This Row],[Genre]])</f>
        <v>Sci-Fi</v>
      </c>
    </row>
    <row r="1894" spans="1:16" x14ac:dyDescent="0.3">
      <c r="A1894" t="s">
        <v>3926</v>
      </c>
      <c r="B1894" t="s">
        <v>3927</v>
      </c>
      <c r="C1894">
        <v>2020</v>
      </c>
      <c r="D1894">
        <v>2020</v>
      </c>
      <c r="E1894" t="s">
        <v>54</v>
      </c>
      <c r="F1894">
        <v>109</v>
      </c>
      <c r="G1894" t="s">
        <v>3997</v>
      </c>
      <c r="H1894" t="s">
        <v>3099</v>
      </c>
      <c r="I1894" t="s">
        <v>524</v>
      </c>
      <c r="J1894" t="s">
        <v>3928</v>
      </c>
      <c r="K1894">
        <v>310434</v>
      </c>
      <c r="L1894">
        <v>30.48</v>
      </c>
      <c r="M1894">
        <v>30.48</v>
      </c>
      <c r="N1894" t="s">
        <v>4001</v>
      </c>
      <c r="O1894" t="s">
        <v>3987</v>
      </c>
      <c r="P1894" t="str">
        <f>TRIM(Table13_1[[#This Row],[Genre]])</f>
        <v>Fantasy</v>
      </c>
    </row>
    <row r="1895" spans="1:16" x14ac:dyDescent="0.3">
      <c r="A1895" t="s">
        <v>3929</v>
      </c>
      <c r="B1895" t="s">
        <v>3930</v>
      </c>
      <c r="C1895">
        <v>2008</v>
      </c>
      <c r="D1895">
        <v>2000</v>
      </c>
      <c r="E1895" t="s">
        <v>17</v>
      </c>
      <c r="F1895">
        <v>91</v>
      </c>
      <c r="G1895" t="s">
        <v>3997</v>
      </c>
      <c r="H1895" t="s">
        <v>164</v>
      </c>
      <c r="I1895" t="s">
        <v>518</v>
      </c>
      <c r="J1895" t="s">
        <v>3931</v>
      </c>
      <c r="K1895">
        <v>26217</v>
      </c>
      <c r="L1895">
        <v>333.74</v>
      </c>
      <c r="M1895">
        <v>333.74</v>
      </c>
      <c r="N1895" t="s">
        <v>3998</v>
      </c>
      <c r="O1895" t="s">
        <v>1044</v>
      </c>
      <c r="P1895" t="str">
        <f>TRIM(Table13_1[[#This Row],[Genre]])</f>
        <v>Comedy</v>
      </c>
    </row>
    <row r="1896" spans="1:16" x14ac:dyDescent="0.3">
      <c r="A1896" t="s">
        <v>3929</v>
      </c>
      <c r="B1896" t="s">
        <v>3930</v>
      </c>
      <c r="C1896">
        <v>2008</v>
      </c>
      <c r="D1896">
        <v>2000</v>
      </c>
      <c r="E1896" t="s">
        <v>17</v>
      </c>
      <c r="F1896">
        <v>91</v>
      </c>
      <c r="G1896" t="s">
        <v>3997</v>
      </c>
      <c r="H1896" t="s">
        <v>164</v>
      </c>
      <c r="I1896" t="s">
        <v>518</v>
      </c>
      <c r="J1896" t="s">
        <v>3931</v>
      </c>
      <c r="K1896">
        <v>26217</v>
      </c>
      <c r="L1896">
        <v>333.74</v>
      </c>
      <c r="M1896">
        <v>333.74</v>
      </c>
      <c r="N1896" t="s">
        <v>3998</v>
      </c>
      <c r="O1896" t="s">
        <v>3976</v>
      </c>
      <c r="P1896" t="str">
        <f>TRIM(Table13_1[[#This Row],[Genre]])</f>
        <v>Musical</v>
      </c>
    </row>
    <row r="1897" spans="1:16" x14ac:dyDescent="0.3">
      <c r="A1897" t="s">
        <v>3932</v>
      </c>
      <c r="B1897" t="s">
        <v>3933</v>
      </c>
      <c r="C1897">
        <v>2010</v>
      </c>
      <c r="D1897">
        <v>2010</v>
      </c>
      <c r="E1897" t="s">
        <v>17</v>
      </c>
      <c r="F1897">
        <v>138</v>
      </c>
      <c r="G1897" t="s">
        <v>3999</v>
      </c>
      <c r="H1897" t="s">
        <v>3934</v>
      </c>
      <c r="I1897" t="s">
        <v>153</v>
      </c>
      <c r="J1897" t="s">
        <v>3935</v>
      </c>
      <c r="K1897">
        <v>13166</v>
      </c>
      <c r="L1897">
        <v>148.28</v>
      </c>
      <c r="M1897">
        <v>148.28</v>
      </c>
      <c r="N1897" t="s">
        <v>4002</v>
      </c>
      <c r="O1897" t="s">
        <v>1044</v>
      </c>
      <c r="P1897" t="str">
        <f>TRIM(Table13_1[[#This Row],[Genre]])</f>
        <v>Comedy</v>
      </c>
    </row>
    <row r="1898" spans="1:16" x14ac:dyDescent="0.3">
      <c r="A1898" t="s">
        <v>3932</v>
      </c>
      <c r="B1898" t="s">
        <v>3933</v>
      </c>
      <c r="C1898">
        <v>2010</v>
      </c>
      <c r="D1898">
        <v>2010</v>
      </c>
      <c r="E1898" t="s">
        <v>17</v>
      </c>
      <c r="F1898">
        <v>138</v>
      </c>
      <c r="G1898" t="s">
        <v>3999</v>
      </c>
      <c r="H1898" t="s">
        <v>3934</v>
      </c>
      <c r="I1898" t="s">
        <v>153</v>
      </c>
      <c r="J1898" t="s">
        <v>3935</v>
      </c>
      <c r="K1898">
        <v>13166</v>
      </c>
      <c r="L1898">
        <v>148.28</v>
      </c>
      <c r="M1898">
        <v>148.28</v>
      </c>
      <c r="N1898" t="s">
        <v>4002</v>
      </c>
      <c r="O1898" t="s">
        <v>3983</v>
      </c>
      <c r="P1898" t="str">
        <f>TRIM(Table13_1[[#This Row],[Genre]])</f>
        <v>Crime</v>
      </c>
    </row>
    <row r="1899" spans="1:16" x14ac:dyDescent="0.3">
      <c r="A1899" t="s">
        <v>3936</v>
      </c>
      <c r="B1899" t="s">
        <v>3937</v>
      </c>
      <c r="C1899">
        <v>1985</v>
      </c>
      <c r="D1899">
        <v>1980</v>
      </c>
      <c r="E1899" t="s">
        <v>17</v>
      </c>
      <c r="F1899">
        <v>148</v>
      </c>
      <c r="G1899" t="s">
        <v>3999</v>
      </c>
      <c r="H1899" t="s">
        <v>2766</v>
      </c>
      <c r="I1899" t="s">
        <v>147</v>
      </c>
      <c r="J1899" t="s">
        <v>3939</v>
      </c>
      <c r="K1899">
        <v>10870</v>
      </c>
      <c r="L1899">
        <v>109.29</v>
      </c>
      <c r="M1899">
        <v>109.29</v>
      </c>
      <c r="N1899" t="s">
        <v>4002</v>
      </c>
      <c r="O1899" t="s">
        <v>129</v>
      </c>
      <c r="P1899" t="str">
        <f>TRIM(Table13_1[[#This Row],[Genre]])</f>
        <v>Horror</v>
      </c>
    </row>
    <row r="1900" spans="1:16" x14ac:dyDescent="0.3">
      <c r="A1900" t="s">
        <v>3936</v>
      </c>
      <c r="B1900" t="s">
        <v>3937</v>
      </c>
      <c r="C1900">
        <v>1985</v>
      </c>
      <c r="D1900">
        <v>1980</v>
      </c>
      <c r="E1900" t="s">
        <v>17</v>
      </c>
      <c r="F1900">
        <v>148</v>
      </c>
      <c r="G1900" t="s">
        <v>3999</v>
      </c>
      <c r="H1900" t="s">
        <v>2766</v>
      </c>
      <c r="I1900" t="s">
        <v>147</v>
      </c>
      <c r="J1900" t="s">
        <v>3939</v>
      </c>
      <c r="K1900">
        <v>10870</v>
      </c>
      <c r="L1900">
        <v>109.29</v>
      </c>
      <c r="M1900">
        <v>109.29</v>
      </c>
      <c r="N1900" t="s">
        <v>4002</v>
      </c>
      <c r="O1900" t="s">
        <v>3984</v>
      </c>
      <c r="P1900" t="str">
        <f>TRIM(Table13_1[[#This Row],[Genre]])</f>
        <v>Adventure</v>
      </c>
    </row>
    <row r="1901" spans="1:16" x14ac:dyDescent="0.3">
      <c r="A1901" t="s">
        <v>3936</v>
      </c>
      <c r="B1901" t="s">
        <v>3937</v>
      </c>
      <c r="C1901">
        <v>1985</v>
      </c>
      <c r="D1901">
        <v>1980</v>
      </c>
      <c r="E1901" t="s">
        <v>17</v>
      </c>
      <c r="F1901">
        <v>148</v>
      </c>
      <c r="G1901" t="s">
        <v>3999</v>
      </c>
      <c r="H1901" t="s">
        <v>2766</v>
      </c>
      <c r="I1901" t="s">
        <v>147</v>
      </c>
      <c r="J1901" t="s">
        <v>3939</v>
      </c>
      <c r="K1901">
        <v>10870</v>
      </c>
      <c r="L1901">
        <v>109.29</v>
      </c>
      <c r="M1901">
        <v>109.29</v>
      </c>
      <c r="N1901" t="s">
        <v>4002</v>
      </c>
      <c r="O1901" t="s">
        <v>3983</v>
      </c>
      <c r="P1901" t="str">
        <f>TRIM(Table13_1[[#This Row],[Genre]])</f>
        <v>Crime</v>
      </c>
    </row>
    <row r="1902" spans="1:16" x14ac:dyDescent="0.3">
      <c r="A1902" t="s">
        <v>3940</v>
      </c>
      <c r="B1902" t="s">
        <v>3941</v>
      </c>
      <c r="C1902">
        <v>2009</v>
      </c>
      <c r="D1902">
        <v>2000</v>
      </c>
      <c r="E1902" t="s">
        <v>54</v>
      </c>
      <c r="F1902">
        <v>114</v>
      </c>
      <c r="G1902" t="s">
        <v>3997</v>
      </c>
      <c r="H1902" t="s">
        <v>3418</v>
      </c>
      <c r="I1902" t="s">
        <v>547</v>
      </c>
      <c r="J1902" t="s">
        <v>3943</v>
      </c>
      <c r="K1902">
        <v>55191</v>
      </c>
      <c r="L1902">
        <v>205.9</v>
      </c>
      <c r="M1902">
        <v>205.9</v>
      </c>
      <c r="N1902" t="s">
        <v>3998</v>
      </c>
      <c r="O1902" t="s">
        <v>1044</v>
      </c>
      <c r="P1902" t="str">
        <f>TRIM(Table13_1[[#This Row],[Genre]])</f>
        <v>Comedy</v>
      </c>
    </row>
    <row r="1903" spans="1:16" x14ac:dyDescent="0.3">
      <c r="A1903" t="s">
        <v>3940</v>
      </c>
      <c r="B1903" t="s">
        <v>3941</v>
      </c>
      <c r="C1903">
        <v>2009</v>
      </c>
      <c r="D1903">
        <v>2000</v>
      </c>
      <c r="E1903" t="s">
        <v>54</v>
      </c>
      <c r="F1903">
        <v>114</v>
      </c>
      <c r="G1903" t="s">
        <v>3997</v>
      </c>
      <c r="H1903" t="s">
        <v>3418</v>
      </c>
      <c r="I1903" t="s">
        <v>547</v>
      </c>
      <c r="J1903" t="s">
        <v>3943</v>
      </c>
      <c r="K1903">
        <v>55191</v>
      </c>
      <c r="L1903">
        <v>205.9</v>
      </c>
      <c r="M1903">
        <v>205.9</v>
      </c>
      <c r="N1903" t="s">
        <v>3998</v>
      </c>
      <c r="O1903" t="s">
        <v>3978</v>
      </c>
      <c r="P1903" t="str">
        <f>TRIM(Table13_1[[#This Row],[Genre]])</f>
        <v>Mystery</v>
      </c>
    </row>
    <row r="1904" spans="1:16" x14ac:dyDescent="0.3">
      <c r="A1904" t="s">
        <v>3940</v>
      </c>
      <c r="B1904" t="s">
        <v>3941</v>
      </c>
      <c r="C1904">
        <v>2009</v>
      </c>
      <c r="D1904">
        <v>2000</v>
      </c>
      <c r="E1904" t="s">
        <v>54</v>
      </c>
      <c r="F1904">
        <v>114</v>
      </c>
      <c r="G1904" t="s">
        <v>3997</v>
      </c>
      <c r="H1904" t="s">
        <v>3418</v>
      </c>
      <c r="I1904" t="s">
        <v>547</v>
      </c>
      <c r="J1904" t="s">
        <v>3943</v>
      </c>
      <c r="K1904">
        <v>55191</v>
      </c>
      <c r="L1904">
        <v>205.9</v>
      </c>
      <c r="M1904">
        <v>205.9</v>
      </c>
      <c r="N1904" t="s">
        <v>3998</v>
      </c>
      <c r="O1904" t="s">
        <v>3976</v>
      </c>
      <c r="P1904" t="str">
        <f>TRIM(Table13_1[[#This Row],[Genre]])</f>
        <v>Musical</v>
      </c>
    </row>
    <row r="1905" spans="1:16" x14ac:dyDescent="0.3">
      <c r="A1905" t="s">
        <v>3944</v>
      </c>
      <c r="B1905" t="s">
        <v>3945</v>
      </c>
      <c r="C1905">
        <v>2016</v>
      </c>
      <c r="D1905">
        <v>2010</v>
      </c>
      <c r="E1905" t="s">
        <v>17</v>
      </c>
      <c r="F1905">
        <v>140</v>
      </c>
      <c r="G1905" t="s">
        <v>3999</v>
      </c>
      <c r="H1905" t="s">
        <v>3946</v>
      </c>
      <c r="I1905" t="s">
        <v>33</v>
      </c>
      <c r="J1905" t="s">
        <v>3947</v>
      </c>
      <c r="K1905">
        <v>165514</v>
      </c>
      <c r="L1905">
        <v>456.06</v>
      </c>
      <c r="M1905">
        <v>456.06</v>
      </c>
      <c r="N1905" t="s">
        <v>3998</v>
      </c>
      <c r="O1905" t="s">
        <v>43</v>
      </c>
      <c r="P1905" t="str">
        <f>TRIM(Table13_1[[#This Row],[Genre]])</f>
        <v>Mystery</v>
      </c>
    </row>
    <row r="1906" spans="1:16" x14ac:dyDescent="0.3">
      <c r="A1906" t="s">
        <v>3944</v>
      </c>
      <c r="B1906" t="s">
        <v>3945</v>
      </c>
      <c r="C1906">
        <v>2016</v>
      </c>
      <c r="D1906">
        <v>2010</v>
      </c>
      <c r="E1906" t="s">
        <v>17</v>
      </c>
      <c r="F1906">
        <v>140</v>
      </c>
      <c r="G1906" t="s">
        <v>3999</v>
      </c>
      <c r="H1906" t="s">
        <v>3946</v>
      </c>
      <c r="I1906" t="s">
        <v>33</v>
      </c>
      <c r="J1906" t="s">
        <v>3947</v>
      </c>
      <c r="K1906">
        <v>165514</v>
      </c>
      <c r="L1906">
        <v>456.06</v>
      </c>
      <c r="M1906">
        <v>456.06</v>
      </c>
      <c r="N1906" t="s">
        <v>3998</v>
      </c>
      <c r="O1906" t="s">
        <v>3977</v>
      </c>
      <c r="P1906" t="str">
        <f>TRIM(Table13_1[[#This Row],[Genre]])</f>
        <v>Animation</v>
      </c>
    </row>
    <row r="1907" spans="1:16" x14ac:dyDescent="0.3">
      <c r="A1907" t="s">
        <v>3948</v>
      </c>
      <c r="B1907" t="s">
        <v>3949</v>
      </c>
      <c r="C1907">
        <v>2024</v>
      </c>
      <c r="D1907">
        <v>2020</v>
      </c>
      <c r="E1907" t="s">
        <v>24</v>
      </c>
      <c r="F1907">
        <v>129</v>
      </c>
      <c r="G1907" t="s">
        <v>3999</v>
      </c>
      <c r="H1907" t="s">
        <v>231</v>
      </c>
      <c r="I1907" t="s">
        <v>113</v>
      </c>
      <c r="J1907" t="s">
        <v>3951</v>
      </c>
      <c r="K1907">
        <v>28293</v>
      </c>
      <c r="L1907">
        <v>279.37</v>
      </c>
      <c r="M1907">
        <v>279.37</v>
      </c>
      <c r="N1907" t="s">
        <v>3998</v>
      </c>
      <c r="O1907" t="s">
        <v>230</v>
      </c>
      <c r="P1907" t="str">
        <f>TRIM(Table13_1[[#This Row],[Genre]])</f>
        <v>Documentary</v>
      </c>
    </row>
    <row r="1908" spans="1:16" x14ac:dyDescent="0.3">
      <c r="A1908" t="s">
        <v>3948</v>
      </c>
      <c r="B1908" t="s">
        <v>3949</v>
      </c>
      <c r="C1908">
        <v>2024</v>
      </c>
      <c r="D1908">
        <v>2020</v>
      </c>
      <c r="E1908" t="s">
        <v>24</v>
      </c>
      <c r="F1908">
        <v>129</v>
      </c>
      <c r="G1908" t="s">
        <v>3999</v>
      </c>
      <c r="H1908" t="s">
        <v>231</v>
      </c>
      <c r="I1908" t="s">
        <v>113</v>
      </c>
      <c r="J1908" t="s">
        <v>3951</v>
      </c>
      <c r="K1908">
        <v>28293</v>
      </c>
      <c r="L1908">
        <v>279.37</v>
      </c>
      <c r="M1908">
        <v>279.37</v>
      </c>
      <c r="N1908" t="s">
        <v>3998</v>
      </c>
      <c r="O1908" t="s">
        <v>3988</v>
      </c>
      <c r="P1908" t="str">
        <f>TRIM(Table13_1[[#This Row],[Genre]])</f>
        <v>Drama</v>
      </c>
    </row>
    <row r="1909" spans="1:16" x14ac:dyDescent="0.3">
      <c r="A1909" t="s">
        <v>3948</v>
      </c>
      <c r="B1909" t="s">
        <v>3949</v>
      </c>
      <c r="C1909">
        <v>2024</v>
      </c>
      <c r="D1909">
        <v>2020</v>
      </c>
      <c r="E1909" t="s">
        <v>24</v>
      </c>
      <c r="F1909">
        <v>129</v>
      </c>
      <c r="G1909" t="s">
        <v>3999</v>
      </c>
      <c r="H1909" t="s">
        <v>231</v>
      </c>
      <c r="I1909" t="s">
        <v>113</v>
      </c>
      <c r="J1909" t="s">
        <v>3951</v>
      </c>
      <c r="K1909">
        <v>28293</v>
      </c>
      <c r="L1909">
        <v>279.37</v>
      </c>
      <c r="M1909">
        <v>279.37</v>
      </c>
      <c r="N1909" t="s">
        <v>3998</v>
      </c>
      <c r="O1909" t="s">
        <v>3987</v>
      </c>
      <c r="P1909" t="str">
        <f>TRIM(Table13_1[[#This Row],[Genre]])</f>
        <v>Fantasy</v>
      </c>
    </row>
    <row r="1910" spans="1:16" x14ac:dyDescent="0.3">
      <c r="A1910" t="s">
        <v>3952</v>
      </c>
      <c r="B1910" t="s">
        <v>3953</v>
      </c>
      <c r="C1910">
        <v>2014</v>
      </c>
      <c r="D1910">
        <v>2010</v>
      </c>
      <c r="E1910" t="s">
        <v>54</v>
      </c>
      <c r="F1910">
        <v>98</v>
      </c>
      <c r="G1910" t="s">
        <v>3997</v>
      </c>
      <c r="H1910" t="s">
        <v>158</v>
      </c>
      <c r="I1910" t="s">
        <v>608</v>
      </c>
      <c r="J1910" t="s">
        <v>3954</v>
      </c>
      <c r="K1910">
        <v>115247</v>
      </c>
      <c r="L1910">
        <v>329.82</v>
      </c>
      <c r="M1910">
        <v>329.82</v>
      </c>
      <c r="N1910" t="s">
        <v>3998</v>
      </c>
      <c r="O1910" t="s">
        <v>157</v>
      </c>
      <c r="P1910" t="str">
        <f>TRIM(Table13_1[[#This Row],[Genre]])</f>
        <v>Animation</v>
      </c>
    </row>
    <row r="1911" spans="1:16" x14ac:dyDescent="0.3">
      <c r="A1911" t="s">
        <v>3952</v>
      </c>
      <c r="B1911" t="s">
        <v>3953</v>
      </c>
      <c r="C1911">
        <v>2014</v>
      </c>
      <c r="D1911">
        <v>2010</v>
      </c>
      <c r="E1911" t="s">
        <v>54</v>
      </c>
      <c r="F1911">
        <v>98</v>
      </c>
      <c r="G1911" t="s">
        <v>3997</v>
      </c>
      <c r="H1911" t="s">
        <v>158</v>
      </c>
      <c r="I1911" t="s">
        <v>608</v>
      </c>
      <c r="J1911" t="s">
        <v>3954</v>
      </c>
      <c r="K1911">
        <v>115247</v>
      </c>
      <c r="L1911">
        <v>329.82</v>
      </c>
      <c r="M1911">
        <v>329.82</v>
      </c>
      <c r="N1911" t="s">
        <v>3998</v>
      </c>
      <c r="O1911" t="s">
        <v>3984</v>
      </c>
      <c r="P1911" t="str">
        <f>TRIM(Table13_1[[#This Row],[Genre]])</f>
        <v>Adventure</v>
      </c>
    </row>
    <row r="1912" spans="1:16" x14ac:dyDescent="0.3">
      <c r="A1912" t="s">
        <v>3955</v>
      </c>
      <c r="B1912" t="s">
        <v>3956</v>
      </c>
      <c r="C1912">
        <v>2001</v>
      </c>
      <c r="D1912">
        <v>2000</v>
      </c>
      <c r="E1912" t="s">
        <v>169</v>
      </c>
      <c r="F1912">
        <v>121</v>
      </c>
      <c r="G1912" t="s">
        <v>3999</v>
      </c>
      <c r="H1912" t="s">
        <v>3958</v>
      </c>
      <c r="I1912" t="s">
        <v>718</v>
      </c>
      <c r="J1912" t="s">
        <v>3959</v>
      </c>
      <c r="K1912">
        <v>45236</v>
      </c>
      <c r="M1912">
        <v>0</v>
      </c>
      <c r="N1912" t="s">
        <v>4001</v>
      </c>
      <c r="O1912" t="s">
        <v>1044</v>
      </c>
      <c r="P1912" t="str">
        <f>TRIM(Table13_1[[#This Row],[Genre]])</f>
        <v>Comedy</v>
      </c>
    </row>
    <row r="1913" spans="1:16" x14ac:dyDescent="0.3">
      <c r="A1913" t="s">
        <v>3955</v>
      </c>
      <c r="B1913" t="s">
        <v>3956</v>
      </c>
      <c r="C1913">
        <v>2001</v>
      </c>
      <c r="D1913">
        <v>2000</v>
      </c>
      <c r="E1913" t="s">
        <v>169</v>
      </c>
      <c r="F1913">
        <v>121</v>
      </c>
      <c r="G1913" t="s">
        <v>3999</v>
      </c>
      <c r="H1913" t="s">
        <v>3958</v>
      </c>
      <c r="I1913" t="s">
        <v>718</v>
      </c>
      <c r="J1913" t="s">
        <v>3959</v>
      </c>
      <c r="K1913">
        <v>45236</v>
      </c>
      <c r="M1913">
        <v>0</v>
      </c>
      <c r="N1913" t="s">
        <v>4001</v>
      </c>
      <c r="O1913" t="s">
        <v>3985</v>
      </c>
      <c r="P1913" t="str">
        <f>TRIM(Table13_1[[#This Row],[Genre]])</f>
        <v>Horror</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43A87-2DD7-4A6A-B4C3-9F8FF5385D86}">
  <dimension ref="A3:C13"/>
  <sheetViews>
    <sheetView workbookViewId="0">
      <selection activeCell="C6" sqref="C6"/>
    </sheetView>
  </sheetViews>
  <sheetFormatPr defaultRowHeight="14.4" x14ac:dyDescent="0.3"/>
  <cols>
    <col min="1" max="1" width="12.5546875" bestFit="1" customWidth="1"/>
    <col min="2" max="2" width="25.5546875" bestFit="1" customWidth="1"/>
    <col min="3" max="3" width="16" bestFit="1" customWidth="1"/>
  </cols>
  <sheetData>
    <row r="3" spans="1:3" x14ac:dyDescent="0.3">
      <c r="A3" s="5" t="s">
        <v>3972</v>
      </c>
      <c r="B3" t="s">
        <v>3975</v>
      </c>
      <c r="C3" t="s">
        <v>3974</v>
      </c>
    </row>
    <row r="4" spans="1:3" x14ac:dyDescent="0.3">
      <c r="A4" s="6">
        <v>1940</v>
      </c>
      <c r="B4" s="3">
        <v>791.59</v>
      </c>
      <c r="C4" s="7">
        <v>8.127272727272727</v>
      </c>
    </row>
    <row r="5" spans="1:3" x14ac:dyDescent="0.3">
      <c r="A5" s="6">
        <v>1950</v>
      </c>
      <c r="B5" s="3">
        <v>780.03000000000009</v>
      </c>
      <c r="C5" s="7">
        <v>8.0714285714285712</v>
      </c>
    </row>
    <row r="6" spans="1:3" x14ac:dyDescent="0.3">
      <c r="A6" s="6">
        <v>1960</v>
      </c>
      <c r="B6" s="3">
        <v>2524.08</v>
      </c>
      <c r="C6" s="7">
        <v>8.1470588235294112</v>
      </c>
    </row>
    <row r="7" spans="1:3" x14ac:dyDescent="0.3">
      <c r="A7" s="6">
        <v>1970</v>
      </c>
      <c r="B7" s="3">
        <v>1660.3300000000002</v>
      </c>
      <c r="C7" s="7">
        <v>8.1999999999999993</v>
      </c>
    </row>
    <row r="8" spans="1:3" x14ac:dyDescent="0.3">
      <c r="A8" s="6">
        <v>1980</v>
      </c>
      <c r="B8" s="3">
        <v>7328.7999999999993</v>
      </c>
      <c r="C8" s="7">
        <v>7.1391304347826079</v>
      </c>
    </row>
    <row r="9" spans="1:3" x14ac:dyDescent="0.3">
      <c r="A9" s="6">
        <v>1990</v>
      </c>
      <c r="B9" s="3">
        <v>8316.7099999999991</v>
      </c>
      <c r="C9" s="7">
        <v>7.1148648648648631</v>
      </c>
    </row>
    <row r="10" spans="1:3" x14ac:dyDescent="0.3">
      <c r="A10" s="6">
        <v>2000</v>
      </c>
      <c r="B10" s="3">
        <v>61858.889999999978</v>
      </c>
      <c r="C10" s="7">
        <v>6.8329479768786072</v>
      </c>
    </row>
    <row r="11" spans="1:3" x14ac:dyDescent="0.3">
      <c r="A11" s="6">
        <v>2010</v>
      </c>
      <c r="B11" s="3">
        <v>64248.270000000011</v>
      </c>
      <c r="C11" s="7">
        <v>6.8207792207792277</v>
      </c>
    </row>
    <row r="12" spans="1:3" x14ac:dyDescent="0.3">
      <c r="A12" s="6">
        <v>2020</v>
      </c>
      <c r="B12" s="3">
        <v>35385.000000000007</v>
      </c>
      <c r="C12" s="7">
        <v>6.8790849673202601</v>
      </c>
    </row>
    <row r="13" spans="1:3" x14ac:dyDescent="0.3">
      <c r="A13" s="6" t="s">
        <v>3973</v>
      </c>
      <c r="B13" s="3">
        <v>182893.7</v>
      </c>
      <c r="C13" s="7">
        <v>6.9440000000000017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EBC50-9A96-4B81-824E-AC79840655FE}">
  <dimension ref="A1:B22"/>
  <sheetViews>
    <sheetView topLeftCell="A10" zoomScale="73" zoomScaleNormal="73" workbookViewId="0">
      <selection activeCell="L34" sqref="L34"/>
    </sheetView>
  </sheetViews>
  <sheetFormatPr defaultRowHeight="14.4" x14ac:dyDescent="0.3"/>
  <cols>
    <col min="1" max="1" width="13.33203125" bestFit="1" customWidth="1"/>
    <col min="2" max="2" width="25.5546875" bestFit="1" customWidth="1"/>
  </cols>
  <sheetData>
    <row r="1" spans="1:2" x14ac:dyDescent="0.3">
      <c r="A1" s="9" t="s">
        <v>4004</v>
      </c>
    </row>
    <row r="3" spans="1:2" x14ac:dyDescent="0.3">
      <c r="A3" s="5" t="s">
        <v>3972</v>
      </c>
      <c r="B3" t="s">
        <v>3975</v>
      </c>
    </row>
    <row r="4" spans="1:2" x14ac:dyDescent="0.3">
      <c r="A4" s="6" t="s">
        <v>210</v>
      </c>
      <c r="B4" s="3">
        <v>21639.739999999994</v>
      </c>
    </row>
    <row r="5" spans="1:2" x14ac:dyDescent="0.3">
      <c r="A5" s="6" t="s">
        <v>78</v>
      </c>
      <c r="B5" s="3">
        <v>18075.260000000002</v>
      </c>
    </row>
    <row r="6" spans="1:2" x14ac:dyDescent="0.3">
      <c r="A6" s="6" t="s">
        <v>157</v>
      </c>
      <c r="B6" s="3">
        <v>21808.889999999996</v>
      </c>
    </row>
    <row r="7" spans="1:2" x14ac:dyDescent="0.3">
      <c r="A7" s="6" t="s">
        <v>37</v>
      </c>
      <c r="B7" s="3">
        <v>15565.890000000001</v>
      </c>
    </row>
    <row r="8" spans="1:2" x14ac:dyDescent="0.3">
      <c r="A8" s="6" t="s">
        <v>1044</v>
      </c>
      <c r="B8" s="3">
        <v>19296.230000000007</v>
      </c>
    </row>
    <row r="9" spans="1:2" x14ac:dyDescent="0.3">
      <c r="A9" s="6" t="s">
        <v>48</v>
      </c>
      <c r="B9" s="3">
        <v>17345.299999999996</v>
      </c>
    </row>
    <row r="10" spans="1:2" x14ac:dyDescent="0.3">
      <c r="A10" s="6" t="s">
        <v>230</v>
      </c>
      <c r="B10" s="3">
        <v>17464.399999999991</v>
      </c>
    </row>
    <row r="11" spans="1:2" x14ac:dyDescent="0.3">
      <c r="A11" s="6" t="s">
        <v>235</v>
      </c>
      <c r="B11" s="3">
        <v>20412.809999999994</v>
      </c>
    </row>
    <row r="12" spans="1:2" x14ac:dyDescent="0.3">
      <c r="A12" s="6" t="s">
        <v>375</v>
      </c>
      <c r="B12" s="3">
        <v>16111.870000000004</v>
      </c>
    </row>
    <row r="13" spans="1:2" x14ac:dyDescent="0.3">
      <c r="A13" s="6" t="s">
        <v>767</v>
      </c>
      <c r="B13" s="3">
        <v>21041.269999999997</v>
      </c>
    </row>
    <row r="14" spans="1:2" x14ac:dyDescent="0.3">
      <c r="A14" s="6" t="s">
        <v>129</v>
      </c>
      <c r="B14" s="3">
        <v>16991.019999999997</v>
      </c>
    </row>
    <row r="15" spans="1:2" x14ac:dyDescent="0.3">
      <c r="A15" s="6" t="s">
        <v>453</v>
      </c>
      <c r="B15" s="3">
        <v>20146.490000000002</v>
      </c>
    </row>
    <row r="16" spans="1:2" x14ac:dyDescent="0.3">
      <c r="A16" s="6" t="s">
        <v>43</v>
      </c>
      <c r="B16" s="3">
        <v>22303.37</v>
      </c>
    </row>
    <row r="17" spans="1:2" x14ac:dyDescent="0.3">
      <c r="A17" s="6" t="s">
        <v>55</v>
      </c>
      <c r="B17" s="3">
        <v>16364.379999999996</v>
      </c>
    </row>
    <row r="18" spans="1:2" x14ac:dyDescent="0.3">
      <c r="A18" s="6" t="s">
        <v>606</v>
      </c>
      <c r="B18" s="3">
        <v>23918.640000000007</v>
      </c>
    </row>
    <row r="19" spans="1:2" x14ac:dyDescent="0.3">
      <c r="A19" s="6" t="s">
        <v>277</v>
      </c>
      <c r="B19" s="3">
        <v>24841.94</v>
      </c>
    </row>
    <row r="20" spans="1:2" x14ac:dyDescent="0.3">
      <c r="A20" s="6" t="s">
        <v>72</v>
      </c>
      <c r="B20" s="3">
        <v>20414.119999999995</v>
      </c>
    </row>
    <row r="21" spans="1:2" x14ac:dyDescent="0.3">
      <c r="A21" s="6" t="s">
        <v>868</v>
      </c>
      <c r="B21" s="3">
        <v>16015.500000000004</v>
      </c>
    </row>
    <row r="22" spans="1:2" x14ac:dyDescent="0.3">
      <c r="A22" s="6" t="s">
        <v>3973</v>
      </c>
      <c r="B22" s="3">
        <v>349757.11999999994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26D87-5C53-43C6-B760-3210E5AC41F7}">
  <dimension ref="A3:E54"/>
  <sheetViews>
    <sheetView topLeftCell="A42" zoomScale="97" workbookViewId="0">
      <selection activeCell="N61" sqref="N61"/>
    </sheetView>
  </sheetViews>
  <sheetFormatPr defaultRowHeight="14.4" x14ac:dyDescent="0.3"/>
  <cols>
    <col min="1" max="1" width="18.77734375" bestFit="1" customWidth="1"/>
    <col min="2" max="2" width="16.44140625" bestFit="1" customWidth="1"/>
    <col min="3" max="3" width="12.6640625" bestFit="1" customWidth="1"/>
    <col min="4" max="4" width="16.6640625" bestFit="1" customWidth="1"/>
    <col min="5" max="5" width="8.77734375" bestFit="1" customWidth="1"/>
  </cols>
  <sheetData>
    <row r="3" spans="1:3" x14ac:dyDescent="0.3">
      <c r="A3" s="5" t="s">
        <v>3972</v>
      </c>
      <c r="B3" t="s">
        <v>3974</v>
      </c>
      <c r="C3" t="s">
        <v>4005</v>
      </c>
    </row>
    <row r="4" spans="1:3" x14ac:dyDescent="0.3">
      <c r="A4" s="6" t="s">
        <v>103</v>
      </c>
      <c r="B4" s="7">
        <v>6.9323529411764717</v>
      </c>
      <c r="C4" s="8">
        <v>34</v>
      </c>
    </row>
    <row r="5" spans="1:3" x14ac:dyDescent="0.3">
      <c r="A5" s="6" t="s">
        <v>159</v>
      </c>
      <c r="B5" s="7">
        <v>6.8342857142857136</v>
      </c>
      <c r="C5" s="8">
        <v>35</v>
      </c>
    </row>
    <row r="6" spans="1:3" x14ac:dyDescent="0.3">
      <c r="A6" s="6" t="s">
        <v>63</v>
      </c>
      <c r="B6" s="7">
        <v>6.9250000000000007</v>
      </c>
      <c r="C6" s="8">
        <v>32</v>
      </c>
    </row>
    <row r="7" spans="1:3" x14ac:dyDescent="0.3">
      <c r="A7" s="6" t="s">
        <v>113</v>
      </c>
      <c r="B7" s="7">
        <v>6.8142857142857167</v>
      </c>
      <c r="C7" s="8">
        <v>21</v>
      </c>
    </row>
    <row r="8" spans="1:3" x14ac:dyDescent="0.3">
      <c r="A8" s="6" t="s">
        <v>147</v>
      </c>
      <c r="B8" s="7">
        <v>6.9718750000000007</v>
      </c>
      <c r="C8" s="8">
        <v>32</v>
      </c>
    </row>
    <row r="9" spans="1:3" x14ac:dyDescent="0.3">
      <c r="A9" s="6" t="s">
        <v>165</v>
      </c>
      <c r="B9" s="7">
        <v>7.211111111111113</v>
      </c>
      <c r="C9" s="8">
        <v>27</v>
      </c>
    </row>
    <row r="10" spans="1:3" x14ac:dyDescent="0.3">
      <c r="A10" s="6" t="s">
        <v>221</v>
      </c>
      <c r="B10" s="7">
        <v>6.7679999999999998</v>
      </c>
      <c r="C10" s="8">
        <v>25</v>
      </c>
    </row>
    <row r="11" spans="1:3" x14ac:dyDescent="0.3">
      <c r="A11" s="6" t="s">
        <v>57</v>
      </c>
      <c r="B11" s="7">
        <v>6.9923076923076923</v>
      </c>
      <c r="C11" s="8">
        <v>26</v>
      </c>
    </row>
    <row r="12" spans="1:3" x14ac:dyDescent="0.3">
      <c r="A12" s="6" t="s">
        <v>191</v>
      </c>
      <c r="B12" s="7">
        <v>6.8666666666666671</v>
      </c>
      <c r="C12" s="8">
        <v>27</v>
      </c>
    </row>
    <row r="13" spans="1:3" x14ac:dyDescent="0.3">
      <c r="A13" s="6" t="s">
        <v>236</v>
      </c>
      <c r="B13" s="7">
        <v>6.9250000000000016</v>
      </c>
      <c r="C13" s="8">
        <v>24</v>
      </c>
    </row>
    <row r="14" spans="1:3" x14ac:dyDescent="0.3">
      <c r="A14" s="6" t="s">
        <v>368</v>
      </c>
      <c r="B14" s="7">
        <v>6.8043478260869552</v>
      </c>
      <c r="C14" s="8">
        <v>23</v>
      </c>
    </row>
    <row r="15" spans="1:3" x14ac:dyDescent="0.3">
      <c r="A15" s="6" t="s">
        <v>251</v>
      </c>
      <c r="B15" s="7">
        <v>7.0903225806451626</v>
      </c>
      <c r="C15" s="8">
        <v>31</v>
      </c>
    </row>
    <row r="16" spans="1:3" x14ac:dyDescent="0.3">
      <c r="A16" s="6" t="s">
        <v>80</v>
      </c>
      <c r="B16" s="7">
        <v>7.00294117647059</v>
      </c>
      <c r="C16" s="8">
        <v>34</v>
      </c>
    </row>
    <row r="17" spans="1:3" x14ac:dyDescent="0.3">
      <c r="A17" s="6" t="s">
        <v>119</v>
      </c>
      <c r="B17" s="7">
        <v>7.0400000000000009</v>
      </c>
      <c r="C17" s="8">
        <v>20</v>
      </c>
    </row>
    <row r="18" spans="1:3" x14ac:dyDescent="0.3">
      <c r="A18" s="6" t="s">
        <v>718</v>
      </c>
      <c r="B18" s="7">
        <v>6.7076923076923078</v>
      </c>
      <c r="C18" s="8">
        <v>26</v>
      </c>
    </row>
    <row r="19" spans="1:3" x14ac:dyDescent="0.3">
      <c r="A19" s="6" t="s">
        <v>153</v>
      </c>
      <c r="B19" s="7">
        <v>6.8407407407407401</v>
      </c>
      <c r="C19" s="8">
        <v>27</v>
      </c>
    </row>
    <row r="20" spans="1:3" x14ac:dyDescent="0.3">
      <c r="A20" s="6" t="s">
        <v>68</v>
      </c>
      <c r="B20" s="7">
        <v>7.5307692307692315</v>
      </c>
      <c r="C20" s="8">
        <v>13</v>
      </c>
    </row>
    <row r="21" spans="1:3" x14ac:dyDescent="0.3">
      <c r="A21" s="6" t="s">
        <v>326</v>
      </c>
      <c r="B21" s="7">
        <v>7.1925925925925958</v>
      </c>
      <c r="C21" s="8">
        <v>27</v>
      </c>
    </row>
    <row r="22" spans="1:3" x14ac:dyDescent="0.3">
      <c r="A22" s="6" t="s">
        <v>524</v>
      </c>
      <c r="B22" s="7">
        <v>6.7527777777777764</v>
      </c>
      <c r="C22" s="8">
        <v>36</v>
      </c>
    </row>
    <row r="23" spans="1:3" x14ac:dyDescent="0.3">
      <c r="A23" s="6" t="s">
        <v>39</v>
      </c>
      <c r="B23" s="7">
        <v>7.2714285714285722</v>
      </c>
      <c r="C23" s="8">
        <v>21</v>
      </c>
    </row>
    <row r="24" spans="1:3" x14ac:dyDescent="0.3">
      <c r="A24" s="6" t="s">
        <v>196</v>
      </c>
      <c r="B24" s="7">
        <v>6.7549999999999999</v>
      </c>
      <c r="C24" s="8">
        <v>20</v>
      </c>
    </row>
    <row r="25" spans="1:3" x14ac:dyDescent="0.3">
      <c r="A25" s="6" t="s">
        <v>131</v>
      </c>
      <c r="B25" s="7">
        <v>6.992592592592592</v>
      </c>
      <c r="C25" s="8">
        <v>27</v>
      </c>
    </row>
    <row r="26" spans="1:3" x14ac:dyDescent="0.3">
      <c r="A26" s="6" t="s">
        <v>20</v>
      </c>
      <c r="B26" s="7">
        <v>7.1625000000000005</v>
      </c>
      <c r="C26" s="8">
        <v>16</v>
      </c>
    </row>
    <row r="27" spans="1:3" x14ac:dyDescent="0.3">
      <c r="A27" s="6" t="s">
        <v>483</v>
      </c>
      <c r="B27" s="7">
        <v>6.6000000000000005</v>
      </c>
      <c r="C27" s="8">
        <v>22</v>
      </c>
    </row>
    <row r="28" spans="1:3" x14ac:dyDescent="0.3">
      <c r="A28" s="6" t="s">
        <v>74</v>
      </c>
      <c r="B28" s="7">
        <v>6.7709677419354835</v>
      </c>
      <c r="C28" s="8">
        <v>31</v>
      </c>
    </row>
    <row r="29" spans="1:3" x14ac:dyDescent="0.3">
      <c r="A29" s="6" t="s">
        <v>125</v>
      </c>
      <c r="B29" s="7">
        <v>7.1</v>
      </c>
      <c r="C29" s="8">
        <v>28</v>
      </c>
    </row>
    <row r="30" spans="1:3" x14ac:dyDescent="0.3">
      <c r="A30" s="6" t="s">
        <v>27</v>
      </c>
      <c r="B30" s="7">
        <v>7.2236842105263142</v>
      </c>
      <c r="C30" s="8">
        <v>38</v>
      </c>
    </row>
    <row r="31" spans="1:3" x14ac:dyDescent="0.3">
      <c r="A31" s="6" t="s">
        <v>92</v>
      </c>
      <c r="B31" s="7">
        <v>6.8733333333333357</v>
      </c>
      <c r="C31" s="8">
        <v>30</v>
      </c>
    </row>
    <row r="32" spans="1:3" x14ac:dyDescent="0.3">
      <c r="A32" s="6" t="s">
        <v>547</v>
      </c>
      <c r="B32" s="7">
        <v>6.5161290322580658</v>
      </c>
      <c r="C32" s="8">
        <v>31</v>
      </c>
    </row>
    <row r="33" spans="1:5" x14ac:dyDescent="0.3">
      <c r="A33" s="6" t="s">
        <v>518</v>
      </c>
      <c r="B33" s="7">
        <v>6.7080000000000011</v>
      </c>
      <c r="C33" s="8">
        <v>25</v>
      </c>
    </row>
    <row r="34" spans="1:5" x14ac:dyDescent="0.3">
      <c r="A34" s="6" t="s">
        <v>50</v>
      </c>
      <c r="B34" s="7">
        <v>7.2843749999999998</v>
      </c>
      <c r="C34" s="8">
        <v>32</v>
      </c>
    </row>
    <row r="35" spans="1:5" x14ac:dyDescent="0.3">
      <c r="A35" s="6" t="s">
        <v>33</v>
      </c>
      <c r="B35" s="7">
        <v>6.820689655172413</v>
      </c>
      <c r="C35" s="8">
        <v>29</v>
      </c>
    </row>
    <row r="36" spans="1:5" x14ac:dyDescent="0.3">
      <c r="A36" s="6" t="s">
        <v>86</v>
      </c>
      <c r="B36" s="7">
        <v>7.3806451612903228</v>
      </c>
      <c r="C36" s="8">
        <v>31</v>
      </c>
    </row>
    <row r="37" spans="1:5" x14ac:dyDescent="0.3">
      <c r="A37" s="6" t="s">
        <v>315</v>
      </c>
      <c r="B37" s="7">
        <v>6.916666666666667</v>
      </c>
      <c r="C37" s="8">
        <v>30</v>
      </c>
    </row>
    <row r="38" spans="1:5" x14ac:dyDescent="0.3">
      <c r="A38" s="6" t="s">
        <v>608</v>
      </c>
      <c r="B38" s="7">
        <v>6.8320000000000007</v>
      </c>
      <c r="C38" s="8">
        <v>25</v>
      </c>
    </row>
    <row r="39" spans="1:5" x14ac:dyDescent="0.3">
      <c r="A39" s="6" t="s">
        <v>593</v>
      </c>
      <c r="B39" s="7">
        <v>6.8149999999999995</v>
      </c>
      <c r="C39" s="8">
        <v>20</v>
      </c>
    </row>
    <row r="40" spans="1:5" x14ac:dyDescent="0.3">
      <c r="A40" s="6" t="s">
        <v>137</v>
      </c>
      <c r="B40" s="7">
        <v>6.862499999999998</v>
      </c>
      <c r="C40" s="8">
        <v>24</v>
      </c>
    </row>
    <row r="41" spans="1:5" x14ac:dyDescent="0.3">
      <c r="A41" s="6" t="s">
        <v>3973</v>
      </c>
      <c r="B41" s="7">
        <v>6.9439999999999964</v>
      </c>
      <c r="C41" s="8">
        <v>1000</v>
      </c>
    </row>
    <row r="46" spans="1:5" x14ac:dyDescent="0.3">
      <c r="A46" s="5" t="s">
        <v>3972</v>
      </c>
      <c r="B46" t="s">
        <v>3974</v>
      </c>
      <c r="D46" t="s">
        <v>4016</v>
      </c>
      <c r="E46" t="s">
        <v>4006</v>
      </c>
    </row>
    <row r="47" spans="1:5" x14ac:dyDescent="0.3">
      <c r="A47" s="6" t="s">
        <v>165</v>
      </c>
      <c r="B47" s="7">
        <v>7.211111111111113</v>
      </c>
      <c r="D47" s="6" t="s">
        <v>68</v>
      </c>
      <c r="E47" s="7">
        <v>7.5307692307692315</v>
      </c>
    </row>
    <row r="48" spans="1:5" x14ac:dyDescent="0.3">
      <c r="A48" s="6" t="s">
        <v>68</v>
      </c>
      <c r="B48" s="7">
        <v>7.5307692307692315</v>
      </c>
      <c r="D48" s="6" t="s">
        <v>86</v>
      </c>
      <c r="E48" s="7">
        <v>7.3806451612903228</v>
      </c>
    </row>
    <row r="49" spans="1:5" x14ac:dyDescent="0.3">
      <c r="A49" s="6" t="s">
        <v>326</v>
      </c>
      <c r="B49" s="7">
        <v>7.1925925925925958</v>
      </c>
      <c r="D49" s="6" t="s">
        <v>50</v>
      </c>
      <c r="E49" s="7">
        <v>7.2843749999999998</v>
      </c>
    </row>
    <row r="50" spans="1:5" x14ac:dyDescent="0.3">
      <c r="A50" s="6" t="s">
        <v>39</v>
      </c>
      <c r="B50" s="7">
        <v>7.2714285714285722</v>
      </c>
      <c r="D50" s="6" t="s">
        <v>39</v>
      </c>
      <c r="E50" s="7">
        <v>7.2714285714285722</v>
      </c>
    </row>
    <row r="51" spans="1:5" x14ac:dyDescent="0.3">
      <c r="A51" s="6" t="s">
        <v>27</v>
      </c>
      <c r="B51" s="7">
        <v>7.2236842105263142</v>
      </c>
      <c r="D51" s="6" t="s">
        <v>27</v>
      </c>
      <c r="E51" s="7">
        <v>7.2236842105263142</v>
      </c>
    </row>
    <row r="52" spans="1:5" x14ac:dyDescent="0.3">
      <c r="A52" s="6" t="s">
        <v>50</v>
      </c>
      <c r="B52" s="7">
        <v>7.2843749999999998</v>
      </c>
      <c r="D52" s="6" t="s">
        <v>165</v>
      </c>
      <c r="E52" s="7">
        <v>7.211111111111113</v>
      </c>
    </row>
    <row r="53" spans="1:5" x14ac:dyDescent="0.3">
      <c r="A53" s="6" t="s">
        <v>86</v>
      </c>
      <c r="B53" s="7">
        <v>7.3806451612903228</v>
      </c>
      <c r="D53" s="6" t="s">
        <v>326</v>
      </c>
      <c r="E53" s="7">
        <v>7.1925925925925958</v>
      </c>
    </row>
    <row r="54" spans="1:5" x14ac:dyDescent="0.3">
      <c r="A54" s="6" t="s">
        <v>3973</v>
      </c>
      <c r="B54" s="7">
        <v>7.2798941798941819</v>
      </c>
    </row>
  </sheetData>
  <pageMargins left="0.7" right="0.7" top="0.75" bottom="0.75" header="0.3" footer="0.3"/>
  <drawing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7CFD9-E05A-45E6-A632-E281330EDE9D}">
  <dimension ref="A3:B10"/>
  <sheetViews>
    <sheetView zoomScale="66" workbookViewId="0">
      <selection activeCell="H19" sqref="H19"/>
    </sheetView>
  </sheetViews>
  <sheetFormatPr defaultRowHeight="14.4" x14ac:dyDescent="0.3"/>
  <cols>
    <col min="1" max="1" width="13.88671875" bestFit="1" customWidth="1"/>
    <col min="2" max="2" width="26" bestFit="1" customWidth="1"/>
  </cols>
  <sheetData>
    <row r="3" spans="1:2" x14ac:dyDescent="0.3">
      <c r="A3" s="5" t="s">
        <v>3972</v>
      </c>
      <c r="B3" t="s">
        <v>3975</v>
      </c>
    </row>
    <row r="4" spans="1:2" x14ac:dyDescent="0.3">
      <c r="A4" s="6" t="s">
        <v>169</v>
      </c>
      <c r="B4" s="3">
        <v>9694.0400000000009</v>
      </c>
    </row>
    <row r="5" spans="1:2" x14ac:dyDescent="0.3">
      <c r="A5" s="6" t="s">
        <v>293</v>
      </c>
      <c r="B5" s="3">
        <v>6456.5200000000013</v>
      </c>
    </row>
    <row r="6" spans="1:2" x14ac:dyDescent="0.3">
      <c r="A6" s="6" t="s">
        <v>285</v>
      </c>
      <c r="B6" s="3">
        <v>8687.83</v>
      </c>
    </row>
    <row r="7" spans="1:2" x14ac:dyDescent="0.3">
      <c r="A7" s="6" t="s">
        <v>54</v>
      </c>
      <c r="B7" s="3">
        <v>47567.060000000012</v>
      </c>
    </row>
    <row r="8" spans="1:2" x14ac:dyDescent="0.3">
      <c r="A8" s="6" t="s">
        <v>17</v>
      </c>
      <c r="B8" s="3">
        <v>63905.120000000039</v>
      </c>
    </row>
    <row r="9" spans="1:2" x14ac:dyDescent="0.3">
      <c r="A9" s="6" t="s">
        <v>24</v>
      </c>
      <c r="B9" s="3">
        <v>46583.130000000026</v>
      </c>
    </row>
    <row r="10" spans="1:2" x14ac:dyDescent="0.3">
      <c r="A10" s="6" t="s">
        <v>3973</v>
      </c>
      <c r="B10" s="3">
        <v>182893.7000000001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D603A-9D63-4C0E-BB24-809A792D195A}">
  <dimension ref="A1:F91"/>
  <sheetViews>
    <sheetView topLeftCell="B1" zoomScale="122" zoomScaleNormal="100" workbookViewId="0">
      <selection activeCell="D1" sqref="D1"/>
    </sheetView>
  </sheetViews>
  <sheetFormatPr defaultRowHeight="14.4" x14ac:dyDescent="0.3"/>
  <cols>
    <col min="1" max="1" width="18" bestFit="1" customWidth="1"/>
    <col min="2" max="2" width="22" bestFit="1" customWidth="1"/>
    <col min="3" max="3" width="35.44140625" customWidth="1"/>
    <col min="6" max="6" width="20.44140625" bestFit="1" customWidth="1"/>
  </cols>
  <sheetData>
    <row r="1" spans="1:6" x14ac:dyDescent="0.3">
      <c r="A1" s="12" t="s">
        <v>4007</v>
      </c>
      <c r="B1" s="12"/>
      <c r="C1" s="12"/>
      <c r="D1" s="10">
        <f>CORREL(Table1[Votes],Table1[Rating])</f>
        <v>0.10708827367168404</v>
      </c>
      <c r="F1" t="s">
        <v>4015</v>
      </c>
    </row>
    <row r="2" spans="1:6" x14ac:dyDescent="0.3">
      <c r="A2" t="s">
        <v>4014</v>
      </c>
      <c r="D2" s="11">
        <f>100 %-D1</f>
        <v>0.89291172632831595</v>
      </c>
      <c r="F2" t="str">
        <f>IF(Stat_Analysis!D1&lt; "50%", "Very Weak Relationship", IF(Stat_Analysis!D1&gt;=100%,"Strong Relationship", "Weak Relationship"))</f>
        <v>Very Weak Relationship</v>
      </c>
    </row>
    <row r="3" spans="1:6" x14ac:dyDescent="0.3">
      <c r="A3" s="12"/>
      <c r="B3" s="12"/>
      <c r="C3" s="12"/>
    </row>
    <row r="18" spans="1:2" x14ac:dyDescent="0.3">
      <c r="A18" s="5" t="s">
        <v>3972</v>
      </c>
      <c r="B18" t="s">
        <v>3974</v>
      </c>
    </row>
    <row r="19" spans="1:2" x14ac:dyDescent="0.3">
      <c r="A19" s="6">
        <v>1940</v>
      </c>
      <c r="B19" s="7">
        <v>8.0333333333333332</v>
      </c>
    </row>
    <row r="20" spans="1:2" x14ac:dyDescent="0.3">
      <c r="A20" s="6">
        <v>1942</v>
      </c>
      <c r="B20" s="7">
        <v>7.4</v>
      </c>
    </row>
    <row r="21" spans="1:2" x14ac:dyDescent="0.3">
      <c r="A21" s="6">
        <v>1943</v>
      </c>
      <c r="B21" s="7">
        <v>8.3000000000000007</v>
      </c>
    </row>
    <row r="22" spans="1:2" x14ac:dyDescent="0.3">
      <c r="A22" s="6">
        <v>1944</v>
      </c>
      <c r="B22" s="7">
        <v>8.3000000000000007</v>
      </c>
    </row>
    <row r="23" spans="1:2" x14ac:dyDescent="0.3">
      <c r="A23" s="6">
        <v>1945</v>
      </c>
      <c r="B23" s="7">
        <v>9</v>
      </c>
    </row>
    <row r="24" spans="1:2" x14ac:dyDescent="0.3">
      <c r="A24" s="6">
        <v>1949</v>
      </c>
      <c r="B24" s="7">
        <v>8</v>
      </c>
    </row>
    <row r="25" spans="1:2" x14ac:dyDescent="0.3">
      <c r="A25" s="6">
        <v>1950</v>
      </c>
      <c r="B25" s="7">
        <v>8.1499999999999986</v>
      </c>
    </row>
    <row r="26" spans="1:2" x14ac:dyDescent="0.3">
      <c r="A26" s="6">
        <v>1955</v>
      </c>
      <c r="B26" s="7">
        <v>8.3000000000000007</v>
      </c>
    </row>
    <row r="27" spans="1:2" x14ac:dyDescent="0.3">
      <c r="A27" s="6">
        <v>1957</v>
      </c>
      <c r="B27" s="7">
        <v>7.9000000000000012</v>
      </c>
    </row>
    <row r="28" spans="1:2" x14ac:dyDescent="0.3">
      <c r="A28" s="6">
        <v>1959</v>
      </c>
      <c r="B28" s="7">
        <v>8.1999999999999993</v>
      </c>
    </row>
    <row r="29" spans="1:2" x14ac:dyDescent="0.3">
      <c r="A29" s="6">
        <v>1960</v>
      </c>
      <c r="B29" s="7">
        <v>8.3500000000000014</v>
      </c>
    </row>
    <row r="30" spans="1:2" x14ac:dyDescent="0.3">
      <c r="A30" s="6">
        <v>1961</v>
      </c>
      <c r="B30" s="7">
        <v>8.35</v>
      </c>
    </row>
    <row r="31" spans="1:2" x14ac:dyDescent="0.3">
      <c r="A31" s="6">
        <v>1962</v>
      </c>
      <c r="B31" s="7">
        <v>8.5</v>
      </c>
    </row>
    <row r="32" spans="1:2" x14ac:dyDescent="0.3">
      <c r="A32" s="6">
        <v>1963</v>
      </c>
      <c r="B32" s="7">
        <v>8.8000000000000007</v>
      </c>
    </row>
    <row r="33" spans="1:2" x14ac:dyDescent="0.3">
      <c r="A33" s="6">
        <v>1964</v>
      </c>
      <c r="B33" s="7">
        <v>8</v>
      </c>
    </row>
    <row r="34" spans="1:2" x14ac:dyDescent="0.3">
      <c r="A34" s="6">
        <v>1966</v>
      </c>
      <c r="B34" s="7">
        <v>7.6</v>
      </c>
    </row>
    <row r="35" spans="1:2" x14ac:dyDescent="0.3">
      <c r="A35" s="6">
        <v>1967</v>
      </c>
      <c r="B35" s="7">
        <v>7.6</v>
      </c>
    </row>
    <row r="36" spans="1:2" x14ac:dyDescent="0.3">
      <c r="A36" s="6">
        <v>1968</v>
      </c>
      <c r="B36" s="7">
        <v>8.4</v>
      </c>
    </row>
    <row r="37" spans="1:2" x14ac:dyDescent="0.3">
      <c r="A37" s="6">
        <v>1969</v>
      </c>
      <c r="B37" s="7">
        <v>7.9249999999999998</v>
      </c>
    </row>
    <row r="38" spans="1:2" x14ac:dyDescent="0.3">
      <c r="A38" s="6">
        <v>1970</v>
      </c>
      <c r="B38" s="7">
        <v>8.2000000000000011</v>
      </c>
    </row>
    <row r="39" spans="1:2" x14ac:dyDescent="0.3">
      <c r="A39" s="6">
        <v>1971</v>
      </c>
      <c r="B39" s="7">
        <v>8</v>
      </c>
    </row>
    <row r="40" spans="1:2" x14ac:dyDescent="0.3">
      <c r="A40" s="6">
        <v>1972</v>
      </c>
      <c r="B40" s="7">
        <v>8</v>
      </c>
    </row>
    <row r="41" spans="1:2" x14ac:dyDescent="0.3">
      <c r="A41" s="6">
        <v>1974</v>
      </c>
      <c r="B41" s="7">
        <v>8.4</v>
      </c>
    </row>
    <row r="42" spans="1:2" x14ac:dyDescent="0.3">
      <c r="A42" s="6">
        <v>1975</v>
      </c>
      <c r="B42" s="7">
        <v>8.4</v>
      </c>
    </row>
    <row r="43" spans="1:2" x14ac:dyDescent="0.3">
      <c r="A43" s="6">
        <v>1976</v>
      </c>
      <c r="B43" s="7">
        <v>8.6</v>
      </c>
    </row>
    <row r="44" spans="1:2" x14ac:dyDescent="0.3">
      <c r="A44" s="6">
        <v>1977</v>
      </c>
      <c r="B44" s="7">
        <v>8.35</v>
      </c>
    </row>
    <row r="45" spans="1:2" x14ac:dyDescent="0.3">
      <c r="A45" s="6">
        <v>1978</v>
      </c>
      <c r="B45" s="7">
        <v>7.95</v>
      </c>
    </row>
    <row r="46" spans="1:2" x14ac:dyDescent="0.3">
      <c r="A46" s="6">
        <v>1980</v>
      </c>
      <c r="B46" s="7">
        <v>7.2199999999999989</v>
      </c>
    </row>
    <row r="47" spans="1:2" x14ac:dyDescent="0.3">
      <c r="A47" s="6">
        <v>1981</v>
      </c>
      <c r="B47" s="7">
        <v>7.1250000000000009</v>
      </c>
    </row>
    <row r="48" spans="1:2" x14ac:dyDescent="0.3">
      <c r="A48" s="6">
        <v>1982</v>
      </c>
      <c r="B48" s="7">
        <v>7.3749999999999991</v>
      </c>
    </row>
    <row r="49" spans="1:2" x14ac:dyDescent="0.3">
      <c r="A49" s="6">
        <v>1983</v>
      </c>
      <c r="B49" s="7">
        <v>7.2333333333333334</v>
      </c>
    </row>
    <row r="50" spans="1:2" x14ac:dyDescent="0.3">
      <c r="A50" s="6">
        <v>1984</v>
      </c>
      <c r="B50" s="7">
        <v>7.4538461538461567</v>
      </c>
    </row>
    <row r="51" spans="1:2" x14ac:dyDescent="0.3">
      <c r="A51" s="6">
        <v>1985</v>
      </c>
      <c r="B51" s="7">
        <v>6.9599999999999991</v>
      </c>
    </row>
    <row r="52" spans="1:2" x14ac:dyDescent="0.3">
      <c r="A52" s="6">
        <v>1986</v>
      </c>
      <c r="B52" s="7">
        <v>7.0666666666666664</v>
      </c>
    </row>
    <row r="53" spans="1:2" x14ac:dyDescent="0.3">
      <c r="A53" s="6">
        <v>1987</v>
      </c>
      <c r="B53" s="7">
        <v>7.3428571428571416</v>
      </c>
    </row>
    <row r="54" spans="1:2" x14ac:dyDescent="0.3">
      <c r="A54" s="6">
        <v>1988</v>
      </c>
      <c r="B54" s="7">
        <v>6.4500000000000011</v>
      </c>
    </row>
    <row r="55" spans="1:2" x14ac:dyDescent="0.3">
      <c r="A55" s="6">
        <v>1989</v>
      </c>
      <c r="B55" s="7">
        <v>7.1000000000000005</v>
      </c>
    </row>
    <row r="56" spans="1:2" x14ac:dyDescent="0.3">
      <c r="A56" s="6">
        <v>1990</v>
      </c>
      <c r="B56" s="7">
        <v>7.9666666666666659</v>
      </c>
    </row>
    <row r="57" spans="1:2" x14ac:dyDescent="0.3">
      <c r="A57" s="6">
        <v>1991</v>
      </c>
      <c r="B57" s="7">
        <v>7.0090909090909088</v>
      </c>
    </row>
    <row r="58" spans="1:2" x14ac:dyDescent="0.3">
      <c r="A58" s="6">
        <v>1992</v>
      </c>
      <c r="B58" s="7">
        <v>7.6399999999999988</v>
      </c>
    </row>
    <row r="59" spans="1:2" x14ac:dyDescent="0.3">
      <c r="A59" s="6">
        <v>1993</v>
      </c>
      <c r="B59" s="7">
        <v>7.2625000000000002</v>
      </c>
    </row>
    <row r="60" spans="1:2" x14ac:dyDescent="0.3">
      <c r="A60" s="6">
        <v>1994</v>
      </c>
      <c r="B60" s="7">
        <v>7.1999999999999993</v>
      </c>
    </row>
    <row r="61" spans="1:2" x14ac:dyDescent="0.3">
      <c r="A61" s="6">
        <v>1995</v>
      </c>
      <c r="B61" s="7">
        <v>7.4666666666666668</v>
      </c>
    </row>
    <row r="62" spans="1:2" x14ac:dyDescent="0.3">
      <c r="A62" s="6">
        <v>1996</v>
      </c>
      <c r="B62" s="7">
        <v>6.7545454545454557</v>
      </c>
    </row>
    <row r="63" spans="1:2" x14ac:dyDescent="0.3">
      <c r="A63" s="6">
        <v>1997</v>
      </c>
      <c r="B63" s="7">
        <v>7.1099999999999994</v>
      </c>
    </row>
    <row r="64" spans="1:2" x14ac:dyDescent="0.3">
      <c r="A64" s="6">
        <v>1998</v>
      </c>
      <c r="B64" s="7">
        <v>7.4799999999999995</v>
      </c>
    </row>
    <row r="65" spans="1:2" x14ac:dyDescent="0.3">
      <c r="A65" s="6">
        <v>1999</v>
      </c>
      <c r="B65" s="7">
        <v>6.3</v>
      </c>
    </row>
    <row r="66" spans="1:2" x14ac:dyDescent="0.3">
      <c r="A66" s="6">
        <v>2000</v>
      </c>
      <c r="B66" s="7">
        <v>6.9357142857142859</v>
      </c>
    </row>
    <row r="67" spans="1:2" x14ac:dyDescent="0.3">
      <c r="A67" s="6">
        <v>2001</v>
      </c>
      <c r="B67" s="7">
        <v>6.8514285714285714</v>
      </c>
    </row>
    <row r="68" spans="1:2" x14ac:dyDescent="0.3">
      <c r="A68" s="6">
        <v>2002</v>
      </c>
      <c r="B68" s="7">
        <v>6.7971428571428572</v>
      </c>
    </row>
    <row r="69" spans="1:2" x14ac:dyDescent="0.3">
      <c r="A69" s="6">
        <v>2003</v>
      </c>
      <c r="B69" s="7">
        <v>6.9605263157894752</v>
      </c>
    </row>
    <row r="70" spans="1:2" x14ac:dyDescent="0.3">
      <c r="A70" s="6">
        <v>2004</v>
      </c>
      <c r="B70" s="7">
        <v>6.9962962962962978</v>
      </c>
    </row>
    <row r="71" spans="1:2" x14ac:dyDescent="0.3">
      <c r="A71" s="6">
        <v>2005</v>
      </c>
      <c r="B71" s="7">
        <v>6.7075000000000005</v>
      </c>
    </row>
    <row r="72" spans="1:2" x14ac:dyDescent="0.3">
      <c r="A72" s="6">
        <v>2006</v>
      </c>
      <c r="B72" s="7">
        <v>6.867857142857142</v>
      </c>
    </row>
    <row r="73" spans="1:2" x14ac:dyDescent="0.3">
      <c r="A73" s="6">
        <v>2007</v>
      </c>
      <c r="B73" s="7">
        <v>6.6066666666666665</v>
      </c>
    </row>
    <row r="74" spans="1:2" x14ac:dyDescent="0.3">
      <c r="A74" s="6">
        <v>2008</v>
      </c>
      <c r="B74" s="7">
        <v>6.8139534883720945</v>
      </c>
    </row>
    <row r="75" spans="1:2" x14ac:dyDescent="0.3">
      <c r="A75" s="6">
        <v>2009</v>
      </c>
      <c r="B75" s="7">
        <v>6.7857142857142865</v>
      </c>
    </row>
    <row r="76" spans="1:2" x14ac:dyDescent="0.3">
      <c r="A76" s="6">
        <v>2010</v>
      </c>
      <c r="B76" s="7">
        <v>6.5289473684210506</v>
      </c>
    </row>
    <row r="77" spans="1:2" x14ac:dyDescent="0.3">
      <c r="A77" s="6">
        <v>2011</v>
      </c>
      <c r="B77" s="7">
        <v>6.7608695652173925</v>
      </c>
    </row>
    <row r="78" spans="1:2" x14ac:dyDescent="0.3">
      <c r="A78" s="6">
        <v>2012</v>
      </c>
      <c r="B78" s="7">
        <v>6.8714285714285728</v>
      </c>
    </row>
    <row r="79" spans="1:2" x14ac:dyDescent="0.3">
      <c r="A79" s="6">
        <v>2013</v>
      </c>
      <c r="B79" s="7">
        <v>6.9893617021276571</v>
      </c>
    </row>
    <row r="80" spans="1:2" x14ac:dyDescent="0.3">
      <c r="A80" s="6">
        <v>2014</v>
      </c>
      <c r="B80" s="7">
        <v>6.8032258064516116</v>
      </c>
    </row>
    <row r="81" spans="1:2" x14ac:dyDescent="0.3">
      <c r="A81" s="6">
        <v>2015</v>
      </c>
      <c r="B81" s="7">
        <v>6.9571428571428573</v>
      </c>
    </row>
    <row r="82" spans="1:2" x14ac:dyDescent="0.3">
      <c r="A82" s="6">
        <v>2016</v>
      </c>
      <c r="B82" s="7">
        <v>6.7032258064516155</v>
      </c>
    </row>
    <row r="83" spans="1:2" x14ac:dyDescent="0.3">
      <c r="A83" s="6">
        <v>2017</v>
      </c>
      <c r="B83" s="7">
        <v>6.8156249999999989</v>
      </c>
    </row>
    <row r="84" spans="1:2" x14ac:dyDescent="0.3">
      <c r="A84" s="6">
        <v>2018</v>
      </c>
      <c r="B84" s="7">
        <v>6.4500000000000011</v>
      </c>
    </row>
    <row r="85" spans="1:2" x14ac:dyDescent="0.3">
      <c r="A85" s="6">
        <v>2019</v>
      </c>
      <c r="B85" s="7">
        <v>7.1437500000000007</v>
      </c>
    </row>
    <row r="86" spans="1:2" x14ac:dyDescent="0.3">
      <c r="A86" s="6">
        <v>2020</v>
      </c>
      <c r="B86" s="7">
        <v>6.7200000000000015</v>
      </c>
    </row>
    <row r="87" spans="1:2" x14ac:dyDescent="0.3">
      <c r="A87" s="6">
        <v>2021</v>
      </c>
      <c r="B87" s="7">
        <v>6.8478260869565215</v>
      </c>
    </row>
    <row r="88" spans="1:2" x14ac:dyDescent="0.3">
      <c r="A88" s="6">
        <v>2022</v>
      </c>
      <c r="B88" s="7">
        <v>6.8675675675675683</v>
      </c>
    </row>
    <row r="89" spans="1:2" x14ac:dyDescent="0.3">
      <c r="A89" s="6">
        <v>2023</v>
      </c>
      <c r="B89" s="7">
        <v>6.9571428571428564</v>
      </c>
    </row>
    <row r="90" spans="1:2" x14ac:dyDescent="0.3">
      <c r="A90" s="6">
        <v>2024</v>
      </c>
      <c r="B90" s="7">
        <v>6.9525000000000023</v>
      </c>
    </row>
    <row r="91" spans="1:2" x14ac:dyDescent="0.3">
      <c r="A91" s="6" t="s">
        <v>3973</v>
      </c>
      <c r="B91" s="7">
        <v>6.9439999999999973</v>
      </c>
    </row>
  </sheetData>
  <mergeCells count="2">
    <mergeCell ref="A1:C1"/>
    <mergeCell ref="A3:C3"/>
  </mergeCells>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xr2:uid="{00DB88CA-DABE-4C05-8945-7A85437FDD07}">
          <x14:colorSeries rgb="FF376092"/>
          <x14:colorNegative rgb="FFD00000"/>
          <x14:colorAxis rgb="FF000000"/>
          <x14:colorMarkers rgb="FFD00000"/>
          <x14:colorFirst rgb="FFD00000"/>
          <x14:colorLast rgb="FFD00000"/>
          <x14:colorHigh rgb="FFD00000"/>
          <x14:colorLow rgb="FFD00000"/>
          <x14:sparklines>
            <x14:sparkline>
              <xm:f>Stat_Analysis!B19:B91</xm:f>
              <xm:sqref>C26</xm:sqref>
            </x14:sparkline>
          </x14:sparklines>
        </x14:sparklineGroup>
        <x14:sparklineGroup type="column" displayEmptyCellsAs="gap" xr2:uid="{0F90DBB1-9679-4B85-BB38-B1BC21EF05D6}">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Stat_Analysis!B19:B91</xm:f>
              <xm:sqref>C20</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879F7-F998-48E5-91D0-8B1AE29CDA55}">
  <dimension ref="A2:D10"/>
  <sheetViews>
    <sheetView workbookViewId="0">
      <selection activeCell="C9" sqref="C9"/>
    </sheetView>
  </sheetViews>
  <sheetFormatPr defaultRowHeight="14.4" x14ac:dyDescent="0.3"/>
  <cols>
    <col min="1" max="1" width="12.33203125" bestFit="1" customWidth="1"/>
    <col min="2" max="2" width="16" bestFit="1" customWidth="1"/>
    <col min="3" max="3" width="25.5546875" bestFit="1" customWidth="1"/>
    <col min="4" max="4" width="25.88671875" bestFit="1" customWidth="1"/>
  </cols>
  <sheetData>
    <row r="2" spans="1:4" x14ac:dyDescent="0.3">
      <c r="A2" t="s">
        <v>4005</v>
      </c>
      <c r="B2" t="s">
        <v>3974</v>
      </c>
      <c r="C2" t="s">
        <v>3975</v>
      </c>
      <c r="D2" t="s">
        <v>4012</v>
      </c>
    </row>
    <row r="3" spans="1:4" x14ac:dyDescent="0.3">
      <c r="A3">
        <v>1000</v>
      </c>
      <c r="B3" s="7">
        <v>6.9440000000000133</v>
      </c>
      <c r="C3" s="3">
        <v>182893.69999999995</v>
      </c>
      <c r="D3">
        <v>120.624</v>
      </c>
    </row>
    <row r="7" spans="1:4" x14ac:dyDescent="0.3">
      <c r="A7" t="s">
        <v>4008</v>
      </c>
    </row>
    <row r="8" spans="1:4" x14ac:dyDescent="0.3">
      <c r="A8" t="s">
        <v>4009</v>
      </c>
      <c r="B8" t="s">
        <v>4010</v>
      </c>
      <c r="C8" t="s">
        <v>4011</v>
      </c>
      <c r="D8" t="s">
        <v>4013</v>
      </c>
    </row>
    <row r="9" spans="1:4" x14ac:dyDescent="0.3">
      <c r="A9" s="8">
        <f>_xlfn.NUMBERVALUE(A3,"#,##")</f>
        <v>1000</v>
      </c>
      <c r="B9" t="str">
        <f>TEXT(B3,"0.00")</f>
        <v>6.94</v>
      </c>
      <c r="C9" t="str">
        <f>_xlfn.CONCAT("$",TEXT(C3,"#,##"))</f>
        <v>$182,894</v>
      </c>
      <c r="D9" t="str">
        <f>_xlfn.CONCAT(TEXT(D3,"#,##"),"min")</f>
        <v>121min</v>
      </c>
    </row>
    <row r="10" spans="1:4" x14ac:dyDescent="0.3">
      <c r="A10" s="8">
        <v>0</v>
      </c>
    </row>
  </sheetData>
  <conditionalFormatting sqref="A9">
    <cfRule type="dataBar" priority="1">
      <dataBar>
        <cfvo type="min"/>
        <cfvo type="max"/>
        <color rgb="FF63C384"/>
      </dataBar>
      <extLst>
        <ext xmlns:x14="http://schemas.microsoft.com/office/spreadsheetml/2009/9/main" uri="{B025F937-C7B1-47D3-B67F-A62EFF666E3E}">
          <x14:id>{42559EE0-56E7-45A6-A70F-1A008D693862}</x14:id>
        </ext>
      </extLst>
    </cfRule>
  </conditionalFormatting>
  <pageMargins left="0.7" right="0.7" top="0.75" bottom="0.75" header="0.3" footer="0.3"/>
  <ignoredErrors>
    <ignoredError sqref="B9" formula="1"/>
  </ignoredErrors>
  <extLst>
    <ext xmlns:x14="http://schemas.microsoft.com/office/spreadsheetml/2009/9/main" uri="{78C0D931-6437-407d-A8EE-F0AAD7539E65}">
      <x14:conditionalFormattings>
        <x14:conditionalFormatting xmlns:xm="http://schemas.microsoft.com/office/excel/2006/main">
          <x14:cfRule type="dataBar" id="{42559EE0-56E7-45A6-A70F-1A008D693862}">
            <x14:dataBar minLength="0" maxLength="100" gradient="0">
              <x14:cfvo type="autoMin"/>
              <x14:cfvo type="autoMax"/>
              <x14:negativeFillColor rgb="FFFF0000"/>
              <x14:axisColor rgb="FF000000"/>
            </x14:dataBar>
          </x14:cfRule>
          <xm:sqref>A9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4505C-3955-4100-9C13-2599E756942E}">
  <sheetPr codeName="Sheet1"/>
  <dimension ref="A1"/>
  <sheetViews>
    <sheetView tabSelected="1" topLeftCell="A29" zoomScale="85" zoomScaleNormal="55" workbookViewId="0">
      <selection activeCell="Q52" sqref="Q52"/>
    </sheetView>
  </sheetViews>
  <sheetFormatPr defaultRowHeight="14.4" x14ac:dyDescent="0.3"/>
  <sheetData/>
  <conditionalFormatting sqref="D11">
    <cfRule type="dataBar" priority="1">
      <dataBar>
        <cfvo type="num" val="0"/>
        <cfvo type="num" val="100"/>
        <color rgb="FF00B050"/>
      </dataBar>
      <extLst>
        <ext xmlns:x14="http://schemas.microsoft.com/office/spreadsheetml/2009/9/main" uri="{B025F937-C7B1-47D3-B67F-A62EFF666E3E}">
          <x14:id>{CF9315C4-3F9F-4F27-8B12-F8CAFA4416A7}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CF9315C4-3F9F-4F27-8B12-F8CAFA4416A7}">
            <x14:dataBar minLength="0" maxLength="100" gradient="0">
              <x14:cfvo type="num">
                <xm:f>0</xm:f>
              </x14:cfvo>
              <x14:cfvo type="num">
                <xm:f>100</xm:f>
              </x14:cfvo>
              <x14:negativeFillColor rgb="FFFF0000"/>
              <x14:axisColor rgb="FF000000"/>
            </x14:dataBar>
          </x14:cfRule>
          <xm:sqref>D11</xm:sqref>
        </x14:conditionalFormatting>
      </x14:conditionalFormattings>
    </ext>
    <ext xmlns:x14="http://schemas.microsoft.com/office/spreadsheetml/2009/9/main" uri="{05C60535-1F16-4fd2-B633-F4F36F0B64E0}">
      <x14:sparklineGroups xmlns:xm="http://schemas.microsoft.com/office/excel/2006/main">
        <x14:sparklineGroup displayEmptyCellsAs="gap" xr2:uid="{71DBBC8A-CFFC-46F0-B8A4-CA1B673ACE12}">
          <x14:colorSeries rgb="FF376092"/>
          <x14:colorNegative rgb="FFD00000"/>
          <x14:colorAxis rgb="FF000000"/>
          <x14:colorMarkers rgb="FFD00000"/>
          <x14:colorFirst rgb="FFD00000"/>
          <x14:colorLast rgb="FFD00000"/>
          <x14:colorHigh rgb="FFD00000"/>
          <x14:colorLow rgb="FFD00000"/>
          <x14:sparklines>
            <x14:sparkline>
              <xm:f>Dashboard!H54:H126</xm:f>
              <xm:sqref>I61</xm:sqref>
            </x14:sparkline>
          </x14:sparklines>
        </x14:sparklineGroup>
        <x14:sparklineGroup displayEmptyCellsAs="gap" xr2:uid="{D3009260-F384-4109-80A2-A2CF1629D0BF}">
          <x14:colorSeries rgb="FF376092"/>
          <x14:colorNegative rgb="FFD00000"/>
          <x14:colorAxis rgb="FF000000"/>
          <x14:colorMarkers rgb="FFD00000"/>
          <x14:colorFirst rgb="FFD00000"/>
          <x14:colorLast rgb="FFD00000"/>
          <x14:colorHigh rgb="FFD00000"/>
          <x14:colorLow rgb="FFD00000"/>
          <x14:sparklines>
            <x14:sparkline>
              <xm:f>Dashboard!E51:E123</xm:f>
              <xm:sqref>F58</xm:sqref>
            </x14:sparkline>
          </x14:sparklines>
        </x14:sparklineGroup>
      </x14:sparklineGroup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3AD1D0D-0F25-4F57-86B1-B6BBCF4E7FD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vt:lpstr>
      <vt:lpstr>Data_Cleaning</vt:lpstr>
      <vt:lpstr>Data_Cleaning2</vt:lpstr>
      <vt:lpstr>Avg_Rating&amp;Revenue</vt:lpstr>
      <vt:lpstr>Revenue_by_genre</vt:lpstr>
      <vt:lpstr>Director_performance</vt:lpstr>
      <vt:lpstr>Certificate vs Revenue</vt:lpstr>
      <vt:lpstr>Stat_Analysis</vt:lpstr>
      <vt:lpstr>Dashboard_Data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Noopur kumbhare</dc:creator>
  <cp:lastModifiedBy>Dr. Noopur kumbhare</cp:lastModifiedBy>
  <dcterms:created xsi:type="dcterms:W3CDTF">2026-02-11T13:18:59Z</dcterms:created>
  <dcterms:modified xsi:type="dcterms:W3CDTF">2026-02-24T06:42:28Z</dcterms:modified>
</cp:coreProperties>
</file>